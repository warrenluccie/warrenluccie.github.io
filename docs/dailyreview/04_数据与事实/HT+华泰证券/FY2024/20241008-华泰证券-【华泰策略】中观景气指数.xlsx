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PSDrive\406677417\WPS云盘\华泰策略\全行业景气指数\2409\"/>
    </mc:Choice>
  </mc:AlternateContent>
  <xr:revisionPtr revIDLastSave="0" documentId="8_{8E92A62B-4C60-48DE-8BAC-3FDC0777C67B}" xr6:coauthVersionLast="47" xr6:coauthVersionMax="47" xr10:uidLastSave="{00000000-0000-0000-0000-000000000000}"/>
  <bookViews>
    <workbookView xWindow="-120" yWindow="-120" windowWidth="29040" windowHeight="15720" xr2:uid="{3A70BE91-FE34-4FD1-93E6-C5232A17E35F}"/>
  </bookViews>
  <sheets>
    <sheet name="面板-总览" sheetId="1" r:id="rId1"/>
    <sheet name="景气时钟" sheetId="2" r:id="rId2"/>
    <sheet name="安全边际" sheetId="3" r:id="rId3"/>
    <sheet name="面板-景气指数" sheetId="4" r:id="rId4"/>
  </sheets>
  <definedNames>
    <definedName name="Bubble">"Bubble"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catter">"Scatter"</definedName>
    <definedName name="Series">"Series"</definedName>
    <definedName name="SpreadsheetBuilder_1" localSheetId="1" hidden="1">#REF!</definedName>
    <definedName name="SpreadsheetBuilder_1" hidden="1">#REF!</definedName>
    <definedName name="SpreadsheetBuilder_2" localSheetId="1" hidden="1">#REF!</definedName>
    <definedName name="SpreadsheetBuilder_2" hidden="1">#REF!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5" i="4" l="1"/>
  <c r="C245" i="4"/>
  <c r="B244" i="4"/>
  <c r="C244" i="4"/>
  <c r="D244" i="4"/>
  <c r="C243" i="4"/>
  <c r="D243" i="4"/>
  <c r="B243" i="4"/>
  <c r="C242" i="4"/>
  <c r="D242" i="4"/>
  <c r="B242" i="4"/>
  <c r="D241" i="4"/>
  <c r="B240" i="4"/>
  <c r="D240" i="4"/>
  <c r="C240" i="4"/>
  <c r="D239" i="4"/>
  <c r="C238" i="4"/>
  <c r="D238" i="4"/>
  <c r="D237" i="4"/>
  <c r="B236" i="4"/>
  <c r="D236" i="4"/>
  <c r="D235" i="4"/>
  <c r="D234" i="4"/>
  <c r="D233" i="4"/>
  <c r="C233" i="4"/>
  <c r="D232" i="4"/>
  <c r="C231" i="4"/>
  <c r="D231" i="4"/>
  <c r="B230" i="4"/>
  <c r="C230" i="4"/>
  <c r="D230" i="4"/>
  <c r="D229" i="4"/>
  <c r="D228" i="4"/>
  <c r="D227" i="4"/>
  <c r="B226" i="4"/>
  <c r="C226" i="4"/>
  <c r="D226" i="4"/>
  <c r="D225" i="4"/>
  <c r="D224" i="4"/>
  <c r="D223" i="4"/>
  <c r="C223" i="4"/>
  <c r="B223" i="4"/>
  <c r="D222" i="4"/>
  <c r="B221" i="4"/>
  <c r="D221" i="4"/>
  <c r="C221" i="4"/>
  <c r="D220" i="4"/>
  <c r="D219" i="4"/>
  <c r="C219" i="4"/>
  <c r="D218" i="4"/>
  <c r="C217" i="4"/>
  <c r="D217" i="4"/>
  <c r="B216" i="4"/>
  <c r="D216" i="4"/>
  <c r="C215" i="4"/>
  <c r="D215" i="4"/>
  <c r="D214" i="4"/>
  <c r="D213" i="4"/>
  <c r="D212" i="4"/>
  <c r="B211" i="4"/>
  <c r="D211" i="4"/>
  <c r="C211" i="4"/>
  <c r="D210" i="4"/>
  <c r="B209" i="4"/>
  <c r="D209" i="4"/>
  <c r="B208" i="4"/>
  <c r="C208" i="4"/>
  <c r="D208" i="4"/>
  <c r="D207" i="4"/>
  <c r="C206" i="4"/>
  <c r="D206" i="4"/>
  <c r="B206" i="4"/>
  <c r="D205" i="4"/>
  <c r="B204" i="4"/>
  <c r="D204" i="4"/>
  <c r="C204" i="4"/>
  <c r="C203" i="4"/>
  <c r="D203" i="4"/>
  <c r="D202" i="4"/>
  <c r="B201" i="4"/>
  <c r="D201" i="4"/>
  <c r="B200" i="4"/>
  <c r="D200" i="4"/>
  <c r="D199" i="4"/>
  <c r="B198" i="4"/>
  <c r="D198" i="4"/>
  <c r="D197" i="4"/>
  <c r="C197" i="4"/>
  <c r="B196" i="4"/>
  <c r="D196" i="4"/>
  <c r="B195" i="4"/>
  <c r="D195" i="4"/>
  <c r="C195" i="4"/>
  <c r="C194" i="4"/>
  <c r="B194" i="4"/>
  <c r="D194" i="4"/>
  <c r="D193" i="4"/>
  <c r="C193" i="4"/>
  <c r="B193" i="4"/>
  <c r="D192" i="4"/>
  <c r="D191" i="4"/>
  <c r="B191" i="4"/>
  <c r="D190" i="4"/>
  <c r="B189" i="4"/>
  <c r="C189" i="4"/>
  <c r="D189" i="4"/>
  <c r="B188" i="4"/>
  <c r="D188" i="4"/>
  <c r="D187" i="4"/>
  <c r="C186" i="4"/>
  <c r="D186" i="4"/>
  <c r="B185" i="4"/>
  <c r="D185" i="4"/>
  <c r="C185" i="4"/>
  <c r="D184" i="4"/>
  <c r="D183" i="4"/>
  <c r="B182" i="4"/>
  <c r="D182" i="4"/>
  <c r="C181" i="4"/>
  <c r="D181" i="4"/>
  <c r="B181" i="4"/>
  <c r="D180" i="4"/>
  <c r="D179" i="4"/>
  <c r="D178" i="4"/>
  <c r="D177" i="4"/>
  <c r="D176" i="4"/>
  <c r="D175" i="4"/>
  <c r="C174" i="4"/>
  <c r="D174" i="4"/>
  <c r="B174" i="4"/>
  <c r="D173" i="4"/>
  <c r="B169" i="4"/>
  <c r="B168" i="4"/>
  <c r="I53" i="3" s="1"/>
  <c r="D168" i="4"/>
  <c r="B167" i="4"/>
  <c r="I52" i="3" s="1"/>
  <c r="D167" i="4"/>
  <c r="C166" i="4"/>
  <c r="F40" i="2" s="1"/>
  <c r="G40" i="2" s="1"/>
  <c r="B166" i="4"/>
  <c r="I51" i="3" s="1"/>
  <c r="D166" i="4"/>
  <c r="D165" i="4"/>
  <c r="B164" i="4"/>
  <c r="C164" i="4"/>
  <c r="D164" i="4"/>
  <c r="D163" i="4"/>
  <c r="C162" i="4"/>
  <c r="D162" i="4"/>
  <c r="D161" i="4"/>
  <c r="B160" i="4"/>
  <c r="D160" i="4"/>
  <c r="C160" i="4"/>
  <c r="F28" i="2" s="1"/>
  <c r="G28" i="2" s="1"/>
  <c r="D159" i="4"/>
  <c r="C158" i="4"/>
  <c r="D158" i="4"/>
  <c r="B158" i="4"/>
  <c r="D157" i="4"/>
  <c r="C156" i="4"/>
  <c r="D156" i="4"/>
  <c r="B156" i="4"/>
  <c r="D155" i="4"/>
  <c r="D154" i="4"/>
  <c r="B154" i="4"/>
  <c r="B153" i="4"/>
  <c r="D153" i="4"/>
  <c r="B152" i="4"/>
  <c r="C152" i="4"/>
  <c r="F57" i="2" s="1"/>
  <c r="G57" i="2" s="1"/>
  <c r="D152" i="4"/>
  <c r="B151" i="4"/>
  <c r="D151" i="4"/>
  <c r="D150" i="4"/>
  <c r="D149" i="4"/>
  <c r="C148" i="4"/>
  <c r="D147" i="4"/>
  <c r="D146" i="4"/>
  <c r="D145" i="4"/>
  <c r="B144" i="4"/>
  <c r="I45" i="3" s="1"/>
  <c r="D144" i="4"/>
  <c r="C144" i="4"/>
  <c r="D143" i="4"/>
  <c r="C142" i="4"/>
  <c r="D142" i="4"/>
  <c r="D141" i="4"/>
  <c r="C140" i="4"/>
  <c r="D140" i="4"/>
  <c r="B140" i="4"/>
  <c r="C139" i="4"/>
  <c r="D139" i="4"/>
  <c r="B138" i="4"/>
  <c r="C138" i="4"/>
  <c r="D138" i="4"/>
  <c r="D137" i="4"/>
  <c r="D136" i="4"/>
  <c r="D135" i="4"/>
  <c r="C134" i="4"/>
  <c r="F61" i="2" s="1"/>
  <c r="G61" i="2" s="1"/>
  <c r="D134" i="4"/>
  <c r="B133" i="4"/>
  <c r="D133" i="4"/>
  <c r="D132" i="4"/>
  <c r="C131" i="4"/>
  <c r="D131" i="4"/>
  <c r="C130" i="4"/>
  <c r="D130" i="4"/>
  <c r="D129" i="4"/>
  <c r="D128" i="4"/>
  <c r="B127" i="4"/>
  <c r="D127" i="4"/>
  <c r="D126" i="4"/>
  <c r="B125" i="4"/>
  <c r="C125" i="4"/>
  <c r="D125" i="4"/>
  <c r="D124" i="4"/>
  <c r="D123" i="4"/>
  <c r="D122" i="4"/>
  <c r="C121" i="4"/>
  <c r="D121" i="4"/>
  <c r="B121" i="4"/>
  <c r="D120" i="4"/>
  <c r="B119" i="4"/>
  <c r="C119" i="4"/>
  <c r="D119" i="4"/>
  <c r="C118" i="4"/>
  <c r="D118" i="4"/>
  <c r="C117" i="4"/>
  <c r="D117" i="4"/>
  <c r="C116" i="4"/>
  <c r="D116" i="4"/>
  <c r="B116" i="4"/>
  <c r="C115" i="4"/>
  <c r="D115" i="4"/>
  <c r="D114" i="4"/>
  <c r="D113" i="4"/>
  <c r="B112" i="4"/>
  <c r="D112" i="4"/>
  <c r="C112" i="4"/>
  <c r="C111" i="4"/>
  <c r="D111" i="4"/>
  <c r="D110" i="4"/>
  <c r="B110" i="4"/>
  <c r="D109" i="4"/>
  <c r="D108" i="4"/>
  <c r="D107" i="4"/>
  <c r="D106" i="4"/>
  <c r="B105" i="4"/>
  <c r="D105" i="4"/>
  <c r="C105" i="4"/>
  <c r="F44" i="2" s="1"/>
  <c r="G44" i="2" s="1"/>
  <c r="C104" i="4"/>
  <c r="F43" i="2" s="1"/>
  <c r="G43" i="2" s="1"/>
  <c r="D104" i="4"/>
  <c r="B104" i="4"/>
  <c r="I35" i="3" s="1"/>
  <c r="C103" i="4"/>
  <c r="F38" i="2" s="1"/>
  <c r="G38" i="2" s="1"/>
  <c r="D103" i="4"/>
  <c r="B102" i="4"/>
  <c r="D102" i="4"/>
  <c r="C102" i="4"/>
  <c r="F37" i="2" s="1"/>
  <c r="G37" i="2" s="1"/>
  <c r="D101" i="4"/>
  <c r="D100" i="4"/>
  <c r="D99" i="4"/>
  <c r="D98" i="4"/>
  <c r="D97" i="4"/>
  <c r="C96" i="4"/>
  <c r="D95" i="4"/>
  <c r="D94" i="4"/>
  <c r="D93" i="4"/>
  <c r="C92" i="4"/>
  <c r="D92" i="4"/>
  <c r="D91" i="4"/>
  <c r="D90" i="4"/>
  <c r="D89" i="4"/>
  <c r="B88" i="4"/>
  <c r="C88" i="4"/>
  <c r="D88" i="4"/>
  <c r="D87" i="4"/>
  <c r="D86" i="4"/>
  <c r="D85" i="4"/>
  <c r="C84" i="4"/>
  <c r="D84" i="4"/>
  <c r="C83" i="4"/>
  <c r="D83" i="4"/>
  <c r="D82" i="4"/>
  <c r="D81" i="4"/>
  <c r="D80" i="4"/>
  <c r="D79" i="4"/>
  <c r="D78" i="4"/>
  <c r="D77" i="4"/>
  <c r="D76" i="4"/>
  <c r="C76" i="4"/>
  <c r="B76" i="4"/>
  <c r="D75" i="4"/>
  <c r="D74" i="4"/>
  <c r="C73" i="4"/>
  <c r="B73" i="4"/>
  <c r="D73" i="4"/>
  <c r="D72" i="4"/>
  <c r="C71" i="4"/>
  <c r="D71" i="4"/>
  <c r="D70" i="4"/>
  <c r="B67" i="4"/>
  <c r="C67" i="4"/>
  <c r="D67" i="4"/>
  <c r="D66" i="4"/>
  <c r="B65" i="4"/>
  <c r="C65" i="4"/>
  <c r="D65" i="4"/>
  <c r="CJ32" i="4"/>
  <c r="AL32" i="4"/>
  <c r="D64" i="4"/>
  <c r="C63" i="4"/>
  <c r="F24" i="2" s="1"/>
  <c r="G24" i="2" s="1"/>
  <c r="D63" i="4"/>
  <c r="B63" i="4"/>
  <c r="AA31" i="4"/>
  <c r="D62" i="4"/>
  <c r="C61" i="4"/>
  <c r="D61" i="4"/>
  <c r="B61" i="4"/>
  <c r="AL34" i="4"/>
  <c r="F26" i="1"/>
  <c r="C60" i="4"/>
  <c r="B60" i="4"/>
  <c r="D60" i="4"/>
  <c r="AP30" i="4"/>
  <c r="C59" i="4"/>
  <c r="D59" i="4"/>
  <c r="CS30" i="4"/>
  <c r="BU30" i="4"/>
  <c r="AV30" i="4"/>
  <c r="C58" i="4"/>
  <c r="D58" i="4"/>
  <c r="C57" i="4"/>
  <c r="D57" i="4"/>
  <c r="DD30" i="4"/>
  <c r="C56" i="4"/>
  <c r="D56" i="4"/>
  <c r="C55" i="4"/>
  <c r="F17" i="2" s="1"/>
  <c r="G17" i="2" s="1"/>
  <c r="D55" i="4"/>
  <c r="C54" i="4"/>
  <c r="F16" i="2" s="1"/>
  <c r="G16" i="2" s="1"/>
  <c r="B54" i="4"/>
  <c r="I11" i="3" s="1"/>
  <c r="D54" i="4"/>
  <c r="C53" i="4"/>
  <c r="F15" i="2" s="1"/>
  <c r="G15" i="2" s="1"/>
  <c r="D53" i="4"/>
  <c r="B53" i="4"/>
  <c r="I10" i="3" s="1"/>
  <c r="CS29" i="4"/>
  <c r="D52" i="4"/>
  <c r="C52" i="4"/>
  <c r="CJ29" i="4"/>
  <c r="D51" i="4"/>
  <c r="C51" i="4"/>
  <c r="B51" i="4"/>
  <c r="I7" i="3" s="1"/>
  <c r="BL29" i="4"/>
  <c r="BH29" i="4"/>
  <c r="AD29" i="4"/>
  <c r="AB29" i="4"/>
  <c r="D50" i="4"/>
  <c r="CY29" i="4"/>
  <c r="BW29" i="4"/>
  <c r="BU29" i="4"/>
  <c r="AU29" i="4"/>
  <c r="AF29" i="4"/>
  <c r="C49" i="4"/>
  <c r="F12" i="2" s="1"/>
  <c r="G12" i="2" s="1"/>
  <c r="D49" i="4"/>
  <c r="CU28" i="4"/>
  <c r="BZ28" i="4"/>
  <c r="AC28" i="4"/>
  <c r="D48" i="4"/>
  <c r="AD28" i="4"/>
  <c r="L28" i="4"/>
  <c r="J28" i="4"/>
  <c r="D47" i="4"/>
  <c r="CT28" i="4"/>
  <c r="CQ28" i="4"/>
  <c r="CI28" i="4"/>
  <c r="CE28" i="4"/>
  <c r="BV28" i="4"/>
  <c r="BR28" i="4"/>
  <c r="BG28" i="4"/>
  <c r="AX28" i="4"/>
  <c r="AP28" i="4"/>
  <c r="AA28" i="4"/>
  <c r="Y28" i="4"/>
  <c r="D46" i="4"/>
  <c r="CO27" i="4"/>
  <c r="BM34" i="4"/>
  <c r="W27" i="4"/>
  <c r="D45" i="4"/>
  <c r="B45" i="4"/>
  <c r="CE27" i="4"/>
  <c r="CC27" i="4"/>
  <c r="BE27" i="4"/>
  <c r="AG27" i="4"/>
  <c r="AE27" i="4"/>
  <c r="V27" i="4"/>
  <c r="G27" i="4"/>
  <c r="D44" i="4"/>
  <c r="DF27" i="4"/>
  <c r="CD27" i="4"/>
  <c r="BP27" i="4"/>
  <c r="BB27" i="4"/>
  <c r="AN27" i="4"/>
  <c r="AL27" i="4"/>
  <c r="Z27" i="4"/>
  <c r="C43" i="4"/>
  <c r="D43" i="4"/>
  <c r="CI26" i="4"/>
  <c r="BJ34" i="4"/>
  <c r="AJ26" i="4"/>
  <c r="J8" i="1"/>
  <c r="D42" i="4"/>
  <c r="BE26" i="4"/>
  <c r="AQ26" i="4"/>
  <c r="AC26" i="4"/>
  <c r="Y26" i="4"/>
  <c r="C41" i="4"/>
  <c r="F10" i="2" s="1"/>
  <c r="G10" i="2" s="1"/>
  <c r="D41" i="4"/>
  <c r="DA26" i="4"/>
  <c r="CM26" i="4"/>
  <c r="BP26" i="4"/>
  <c r="AS26" i="4"/>
  <c r="AP26" i="4"/>
  <c r="AO26" i="4"/>
  <c r="AN26" i="4"/>
  <c r="AI26" i="4"/>
  <c r="Q26" i="4"/>
  <c r="P26" i="4"/>
  <c r="O26" i="4"/>
  <c r="J26" i="4"/>
  <c r="C40" i="4"/>
  <c r="F9" i="2" s="1"/>
  <c r="G9" i="2" s="1"/>
  <c r="D40" i="4"/>
  <c r="CX25" i="4"/>
  <c r="AF25" i="4"/>
  <c r="T34" i="4"/>
  <c r="E5" i="4"/>
  <c r="C39" i="4"/>
  <c r="D39" i="4"/>
  <c r="B39" i="4"/>
  <c r="CH33" i="4"/>
  <c r="CE33" i="4"/>
  <c r="CD25" i="4"/>
  <c r="AH25" i="4"/>
  <c r="E4" i="4"/>
  <c r="F4" i="1"/>
  <c r="G4" i="1"/>
  <c r="H4" i="1"/>
  <c r="J33" i="4"/>
  <c r="B38" i="4"/>
  <c r="I4" i="3" s="1"/>
  <c r="D38" i="4"/>
  <c r="DF25" i="4"/>
  <c r="DE33" i="4"/>
  <c r="CV25" i="4"/>
  <c r="CP34" i="4"/>
  <c r="CL34" i="4"/>
  <c r="CJ25" i="4"/>
  <c r="CF25" i="4"/>
  <c r="CB33" i="4"/>
  <c r="CA34" i="4"/>
  <c r="BS25" i="4"/>
  <c r="BN25" i="4"/>
  <c r="BK33" i="4"/>
  <c r="BI25" i="4"/>
  <c r="AZ25" i="4"/>
  <c r="AY33" i="4"/>
  <c r="AV25" i="4"/>
  <c r="AR25" i="4"/>
  <c r="AO33" i="4"/>
  <c r="AM25" i="4"/>
  <c r="AI34" i="4"/>
  <c r="V33" i="4"/>
  <c r="O33" i="4"/>
  <c r="L33" i="4"/>
  <c r="K33" i="4"/>
  <c r="I25" i="4"/>
  <c r="F34" i="4"/>
  <c r="D37" i="4"/>
  <c r="DE34" i="4"/>
  <c r="DD34" i="4"/>
  <c r="CY34" i="4"/>
  <c r="CW34" i="4"/>
  <c r="CT34" i="4"/>
  <c r="CN34" i="4"/>
  <c r="CK34" i="4"/>
  <c r="CF34" i="4"/>
  <c r="BW34" i="4"/>
  <c r="BR34" i="4"/>
  <c r="BO34" i="4"/>
  <c r="BK34" i="4"/>
  <c r="BD34" i="4"/>
  <c r="BA34" i="4"/>
  <c r="AM34" i="4"/>
  <c r="X34" i="4"/>
  <c r="K34" i="4"/>
  <c r="D34" i="4"/>
  <c r="DD33" i="4"/>
  <c r="CY33" i="4"/>
  <c r="CT33" i="4"/>
  <c r="CN33" i="4"/>
  <c r="CK33" i="4"/>
  <c r="CF33" i="4"/>
  <c r="CA33" i="4"/>
  <c r="BW33" i="4"/>
  <c r="BR33" i="4"/>
  <c r="BO33" i="4"/>
  <c r="BD33" i="4"/>
  <c r="BA33" i="4"/>
  <c r="AM33" i="4"/>
  <c r="AI33" i="4"/>
  <c r="X33" i="4"/>
  <c r="T33" i="4"/>
  <c r="D33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K32" i="4"/>
  <c r="J32" i="4"/>
  <c r="I32" i="4"/>
  <c r="H32" i="4"/>
  <c r="G32" i="4"/>
  <c r="F32" i="4"/>
  <c r="C32" i="4" s="1"/>
  <c r="D32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Z31" i="4"/>
  <c r="Y31" i="4"/>
  <c r="X31" i="4"/>
  <c r="W31" i="4"/>
  <c r="V31" i="4"/>
  <c r="U31" i="4"/>
  <c r="T31" i="4"/>
  <c r="S31" i="4"/>
  <c r="R31" i="4"/>
  <c r="Q31" i="4"/>
  <c r="B31" i="4" s="1"/>
  <c r="P31" i="4"/>
  <c r="O31" i="4"/>
  <c r="N31" i="4"/>
  <c r="M31" i="4"/>
  <c r="L31" i="4"/>
  <c r="K31" i="4"/>
  <c r="J31" i="4"/>
  <c r="I31" i="4"/>
  <c r="H31" i="4"/>
  <c r="G31" i="4"/>
  <c r="F31" i="4"/>
  <c r="DF30" i="4"/>
  <c r="DE30" i="4"/>
  <c r="DC30" i="4"/>
  <c r="DB30" i="4"/>
  <c r="DA30" i="4"/>
  <c r="CZ30" i="4"/>
  <c r="CY30" i="4"/>
  <c r="CX30" i="4"/>
  <c r="CW30" i="4"/>
  <c r="CV30" i="4"/>
  <c r="CU30" i="4"/>
  <c r="CT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U30" i="4"/>
  <c r="AT30" i="4"/>
  <c r="AS30" i="4"/>
  <c r="AR30" i="4"/>
  <c r="AQ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C30" i="4" s="1"/>
  <c r="B30" i="4"/>
  <c r="DF29" i="4"/>
  <c r="DE29" i="4"/>
  <c r="DD29" i="4"/>
  <c r="DC29" i="4"/>
  <c r="DB29" i="4"/>
  <c r="DA29" i="4"/>
  <c r="CZ29" i="4"/>
  <c r="CX29" i="4"/>
  <c r="CW29" i="4"/>
  <c r="CV29" i="4"/>
  <c r="CU29" i="4"/>
  <c r="CT29" i="4"/>
  <c r="CR29" i="4"/>
  <c r="CQ29" i="4"/>
  <c r="CP29" i="4"/>
  <c r="CO29" i="4"/>
  <c r="CM29" i="4"/>
  <c r="CL29" i="4"/>
  <c r="CK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V29" i="4"/>
  <c r="BT29" i="4"/>
  <c r="BS29" i="4"/>
  <c r="BR29" i="4"/>
  <c r="BQ29" i="4"/>
  <c r="BP29" i="4"/>
  <c r="BO29" i="4"/>
  <c r="BN29" i="4"/>
  <c r="BM29" i="4"/>
  <c r="BK29" i="4"/>
  <c r="BJ29" i="4"/>
  <c r="BI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T29" i="4"/>
  <c r="AS29" i="4"/>
  <c r="AR29" i="4"/>
  <c r="AQ29" i="4"/>
  <c r="AP29" i="4"/>
  <c r="AO29" i="4"/>
  <c r="AN29" i="4"/>
  <c r="AM29" i="4"/>
  <c r="AL29" i="4"/>
  <c r="AK29" i="4"/>
  <c r="AI29" i="4"/>
  <c r="AH29" i="4"/>
  <c r="AG29" i="4"/>
  <c r="AE29" i="4"/>
  <c r="AC29" i="4"/>
  <c r="AA29" i="4"/>
  <c r="Z29" i="4"/>
  <c r="Y29" i="4"/>
  <c r="X29" i="4"/>
  <c r="W29" i="4"/>
  <c r="V29" i="4"/>
  <c r="U29" i="4"/>
  <c r="T29" i="4"/>
  <c r="R29" i="4"/>
  <c r="Q29" i="4"/>
  <c r="P29" i="4"/>
  <c r="O29" i="4"/>
  <c r="N29" i="4"/>
  <c r="M29" i="4"/>
  <c r="L29" i="4"/>
  <c r="K29" i="4"/>
  <c r="J29" i="4"/>
  <c r="I29" i="4"/>
  <c r="G29" i="4"/>
  <c r="F29" i="4"/>
  <c r="DF28" i="4"/>
  <c r="DE28" i="4"/>
  <c r="DD28" i="4"/>
  <c r="DC28" i="4"/>
  <c r="DB28" i="4"/>
  <c r="DA28" i="4"/>
  <c r="CZ28" i="4"/>
  <c r="CY28" i="4"/>
  <c r="CX28" i="4"/>
  <c r="CW28" i="4"/>
  <c r="CV28" i="4"/>
  <c r="CS28" i="4"/>
  <c r="CR28" i="4"/>
  <c r="CP28" i="4"/>
  <c r="CO28" i="4"/>
  <c r="CN28" i="4"/>
  <c r="CM28" i="4"/>
  <c r="CL28" i="4"/>
  <c r="CK28" i="4"/>
  <c r="CJ28" i="4"/>
  <c r="CH28" i="4"/>
  <c r="CG28" i="4"/>
  <c r="CF28" i="4"/>
  <c r="CD28" i="4"/>
  <c r="CC28" i="4"/>
  <c r="CB28" i="4"/>
  <c r="CA28" i="4"/>
  <c r="BY28" i="4"/>
  <c r="BX28" i="4"/>
  <c r="BW28" i="4"/>
  <c r="BU28" i="4"/>
  <c r="BT28" i="4"/>
  <c r="BS28" i="4"/>
  <c r="BQ28" i="4"/>
  <c r="BP28" i="4"/>
  <c r="BO28" i="4"/>
  <c r="BN28" i="4"/>
  <c r="BM28" i="4"/>
  <c r="BL28" i="4"/>
  <c r="BK28" i="4"/>
  <c r="BJ28" i="4"/>
  <c r="BI28" i="4"/>
  <c r="BH28" i="4"/>
  <c r="BF28" i="4"/>
  <c r="BE28" i="4"/>
  <c r="BD28" i="4"/>
  <c r="BB28" i="4"/>
  <c r="BA28" i="4"/>
  <c r="AZ28" i="4"/>
  <c r="AY28" i="4"/>
  <c r="AW28" i="4"/>
  <c r="AU28" i="4"/>
  <c r="AT28" i="4"/>
  <c r="AS28" i="4"/>
  <c r="AR28" i="4"/>
  <c r="AQ28" i="4"/>
  <c r="AO28" i="4"/>
  <c r="AN28" i="4"/>
  <c r="AM28" i="4"/>
  <c r="AL28" i="4"/>
  <c r="AK28" i="4"/>
  <c r="AJ28" i="4"/>
  <c r="AI28" i="4"/>
  <c r="AH28" i="4"/>
  <c r="AG28" i="4"/>
  <c r="AF28" i="4"/>
  <c r="AB28" i="4"/>
  <c r="Z28" i="4"/>
  <c r="X28" i="4"/>
  <c r="W28" i="4"/>
  <c r="V28" i="4"/>
  <c r="U28" i="4"/>
  <c r="T28" i="4"/>
  <c r="S28" i="4"/>
  <c r="R28" i="4"/>
  <c r="Q28" i="4"/>
  <c r="B28" i="4" s="1"/>
  <c r="P28" i="4"/>
  <c r="O28" i="4"/>
  <c r="M28" i="4"/>
  <c r="K28" i="4"/>
  <c r="I28" i="4"/>
  <c r="H28" i="4"/>
  <c r="G28" i="4"/>
  <c r="F28" i="4"/>
  <c r="DE27" i="4"/>
  <c r="DD27" i="4"/>
  <c r="DB27" i="4"/>
  <c r="DA27" i="4"/>
  <c r="CY27" i="4"/>
  <c r="CX27" i="4"/>
  <c r="CW27" i="4"/>
  <c r="CV27" i="4"/>
  <c r="CU27" i="4"/>
  <c r="CT27" i="4"/>
  <c r="CS27" i="4"/>
  <c r="CQ27" i="4"/>
  <c r="CP27" i="4"/>
  <c r="CN27" i="4"/>
  <c r="CM27" i="4"/>
  <c r="CL27" i="4"/>
  <c r="CK27" i="4"/>
  <c r="CJ27" i="4"/>
  <c r="CI27" i="4"/>
  <c r="CH27" i="4"/>
  <c r="CG27" i="4"/>
  <c r="CF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O27" i="4"/>
  <c r="BN27" i="4"/>
  <c r="BL27" i="4"/>
  <c r="BK27" i="4"/>
  <c r="BJ27" i="4"/>
  <c r="BI27" i="4"/>
  <c r="BH27" i="4"/>
  <c r="BG27" i="4"/>
  <c r="BF27" i="4"/>
  <c r="BD27" i="4"/>
  <c r="BC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M27" i="4"/>
  <c r="AJ27" i="4"/>
  <c r="AI27" i="4"/>
  <c r="AH27" i="4"/>
  <c r="AF27" i="4"/>
  <c r="AD27" i="4"/>
  <c r="AC27" i="4"/>
  <c r="AB27" i="4"/>
  <c r="AA27" i="4"/>
  <c r="Y27" i="4"/>
  <c r="X27" i="4"/>
  <c r="U27" i="4"/>
  <c r="T27" i="4"/>
  <c r="S27" i="4"/>
  <c r="R27" i="4"/>
  <c r="Q27" i="4"/>
  <c r="P27" i="4"/>
  <c r="O27" i="4"/>
  <c r="N27" i="4"/>
  <c r="M27" i="4"/>
  <c r="L27" i="4"/>
  <c r="K27" i="4"/>
  <c r="J27" i="4"/>
  <c r="H27" i="4"/>
  <c r="F27" i="4"/>
  <c r="DF26" i="4"/>
  <c r="DE26" i="4"/>
  <c r="DD26" i="4"/>
  <c r="DC26" i="4"/>
  <c r="DB26" i="4"/>
  <c r="CZ26" i="4"/>
  <c r="CY26" i="4"/>
  <c r="CX26" i="4"/>
  <c r="CV26" i="4"/>
  <c r="CT26" i="4"/>
  <c r="CS26" i="4"/>
  <c r="CR26" i="4"/>
  <c r="CQ26" i="4"/>
  <c r="CP26" i="4"/>
  <c r="CO26" i="4"/>
  <c r="CN26" i="4"/>
  <c r="CL26" i="4"/>
  <c r="CK26" i="4"/>
  <c r="CH26" i="4"/>
  <c r="CF26" i="4"/>
  <c r="CE26" i="4"/>
  <c r="CD26" i="4"/>
  <c r="CC26" i="4"/>
  <c r="CB26" i="4"/>
  <c r="CA26" i="4"/>
  <c r="BZ26" i="4"/>
  <c r="BX26" i="4"/>
  <c r="BW26" i="4"/>
  <c r="BV26" i="4"/>
  <c r="BT26" i="4"/>
  <c r="BR26" i="4"/>
  <c r="BQ26" i="4"/>
  <c r="BO26" i="4"/>
  <c r="BM26" i="4"/>
  <c r="BL26" i="4"/>
  <c r="BK26" i="4"/>
  <c r="BJ26" i="4"/>
  <c r="BG26" i="4"/>
  <c r="BF26" i="4"/>
  <c r="BD26" i="4"/>
  <c r="BC26" i="4"/>
  <c r="BB26" i="4"/>
  <c r="BA26" i="4"/>
  <c r="AZ26" i="4"/>
  <c r="AY26" i="4"/>
  <c r="AX26" i="4"/>
  <c r="AV26" i="4"/>
  <c r="AU26" i="4"/>
  <c r="AT26" i="4"/>
  <c r="AR26" i="4"/>
  <c r="AM26" i="4"/>
  <c r="AL26" i="4"/>
  <c r="AK26" i="4"/>
  <c r="AG26" i="4"/>
  <c r="AE26" i="4"/>
  <c r="AD26" i="4"/>
  <c r="AB26" i="4"/>
  <c r="AA26" i="4"/>
  <c r="Z26" i="4"/>
  <c r="X26" i="4"/>
  <c r="W26" i="4"/>
  <c r="V26" i="4"/>
  <c r="T26" i="4"/>
  <c r="S26" i="4"/>
  <c r="R26" i="4"/>
  <c r="M26" i="4"/>
  <c r="L26" i="4"/>
  <c r="K26" i="4"/>
  <c r="I26" i="4"/>
  <c r="C26" i="4" s="1"/>
  <c r="F26" i="4"/>
  <c r="DD25" i="4"/>
  <c r="DC25" i="4"/>
  <c r="CZ25" i="4"/>
  <c r="CY25" i="4"/>
  <c r="CU25" i="4"/>
  <c r="CT25" i="4"/>
  <c r="CS25" i="4"/>
  <c r="CP25" i="4"/>
  <c r="CN25" i="4"/>
  <c r="CL25" i="4"/>
  <c r="CK25" i="4"/>
  <c r="CG25" i="4"/>
  <c r="BX25" i="4"/>
  <c r="BW25" i="4"/>
  <c r="BU25" i="4"/>
  <c r="BR25" i="4"/>
  <c r="BO25" i="4"/>
  <c r="BK25" i="4"/>
  <c r="BJ25" i="4"/>
  <c r="BD25" i="4"/>
  <c r="BA25" i="4"/>
  <c r="AP25" i="4"/>
  <c r="AO25" i="4"/>
  <c r="Y25" i="4"/>
  <c r="X25" i="4"/>
  <c r="T25" i="4"/>
  <c r="K25" i="4"/>
  <c r="J25" i="4"/>
  <c r="G25" i="4"/>
  <c r="E11" i="4"/>
  <c r="D11" i="4"/>
  <c r="E10" i="4"/>
  <c r="D10" i="4"/>
  <c r="E9" i="4"/>
  <c r="D9" i="4"/>
  <c r="E8" i="4"/>
  <c r="D8" i="4"/>
  <c r="E7" i="4"/>
  <c r="D7" i="4"/>
  <c r="D5" i="4"/>
  <c r="J53" i="3"/>
  <c r="J52" i="3"/>
  <c r="J51" i="3"/>
  <c r="J50" i="3"/>
  <c r="J49" i="3"/>
  <c r="I49" i="3"/>
  <c r="J48" i="3"/>
  <c r="I48" i="3"/>
  <c r="J47" i="3"/>
  <c r="J46" i="3"/>
  <c r="J45" i="3"/>
  <c r="J44" i="3"/>
  <c r="J43" i="3"/>
  <c r="J42" i="3"/>
  <c r="J41" i="3"/>
  <c r="J40" i="3"/>
  <c r="I40" i="3"/>
  <c r="J39" i="3"/>
  <c r="J38" i="3"/>
  <c r="J37" i="3"/>
  <c r="I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I15" i="3"/>
  <c r="J14" i="3"/>
  <c r="J13" i="3"/>
  <c r="J12" i="3"/>
  <c r="J11" i="3"/>
  <c r="J10" i="3"/>
  <c r="J9" i="3"/>
  <c r="J8" i="3"/>
  <c r="J7" i="3"/>
  <c r="J6" i="3"/>
  <c r="J5" i="3"/>
  <c r="I5" i="3"/>
  <c r="J4" i="3"/>
  <c r="E61" i="2"/>
  <c r="E60" i="2"/>
  <c r="E59" i="2"/>
  <c r="E58" i="2"/>
  <c r="E57" i="2"/>
  <c r="E56" i="2"/>
  <c r="E55" i="2"/>
  <c r="E54" i="2"/>
  <c r="E53" i="2"/>
  <c r="E52" i="2"/>
  <c r="E51" i="2"/>
  <c r="F50" i="2"/>
  <c r="G50" i="2" s="1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F29" i="2"/>
  <c r="G29" i="2" s="1"/>
  <c r="E29" i="2"/>
  <c r="E28" i="2"/>
  <c r="F27" i="2"/>
  <c r="G27" i="2" s="1"/>
  <c r="E27" i="2"/>
  <c r="E26" i="2"/>
  <c r="E25" i="2"/>
  <c r="E24" i="2"/>
  <c r="F23" i="2"/>
  <c r="G23" i="2" s="1"/>
  <c r="E23" i="2"/>
  <c r="E22" i="2"/>
  <c r="E21" i="2"/>
  <c r="E20" i="2"/>
  <c r="F19" i="2"/>
  <c r="G19" i="2" s="1"/>
  <c r="E19" i="2"/>
  <c r="F18" i="2"/>
  <c r="G18" i="2" s="1"/>
  <c r="E18" i="2"/>
  <c r="E17" i="2"/>
  <c r="E16" i="2"/>
  <c r="E15" i="2"/>
  <c r="F14" i="2"/>
  <c r="G14" i="2" s="1"/>
  <c r="E14" i="2"/>
  <c r="E13" i="2"/>
  <c r="E12" i="2"/>
  <c r="E11" i="2"/>
  <c r="E10" i="2"/>
  <c r="E9" i="2"/>
  <c r="E8" i="2"/>
  <c r="E7" i="2"/>
  <c r="F6" i="2"/>
  <c r="G6" i="2" s="1"/>
  <c r="E6" i="2"/>
  <c r="E5" i="2"/>
  <c r="E3" i="2"/>
  <c r="AE101" i="1"/>
  <c r="AG101" i="1" s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AE98" i="1"/>
  <c r="AG98" i="1" s="1"/>
  <c r="AD98" i="1"/>
  <c r="AC98" i="1"/>
  <c r="AB98" i="1"/>
  <c r="AA98" i="1"/>
  <c r="Z98" i="1"/>
  <c r="Y98" i="1"/>
  <c r="X98" i="1"/>
  <c r="W98" i="1"/>
  <c r="V98" i="1"/>
  <c r="U98" i="1"/>
  <c r="T98" i="1"/>
  <c r="S98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AE88" i="1"/>
  <c r="AG88" i="1" s="1"/>
  <c r="AD88" i="1"/>
  <c r="AC88" i="1"/>
  <c r="AB88" i="1"/>
  <c r="AA88" i="1"/>
  <c r="Z88" i="1"/>
  <c r="Y88" i="1"/>
  <c r="X88" i="1"/>
  <c r="W88" i="1"/>
  <c r="V88" i="1"/>
  <c r="U88" i="1"/>
  <c r="T88" i="1"/>
  <c r="S88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AE86" i="1"/>
  <c r="AG86" i="1" s="1"/>
  <c r="AD86" i="1"/>
  <c r="AC86" i="1"/>
  <c r="AB86" i="1"/>
  <c r="AA86" i="1"/>
  <c r="Z86" i="1"/>
  <c r="Y86" i="1"/>
  <c r="X86" i="1"/>
  <c r="W86" i="1"/>
  <c r="V86" i="1"/>
  <c r="U86" i="1"/>
  <c r="T86" i="1"/>
  <c r="S86" i="1"/>
  <c r="AE85" i="1"/>
  <c r="AG85" i="1" s="1"/>
  <c r="AD85" i="1"/>
  <c r="AC85" i="1"/>
  <c r="AB85" i="1"/>
  <c r="AA85" i="1"/>
  <c r="Z85" i="1"/>
  <c r="Y85" i="1"/>
  <c r="X85" i="1"/>
  <c r="W85" i="1"/>
  <c r="V85" i="1"/>
  <c r="U85" i="1"/>
  <c r="T85" i="1"/>
  <c r="S85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AE83" i="1"/>
  <c r="AG83" i="1" s="1"/>
  <c r="AD83" i="1"/>
  <c r="AC83" i="1"/>
  <c r="AB83" i="1"/>
  <c r="AA83" i="1"/>
  <c r="Z83" i="1"/>
  <c r="Y83" i="1"/>
  <c r="X83" i="1"/>
  <c r="W83" i="1"/>
  <c r="V83" i="1"/>
  <c r="U83" i="1"/>
  <c r="T83" i="1"/>
  <c r="S83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AE73" i="1"/>
  <c r="AG73" i="1" s="1"/>
  <c r="AD73" i="1"/>
  <c r="AC73" i="1"/>
  <c r="AB73" i="1"/>
  <c r="AA73" i="1"/>
  <c r="Z73" i="1"/>
  <c r="Y73" i="1"/>
  <c r="X73" i="1"/>
  <c r="W73" i="1"/>
  <c r="V73" i="1"/>
  <c r="U73" i="1"/>
  <c r="T73" i="1"/>
  <c r="S73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E71" i="1"/>
  <c r="AG71" i="1" s="1"/>
  <c r="AD71" i="1"/>
  <c r="AC71" i="1"/>
  <c r="AB71" i="1"/>
  <c r="AA71" i="1"/>
  <c r="Z71" i="1"/>
  <c r="Y71" i="1"/>
  <c r="X71" i="1"/>
  <c r="W71" i="1"/>
  <c r="V71" i="1"/>
  <c r="U71" i="1"/>
  <c r="T71" i="1"/>
  <c r="S71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E66" i="1"/>
  <c r="AG66" i="1" s="1"/>
  <c r="AD66" i="1"/>
  <c r="AC66" i="1"/>
  <c r="AB66" i="1"/>
  <c r="AA66" i="1"/>
  <c r="Z66" i="1"/>
  <c r="Y66" i="1"/>
  <c r="X66" i="1"/>
  <c r="W66" i="1"/>
  <c r="V66" i="1"/>
  <c r="U66" i="1"/>
  <c r="T66" i="1"/>
  <c r="S66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E65" i="1"/>
  <c r="AG65" i="1" s="1"/>
  <c r="AD65" i="1"/>
  <c r="AC65" i="1"/>
  <c r="AB65" i="1"/>
  <c r="AA65" i="1"/>
  <c r="Z65" i="1"/>
  <c r="Y65" i="1"/>
  <c r="X65" i="1"/>
  <c r="W65" i="1"/>
  <c r="V65" i="1"/>
  <c r="U65" i="1"/>
  <c r="T65" i="1"/>
  <c r="S65" i="1"/>
  <c r="AV64" i="1"/>
  <c r="AX64" i="1" s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AV63" i="1"/>
  <c r="AX63" i="1" s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AV58" i="1"/>
  <c r="AX58" i="1" s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E57" i="1"/>
  <c r="AG57" i="1" s="1"/>
  <c r="AD57" i="1"/>
  <c r="AC57" i="1"/>
  <c r="AB57" i="1"/>
  <c r="AA57" i="1"/>
  <c r="Z57" i="1"/>
  <c r="Y57" i="1"/>
  <c r="X57" i="1"/>
  <c r="W57" i="1"/>
  <c r="V57" i="1"/>
  <c r="U57" i="1"/>
  <c r="T57" i="1"/>
  <c r="S57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V51" i="1"/>
  <c r="AX51" i="1" s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E50" i="1"/>
  <c r="AG50" i="1" s="1"/>
  <c r="AD50" i="1"/>
  <c r="AC50" i="1"/>
  <c r="AB50" i="1"/>
  <c r="AA50" i="1"/>
  <c r="Z50" i="1"/>
  <c r="Y50" i="1"/>
  <c r="X50" i="1"/>
  <c r="W50" i="1"/>
  <c r="V50" i="1"/>
  <c r="U50" i="1"/>
  <c r="T50" i="1"/>
  <c r="S50" i="1"/>
  <c r="AV49" i="1"/>
  <c r="AX49" i="1" s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AV48" i="1"/>
  <c r="AX48" i="1" s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AV43" i="1"/>
  <c r="AX43" i="1" s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E42" i="1"/>
  <c r="AG42" i="1" s="1"/>
  <c r="AD42" i="1"/>
  <c r="AC42" i="1"/>
  <c r="AB42" i="1"/>
  <c r="AA42" i="1"/>
  <c r="Z42" i="1"/>
  <c r="Y42" i="1"/>
  <c r="X42" i="1"/>
  <c r="W42" i="1"/>
  <c r="V42" i="1"/>
  <c r="U42" i="1"/>
  <c r="T42" i="1"/>
  <c r="S42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E37" i="1"/>
  <c r="AG37" i="1" s="1"/>
  <c r="AD37" i="1"/>
  <c r="AC37" i="1"/>
  <c r="AB37" i="1"/>
  <c r="AA37" i="1"/>
  <c r="Z37" i="1"/>
  <c r="Y37" i="1"/>
  <c r="X37" i="1"/>
  <c r="W37" i="1"/>
  <c r="V37" i="1"/>
  <c r="U37" i="1"/>
  <c r="T37" i="1"/>
  <c r="S37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E36" i="1"/>
  <c r="AG36" i="1" s="1"/>
  <c r="AD36" i="1"/>
  <c r="AC36" i="1"/>
  <c r="AB36" i="1"/>
  <c r="AA36" i="1"/>
  <c r="Z36" i="1"/>
  <c r="Y36" i="1"/>
  <c r="X36" i="1"/>
  <c r="W36" i="1"/>
  <c r="V36" i="1"/>
  <c r="U36" i="1"/>
  <c r="T36" i="1"/>
  <c r="S36" i="1"/>
  <c r="AV35" i="1"/>
  <c r="AX35" i="1" s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AV34" i="1"/>
  <c r="AX34" i="1" s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E30" i="1"/>
  <c r="AG30" i="1" s="1"/>
  <c r="AD30" i="1"/>
  <c r="AC30" i="1"/>
  <c r="AB30" i="1"/>
  <c r="AA30" i="1"/>
  <c r="Z30" i="1"/>
  <c r="Y30" i="1"/>
  <c r="X30" i="1"/>
  <c r="W30" i="1"/>
  <c r="V30" i="1"/>
  <c r="U30" i="1"/>
  <c r="T30" i="1"/>
  <c r="S30" i="1"/>
  <c r="N30" i="1"/>
  <c r="M30" i="1"/>
  <c r="L30" i="1"/>
  <c r="K30" i="1"/>
  <c r="J30" i="1"/>
  <c r="I30" i="1"/>
  <c r="G30" i="1"/>
  <c r="F30" i="1"/>
  <c r="E30" i="1"/>
  <c r="D30" i="1"/>
  <c r="C30" i="1"/>
  <c r="B30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E29" i="1"/>
  <c r="AG29" i="1" s="1"/>
  <c r="AD29" i="1"/>
  <c r="AC29" i="1"/>
  <c r="AB29" i="1"/>
  <c r="AA29" i="1"/>
  <c r="Z29" i="1"/>
  <c r="Y29" i="1"/>
  <c r="X29" i="1"/>
  <c r="W29" i="1"/>
  <c r="V29" i="1"/>
  <c r="U29" i="1"/>
  <c r="T29" i="1"/>
  <c r="S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N26" i="1"/>
  <c r="P26" i="1" s="1"/>
  <c r="M26" i="1"/>
  <c r="L26" i="1"/>
  <c r="K26" i="1"/>
  <c r="J26" i="1"/>
  <c r="I26" i="1"/>
  <c r="H26" i="1"/>
  <c r="G26" i="1"/>
  <c r="E26" i="1"/>
  <c r="D26" i="1"/>
  <c r="C26" i="1"/>
  <c r="B26" i="1"/>
  <c r="AV25" i="1"/>
  <c r="AX25" i="1" s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N25" i="1"/>
  <c r="P25" i="1" s="1"/>
  <c r="M25" i="1"/>
  <c r="L25" i="1"/>
  <c r="K25" i="1"/>
  <c r="J25" i="1"/>
  <c r="I25" i="1"/>
  <c r="H25" i="1"/>
  <c r="G25" i="1"/>
  <c r="F25" i="1"/>
  <c r="E25" i="1"/>
  <c r="D25" i="1"/>
  <c r="C25" i="1"/>
  <c r="B25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V23" i="1"/>
  <c r="AX23" i="1" s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E22" i="1"/>
  <c r="AG22" i="1" s="1"/>
  <c r="AD22" i="1"/>
  <c r="AC22" i="1"/>
  <c r="AB22" i="1"/>
  <c r="AA22" i="1"/>
  <c r="Z22" i="1"/>
  <c r="Y22" i="1"/>
  <c r="X22" i="1"/>
  <c r="W22" i="1"/>
  <c r="V22" i="1"/>
  <c r="U22" i="1"/>
  <c r="T22" i="1"/>
  <c r="S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N21" i="1"/>
  <c r="P21" i="1" s="1"/>
  <c r="M21" i="1"/>
  <c r="L21" i="1"/>
  <c r="K21" i="1"/>
  <c r="J21" i="1"/>
  <c r="I21" i="1"/>
  <c r="H21" i="1"/>
  <c r="G21" i="1"/>
  <c r="F21" i="1"/>
  <c r="E21" i="1"/>
  <c r="D21" i="1"/>
  <c r="C21" i="1"/>
  <c r="B21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E20" i="1"/>
  <c r="AG20" i="1" s="1"/>
  <c r="AD20" i="1"/>
  <c r="AC20" i="1"/>
  <c r="AB20" i="1"/>
  <c r="AA20" i="1"/>
  <c r="Z20" i="1"/>
  <c r="Y20" i="1"/>
  <c r="X20" i="1"/>
  <c r="W20" i="1"/>
  <c r="V20" i="1"/>
  <c r="U20" i="1"/>
  <c r="T20" i="1"/>
  <c r="S20" i="1"/>
  <c r="N20" i="1"/>
  <c r="P20" i="1" s="1"/>
  <c r="M20" i="1"/>
  <c r="L20" i="1"/>
  <c r="K20" i="1"/>
  <c r="J20" i="1"/>
  <c r="I20" i="1"/>
  <c r="H20" i="1"/>
  <c r="G20" i="1"/>
  <c r="F20" i="1"/>
  <c r="E20" i="1"/>
  <c r="D20" i="1"/>
  <c r="C20" i="1"/>
  <c r="B20" i="1"/>
  <c r="AV19" i="1"/>
  <c r="AX19" i="1" s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E19" i="1"/>
  <c r="AG19" i="1" s="1"/>
  <c r="AD19" i="1"/>
  <c r="AC19" i="1"/>
  <c r="AB19" i="1"/>
  <c r="AA19" i="1"/>
  <c r="Z19" i="1"/>
  <c r="Y19" i="1"/>
  <c r="X19" i="1"/>
  <c r="W19" i="1"/>
  <c r="V19" i="1"/>
  <c r="U19" i="1"/>
  <c r="T19" i="1"/>
  <c r="S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N17" i="1"/>
  <c r="P17" i="1" s="1"/>
  <c r="M17" i="1"/>
  <c r="L17" i="1"/>
  <c r="K17" i="1"/>
  <c r="J17" i="1"/>
  <c r="I17" i="1"/>
  <c r="H17" i="1"/>
  <c r="G17" i="1"/>
  <c r="F17" i="1"/>
  <c r="E17" i="1"/>
  <c r="D17" i="1"/>
  <c r="C17" i="1"/>
  <c r="B17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E16" i="1"/>
  <c r="AG16" i="1" s="1"/>
  <c r="AD16" i="1"/>
  <c r="AC16" i="1"/>
  <c r="AB16" i="1"/>
  <c r="AA16" i="1"/>
  <c r="Z16" i="1"/>
  <c r="Y16" i="1"/>
  <c r="X16" i="1"/>
  <c r="W16" i="1"/>
  <c r="V16" i="1"/>
  <c r="U16" i="1"/>
  <c r="T16" i="1"/>
  <c r="S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E15" i="1"/>
  <c r="AG15" i="1" s="1"/>
  <c r="AD15" i="1"/>
  <c r="AC15" i="1"/>
  <c r="AB15" i="1"/>
  <c r="AA15" i="1"/>
  <c r="Z15" i="1"/>
  <c r="Y15" i="1"/>
  <c r="X15" i="1"/>
  <c r="W15" i="1"/>
  <c r="V15" i="1"/>
  <c r="U15" i="1"/>
  <c r="T15" i="1"/>
  <c r="S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V14" i="1"/>
  <c r="AX14" i="1" s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G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V13" i="1"/>
  <c r="AX13" i="1" s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E12" i="1"/>
  <c r="AG12" i="1" s="1"/>
  <c r="AD12" i="1"/>
  <c r="AC12" i="1"/>
  <c r="AB12" i="1"/>
  <c r="AA12" i="1"/>
  <c r="Z12" i="1"/>
  <c r="Y12" i="1"/>
  <c r="X12" i="1"/>
  <c r="W12" i="1"/>
  <c r="V12" i="1"/>
  <c r="U12" i="1"/>
  <c r="T12" i="1"/>
  <c r="S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V11" i="1"/>
  <c r="AX11" i="1" s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E10" i="1"/>
  <c r="AG10" i="1" s="1"/>
  <c r="AD10" i="1"/>
  <c r="AC10" i="1"/>
  <c r="AB10" i="1"/>
  <c r="AA10" i="1"/>
  <c r="Z10" i="1"/>
  <c r="Y10" i="1"/>
  <c r="X10" i="1"/>
  <c r="W10" i="1"/>
  <c r="V10" i="1"/>
  <c r="U10" i="1"/>
  <c r="T10" i="1"/>
  <c r="S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N9" i="1"/>
  <c r="P9" i="1" s="1"/>
  <c r="M9" i="1"/>
  <c r="L9" i="1"/>
  <c r="K9" i="1"/>
  <c r="J9" i="1"/>
  <c r="I9" i="1"/>
  <c r="H9" i="1"/>
  <c r="G9" i="1"/>
  <c r="F9" i="1"/>
  <c r="E9" i="1"/>
  <c r="D9" i="1"/>
  <c r="C9" i="1"/>
  <c r="B9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E8" i="1"/>
  <c r="AG8" i="1" s="1"/>
  <c r="AD8" i="1"/>
  <c r="AC8" i="1"/>
  <c r="AB8" i="1"/>
  <c r="AA8" i="1"/>
  <c r="Z8" i="1"/>
  <c r="Y8" i="1"/>
  <c r="X8" i="1"/>
  <c r="W8" i="1"/>
  <c r="V8" i="1"/>
  <c r="U8" i="1"/>
  <c r="T8" i="1"/>
  <c r="S8" i="1"/>
  <c r="N8" i="1"/>
  <c r="P8" i="1" s="1"/>
  <c r="M8" i="1"/>
  <c r="K8" i="1"/>
  <c r="I8" i="1"/>
  <c r="H8" i="1"/>
  <c r="G8" i="1"/>
  <c r="F8" i="1"/>
  <c r="E8" i="1"/>
  <c r="D8" i="1"/>
  <c r="C8" i="1"/>
  <c r="B8" i="1"/>
  <c r="AV7" i="1"/>
  <c r="AX7" i="1" s="1"/>
  <c r="AU7" i="1"/>
  <c r="AT7" i="1"/>
  <c r="AS7" i="1"/>
  <c r="AR7" i="1"/>
  <c r="AQ7" i="1"/>
  <c r="AP7" i="1"/>
  <c r="AO7" i="1"/>
  <c r="AN7" i="1"/>
  <c r="AM7" i="1"/>
  <c r="AL7" i="1"/>
  <c r="AK7" i="1"/>
  <c r="AJ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E6" i="1"/>
  <c r="AG6" i="1" s="1"/>
  <c r="AD6" i="1"/>
  <c r="AC6" i="1"/>
  <c r="AB6" i="1"/>
  <c r="AA6" i="1"/>
  <c r="Z6" i="1"/>
  <c r="Y6" i="1"/>
  <c r="X6" i="1"/>
  <c r="W6" i="1"/>
  <c r="V6" i="1"/>
  <c r="U6" i="1"/>
  <c r="T6" i="1"/>
  <c r="S6" i="1"/>
  <c r="N6" i="1"/>
  <c r="M6" i="1"/>
  <c r="L6" i="1"/>
  <c r="K6" i="1"/>
  <c r="J6" i="1"/>
  <c r="I6" i="1"/>
  <c r="H6" i="1"/>
  <c r="G6" i="1"/>
  <c r="E6" i="1"/>
  <c r="C6" i="1"/>
  <c r="B6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N5" i="1"/>
  <c r="P5" i="1" s="1"/>
  <c r="M5" i="1"/>
  <c r="L5" i="1"/>
  <c r="K5" i="1"/>
  <c r="J5" i="1"/>
  <c r="I5" i="1"/>
  <c r="H5" i="1"/>
  <c r="G5" i="1"/>
  <c r="F5" i="1"/>
  <c r="E5" i="1"/>
  <c r="D5" i="1"/>
  <c r="C5" i="1"/>
  <c r="B5" i="1"/>
  <c r="AV4" i="1"/>
  <c r="AX4" i="1" s="1"/>
  <c r="AU4" i="1"/>
  <c r="AT4" i="1"/>
  <c r="AS4" i="1"/>
  <c r="AR4" i="1"/>
  <c r="AQ4" i="1"/>
  <c r="AP4" i="1"/>
  <c r="AO4" i="1"/>
  <c r="AN4" i="1"/>
  <c r="AM4" i="1"/>
  <c r="AL4" i="1"/>
  <c r="AK4" i="1"/>
  <c r="AJ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N4" i="1"/>
  <c r="P4" i="1" s="1"/>
  <c r="M4" i="1"/>
  <c r="L4" i="1"/>
  <c r="K4" i="1"/>
  <c r="I4" i="1"/>
  <c r="E4" i="1"/>
  <c r="C4" i="1"/>
  <c r="B4" i="1"/>
  <c r="AV3" i="1"/>
  <c r="AX3" i="1" s="1"/>
  <c r="AU3" i="1"/>
  <c r="AT3" i="1"/>
  <c r="AS3" i="1"/>
  <c r="AR3" i="1"/>
  <c r="AQ3" i="1"/>
  <c r="AP3" i="1"/>
  <c r="AO3" i="1"/>
  <c r="AN3" i="1"/>
  <c r="AM3" i="1"/>
  <c r="AL3" i="1"/>
  <c r="AK3" i="1"/>
  <c r="AJ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N3" i="1"/>
  <c r="M3" i="1"/>
  <c r="J3" i="1"/>
  <c r="I3" i="1"/>
  <c r="H3" i="1"/>
  <c r="G3" i="1"/>
  <c r="F3" i="1"/>
  <c r="C3" i="1"/>
  <c r="B3" i="1"/>
  <c r="AG7" i="1" l="1"/>
  <c r="AX47" i="1"/>
  <c r="AG81" i="1"/>
  <c r="AG40" i="1"/>
  <c r="AG55" i="1"/>
  <c r="AG69" i="1"/>
  <c r="AG94" i="1"/>
  <c r="P6" i="1"/>
  <c r="P28" i="1"/>
  <c r="AX32" i="1"/>
  <c r="AX46" i="1"/>
  <c r="AX61" i="1"/>
  <c r="AG79" i="1"/>
  <c r="P11" i="1"/>
  <c r="AG17" i="1"/>
  <c r="P23" i="1"/>
  <c r="AG39" i="1"/>
  <c r="AG54" i="1"/>
  <c r="AG68" i="1"/>
  <c r="AG92" i="1"/>
  <c r="AX16" i="1"/>
  <c r="AG27" i="1"/>
  <c r="AX31" i="1"/>
  <c r="AX45" i="1"/>
  <c r="AX60" i="1"/>
  <c r="AG77" i="1"/>
  <c r="P16" i="1"/>
  <c r="AG38" i="1"/>
  <c r="AG53" i="1"/>
  <c r="AG67" i="1"/>
  <c r="AG90" i="1"/>
  <c r="AG5" i="1"/>
  <c r="AX9" i="1"/>
  <c r="AX21" i="1"/>
  <c r="AX26" i="1"/>
  <c r="P31" i="1"/>
  <c r="AX44" i="1"/>
  <c r="AX59" i="1"/>
  <c r="AG75" i="1"/>
  <c r="B26" i="4"/>
  <c r="AG96" i="1"/>
  <c r="AX62" i="1"/>
  <c r="AX6" i="1"/>
  <c r="AX42" i="1"/>
  <c r="AX29" i="1"/>
  <c r="AG13" i="1"/>
  <c r="P19" i="1"/>
  <c r="AX41" i="1"/>
  <c r="AG63" i="1"/>
  <c r="AG82" i="1"/>
  <c r="AX55" i="1"/>
  <c r="AG47" i="1"/>
  <c r="AG80" i="1"/>
  <c r="AX17" i="1"/>
  <c r="AG78" i="1"/>
  <c r="AX67" i="1"/>
  <c r="P10" i="1"/>
  <c r="P22" i="1"/>
  <c r="P27" i="1"/>
  <c r="AG31" i="1"/>
  <c r="AG45" i="1"/>
  <c r="AG60" i="1"/>
  <c r="AG76" i="1"/>
  <c r="P13" i="1"/>
  <c r="AG41" i="1"/>
  <c r="AG56" i="1"/>
  <c r="AG70" i="1"/>
  <c r="AX28" i="1"/>
  <c r="P18" i="1"/>
  <c r="AG25" i="1"/>
  <c r="AG35" i="1"/>
  <c r="AG84" i="1"/>
  <c r="AG34" i="1"/>
  <c r="P12" i="1"/>
  <c r="AG62" i="1"/>
  <c r="AX39" i="1"/>
  <c r="AX68" i="1"/>
  <c r="AG93" i="1"/>
  <c r="AX27" i="1"/>
  <c r="AG32" i="1"/>
  <c r="AX22" i="1"/>
  <c r="AX38" i="1"/>
  <c r="AX37" i="1"/>
  <c r="AX52" i="1"/>
  <c r="AX66" i="1"/>
  <c r="AG89" i="1"/>
  <c r="AG24" i="1"/>
  <c r="AX33" i="1"/>
  <c r="P14" i="1"/>
  <c r="AX56" i="1"/>
  <c r="AX24" i="1"/>
  <c r="AX12" i="1"/>
  <c r="AG3" i="1"/>
  <c r="AG23" i="1"/>
  <c r="AX15" i="1"/>
  <c r="AG9" i="1"/>
  <c r="AG21" i="1"/>
  <c r="AG26" i="1"/>
  <c r="AX30" i="1"/>
  <c r="AG44" i="1"/>
  <c r="AG59" i="1"/>
  <c r="AG74" i="1"/>
  <c r="C29" i="4"/>
  <c r="AX18" i="1"/>
  <c r="AX71" i="1"/>
  <c r="AG64" i="1"/>
  <c r="AX70" i="1"/>
  <c r="AG97" i="1"/>
  <c r="P29" i="1"/>
  <c r="AG18" i="1"/>
  <c r="AX40" i="1"/>
  <c r="AG95" i="1"/>
  <c r="AG11" i="1"/>
  <c r="AX54" i="1"/>
  <c r="B32" i="4"/>
  <c r="AX10" i="1"/>
  <c r="AX53" i="1"/>
  <c r="AX8" i="1"/>
  <c r="P15" i="1"/>
  <c r="AX36" i="1"/>
  <c r="AX50" i="1"/>
  <c r="AX65" i="1"/>
  <c r="AG87" i="1"/>
  <c r="C28" i="4"/>
  <c r="AX57" i="1"/>
  <c r="AG99" i="1"/>
  <c r="AG49" i="1"/>
  <c r="AG48" i="1"/>
  <c r="P7" i="1"/>
  <c r="AX69" i="1"/>
  <c r="P24" i="1"/>
  <c r="AG28" i="1"/>
  <c r="AG33" i="1"/>
  <c r="AG46" i="1"/>
  <c r="AG61" i="1"/>
  <c r="AG91" i="1"/>
  <c r="C31" i="4"/>
  <c r="AX5" i="1"/>
  <c r="AG4" i="1"/>
  <c r="AX20" i="1"/>
  <c r="P30" i="1"/>
  <c r="AG43" i="1"/>
  <c r="AG58" i="1"/>
  <c r="AG72" i="1"/>
  <c r="AG100" i="1"/>
  <c r="M33" i="4"/>
  <c r="AL25" i="4"/>
  <c r="AL33" i="4"/>
  <c r="BH34" i="4"/>
  <c r="R33" i="4"/>
  <c r="R25" i="4"/>
  <c r="AH33" i="4"/>
  <c r="CU33" i="4"/>
  <c r="N33" i="4"/>
  <c r="N34" i="4"/>
  <c r="N25" i="4"/>
  <c r="CZ27" i="4"/>
  <c r="CZ33" i="4"/>
  <c r="CZ34" i="4"/>
  <c r="CR34" i="4"/>
  <c r="CR27" i="4"/>
  <c r="CR33" i="4"/>
  <c r="BB33" i="4"/>
  <c r="BB34" i="4"/>
  <c r="BB25" i="4"/>
  <c r="D4" i="4"/>
  <c r="D4" i="1"/>
  <c r="P25" i="4"/>
  <c r="P33" i="4"/>
  <c r="D3" i="1"/>
  <c r="P34" i="4"/>
  <c r="D3" i="4"/>
  <c r="CH25" i="4"/>
  <c r="CW25" i="4"/>
  <c r="CW33" i="4"/>
  <c r="Q33" i="4"/>
  <c r="Q34" i="4"/>
  <c r="B34" i="4" s="1"/>
  <c r="Q25" i="4"/>
  <c r="AK33" i="4"/>
  <c r="AK34" i="4"/>
  <c r="AK25" i="4"/>
  <c r="CI34" i="4"/>
  <c r="CX33" i="4"/>
  <c r="L8" i="1"/>
  <c r="H26" i="4"/>
  <c r="AH34" i="4"/>
  <c r="AH26" i="4"/>
  <c r="BI34" i="4"/>
  <c r="BI33" i="4"/>
  <c r="BI26" i="4"/>
  <c r="AV33" i="4"/>
  <c r="AV28" i="4"/>
  <c r="AV34" i="4"/>
  <c r="BC34" i="4"/>
  <c r="BC33" i="4"/>
  <c r="AG34" i="4"/>
  <c r="AG25" i="4"/>
  <c r="AG33" i="4"/>
  <c r="CE34" i="4"/>
  <c r="R34" i="4"/>
  <c r="BT25" i="4"/>
  <c r="BT33" i="4"/>
  <c r="BT34" i="4"/>
  <c r="BP34" i="4"/>
  <c r="BP33" i="4"/>
  <c r="AZ34" i="4"/>
  <c r="AZ31" i="4"/>
  <c r="BX33" i="4"/>
  <c r="BX31" i="4"/>
  <c r="L32" i="4"/>
  <c r="H30" i="1"/>
  <c r="S33" i="4"/>
  <c r="S34" i="4"/>
  <c r="S25" i="4"/>
  <c r="BE34" i="4"/>
  <c r="BE25" i="4"/>
  <c r="BE33" i="4"/>
  <c r="BQ25" i="4"/>
  <c r="BQ33" i="4"/>
  <c r="CU34" i="4"/>
  <c r="AF34" i="4"/>
  <c r="AX33" i="4"/>
  <c r="AX34" i="4"/>
  <c r="AX25" i="4"/>
  <c r="AZ33" i="4"/>
  <c r="AN25" i="4"/>
  <c r="AN33" i="4"/>
  <c r="AN34" i="4"/>
  <c r="BF34" i="4"/>
  <c r="BF25" i="4"/>
  <c r="BF33" i="4"/>
  <c r="BU33" i="4"/>
  <c r="CG26" i="4"/>
  <c r="CG34" i="4"/>
  <c r="CG33" i="4"/>
  <c r="BL32" i="4"/>
  <c r="BL33" i="4"/>
  <c r="BG34" i="4"/>
  <c r="BG25" i="4"/>
  <c r="BG33" i="4"/>
  <c r="U34" i="4"/>
  <c r="U25" i="4"/>
  <c r="U33" i="4"/>
  <c r="DA33" i="4"/>
  <c r="DA34" i="4"/>
  <c r="DA25" i="4"/>
  <c r="G33" i="4"/>
  <c r="G26" i="4"/>
  <c r="BS26" i="4"/>
  <c r="BS34" i="4"/>
  <c r="BN34" i="4"/>
  <c r="BN26" i="4"/>
  <c r="DB33" i="4"/>
  <c r="DB25" i="4"/>
  <c r="DB34" i="4"/>
  <c r="N26" i="4"/>
  <c r="F6" i="1"/>
  <c r="AP33" i="4"/>
  <c r="CM34" i="4"/>
  <c r="CM25" i="4"/>
  <c r="CM33" i="4"/>
  <c r="W34" i="4"/>
  <c r="W25" i="4"/>
  <c r="W33" i="4"/>
  <c r="AQ33" i="4"/>
  <c r="AQ25" i="4"/>
  <c r="AQ34" i="4"/>
  <c r="BX34" i="4"/>
  <c r="BY33" i="4"/>
  <c r="BY34" i="4"/>
  <c r="BY25" i="4"/>
  <c r="CJ34" i="4"/>
  <c r="BZ33" i="4"/>
  <c r="BZ34" i="4"/>
  <c r="BZ25" i="4"/>
  <c r="BV33" i="4"/>
  <c r="BV34" i="4"/>
  <c r="BV25" i="4"/>
  <c r="Z33" i="4"/>
  <c r="Z34" i="4"/>
  <c r="Z25" i="4"/>
  <c r="AS33" i="4"/>
  <c r="AS34" i="4"/>
  <c r="AS25" i="4"/>
  <c r="H25" i="4"/>
  <c r="H33" i="4"/>
  <c r="H34" i="4"/>
  <c r="AA25" i="4"/>
  <c r="AA34" i="4"/>
  <c r="AA33" i="4"/>
  <c r="BH25" i="4"/>
  <c r="BH33" i="4"/>
  <c r="AB34" i="4"/>
  <c r="AB25" i="4"/>
  <c r="AB33" i="4"/>
  <c r="BL34" i="4"/>
  <c r="CQ34" i="4"/>
  <c r="I33" i="4"/>
  <c r="K3" i="1"/>
  <c r="P3" i="1" s="1"/>
  <c r="I34" i="4"/>
  <c r="C34" i="4" s="1"/>
  <c r="AC34" i="4"/>
  <c r="AC25" i="4"/>
  <c r="AC33" i="4"/>
  <c r="AU33" i="4"/>
  <c r="AU34" i="4"/>
  <c r="AU25" i="4"/>
  <c r="AT33" i="4"/>
  <c r="AT34" i="4"/>
  <c r="AT25" i="4"/>
  <c r="AD34" i="4"/>
  <c r="AD25" i="4"/>
  <c r="AD33" i="4"/>
  <c r="CC33" i="4"/>
  <c r="CC34" i="4"/>
  <c r="CC25" i="4"/>
  <c r="AJ34" i="4"/>
  <c r="AJ25" i="4"/>
  <c r="AJ33" i="4"/>
  <c r="DC33" i="4"/>
  <c r="DC34" i="4"/>
  <c r="DC27" i="4"/>
  <c r="L3" i="1"/>
  <c r="G34" i="4"/>
  <c r="AE34" i="4"/>
  <c r="AE25" i="4"/>
  <c r="AE33" i="4"/>
  <c r="AW33" i="4"/>
  <c r="AW34" i="4"/>
  <c r="AW25" i="4"/>
  <c r="CS33" i="4"/>
  <c r="CX34" i="4"/>
  <c r="C44" i="4"/>
  <c r="B44" i="4"/>
  <c r="M25" i="4"/>
  <c r="CI33" i="4"/>
  <c r="J34" i="4"/>
  <c r="AP34" i="4"/>
  <c r="BU34" i="4"/>
  <c r="C48" i="4"/>
  <c r="B48" i="4"/>
  <c r="Y33" i="4"/>
  <c r="CJ33" i="4"/>
  <c r="I27" i="4"/>
  <c r="C27" i="4" s="1"/>
  <c r="D6" i="1"/>
  <c r="E4" i="2"/>
  <c r="O25" i="4"/>
  <c r="DE25" i="4"/>
  <c r="L34" i="4"/>
  <c r="AR34" i="4"/>
  <c r="BC28" i="4"/>
  <c r="CA25" i="4"/>
  <c r="CL33" i="4"/>
  <c r="CW26" i="4"/>
  <c r="AK27" i="4"/>
  <c r="AJ29" i="4"/>
  <c r="E3" i="4"/>
  <c r="CB25" i="4"/>
  <c r="O34" i="4"/>
  <c r="U26" i="4"/>
  <c r="AE28" i="4"/>
  <c r="CU26" i="4"/>
  <c r="BU26" i="4"/>
  <c r="C46" i="4"/>
  <c r="F11" i="2" s="1"/>
  <c r="G11" i="2" s="1"/>
  <c r="B46" i="4"/>
  <c r="AY25" i="4"/>
  <c r="BJ33" i="4"/>
  <c r="CP33" i="4"/>
  <c r="B37" i="4"/>
  <c r="I3" i="3" s="1"/>
  <c r="AW26" i="4"/>
  <c r="S29" i="4"/>
  <c r="J4" i="1"/>
  <c r="J3" i="3"/>
  <c r="AF33" i="4"/>
  <c r="CQ33" i="4"/>
  <c r="CB34" i="4"/>
  <c r="C37" i="4"/>
  <c r="F3" i="2" s="1"/>
  <c r="G3" i="2" s="1"/>
  <c r="BM27" i="4"/>
  <c r="D6" i="4"/>
  <c r="V25" i="4"/>
  <c r="E6" i="4"/>
  <c r="BN33" i="4"/>
  <c r="AY34" i="4"/>
  <c r="BY26" i="4"/>
  <c r="CI25" i="4"/>
  <c r="CO33" i="4"/>
  <c r="C45" i="4"/>
  <c r="V34" i="4"/>
  <c r="F33" i="4"/>
  <c r="CV33" i="4"/>
  <c r="BM33" i="4"/>
  <c r="BS33" i="4"/>
  <c r="Y34" i="4"/>
  <c r="DF33" i="4"/>
  <c r="DF34" i="4"/>
  <c r="N28" i="4"/>
  <c r="B27" i="4"/>
  <c r="B29" i="4"/>
  <c r="CR25" i="4"/>
  <c r="C38" i="4"/>
  <c r="F4" i="2" s="1"/>
  <c r="G4" i="2" s="1"/>
  <c r="E3" i="1"/>
  <c r="CO25" i="4"/>
  <c r="CD33" i="4"/>
  <c r="CD34" i="4"/>
  <c r="B40" i="4"/>
  <c r="AF26" i="4"/>
  <c r="BP25" i="4"/>
  <c r="CS34" i="4"/>
  <c r="BL25" i="4"/>
  <c r="CQ25" i="4"/>
  <c r="AR33" i="4"/>
  <c r="CO34" i="4"/>
  <c r="CE25" i="4"/>
  <c r="BH26" i="4"/>
  <c r="BM25" i="4"/>
  <c r="BQ34" i="4"/>
  <c r="C47" i="4"/>
  <c r="B47" i="4"/>
  <c r="H29" i="4"/>
  <c r="AI25" i="4"/>
  <c r="BC25" i="4"/>
  <c r="L25" i="4"/>
  <c r="AO34" i="4"/>
  <c r="F25" i="4"/>
  <c r="CJ26" i="4"/>
  <c r="B41" i="4"/>
  <c r="CN29" i="4"/>
  <c r="M34" i="4"/>
  <c r="C42" i="4"/>
  <c r="B42" i="4"/>
  <c r="CV34" i="4"/>
  <c r="CH34" i="4"/>
  <c r="C50" i="4"/>
  <c r="F13" i="2" s="1"/>
  <c r="G13" i="2" s="1"/>
  <c r="B49" i="4"/>
  <c r="I6" i="3" s="1"/>
  <c r="C62" i="4"/>
  <c r="B62" i="4"/>
  <c r="B52" i="4"/>
  <c r="I9" i="3" s="1"/>
  <c r="B58" i="4"/>
  <c r="I12" i="3" s="1"/>
  <c r="B55" i="4"/>
  <c r="I16" i="3" s="1"/>
  <c r="C66" i="4"/>
  <c r="F26" i="2" s="1"/>
  <c r="G26" i="2" s="1"/>
  <c r="B66" i="4"/>
  <c r="I14" i="3" s="1"/>
  <c r="C70" i="4"/>
  <c r="B70" i="4"/>
  <c r="B43" i="4"/>
  <c r="B50" i="4"/>
  <c r="I8" i="3" s="1"/>
  <c r="C64" i="4"/>
  <c r="F25" i="2" s="1"/>
  <c r="G25" i="2" s="1"/>
  <c r="B64" i="4"/>
  <c r="I13" i="3" s="1"/>
  <c r="C72" i="4"/>
  <c r="B72" i="4"/>
  <c r="B56" i="4"/>
  <c r="C106" i="4"/>
  <c r="F45" i="2" s="1"/>
  <c r="G45" i="2" s="1"/>
  <c r="B106" i="4"/>
  <c r="I38" i="3" s="1"/>
  <c r="C109" i="4"/>
  <c r="F35" i="2" s="1"/>
  <c r="G35" i="2" s="1"/>
  <c r="B109" i="4"/>
  <c r="I42" i="3" s="1"/>
  <c r="C77" i="4"/>
  <c r="F7" i="2" s="1"/>
  <c r="G7" i="2" s="1"/>
  <c r="B77" i="4"/>
  <c r="I19" i="3" s="1"/>
  <c r="C87" i="4"/>
  <c r="B87" i="4"/>
  <c r="C80" i="4"/>
  <c r="C85" i="4"/>
  <c r="B85" i="4"/>
  <c r="I24" i="3" s="1"/>
  <c r="B57" i="4"/>
  <c r="B71" i="4"/>
  <c r="C78" i="4"/>
  <c r="F8" i="2" s="1"/>
  <c r="G8" i="2" s="1"/>
  <c r="B78" i="4"/>
  <c r="I20" i="3" s="1"/>
  <c r="C75" i="4"/>
  <c r="F5" i="2" s="1"/>
  <c r="G5" i="2" s="1"/>
  <c r="B75" i="4"/>
  <c r="I18" i="3" s="1"/>
  <c r="C86" i="4"/>
  <c r="B86" i="4"/>
  <c r="B83" i="4"/>
  <c r="B59" i="4"/>
  <c r="C74" i="4"/>
  <c r="B74" i="4"/>
  <c r="C81" i="4"/>
  <c r="B81" i="4"/>
  <c r="I22" i="3" s="1"/>
  <c r="C89" i="4"/>
  <c r="B89" i="4"/>
  <c r="I17" i="3" s="1"/>
  <c r="C79" i="4"/>
  <c r="B79" i="4"/>
  <c r="C82" i="4"/>
  <c r="B82" i="4"/>
  <c r="I23" i="3" s="1"/>
  <c r="C90" i="4"/>
  <c r="F20" i="2" s="1"/>
  <c r="G20" i="2" s="1"/>
  <c r="B90" i="4"/>
  <c r="I25" i="3" s="1"/>
  <c r="C91" i="4"/>
  <c r="F21" i="2" s="1"/>
  <c r="G21" i="2" s="1"/>
  <c r="B91" i="4"/>
  <c r="I26" i="3" s="1"/>
  <c r="B80" i="4"/>
  <c r="I21" i="3" s="1"/>
  <c r="C97" i="4"/>
  <c r="F47" i="2" s="1"/>
  <c r="G47" i="2" s="1"/>
  <c r="B97" i="4"/>
  <c r="I31" i="3" s="1"/>
  <c r="B92" i="4"/>
  <c r="I27" i="3" s="1"/>
  <c r="C107" i="4"/>
  <c r="F46" i="2" s="1"/>
  <c r="G46" i="2" s="1"/>
  <c r="B107" i="4"/>
  <c r="I39" i="3" s="1"/>
  <c r="C93" i="4"/>
  <c r="F31" i="2" s="1"/>
  <c r="G31" i="2" s="1"/>
  <c r="B93" i="4"/>
  <c r="I28" i="3" s="1"/>
  <c r="C94" i="4"/>
  <c r="F32" i="2" s="1"/>
  <c r="G32" i="2" s="1"/>
  <c r="B94" i="4"/>
  <c r="I30" i="3" s="1"/>
  <c r="C100" i="4"/>
  <c r="B100" i="4"/>
  <c r="I34" i="3" s="1"/>
  <c r="B84" i="4"/>
  <c r="C108" i="4"/>
  <c r="F34" i="2" s="1"/>
  <c r="G34" i="2" s="1"/>
  <c r="B108" i="4"/>
  <c r="I41" i="3" s="1"/>
  <c r="C101" i="4"/>
  <c r="F36" i="2" s="1"/>
  <c r="G36" i="2" s="1"/>
  <c r="B101" i="4"/>
  <c r="C98" i="4"/>
  <c r="F48" i="2" s="1"/>
  <c r="G48" i="2" s="1"/>
  <c r="B98" i="4"/>
  <c r="I32" i="3" s="1"/>
  <c r="C95" i="4"/>
  <c r="F33" i="2" s="1"/>
  <c r="G33" i="2" s="1"/>
  <c r="B95" i="4"/>
  <c r="I29" i="3" s="1"/>
  <c r="C110" i="4"/>
  <c r="C99" i="4"/>
  <c r="F49" i="2" s="1"/>
  <c r="G49" i="2" s="1"/>
  <c r="B99" i="4"/>
  <c r="I33" i="3" s="1"/>
  <c r="C128" i="4"/>
  <c r="B128" i="4"/>
  <c r="C120" i="4"/>
  <c r="B120" i="4"/>
  <c r="C129" i="4"/>
  <c r="C126" i="4"/>
  <c r="B126" i="4"/>
  <c r="C113" i="4"/>
  <c r="F30" i="2" s="1"/>
  <c r="G30" i="2" s="1"/>
  <c r="B113" i="4"/>
  <c r="I44" i="3" s="1"/>
  <c r="B96" i="4"/>
  <c r="C122" i="4"/>
  <c r="B122" i="4"/>
  <c r="C127" i="4"/>
  <c r="B103" i="4"/>
  <c r="B111" i="4"/>
  <c r="I36" i="3" s="1"/>
  <c r="C114" i="4"/>
  <c r="F22" i="2" s="1"/>
  <c r="G22" i="2" s="1"/>
  <c r="B114" i="4"/>
  <c r="C123" i="4"/>
  <c r="B123" i="4"/>
  <c r="B118" i="4"/>
  <c r="I43" i="3" s="1"/>
  <c r="C124" i="4"/>
  <c r="B124" i="4"/>
  <c r="B134" i="4"/>
  <c r="C150" i="4"/>
  <c r="F55" i="2" s="1"/>
  <c r="G55" i="2" s="1"/>
  <c r="B150" i="4"/>
  <c r="I47" i="3" s="1"/>
  <c r="B130" i="4"/>
  <c r="C146" i="4"/>
  <c r="F53" i="2" s="1"/>
  <c r="G53" i="2" s="1"/>
  <c r="B139" i="4"/>
  <c r="C149" i="4"/>
  <c r="F52" i="2" s="1"/>
  <c r="G52" i="2" s="1"/>
  <c r="B149" i="4"/>
  <c r="C136" i="4"/>
  <c r="F60" i="2" s="1"/>
  <c r="G60" i="2" s="1"/>
  <c r="B136" i="4"/>
  <c r="C141" i="4"/>
  <c r="B141" i="4"/>
  <c r="B115" i="4"/>
  <c r="C143" i="4"/>
  <c r="B143" i="4"/>
  <c r="B117" i="4"/>
  <c r="B129" i="4"/>
  <c r="C145" i="4"/>
  <c r="F51" i="2" s="1"/>
  <c r="G51" i="2" s="1"/>
  <c r="B145" i="4"/>
  <c r="B131" i="4"/>
  <c r="C132" i="4"/>
  <c r="B132" i="4"/>
  <c r="C133" i="4"/>
  <c r="C135" i="4"/>
  <c r="B135" i="4"/>
  <c r="C137" i="4"/>
  <c r="B137" i="4"/>
  <c r="C147" i="4"/>
  <c r="F54" i="2" s="1"/>
  <c r="G54" i="2" s="1"/>
  <c r="C205" i="4"/>
  <c r="B205" i="4"/>
  <c r="C207" i="4"/>
  <c r="B207" i="4"/>
  <c r="C184" i="4"/>
  <c r="B184" i="4"/>
  <c r="C153" i="4"/>
  <c r="F58" i="2" s="1"/>
  <c r="G58" i="2" s="1"/>
  <c r="C157" i="4"/>
  <c r="B157" i="4"/>
  <c r="C151" i="4"/>
  <c r="F56" i="2" s="1"/>
  <c r="G56" i="2" s="1"/>
  <c r="C161" i="4"/>
  <c r="B161" i="4"/>
  <c r="B146" i="4"/>
  <c r="C154" i="4"/>
  <c r="F59" i="2" s="1"/>
  <c r="G59" i="2" s="1"/>
  <c r="B148" i="4"/>
  <c r="I46" i="3" s="1"/>
  <c r="C165" i="4"/>
  <c r="F39" i="2" s="1"/>
  <c r="G39" i="2" s="1"/>
  <c r="B165" i="4"/>
  <c r="I50" i="3" s="1"/>
  <c r="C159" i="4"/>
  <c r="B159" i="4"/>
  <c r="C155" i="4"/>
  <c r="B155" i="4"/>
  <c r="C163" i="4"/>
  <c r="B163" i="4"/>
  <c r="B142" i="4"/>
  <c r="B147" i="4"/>
  <c r="B162" i="4"/>
  <c r="C168" i="4"/>
  <c r="F42" i="2" s="1"/>
  <c r="G42" i="2" s="1"/>
  <c r="C179" i="4"/>
  <c r="B179" i="4"/>
  <c r="C178" i="4"/>
  <c r="B178" i="4"/>
  <c r="C169" i="4"/>
  <c r="C177" i="4"/>
  <c r="B177" i="4"/>
  <c r="C170" i="4"/>
  <c r="B170" i="4"/>
  <c r="C183" i="4"/>
  <c r="B183" i="4"/>
  <c r="C176" i="4"/>
  <c r="B176" i="4"/>
  <c r="C175" i="4"/>
  <c r="B175" i="4"/>
  <c r="C167" i="4"/>
  <c r="F41" i="2" s="1"/>
  <c r="G41" i="2" s="1"/>
  <c r="C180" i="4"/>
  <c r="B180" i="4"/>
  <c r="C173" i="4"/>
  <c r="B173" i="4"/>
  <c r="C187" i="4"/>
  <c r="B187" i="4"/>
  <c r="B202" i="4"/>
  <c r="C202" i="4"/>
  <c r="C192" i="4"/>
  <c r="B192" i="4"/>
  <c r="C182" i="4"/>
  <c r="C200" i="4"/>
  <c r="B186" i="4"/>
  <c r="C199" i="4"/>
  <c r="B199" i="4"/>
  <c r="C188" i="4"/>
  <c r="C191" i="4"/>
  <c r="C190" i="4"/>
  <c r="B190" i="4"/>
  <c r="C196" i="4"/>
  <c r="C198" i="4"/>
  <c r="C213" i="4"/>
  <c r="B213" i="4"/>
  <c r="C228" i="4"/>
  <c r="B228" i="4"/>
  <c r="B203" i="4"/>
  <c r="C214" i="4"/>
  <c r="B214" i="4"/>
  <c r="B197" i="4"/>
  <c r="C201" i="4"/>
  <c r="C210" i="4"/>
  <c r="B210" i="4"/>
  <c r="C212" i="4"/>
  <c r="B212" i="4"/>
  <c r="C218" i="4"/>
  <c r="B218" i="4"/>
  <c r="C237" i="4"/>
  <c r="B237" i="4"/>
  <c r="C222" i="4"/>
  <c r="B222" i="4"/>
  <c r="B245" i="4"/>
  <c r="C216" i="4"/>
  <c r="C235" i="4"/>
  <c r="B235" i="4"/>
  <c r="B217" i="4"/>
  <c r="C220" i="4"/>
  <c r="B220" i="4"/>
  <c r="C232" i="4"/>
  <c r="B232" i="4"/>
  <c r="C225" i="4"/>
  <c r="B225" i="4"/>
  <c r="B241" i="4"/>
  <c r="C241" i="4"/>
  <c r="B234" i="4"/>
  <c r="C234" i="4"/>
  <c r="C209" i="4"/>
  <c r="C224" i="4"/>
  <c r="B224" i="4"/>
  <c r="C227" i="4"/>
  <c r="B227" i="4"/>
  <c r="C229" i="4"/>
  <c r="B229" i="4"/>
  <c r="C236" i="4"/>
  <c r="B215" i="4"/>
  <c r="B219" i="4"/>
  <c r="B231" i="4"/>
  <c r="C239" i="4"/>
  <c r="B239" i="4"/>
  <c r="B238" i="4"/>
  <c r="B233" i="4"/>
  <c r="C33" i="4" l="1"/>
  <c r="B33" i="4"/>
  <c r="C25" i="4"/>
  <c r="B25" i="4"/>
</calcChain>
</file>

<file path=xl/sharedStrings.xml><?xml version="1.0" encoding="utf-8"?>
<sst xmlns="http://schemas.openxmlformats.org/spreadsheetml/2006/main" count="670" uniqueCount="268">
  <si>
    <t>一级行业</t>
  </si>
  <si>
    <t>二级行业</t>
  </si>
  <si>
    <t>三级行业</t>
  </si>
  <si>
    <t>景气指数</t>
  </si>
  <si>
    <t>3M变化</t>
  </si>
  <si>
    <t>石油石化</t>
  </si>
  <si>
    <t>油气开采/油服工程</t>
  </si>
  <si>
    <t>铜</t>
  </si>
  <si>
    <t>煤炭</t>
  </si>
  <si>
    <t>炼化及贸易</t>
  </si>
  <si>
    <t>铝</t>
  </si>
  <si>
    <t>有色金属</t>
  </si>
  <si>
    <t>动力煤</t>
  </si>
  <si>
    <t>铅锌</t>
  </si>
  <si>
    <t>基础化工</t>
  </si>
  <si>
    <t xml:space="preserve">焦煤 </t>
  </si>
  <si>
    <t>黄金</t>
  </si>
  <si>
    <t>钢铁</t>
  </si>
  <si>
    <t>无烟煤</t>
  </si>
  <si>
    <t>白银</t>
  </si>
  <si>
    <t>建筑材料</t>
  </si>
  <si>
    <t>工业金属</t>
  </si>
  <si>
    <t>稀土</t>
  </si>
  <si>
    <t>机械设备</t>
  </si>
  <si>
    <t>贵金属</t>
  </si>
  <si>
    <t>钨</t>
  </si>
  <si>
    <t>电力设备</t>
  </si>
  <si>
    <t>小金属</t>
  </si>
  <si>
    <t>钼</t>
  </si>
  <si>
    <t>国防军工</t>
  </si>
  <si>
    <t>能源金属</t>
  </si>
  <si>
    <t>其它小金属</t>
  </si>
  <si>
    <t>农林牧渔</t>
  </si>
  <si>
    <t>金属新材料</t>
  </si>
  <si>
    <t>锂</t>
  </si>
  <si>
    <t>食品饮料</t>
  </si>
  <si>
    <t>化学原料</t>
  </si>
  <si>
    <t>钴</t>
  </si>
  <si>
    <t>医药生物</t>
  </si>
  <si>
    <t>化学制品</t>
  </si>
  <si>
    <t>镍</t>
  </si>
  <si>
    <t>纺织服饰</t>
  </si>
  <si>
    <t>化学纤维</t>
  </si>
  <si>
    <t>磁性材料</t>
  </si>
  <si>
    <t>汽车</t>
  </si>
  <si>
    <t>塑料</t>
  </si>
  <si>
    <t>纯碱</t>
  </si>
  <si>
    <t>家用电器</t>
  </si>
  <si>
    <t>橡胶</t>
  </si>
  <si>
    <t>氯碱</t>
  </si>
  <si>
    <t>轻工制造</t>
  </si>
  <si>
    <t>农化制品</t>
  </si>
  <si>
    <t>其他化学原料</t>
  </si>
  <si>
    <t>商贸零售</t>
  </si>
  <si>
    <t>非金属材料</t>
  </si>
  <si>
    <t>煤化工</t>
  </si>
  <si>
    <t>社会服务</t>
  </si>
  <si>
    <t>新能源材料</t>
  </si>
  <si>
    <t>钛白粉</t>
  </si>
  <si>
    <t>美容护理</t>
  </si>
  <si>
    <t>冶钢原料</t>
  </si>
  <si>
    <t>涂料油墨</t>
  </si>
  <si>
    <t>电子</t>
  </si>
  <si>
    <t>普钢</t>
  </si>
  <si>
    <t>民爆制品</t>
  </si>
  <si>
    <t>计算机</t>
  </si>
  <si>
    <t>水泥</t>
  </si>
  <si>
    <t>其他化学制品</t>
  </si>
  <si>
    <t>传媒</t>
  </si>
  <si>
    <t>玻璃玻纤</t>
  </si>
  <si>
    <t>氟化工</t>
  </si>
  <si>
    <t>通信</t>
  </si>
  <si>
    <t>装修建材</t>
  </si>
  <si>
    <t>聚氨酯</t>
  </si>
  <si>
    <t>港股互联网</t>
  </si>
  <si>
    <t>通用设备</t>
  </si>
  <si>
    <t>食品及饲料添加剂</t>
  </si>
  <si>
    <t>银行</t>
  </si>
  <si>
    <t>工程机械</t>
  </si>
  <si>
    <t>有机硅</t>
  </si>
  <si>
    <t>非银金融</t>
  </si>
  <si>
    <t>自动化设备</t>
  </si>
  <si>
    <t>涤纶</t>
  </si>
  <si>
    <t>房地产</t>
  </si>
  <si>
    <t>光伏设备</t>
  </si>
  <si>
    <t>粘胶</t>
  </si>
  <si>
    <t>公用事业</t>
  </si>
  <si>
    <t>风电设备</t>
  </si>
  <si>
    <t>氨纶</t>
  </si>
  <si>
    <t>交通运输</t>
  </si>
  <si>
    <t>电池</t>
  </si>
  <si>
    <t>其他化学纤维</t>
  </si>
  <si>
    <t>电网设备</t>
  </si>
  <si>
    <t>其他塑料制品</t>
  </si>
  <si>
    <t>航海装备</t>
  </si>
  <si>
    <t>改性塑料</t>
  </si>
  <si>
    <t>航空装备</t>
  </si>
  <si>
    <t>合成树脂</t>
  </si>
  <si>
    <t>军工电子</t>
  </si>
  <si>
    <t>膜材料</t>
  </si>
  <si>
    <t>半导体</t>
  </si>
  <si>
    <t>其他橡胶制品</t>
  </si>
  <si>
    <t>元件</t>
  </si>
  <si>
    <t>炭黑</t>
  </si>
  <si>
    <t>光学光电子</t>
  </si>
  <si>
    <t>氮肥</t>
  </si>
  <si>
    <t>消费电子</t>
  </si>
  <si>
    <t>磷肥及磷化工</t>
  </si>
  <si>
    <t>通信服务</t>
  </si>
  <si>
    <t>农药</t>
  </si>
  <si>
    <t>通信设备</t>
  </si>
  <si>
    <t>钾肥</t>
  </si>
  <si>
    <t>计算机设备</t>
  </si>
  <si>
    <t>复合肥</t>
  </si>
  <si>
    <t>软件开发</t>
  </si>
  <si>
    <t>机床工具</t>
  </si>
  <si>
    <t>IT服务</t>
  </si>
  <si>
    <t>机器人</t>
  </si>
  <si>
    <t>游戏</t>
  </si>
  <si>
    <t>半导体设备</t>
  </si>
  <si>
    <t>影视院线</t>
  </si>
  <si>
    <t>半导体材料</t>
  </si>
  <si>
    <t>出版</t>
  </si>
  <si>
    <t>芯片设计</t>
  </si>
  <si>
    <t>广告营销</t>
  </si>
  <si>
    <t>数字芯片设计</t>
  </si>
  <si>
    <t>数字媒体</t>
  </si>
  <si>
    <t>集成电路制造</t>
  </si>
  <si>
    <t>互联网电商</t>
  </si>
  <si>
    <t>集成电路封测</t>
  </si>
  <si>
    <t>模拟芯片设计</t>
  </si>
  <si>
    <t>分立器件</t>
  </si>
  <si>
    <t>乘用车</t>
  </si>
  <si>
    <t>印制电路板</t>
  </si>
  <si>
    <t>汽车零部件</t>
  </si>
  <si>
    <t>被动元件</t>
  </si>
  <si>
    <t>摩托车及其他</t>
  </si>
  <si>
    <t>面板</t>
  </si>
  <si>
    <t>商用车</t>
  </si>
  <si>
    <t>LED</t>
  </si>
  <si>
    <t>白色家电</t>
  </si>
  <si>
    <t>光学元件</t>
  </si>
  <si>
    <t>黑色家电</t>
  </si>
  <si>
    <t>消费电子零组件</t>
  </si>
  <si>
    <t>小家电</t>
  </si>
  <si>
    <t>品牌消费电子</t>
  </si>
  <si>
    <t>厨卫电器</t>
  </si>
  <si>
    <t>原料药</t>
  </si>
  <si>
    <t>一般零售</t>
  </si>
  <si>
    <t>化学制剂</t>
  </si>
  <si>
    <t>旅游零售</t>
  </si>
  <si>
    <t>医院</t>
  </si>
  <si>
    <t>酒店餐饮</t>
  </si>
  <si>
    <t>医疗研发外包</t>
  </si>
  <si>
    <t>旅游及景区</t>
  </si>
  <si>
    <t>快递</t>
  </si>
  <si>
    <t>纺织制造</t>
  </si>
  <si>
    <t>铁路运输</t>
  </si>
  <si>
    <t>服装家纺</t>
  </si>
  <si>
    <t>高速公路</t>
  </si>
  <si>
    <t>饰品</t>
  </si>
  <si>
    <t>航运</t>
  </si>
  <si>
    <t>家居用品</t>
  </si>
  <si>
    <t>火力发电</t>
  </si>
  <si>
    <t>文娱用品</t>
  </si>
  <si>
    <t>水力发电</t>
  </si>
  <si>
    <t>造纸</t>
  </si>
  <si>
    <t>风力发电</t>
  </si>
  <si>
    <t>化妆品</t>
  </si>
  <si>
    <t>光伏发电</t>
  </si>
  <si>
    <t>个护用品</t>
  </si>
  <si>
    <t>医疗美容</t>
  </si>
  <si>
    <t>养殖业</t>
  </si>
  <si>
    <t>动物保健</t>
  </si>
  <si>
    <t>饲料</t>
  </si>
  <si>
    <t>农产品加工</t>
  </si>
  <si>
    <t>白酒</t>
  </si>
  <si>
    <t>非白酒</t>
  </si>
  <si>
    <t>饮料乳品</t>
  </si>
  <si>
    <t>休闲食品</t>
  </si>
  <si>
    <t>调味发酵品</t>
  </si>
  <si>
    <t>化学制药</t>
  </si>
  <si>
    <t>医药商业</t>
  </si>
  <si>
    <t>医疗器械</t>
  </si>
  <si>
    <t>医疗服务</t>
  </si>
  <si>
    <t>中药</t>
  </si>
  <si>
    <t>国有大型银行</t>
  </si>
  <si>
    <t>股份制银行</t>
  </si>
  <si>
    <t>城商行</t>
  </si>
  <si>
    <t>农商行</t>
  </si>
  <si>
    <t>证券</t>
  </si>
  <si>
    <t>保险</t>
  </si>
  <si>
    <t>房地产开发</t>
  </si>
  <si>
    <t>房地产服务</t>
  </si>
  <si>
    <t>电力</t>
  </si>
  <si>
    <t>燃气</t>
  </si>
  <si>
    <t>物流</t>
  </si>
  <si>
    <t>铁路公路</t>
  </si>
  <si>
    <t>航空机场</t>
  </si>
  <si>
    <t>航运港口</t>
  </si>
  <si>
    <t>简称</t>
  </si>
  <si>
    <t>一级/二级行业</t>
  </si>
  <si>
    <t>当前景气度</t>
  </si>
  <si>
    <t>3M变化（处理后）</t>
  </si>
  <si>
    <t>石化</t>
  </si>
  <si>
    <t>基化</t>
  </si>
  <si>
    <t>农业</t>
  </si>
  <si>
    <t>纺服</t>
  </si>
  <si>
    <t>家电</t>
  </si>
  <si>
    <t>商贸</t>
  </si>
  <si>
    <t>社服</t>
  </si>
  <si>
    <t>医美</t>
  </si>
  <si>
    <t>消费建材</t>
  </si>
  <si>
    <t>玻璃</t>
  </si>
  <si>
    <t>院线</t>
  </si>
  <si>
    <t>地产</t>
  </si>
  <si>
    <t>环保</t>
  </si>
  <si>
    <t>建筑</t>
  </si>
  <si>
    <t>电商</t>
  </si>
  <si>
    <t>自动化</t>
  </si>
  <si>
    <t>光电</t>
  </si>
  <si>
    <t>消电</t>
  </si>
  <si>
    <t>光伏</t>
  </si>
  <si>
    <t>风电</t>
  </si>
  <si>
    <t>啤酒</t>
  </si>
  <si>
    <t>调味品</t>
  </si>
  <si>
    <t>食品</t>
  </si>
  <si>
    <t>化药</t>
  </si>
  <si>
    <t>家居</t>
  </si>
  <si>
    <t>估值分位数</t>
  </si>
  <si>
    <t>配置系数</t>
  </si>
  <si>
    <t>配置系数分位数</t>
  </si>
  <si>
    <t>2023.11.1至今涨跌幅</t>
  </si>
  <si>
    <t>景气度变化</t>
  </si>
  <si>
    <t>军工</t>
  </si>
  <si>
    <t>轻工</t>
  </si>
  <si>
    <t>公用</t>
  </si>
  <si>
    <t>化纤</t>
  </si>
  <si>
    <t>农化</t>
  </si>
  <si>
    <t>通用</t>
  </si>
  <si>
    <t>电网</t>
  </si>
  <si>
    <t>软件</t>
  </si>
  <si>
    <t>港股电商</t>
  </si>
  <si>
    <t>港股游戏</t>
  </si>
  <si>
    <t>食品加工</t>
  </si>
  <si>
    <t>大类板块</t>
  </si>
  <si>
    <t>23年11月至今</t>
  </si>
  <si>
    <t>3M chg</t>
  </si>
  <si>
    <t>上游资源</t>
  </si>
  <si>
    <t>中游材料</t>
  </si>
  <si>
    <t>中游制造</t>
  </si>
  <si>
    <t>必选消费</t>
  </si>
  <si>
    <t>可选消费</t>
  </si>
  <si>
    <t>TMT</t>
  </si>
  <si>
    <t>大金融</t>
  </si>
  <si>
    <t>公共产业</t>
  </si>
  <si>
    <t>全行业</t>
  </si>
  <si>
    <t>全部非金融行业</t>
  </si>
  <si>
    <t>标准差</t>
  </si>
  <si>
    <t>权重</t>
  </si>
  <si>
    <t>Pct-chg</t>
  </si>
  <si>
    <t>轨交设备</t>
  </si>
  <si>
    <t>基础建设</t>
  </si>
  <si>
    <t>房屋建设</t>
  </si>
  <si>
    <t>光伏辅材</t>
  </si>
  <si>
    <t>光伏电池组件</t>
  </si>
  <si>
    <t>逆变器</t>
  </si>
  <si>
    <t>安防设备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</si>
</sst>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"/>
    <numFmt numFmtId="177" formatCode="0.0%"/>
    <numFmt numFmtId="178" formatCode=";;;"/>
    <numFmt numFmtId="179" formatCode="0.0"/>
    <numFmt numFmtId="180" formatCode="0.0_ "/>
    <numFmt numFmtId="181" formatCode="[$-409]mmm\-yy;@"/>
    <numFmt numFmtId="182" formatCode="0.0_);[Red]\(0.0\)"/>
  </numFmts>
  <fonts count="1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楷体"/>
      <family val="3"/>
      <charset val="134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i/>
      <sz val="10"/>
      <color theme="0" tint="-0.249977111117893"/>
      <name val="等线"/>
      <family val="3"/>
      <charset val="134"/>
      <scheme val="minor"/>
    </font>
    <font>
      <i/>
      <sz val="11"/>
      <color theme="0" tint="-0.249977111117893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 tint="0.499984740745262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7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EB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Border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Border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2" borderId="0" xfId="2" applyFont="1" applyFill="1" applyAlignment="1">
      <alignment horizontal="center" vertical="center"/>
    </xf>
    <xf numFmtId="176" fontId="6" fillId="3" borderId="0" xfId="2" applyNumberFormat="1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9" fontId="7" fillId="0" borderId="0" xfId="1" applyFont="1" applyAlignment="1">
      <alignment horizontal="center" vertical="center"/>
    </xf>
    <xf numFmtId="177" fontId="8" fillId="0" borderId="0" xfId="2" applyNumberFormat="1" applyFont="1" applyAlignment="1">
      <alignment horizontal="center" vertical="center"/>
    </xf>
    <xf numFmtId="178" fontId="9" fillId="0" borderId="0" xfId="2" applyNumberFormat="1" applyFont="1" applyAlignment="1">
      <alignment horizontal="center" vertical="center"/>
    </xf>
    <xf numFmtId="9" fontId="1" fillId="0" borderId="0" xfId="0" applyNumberFormat="1" applyFont="1">
      <alignment vertical="center"/>
    </xf>
    <xf numFmtId="177" fontId="8" fillId="0" borderId="0" xfId="2" applyNumberFormat="1" applyFont="1" applyAlignment="1">
      <alignment horizontal="left" vertical="center"/>
    </xf>
    <xf numFmtId="178" fontId="9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4" borderId="0" xfId="2" applyFont="1" applyFill="1" applyAlignment="1">
      <alignment horizontal="center" vertical="center"/>
    </xf>
    <xf numFmtId="176" fontId="6" fillId="4" borderId="0" xfId="2" applyNumberFormat="1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0" xfId="3" applyFont="1" applyFill="1">
      <alignment vertical="center"/>
    </xf>
    <xf numFmtId="0" fontId="7" fillId="0" borderId="0" xfId="3" applyFont="1">
      <alignment vertical="center"/>
    </xf>
    <xf numFmtId="0" fontId="5" fillId="2" borderId="1" xfId="3" applyFont="1" applyFill="1" applyBorder="1">
      <alignment vertical="center"/>
    </xf>
    <xf numFmtId="0" fontId="5" fillId="2" borderId="1" xfId="3" applyFont="1" applyFill="1" applyBorder="1" applyAlignment="1">
      <alignment horizontal="right" vertical="center"/>
    </xf>
    <xf numFmtId="0" fontId="6" fillId="0" borderId="0" xfId="3" applyFont="1">
      <alignment vertical="center"/>
    </xf>
    <xf numFmtId="0" fontId="7" fillId="5" borderId="0" xfId="3" applyFont="1" applyFill="1">
      <alignment vertical="center"/>
    </xf>
    <xf numFmtId="0" fontId="6" fillId="6" borderId="1" xfId="3" applyFont="1" applyFill="1" applyBorder="1">
      <alignment vertical="center"/>
    </xf>
    <xf numFmtId="0" fontId="6" fillId="0" borderId="1" xfId="3" applyFont="1" applyBorder="1">
      <alignment vertical="center"/>
    </xf>
    <xf numFmtId="177" fontId="10" fillId="0" borderId="1" xfId="4" applyNumberFormat="1" applyFont="1" applyBorder="1" applyAlignment="1">
      <alignment horizontal="right" vertical="center"/>
    </xf>
    <xf numFmtId="179" fontId="10" fillId="0" borderId="1" xfId="3" applyNumberFormat="1" applyFont="1" applyBorder="1" applyAlignment="1">
      <alignment horizontal="right" vertical="center"/>
    </xf>
    <xf numFmtId="0" fontId="7" fillId="0" borderId="0" xfId="3" applyFont="1" applyAlignment="1">
      <alignment horizontal="right" vertical="center"/>
    </xf>
    <xf numFmtId="0" fontId="5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7" fillId="0" borderId="0" xfId="0" applyFont="1">
      <alignment vertical="center"/>
    </xf>
    <xf numFmtId="0" fontId="6" fillId="6" borderId="1" xfId="0" applyFont="1" applyFill="1" applyBorder="1">
      <alignment vertical="center"/>
    </xf>
    <xf numFmtId="180" fontId="10" fillId="0" borderId="2" xfId="0" applyNumberFormat="1" applyFont="1" applyBorder="1" applyAlignment="1">
      <alignment horizontal="right" vertical="center"/>
    </xf>
    <xf numFmtId="180" fontId="10" fillId="0" borderId="1" xfId="0" applyNumberFormat="1" applyFont="1" applyBorder="1" applyAlignment="1">
      <alignment horizontal="right" vertical="center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18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81" fontId="5" fillId="2" borderId="0" xfId="0" applyNumberFormat="1" applyFont="1" applyFill="1" applyAlignment="1">
      <alignment horizontal="center" vertical="center"/>
    </xf>
    <xf numFmtId="0" fontId="11" fillId="2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center" vertical="center"/>
    </xf>
    <xf numFmtId="177" fontId="7" fillId="0" borderId="0" xfId="1" applyNumberFormat="1" applyFont="1" applyFill="1" applyAlignment="1">
      <alignment horizontal="center" vertical="center"/>
    </xf>
    <xf numFmtId="182" fontId="7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12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</cellXfs>
  <cellStyles count="5">
    <cellStyle name="百分比" xfId="1" builtinId="5"/>
    <cellStyle name="百分比 2" xfId="4" xr:uid="{84D173D5-3E89-4DC7-9521-27F407C234C1}"/>
    <cellStyle name="常规" xfId="0" builtinId="0"/>
    <cellStyle name="常规 2" xfId="2" xr:uid="{F025D599-F378-467A-8374-BEBD495E875F}"/>
    <cellStyle name="常规 3" xfId="3" xr:uid="{1B6AB4BC-5C64-4361-9680-703D859AC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05426983443899"/>
          <c:y val="4.10888934935765E-2"/>
          <c:w val="0.82501364085472895"/>
          <c:h val="0.87035080812266896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D46A121-8DF9-40EF-AC1E-16B15A5846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B9B-4A3A-9014-CD0C19D8EBF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C37C0A-00FB-4F00-9257-D70892E792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B9B-4A3A-9014-CD0C19D8EBF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30D727-1C3E-4C91-A8CF-922F45058E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B9B-4A3A-9014-CD0C19D8EBF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D228ED-5ED5-4AD2-8EE3-599D426481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B9B-4A3A-9014-CD0C19D8EBF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02D192-7445-464B-AF44-A828028E11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B9B-4A3A-9014-CD0C19D8EBF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45195B7-5100-4489-B264-FF52459DA3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B9B-4A3A-9014-CD0C19D8EBF5}"/>
                </c:ext>
              </c:extLst>
            </c:dLbl>
            <c:dLbl>
              <c:idx val="6"/>
              <c:layout>
                <c:manualLayout>
                  <c:x val="-2.8061224489796043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DC0C6B7F-B3C1-4AB7-9026-C96B0324C0C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B9B-4A3A-9014-CD0C19D8EBF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EC4B64D-7175-4DE8-B7E5-92C8CBA029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B9B-4A3A-9014-CD0C19D8EBF5}"/>
                </c:ext>
              </c:extLst>
            </c:dLbl>
            <c:dLbl>
              <c:idx val="8"/>
              <c:layout>
                <c:manualLayout>
                  <c:x val="-1.9557823129251702E-2"/>
                  <c:y val="2.6827632461435278E-3"/>
                </c:manualLayout>
              </c:layout>
              <c:tx>
                <c:rich>
                  <a:bodyPr/>
                  <a:lstStyle/>
                  <a:p>
                    <a:fld id="{59181132-F3FD-4F1D-BF71-71DE7892367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B9B-4A3A-9014-CD0C19D8EBF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16AA61-2578-4D14-8F84-0188ECD340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B9B-4A3A-9014-CD0C19D8EBF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20A931-F979-4F7F-9F3B-0BCBEC5F07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B9B-4A3A-9014-CD0C19D8EBF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B33FA0-6128-4426-8F87-83617E62F6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B9B-4A3A-9014-CD0C19D8EBF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A66B9F-A5C5-450F-8653-DBCD8262D8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B9B-4A3A-9014-CD0C19D8EBF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6EB413F-3AA7-42B5-B2F8-7F3AF263D6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B9B-4A3A-9014-CD0C19D8EBF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2E903D8-2028-4DE3-98F4-5C33EAAFD1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B9B-4A3A-9014-CD0C19D8EBF5}"/>
                </c:ext>
              </c:extLst>
            </c:dLbl>
            <c:dLbl>
              <c:idx val="15"/>
              <c:layout>
                <c:manualLayout>
                  <c:x val="-3.486394557823129E-2"/>
                  <c:y val="8.0482897384305842E-3"/>
                </c:manualLayout>
              </c:layout>
              <c:tx>
                <c:rich>
                  <a:bodyPr/>
                  <a:lstStyle/>
                  <a:p>
                    <a:fld id="{32C21670-012D-4963-BB27-4C1BA37FD63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B9B-4A3A-9014-CD0C19D8EBF5}"/>
                </c:ext>
              </c:extLst>
            </c:dLbl>
            <c:dLbl>
              <c:idx val="16"/>
              <c:layout>
                <c:manualLayout>
                  <c:x val="-4.506802721088448E-2"/>
                  <c:y val="1.3413816230717541E-2"/>
                </c:manualLayout>
              </c:layout>
              <c:tx>
                <c:rich>
                  <a:bodyPr/>
                  <a:lstStyle/>
                  <a:p>
                    <a:fld id="{26E487E3-CB45-44DA-857B-5188A6EB619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B9B-4A3A-9014-CD0C19D8EBF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E607E1A-5684-4B2A-B3F7-590B55810C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B9B-4A3A-9014-CD0C19D8EBF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CD3DC87-8772-4A07-925C-0DBEE95AEC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B9B-4A3A-9014-CD0C19D8EBF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3E9E667-0830-4CB4-97B2-CB0CADC1AC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B9B-4A3A-9014-CD0C19D8EBF5}"/>
                </c:ext>
              </c:extLst>
            </c:dLbl>
            <c:dLbl>
              <c:idx val="20"/>
              <c:layout>
                <c:manualLayout>
                  <c:x val="-2.1258503401360606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43CA9CAC-D10D-4222-96DE-3A4CDE6733F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B9B-4A3A-9014-CD0C19D8EBF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C0B99A9-FFCE-4EC0-B142-B469C5F540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B9B-4A3A-9014-CD0C19D8EBF5}"/>
                </c:ext>
              </c:extLst>
            </c:dLbl>
            <c:dLbl>
              <c:idx val="22"/>
              <c:layout>
                <c:manualLayout>
                  <c:x val="-5.6972789115646322E-2"/>
                  <c:y val="-8.0482897384306328E-3"/>
                </c:manualLayout>
              </c:layout>
              <c:tx>
                <c:rich>
                  <a:bodyPr/>
                  <a:lstStyle/>
                  <a:p>
                    <a:fld id="{22EE2069-E287-4916-AC14-F0C19A00DA5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8B9B-4A3A-9014-CD0C19D8EBF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C81E3B8-887C-4772-A68C-175C1B4F8D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B9B-4A3A-9014-CD0C19D8EBF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F1AC927-4584-484F-B3ED-DDB31DFD04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B9B-4A3A-9014-CD0C19D8EBF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4E7640E-259B-40A7-8422-E180615464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B9B-4A3A-9014-CD0C19D8EBF5}"/>
                </c:ext>
              </c:extLst>
            </c:dLbl>
            <c:dLbl>
              <c:idx val="26"/>
              <c:layout>
                <c:manualLayout>
                  <c:x val="-2.1258503401360544E-2"/>
                  <c:y val="-1.0731052984574063E-2"/>
                </c:manualLayout>
              </c:layout>
              <c:tx>
                <c:rich>
                  <a:bodyPr/>
                  <a:lstStyle/>
                  <a:p>
                    <a:fld id="{2001D4D9-14F0-4BB2-9396-1A67388D52A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B9B-4A3A-9014-CD0C19D8EBF5}"/>
                </c:ext>
              </c:extLst>
            </c:dLbl>
            <c:dLbl>
              <c:idx val="27"/>
              <c:layout>
                <c:manualLayout>
                  <c:x val="-7.6530612244899206E-3"/>
                  <c:y val="0"/>
                </c:manualLayout>
              </c:layout>
              <c:tx>
                <c:rich>
                  <a:bodyPr/>
                  <a:lstStyle/>
                  <a:p>
                    <a:fld id="{106C7AAA-D8A9-4028-A645-C2B09A0C76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8B9B-4A3A-9014-CD0C19D8EBF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14B44AD-366E-4A55-87D9-85E5B53E82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B9B-4A3A-9014-CD0C19D8EBF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0C4ECF1-7F3A-4AF2-9933-899CF821E9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B9B-4A3A-9014-CD0C19D8EBF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E658173-43B6-4F2C-B2FA-03A50921F5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B9B-4A3A-9014-CD0C19D8EBF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2C82F3F-EE4F-42FC-9B72-26FF67A25A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B9B-4A3A-9014-CD0C19D8EBF5}"/>
                </c:ext>
              </c:extLst>
            </c:dLbl>
            <c:dLbl>
              <c:idx val="32"/>
              <c:layout>
                <c:manualLayout>
                  <c:x val="-3.3163265306122576E-2"/>
                  <c:y val="5.3655264922870555E-3"/>
                </c:manualLayout>
              </c:layout>
              <c:tx>
                <c:rich>
                  <a:bodyPr/>
                  <a:lstStyle/>
                  <a:p>
                    <a:fld id="{E5A1B477-8A27-4381-9FCD-C47D398F92A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8B9B-4A3A-9014-CD0C19D8EBF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69942C9-8A88-4584-B877-FC3510DF7E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B9B-4A3A-9014-CD0C19D8EBF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505BD47-F5E2-4DF8-88D6-0391FD07B2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B9B-4A3A-9014-CD0C19D8EBF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F7875B3-A7E7-4826-ACC7-01AB27AF9C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B9B-4A3A-9014-CD0C19D8EBF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EAC31B8-B419-46F2-AD53-2B2164EA85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B9B-4A3A-9014-CD0C19D8EBF5}"/>
                </c:ext>
              </c:extLst>
            </c:dLbl>
            <c:dLbl>
              <c:idx val="37"/>
              <c:layout>
                <c:manualLayout>
                  <c:x val="-4.1666666666666727E-2"/>
                  <c:y val="8.0482897384305842E-3"/>
                </c:manualLayout>
              </c:layout>
              <c:tx>
                <c:rich>
                  <a:bodyPr/>
                  <a:lstStyle/>
                  <a:p>
                    <a:fld id="{9ED23E40-BCFF-4466-8ECE-36ABCCA76C2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8B9B-4A3A-9014-CD0C19D8EBF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574B013-542C-4F79-BD5F-F4B3BB2C5A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B9B-4A3A-9014-CD0C19D8EBF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4C8D605-864C-46C9-A7E9-4ED171B3A1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B9B-4A3A-9014-CD0C19D8EBF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EDAD4C5-8C10-460C-8E02-ADB38E63B5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B9B-4A3A-9014-CD0C19D8EBF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7984E2B-F4B1-4181-B961-4A2FD1E0B2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B9B-4A3A-9014-CD0C19D8EBF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8FFE686-D337-4E48-9B1B-1BCB8EEB24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B9B-4A3A-9014-CD0C19D8EBF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2BC6330-B41B-4B8D-9323-C884596A8B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B9B-4A3A-9014-CD0C19D8EBF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C881F622-70AD-42ED-A989-A45429E438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B9B-4A3A-9014-CD0C19D8EBF5}"/>
                </c:ext>
              </c:extLst>
            </c:dLbl>
            <c:dLbl>
              <c:idx val="45"/>
              <c:layout>
                <c:manualLayout>
                  <c:x val="-4.3367346938775385E-2"/>
                  <c:y val="1.0519395134779702E-2"/>
                </c:manualLayout>
              </c:layout>
              <c:tx>
                <c:rich>
                  <a:bodyPr/>
                  <a:lstStyle/>
                  <a:p>
                    <a:fld id="{10CBD95F-95E6-409F-A5B7-39FAA16514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8B9B-4A3A-9014-CD0C19D8EBF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DFD08AE9-FAB8-4760-B7B9-CB43D70E6E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B9B-4A3A-9014-CD0C19D8EBF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CCBBA43-EC9C-48F9-96D9-16DF626E77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B9B-4A3A-9014-CD0C19D8EBF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E584BF7-1AE0-4C9B-8876-7D95B57311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B9B-4A3A-9014-CD0C19D8EBF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24534C3-6D3A-4F27-ACE5-CCCE774CEF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B9B-4A3A-9014-CD0C19D8EBF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D763635-9446-45FD-88DE-E6EF969093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B9B-4A3A-9014-CD0C19D8EBF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73643B9-DE6D-43E5-ABC8-AE0556C3BC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B9B-4A3A-9014-CD0C19D8EBF5}"/>
                </c:ext>
              </c:extLst>
            </c:dLbl>
            <c:dLbl>
              <c:idx val="52"/>
              <c:layout>
                <c:manualLayout>
                  <c:x val="-2.8061224489795856E-2"/>
                  <c:y val="-2.6827632461435279E-2"/>
                </c:manualLayout>
              </c:layout>
              <c:tx>
                <c:rich>
                  <a:bodyPr/>
                  <a:lstStyle/>
                  <a:p>
                    <a:fld id="{B99F3B01-D371-4541-B4B3-0582195605E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B9B-4A3A-9014-CD0C19D8EBF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AA23AF38-2A72-44FF-993D-3EDCBE6655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B9B-4A3A-9014-CD0C19D8EBF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F66B7066-C0B7-4729-8F7A-EEAEE25147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B9B-4A3A-9014-CD0C19D8EBF5}"/>
                </c:ext>
              </c:extLst>
            </c:dLbl>
            <c:dLbl>
              <c:idx val="55"/>
              <c:layout>
                <c:manualLayout>
                  <c:x val="-7.2278911564625847E-2"/>
                  <c:y val="2.6827632461435179E-2"/>
                </c:manualLayout>
              </c:layout>
              <c:tx>
                <c:rich>
                  <a:bodyPr/>
                  <a:lstStyle/>
                  <a:p>
                    <a:fld id="{42817F9A-F898-44D3-A770-2A39DB18E27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8B9B-4A3A-9014-CD0C19D8EBF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E20F7461-AE59-4B12-A695-A11173B486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B9B-4A3A-9014-CD0C19D8EBF5}"/>
                </c:ext>
              </c:extLst>
            </c:dLbl>
            <c:dLbl>
              <c:idx val="57"/>
              <c:layout>
                <c:manualLayout>
                  <c:x val="-2.1258503401360544E-2"/>
                  <c:y val="-2.414486921529185E-2"/>
                </c:manualLayout>
              </c:layout>
              <c:tx>
                <c:rich>
                  <a:bodyPr/>
                  <a:lstStyle/>
                  <a:p>
                    <a:fld id="{4F28C9E1-31EA-476E-B105-08146DBD9CF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8B9B-4A3A-9014-CD0C19D8EBF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8DEC0D3-666E-43AD-8C84-77FF894D0B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B9B-4A3A-9014-CD0C19D8EBF5}"/>
                </c:ext>
              </c:extLst>
            </c:dLbl>
            <c:spPr>
              <a:solidFill>
                <a:srgbClr val="00B0F0">
                  <a:alpha val="30000"/>
                </a:srgbClr>
              </a:solidFill>
              <a:ln>
                <a:solidFill>
                  <a:srgbClr val="003778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rgbClr val="003778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景气时钟!$G$3:$G$61</c:f>
              <c:numCache>
                <c:formatCode>0.0</c:formatCode>
                <c:ptCount val="59"/>
                <c:pt idx="0">
                  <c:v>-3.454999999999997</c:v>
                </c:pt>
                <c:pt idx="1">
                  <c:v>-8.9833333333333538</c:v>
                </c:pt>
                <c:pt idx="2">
                  <c:v>-19.851740230036054</c:v>
                </c:pt>
                <c:pt idx="3">
                  <c:v>11.099999999999998</c:v>
                </c:pt>
                <c:pt idx="4">
                  <c:v>-9.0999999999999979</c:v>
                </c:pt>
                <c:pt idx="5">
                  <c:v>0.50000000000000322</c:v>
                </c:pt>
                <c:pt idx="6">
                  <c:v>-11.694210732128335</c:v>
                </c:pt>
                <c:pt idx="7">
                  <c:v>-13.929227112858067</c:v>
                </c:pt>
                <c:pt idx="8">
                  <c:v>0.3196148845337865</c:v>
                </c:pt>
                <c:pt idx="9">
                  <c:v>-8.4468473755374252</c:v>
                </c:pt>
                <c:pt idx="10">
                  <c:v>-5.2900000000000063</c:v>
                </c:pt>
                <c:pt idx="11">
                  <c:v>-6.7492967406480142</c:v>
                </c:pt>
                <c:pt idx="12">
                  <c:v>-6.2987259114943956</c:v>
                </c:pt>
                <c:pt idx="13">
                  <c:v>-0.17329626811327659</c:v>
                </c:pt>
                <c:pt idx="14">
                  <c:v>-5.0032781801294366</c:v>
                </c:pt>
                <c:pt idx="15">
                  <c:v>-6.0551197093980322</c:v>
                </c:pt>
                <c:pt idx="16">
                  <c:v>-11.854877386805839</c:v>
                </c:pt>
                <c:pt idx="17">
                  <c:v>1.4000000000000123</c:v>
                </c:pt>
                <c:pt idx="18">
                  <c:v>-5.75</c:v>
                </c:pt>
                <c:pt idx="19">
                  <c:v>-1.899999999999999</c:v>
                </c:pt>
                <c:pt idx="20">
                  <c:v>0</c:v>
                </c:pt>
                <c:pt idx="21">
                  <c:v>17.670502691680262</c:v>
                </c:pt>
                <c:pt idx="22">
                  <c:v>-0.39632181096658226</c:v>
                </c:pt>
                <c:pt idx="23">
                  <c:v>-8.6499999999999986</c:v>
                </c:pt>
                <c:pt idx="24">
                  <c:v>-3.4025000000000025</c:v>
                </c:pt>
                <c:pt idx="25">
                  <c:v>17.52500000000002</c:v>
                </c:pt>
                <c:pt idx="26">
                  <c:v>-0.93337400029070983</c:v>
                </c:pt>
                <c:pt idx="27">
                  <c:v>8.6249999999999929</c:v>
                </c:pt>
                <c:pt idx="28">
                  <c:v>11.289907221710028</c:v>
                </c:pt>
                <c:pt idx="29">
                  <c:v>4.7499999999999929</c:v>
                </c:pt>
                <c:pt idx="30">
                  <c:v>0.38333333333334108</c:v>
                </c:pt>
                <c:pt idx="31">
                  <c:v>2.1500000000000026</c:v>
                </c:pt>
                <c:pt idx="32">
                  <c:v>-0.99285714285713977</c:v>
                </c:pt>
                <c:pt idx="33">
                  <c:v>-8.6500000000000021</c:v>
                </c:pt>
                <c:pt idx="34">
                  <c:v>13</c:v>
                </c:pt>
                <c:pt idx="35">
                  <c:v>-6.7000000000000064</c:v>
                </c:pt>
                <c:pt idx="36">
                  <c:v>0.62500000000000056</c:v>
                </c:pt>
                <c:pt idx="37">
                  <c:v>-1.2250000000000094</c:v>
                </c:pt>
                <c:pt idx="38">
                  <c:v>-2.8000000000000025</c:v>
                </c:pt>
                <c:pt idx="39">
                  <c:v>-0.72499999999999787</c:v>
                </c:pt>
                <c:pt idx="40">
                  <c:v>-3.3571428571428585</c:v>
                </c:pt>
                <c:pt idx="41">
                  <c:v>5.7499999999999885</c:v>
                </c:pt>
                <c:pt idx="42">
                  <c:v>-7.5400000000000134</c:v>
                </c:pt>
                <c:pt idx="43">
                  <c:v>6.4272727272727153</c:v>
                </c:pt>
                <c:pt idx="44">
                  <c:v>-5.5400000000000009</c:v>
                </c:pt>
                <c:pt idx="45">
                  <c:v>9.8749999999999893</c:v>
                </c:pt>
                <c:pt idx="46">
                  <c:v>3.9333333333333274</c:v>
                </c:pt>
                <c:pt idx="47">
                  <c:v>-10.820454545454549</c:v>
                </c:pt>
                <c:pt idx="48">
                  <c:v>-7.8885350318471357</c:v>
                </c:pt>
                <c:pt idx="49">
                  <c:v>12.166666666666693</c:v>
                </c:pt>
                <c:pt idx="50">
                  <c:v>-2.0089388815360651</c:v>
                </c:pt>
                <c:pt idx="51">
                  <c:v>0</c:v>
                </c:pt>
                <c:pt idx="52">
                  <c:v>1.0666666666666602</c:v>
                </c:pt>
                <c:pt idx="53">
                  <c:v>-2.9</c:v>
                </c:pt>
                <c:pt idx="54">
                  <c:v>-3.1599999999999961</c:v>
                </c:pt>
                <c:pt idx="55">
                  <c:v>2.6499999999999955</c:v>
                </c:pt>
                <c:pt idx="56">
                  <c:v>-24.099999999999998</c:v>
                </c:pt>
                <c:pt idx="57">
                  <c:v>18.300000000000004</c:v>
                </c:pt>
                <c:pt idx="58">
                  <c:v>0.35000000000000586</c:v>
                </c:pt>
              </c:numCache>
            </c:numRef>
          </c:xVal>
          <c:yVal>
            <c:numRef>
              <c:f>景气时钟!$E$3:$E$61</c:f>
              <c:numCache>
                <c:formatCode>0.0%</c:formatCode>
                <c:ptCount val="59"/>
                <c:pt idx="0">
                  <c:v>0.57969999999999999</c:v>
                </c:pt>
                <c:pt idx="1">
                  <c:v>0.52933333333333377</c:v>
                </c:pt>
                <c:pt idx="2">
                  <c:v>0.57066809653157446</c:v>
                </c:pt>
                <c:pt idx="3">
                  <c:v>0.9325</c:v>
                </c:pt>
                <c:pt idx="4">
                  <c:v>0.50700000000000001</c:v>
                </c:pt>
                <c:pt idx="5">
                  <c:v>0.24266666666666667</c:v>
                </c:pt>
                <c:pt idx="6">
                  <c:v>0.27327123568178846</c:v>
                </c:pt>
                <c:pt idx="7">
                  <c:v>0.16136377081782605</c:v>
                </c:pt>
                <c:pt idx="8">
                  <c:v>0.26707845633322025</c:v>
                </c:pt>
                <c:pt idx="9">
                  <c:v>0.34787850864032277</c:v>
                </c:pt>
                <c:pt idx="10">
                  <c:v>0.31699999999999995</c:v>
                </c:pt>
                <c:pt idx="11">
                  <c:v>0.60690291584724421</c:v>
                </c:pt>
                <c:pt idx="12">
                  <c:v>0.3014723454025916</c:v>
                </c:pt>
                <c:pt idx="13">
                  <c:v>0.60000833967451339</c:v>
                </c:pt>
                <c:pt idx="14">
                  <c:v>0.12618481125109635</c:v>
                </c:pt>
                <c:pt idx="15">
                  <c:v>0.34670442251789213</c:v>
                </c:pt>
                <c:pt idx="16">
                  <c:v>0.218801032161549</c:v>
                </c:pt>
                <c:pt idx="17">
                  <c:v>0.47900000000000009</c:v>
                </c:pt>
                <c:pt idx="18">
                  <c:v>0.45650000000000002</c:v>
                </c:pt>
                <c:pt idx="19">
                  <c:v>6.7000000000000004E-2</c:v>
                </c:pt>
                <c:pt idx="20">
                  <c:v>0.47096018869272938</c:v>
                </c:pt>
                <c:pt idx="21">
                  <c:v>0.32588924716626255</c:v>
                </c:pt>
                <c:pt idx="22">
                  <c:v>0.56116694042633319</c:v>
                </c:pt>
                <c:pt idx="23">
                  <c:v>0.14899999999999999</c:v>
                </c:pt>
                <c:pt idx="24">
                  <c:v>0.155725</c:v>
                </c:pt>
                <c:pt idx="25">
                  <c:v>0.66050000000000009</c:v>
                </c:pt>
                <c:pt idx="26">
                  <c:v>0.54224366118000222</c:v>
                </c:pt>
                <c:pt idx="27">
                  <c:v>0.5414374999999999</c:v>
                </c:pt>
                <c:pt idx="28">
                  <c:v>0.85818020729814104</c:v>
                </c:pt>
                <c:pt idx="29">
                  <c:v>0.42512500000000003</c:v>
                </c:pt>
                <c:pt idx="30">
                  <c:v>0.41166666666666679</c:v>
                </c:pt>
                <c:pt idx="31">
                  <c:v>4.2750000000000024E-2</c:v>
                </c:pt>
                <c:pt idx="32">
                  <c:v>0.38728571428571451</c:v>
                </c:pt>
                <c:pt idx="33">
                  <c:v>0.67749999999999999</c:v>
                </c:pt>
                <c:pt idx="34">
                  <c:v>0.2545</c:v>
                </c:pt>
                <c:pt idx="35">
                  <c:v>0.58599999999999997</c:v>
                </c:pt>
                <c:pt idx="36">
                  <c:v>0.20775000000000002</c:v>
                </c:pt>
                <c:pt idx="37">
                  <c:v>0.5402499999999999</c:v>
                </c:pt>
                <c:pt idx="38">
                  <c:v>0.75</c:v>
                </c:pt>
                <c:pt idx="39">
                  <c:v>0.82874999999999999</c:v>
                </c:pt>
                <c:pt idx="40">
                  <c:v>0.5774999999999999</c:v>
                </c:pt>
                <c:pt idx="41">
                  <c:v>0.64849999999999997</c:v>
                </c:pt>
                <c:pt idx="42">
                  <c:v>0.54069999999999974</c:v>
                </c:pt>
                <c:pt idx="43">
                  <c:v>0.78509090909090917</c:v>
                </c:pt>
                <c:pt idx="44">
                  <c:v>0.21893333333333337</c:v>
                </c:pt>
                <c:pt idx="45">
                  <c:v>0.54299999999999993</c:v>
                </c:pt>
                <c:pt idx="46">
                  <c:v>0.30541666666666661</c:v>
                </c:pt>
                <c:pt idx="47">
                  <c:v>4.2522727272727281E-2</c:v>
                </c:pt>
                <c:pt idx="48">
                  <c:v>0.23875796178343942</c:v>
                </c:pt>
                <c:pt idx="49">
                  <c:v>0.55983333333333374</c:v>
                </c:pt>
                <c:pt idx="50">
                  <c:v>0.33385423095592903</c:v>
                </c:pt>
                <c:pt idx="51">
                  <c:v>7.0999999999999994E-2</c:v>
                </c:pt>
                <c:pt idx="52">
                  <c:v>0.40125000000000005</c:v>
                </c:pt>
                <c:pt idx="53">
                  <c:v>6.7000000000000004E-2</c:v>
                </c:pt>
                <c:pt idx="54">
                  <c:v>0.25960000000000022</c:v>
                </c:pt>
                <c:pt idx="55">
                  <c:v>0.11437499999999996</c:v>
                </c:pt>
                <c:pt idx="56">
                  <c:v>0.182</c:v>
                </c:pt>
                <c:pt idx="57">
                  <c:v>0.49500000000000005</c:v>
                </c:pt>
                <c:pt idx="58">
                  <c:v>0.35600000000000004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景气时钟!$C$3:$C$61</c15:f>
                <c15:dlblRangeCache>
                  <c:ptCount val="59"/>
                  <c:pt idx="0">
                    <c:v>石化</c:v>
                  </c:pt>
                  <c:pt idx="1">
                    <c:v>煤炭</c:v>
                  </c:pt>
                  <c:pt idx="2">
                    <c:v>工业金属</c:v>
                  </c:pt>
                  <c:pt idx="3">
                    <c:v>贵金属</c:v>
                  </c:pt>
                  <c:pt idx="4">
                    <c:v>小金属</c:v>
                  </c:pt>
                  <c:pt idx="5">
                    <c:v>能源金属</c:v>
                  </c:pt>
                  <c:pt idx="6">
                    <c:v>基化</c:v>
                  </c:pt>
                  <c:pt idx="7">
                    <c:v>钢铁</c:v>
                  </c:pt>
                  <c:pt idx="8">
                    <c:v>农业</c:v>
                  </c:pt>
                  <c:pt idx="9">
                    <c:v>纺服</c:v>
                  </c:pt>
                  <c:pt idx="10">
                    <c:v>汽车</c:v>
                  </c:pt>
                  <c:pt idx="11">
                    <c:v>家电</c:v>
                  </c:pt>
                  <c:pt idx="12">
                    <c:v>商贸</c:v>
                  </c:pt>
                  <c:pt idx="13">
                    <c:v>社服</c:v>
                  </c:pt>
                  <c:pt idx="14">
                    <c:v>医美</c:v>
                  </c:pt>
                  <c:pt idx="15">
                    <c:v>计算机</c:v>
                  </c:pt>
                  <c:pt idx="16">
                    <c:v>消费建材</c:v>
                  </c:pt>
                  <c:pt idx="17">
                    <c:v>水泥</c:v>
                  </c:pt>
                  <c:pt idx="18">
                    <c:v>玻璃</c:v>
                  </c:pt>
                  <c:pt idx="19">
                    <c:v>院线</c:v>
                  </c:pt>
                  <c:pt idx="20">
                    <c:v>银行</c:v>
                  </c:pt>
                  <c:pt idx="21">
                    <c:v>地产</c:v>
                  </c:pt>
                  <c:pt idx="22">
                    <c:v>公用事业</c:v>
                  </c:pt>
                  <c:pt idx="23">
                    <c:v>环保</c:v>
                  </c:pt>
                  <c:pt idx="24">
                    <c:v>建筑</c:v>
                  </c:pt>
                  <c:pt idx="25">
                    <c:v>保险</c:v>
                  </c:pt>
                  <c:pt idx="26">
                    <c:v>电商</c:v>
                  </c:pt>
                  <c:pt idx="27">
                    <c:v>游戏</c:v>
                  </c:pt>
                  <c:pt idx="28">
                    <c:v>通用设备</c:v>
                  </c:pt>
                  <c:pt idx="29">
                    <c:v>工程机械</c:v>
                  </c:pt>
                  <c:pt idx="30">
                    <c:v>自动化</c:v>
                  </c:pt>
                  <c:pt idx="31">
                    <c:v>通信服务</c:v>
                  </c:pt>
                  <c:pt idx="32">
                    <c:v>通信设备</c:v>
                  </c:pt>
                  <c:pt idx="33">
                    <c:v>航海装备</c:v>
                  </c:pt>
                  <c:pt idx="34">
                    <c:v>航空装备</c:v>
                  </c:pt>
                  <c:pt idx="35">
                    <c:v>军工电子</c:v>
                  </c:pt>
                  <c:pt idx="36">
                    <c:v>物流</c:v>
                  </c:pt>
                  <c:pt idx="37">
                    <c:v>铁路公路</c:v>
                  </c:pt>
                  <c:pt idx="38">
                    <c:v>航空机场</c:v>
                  </c:pt>
                  <c:pt idx="39">
                    <c:v>航运港口</c:v>
                  </c:pt>
                  <c:pt idx="40">
                    <c:v>半导体</c:v>
                  </c:pt>
                  <c:pt idx="41">
                    <c:v>元件</c:v>
                  </c:pt>
                  <c:pt idx="42">
                    <c:v>光电</c:v>
                  </c:pt>
                  <c:pt idx="43">
                    <c:v>消电</c:v>
                  </c:pt>
                  <c:pt idx="44">
                    <c:v>光伏</c:v>
                  </c:pt>
                  <c:pt idx="45">
                    <c:v>风电</c:v>
                  </c:pt>
                  <c:pt idx="46">
                    <c:v>电池</c:v>
                  </c:pt>
                  <c:pt idx="47">
                    <c:v>白酒</c:v>
                  </c:pt>
                  <c:pt idx="48">
                    <c:v>啤酒</c:v>
                  </c:pt>
                  <c:pt idx="49">
                    <c:v>调味品</c:v>
                  </c:pt>
                  <c:pt idx="50">
                    <c:v>饮料乳品</c:v>
                  </c:pt>
                  <c:pt idx="51">
                    <c:v>食品</c:v>
                  </c:pt>
                  <c:pt idx="52">
                    <c:v>化药</c:v>
                  </c:pt>
                  <c:pt idx="53">
                    <c:v>医药商业</c:v>
                  </c:pt>
                  <c:pt idx="54">
                    <c:v>医疗器械</c:v>
                  </c:pt>
                  <c:pt idx="55">
                    <c:v>医疗服务</c:v>
                  </c:pt>
                  <c:pt idx="56">
                    <c:v>中药</c:v>
                  </c:pt>
                  <c:pt idx="57">
                    <c:v>造纸</c:v>
                  </c:pt>
                  <c:pt idx="58">
                    <c:v>家居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B-8B9B-4A3A-9014-CD0C19D8EB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405725312"/>
        <c:axId val="-405730752"/>
      </c:scatterChart>
      <c:valAx>
        <c:axId val="-405725312"/>
        <c:scaling>
          <c:orientation val="minMax"/>
          <c:max val="30"/>
          <c:min val="-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700" b="1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en-US" altLang="zh-CN"/>
                  <a:t>3M</a:t>
                </a:r>
                <a:r>
                  <a:rPr lang="zh-CN" altLang="en-US"/>
                  <a:t>景气指数环比变化（</a:t>
                </a:r>
                <a:r>
                  <a:rPr lang="en-US" altLang="zh-CN"/>
                  <a:t>pct</a:t>
                </a:r>
                <a:r>
                  <a:rPr lang="zh-CN" altLang="en-US"/>
                  <a:t>）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46040468155766201"/>
              <c:y val="0.9652523012088279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low"/>
        <c:spPr>
          <a:ln w="317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-405730752"/>
        <c:crossesAt val="0.5"/>
        <c:crossBetween val="midCat"/>
        <c:majorUnit val="5"/>
      </c:valAx>
      <c:valAx>
        <c:axId val="-405730752"/>
        <c:scaling>
          <c:orientation val="minMax"/>
          <c:max val="1"/>
        </c:scaling>
        <c:delete val="0"/>
        <c:axPos val="l"/>
        <c:title>
          <c:tx>
            <c:rich>
              <a:bodyPr rot="0" spcFirstLastPara="0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行业景气指数（</a:t>
                </a:r>
                <a:r>
                  <a:rPr lang="en-US" altLang="zh-CN"/>
                  <a:t>2024</a:t>
                </a:r>
                <a:r>
                  <a:rPr lang="zh-CN" altLang="en-US"/>
                  <a:t>年</a:t>
                </a:r>
                <a:r>
                  <a:rPr lang="en-US" altLang="zh-CN"/>
                  <a:t>8</a:t>
                </a:r>
                <a:r>
                  <a:rPr lang="zh-CN" altLang="en-US"/>
                  <a:t>月）</a:t>
                </a:r>
              </a:p>
            </c:rich>
          </c:tx>
          <c:layout>
            <c:manualLayout>
              <c:xMode val="edge"/>
              <c:yMode val="edge"/>
              <c:x val="3.62338636241898E-3"/>
              <c:y val="0.3243315375051800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-405725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5191703978202E-2"/>
          <c:y val="5.1761124740254801E-2"/>
          <c:w val="0.91282659067899596"/>
          <c:h val="0.8544418359028810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2E4036-0E47-44F2-A7C0-2B4ADD83FA1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3D-4CBE-9CB2-41EA02D89B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B5B0C7-FC73-4C6F-90C8-6651B111E0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3D-4CBE-9CB2-41EA02D89B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502AFF-0F93-4DF9-924D-2BC2A0B6D8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3D-4CBE-9CB2-41EA02D89B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01A89D-A358-4A3D-A4C9-07B437A933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3D-4CBE-9CB2-41EA02D89B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3688DC-FEBA-448B-8AA3-EDDBAB400D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3D-4CBE-9CB2-41EA02D89B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7E7B1FE-CDCF-4F33-B083-CE2ABE0CB7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3D-4CBE-9CB2-41EA02D89B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9891E1-82CE-4E59-8E22-4BE90176D5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3D-4CBE-9CB2-41EA02D89B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27F6A6-BDD6-4B50-BC89-33919138FC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3D-4CBE-9CB2-41EA02D89B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8F6F640-BC49-471E-BEC0-D8898A48C3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3D-4CBE-9CB2-41EA02D89B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1FB062C-D2D7-4168-ACD7-7A694F1BB6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3D-4CBE-9CB2-41EA02D89B7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04AD17-157F-4E09-8A0C-FB46AB24B9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3D-4CBE-9CB2-41EA02D89B7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A5D7F7F-B8E4-4F68-A9FA-41BF10D9BB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3D-4CBE-9CB2-41EA02D89B7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912E31-ED37-42DC-B638-936F7038EA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3D-4CBE-9CB2-41EA02D89B7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896E236-9F02-439C-B0E6-0FA2BA60CD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3D-4CBE-9CB2-41EA02D89B7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DEAF6C-6F54-45FF-B609-2E8ED4BFDF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3D-4CBE-9CB2-41EA02D89B7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183F2A1-15C7-44CE-BA62-F0C1493184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3D-4CBE-9CB2-41EA02D89B7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DB3AE62-168B-45BB-9F6E-7009F0BE43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3D-4CBE-9CB2-41EA02D89B7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FD622A2-0354-464E-B880-2E91EFB7B1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3D-4CBE-9CB2-41EA02D89B7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63D21BA-EF46-408C-A814-12A02AD4A2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3D-4CBE-9CB2-41EA02D89B7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6867342-CE13-4D41-9BEA-94617FA8D4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3D-4CBE-9CB2-41EA02D89B7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A4C6C2A-0071-4D4C-91BC-ACE6AC2F6B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3D-4CBE-9CB2-41EA02D89B7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91C3B2D-C6EC-448A-B9C2-644A9FD7E7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3D-4CBE-9CB2-41EA02D89B7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0E92FA5-36B8-4EB6-9B74-3D6A9D6D2F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3D-4CBE-9CB2-41EA02D89B7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ABD7954-C98F-439B-A0E5-5BEDDE4189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3D-4CBE-9CB2-41EA02D89B7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F9E7A75-E8DB-4025-86DD-D24205F499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3D-4CBE-9CB2-41EA02D89B7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159EAB6-BE01-4C02-8DB7-E9004FD350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3D-4CBE-9CB2-41EA02D89B7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90BA758-44DC-48BF-B18E-D8D4554F10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3D-4CBE-9CB2-41EA02D89B7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6AE7F0F-F9D8-4712-8575-5F546F37B9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33D-4CBE-9CB2-41EA02D89B7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9512E65-EE79-4524-9EDC-413413D04C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33D-4CBE-9CB2-41EA02D89B7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33D-4CBE-9CB2-41EA02D89B7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A3F3240-68DF-434C-8FC7-F42586F077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3D-4CBE-9CB2-41EA02D89B7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45F448F-1D4F-4370-9FE1-134C137F91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3D-4CBE-9CB2-41EA02D89B7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CBEAFD0-F3EF-4EC9-AB9D-808E9FFE6C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3D-4CBE-9CB2-41EA02D89B7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3D-4CBE-9CB2-41EA02D89B7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2EA3BE1-6FEE-4192-94CD-D138D6CDA7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3D-4CBE-9CB2-41EA02D89B7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0ED51D0-2380-4FA8-BDC2-9F2560FCA7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33D-4CBE-9CB2-41EA02D89B7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69E31D2-901C-4748-9CBA-2999C046F7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3D-4CBE-9CB2-41EA02D89B7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1AD1697-D211-41C6-BE13-93852EC569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33D-4CBE-9CB2-41EA02D89B7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33D-4CBE-9CB2-41EA02D89B7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C2E8ADD-37A9-4B61-A774-F5DBF37C2E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33D-4CBE-9CB2-41EA02D89B7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D5E1DDA-9257-4242-AABD-FC458AB193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33D-4CBE-9CB2-41EA02D89B7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545F382-4A87-4C71-B33D-FFFF6F1B63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33D-4CBE-9CB2-41EA02D89B7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BDA4156-8FB6-40D2-990D-A3FA11EFCD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33D-4CBE-9CB2-41EA02D89B7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13B233F-3B43-4A29-A3D3-5EA0B15B38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33D-4CBE-9CB2-41EA02D89B7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5C718C08-1F02-4C77-B0DF-E63EF759CD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33D-4CBE-9CB2-41EA02D89B7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C321D659-55A9-478D-BF3B-A6FEBD6AF6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33D-4CBE-9CB2-41EA02D89B7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42F8FA8-20AC-45B9-9812-7F6B267801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33D-4CBE-9CB2-41EA02D89B7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29B4FA50-7B9E-4851-AE2A-0A1218CD5E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33D-4CBE-9CB2-41EA02D89B7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D21DA585-6916-4205-B8F0-A51706AFB7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33D-4CBE-9CB2-41EA02D89B7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074CA80-834E-4779-B3AA-6A8D3EC5E4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33D-4CBE-9CB2-41EA02D89B7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9EC28EE7-19A4-477A-903F-C3F1EF4D33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33D-4CBE-9CB2-41EA02D89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889000" cap="rnd">
                <a:solidFill>
                  <a:srgbClr val="00B0F0">
                    <a:alpha val="3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667490093150099"/>
                  <c:y val="-0.42858775044999298"/>
                </c:manualLayout>
              </c:layout>
              <c:numFmt formatCode="#,##0.00_);[Red]\(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altLang="zh-CN" sz="7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7" charset="0"/>
                      <a:ea typeface="楷体" panose="02010609060101010101" pitchFamily="49" charset="-122"/>
                      <a:cs typeface="Arial" panose="020B0604020202020204" pitchFamily="7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安全边际!$J$3:$J$53</c:f>
              <c:numCache>
                <c:formatCode>0.0_ </c:formatCode>
                <c:ptCount val="51"/>
                <c:pt idx="0">
                  <c:v>57.97</c:v>
                </c:pt>
                <c:pt idx="1">
                  <c:v>52.93333333333338</c:v>
                </c:pt>
                <c:pt idx="2">
                  <c:v>46.612586175121969</c:v>
                </c:pt>
                <c:pt idx="3">
                  <c:v>34.787850864032279</c:v>
                </c:pt>
                <c:pt idx="4">
                  <c:v>60.69029158472442</c:v>
                </c:pt>
                <c:pt idx="5">
                  <c:v>31.699999999999996</c:v>
                </c:pt>
                <c:pt idx="6">
                  <c:v>40.321221679832284</c:v>
                </c:pt>
                <c:pt idx="7">
                  <c:v>30.147234540259159</c:v>
                </c:pt>
                <c:pt idx="8">
                  <c:v>60.000833967451342</c:v>
                </c:pt>
                <c:pt idx="9">
                  <c:v>48.154000000000003</c:v>
                </c:pt>
                <c:pt idx="10">
                  <c:v>56.11669404263332</c:v>
                </c:pt>
                <c:pt idx="11">
                  <c:v>14.899999999999999</c:v>
                </c:pt>
                <c:pt idx="12">
                  <c:v>15.5725</c:v>
                </c:pt>
                <c:pt idx="13">
                  <c:v>12.618481125109634</c:v>
                </c:pt>
                <c:pt idx="14">
                  <c:v>16.233333333333331</c:v>
                </c:pt>
                <c:pt idx="15">
                  <c:v>57.066809653157449</c:v>
                </c:pt>
                <c:pt idx="16">
                  <c:v>50.7</c:v>
                </c:pt>
                <c:pt idx="17">
                  <c:v>24.266666666666666</c:v>
                </c:pt>
                <c:pt idx="18">
                  <c:v>18.248592971915041</c:v>
                </c:pt>
                <c:pt idx="19">
                  <c:v>42.593580207264722</c:v>
                </c:pt>
                <c:pt idx="20">
                  <c:v>17.956416863079021</c:v>
                </c:pt>
                <c:pt idx="21">
                  <c:v>16.357142857142858</c:v>
                </c:pt>
                <c:pt idx="22">
                  <c:v>47.900000000000006</c:v>
                </c:pt>
                <c:pt idx="23">
                  <c:v>45.65</c:v>
                </c:pt>
                <c:pt idx="24">
                  <c:v>21.8801032161549</c:v>
                </c:pt>
                <c:pt idx="25">
                  <c:v>85.818020729814108</c:v>
                </c:pt>
                <c:pt idx="26">
                  <c:v>41.166666666666679</c:v>
                </c:pt>
                <c:pt idx="27">
                  <c:v>42.512500000000003</c:v>
                </c:pt>
                <c:pt idx="28">
                  <c:v>21.893333333333338</c:v>
                </c:pt>
                <c:pt idx="29">
                  <c:v>54.29999999999999</c:v>
                </c:pt>
                <c:pt idx="30">
                  <c:v>30.541666666666661</c:v>
                </c:pt>
                <c:pt idx="31">
                  <c:v>78.825000000000003</c:v>
                </c:pt>
                <c:pt idx="32">
                  <c:v>57.749999999999993</c:v>
                </c:pt>
                <c:pt idx="33">
                  <c:v>26.874999999999993</c:v>
                </c:pt>
                <c:pt idx="34">
                  <c:v>49.100000000000009</c:v>
                </c:pt>
                <c:pt idx="35">
                  <c:v>54.069999999999972</c:v>
                </c:pt>
                <c:pt idx="36">
                  <c:v>78.509090909090915</c:v>
                </c:pt>
                <c:pt idx="37">
                  <c:v>64.849999999999994</c:v>
                </c:pt>
                <c:pt idx="38">
                  <c:v>4.2750000000000021</c:v>
                </c:pt>
                <c:pt idx="39">
                  <c:v>38.728571428571449</c:v>
                </c:pt>
                <c:pt idx="40">
                  <c:v>54.224366118000219</c:v>
                </c:pt>
                <c:pt idx="41">
                  <c:v>54.14374999999999</c:v>
                </c:pt>
                <c:pt idx="42">
                  <c:v>4.2522727272727279</c:v>
                </c:pt>
                <c:pt idx="43">
                  <c:v>48.402127659574482</c:v>
                </c:pt>
                <c:pt idx="44">
                  <c:v>40.125000000000007</c:v>
                </c:pt>
                <c:pt idx="45">
                  <c:v>11.437499999999996</c:v>
                </c:pt>
                <c:pt idx="46">
                  <c:v>66.050000000000011</c:v>
                </c:pt>
                <c:pt idx="47">
                  <c:v>20.775000000000002</c:v>
                </c:pt>
                <c:pt idx="48">
                  <c:v>54.024999999999991</c:v>
                </c:pt>
                <c:pt idx="49">
                  <c:v>75</c:v>
                </c:pt>
                <c:pt idx="50">
                  <c:v>82.875</c:v>
                </c:pt>
              </c:numCache>
            </c:numRef>
          </c:xVal>
          <c:yVal>
            <c:numRef>
              <c:f>安全边际!$E$3:$E$53</c:f>
              <c:numCache>
                <c:formatCode>0.0_ 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安全边际!$C$3:$C$53</c15:f>
                <c15:dlblRangeCache>
                  <c:ptCount val="51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833D-4CBE-9CB2-41EA02D89B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景气指数（</a:t>
                </a:r>
                <a:r>
                  <a:rPr lang="en-US" altLang="zh-CN"/>
                  <a:t>2024</a:t>
                </a:r>
                <a:r>
                  <a:rPr lang="zh-CN" altLang="en-US"/>
                  <a:t>年</a:t>
                </a:r>
                <a:r>
                  <a:rPr lang="en-US" altLang="zh-CN"/>
                  <a:t>8</a:t>
                </a:r>
                <a:r>
                  <a:rPr lang="zh-CN" altLang="en-US"/>
                  <a:t>月）</a:t>
                </a:r>
              </a:p>
            </c:rich>
          </c:tx>
          <c:layout>
            <c:manualLayout>
              <c:xMode val="edge"/>
              <c:yMode val="edge"/>
              <c:x val="0.445707992383305"/>
              <c:y val="0.95739602620931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7" charset="0"/>
                  <a:ea typeface="楷体" panose="02010609060101010101" pitchFamily="49" charset="-122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估值分位数（</a:t>
                </a:r>
                <a:r>
                  <a:rPr lang="en-US" altLang="zh-CN"/>
                  <a:t>2016</a:t>
                </a:r>
                <a:r>
                  <a:rPr lang="zh-CN" altLang="en-US"/>
                  <a:t>年以来，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"/>
              <c:y val="0.28634647059232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7" charset="0"/>
                  <a:ea typeface="楷体" panose="02010609060101010101" pitchFamily="49" charset="-122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32687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782272313999997E-2"/>
          <c:y val="4.11699635106587E-2"/>
          <c:w val="0.91282658295164099"/>
          <c:h val="0.867345186690372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CE12167-EE1E-484B-AECD-37C21995AD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11D-4BDE-9811-6DB7BB7DBB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39CB54-FAE9-43E3-8426-A29A4FBAAC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11D-4BDE-9811-6DB7BB7DBB0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FBCFF4-D256-4195-AE88-77D2DF7219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11D-4BDE-9811-6DB7BB7DBB0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A090F5-4D8F-48A2-BEAD-22BA517187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11D-4BDE-9811-6DB7BB7DBB0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4CD2DA-659B-45CB-AA23-8604DDE0D1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11D-4BDE-9811-6DB7BB7DBB0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5B0F30-050F-448A-BE7B-22A5119929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11D-4BDE-9811-6DB7BB7DBB0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3B9AA0-BCF6-4074-8EE6-08D35DEA02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11D-4BDE-9811-6DB7BB7DBB0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28A682-8585-488D-BB17-D739F75CA9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11D-4BDE-9811-6DB7BB7DBB0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7F16B39-A150-4184-B904-426DF83394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11D-4BDE-9811-6DB7BB7DBB0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56E870-69E4-4F6E-BF3C-5F0F65B573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11D-4BDE-9811-6DB7BB7DBB0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4456C5B-87DD-4D16-840C-EE41148D2A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11D-4BDE-9811-6DB7BB7DBB0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76F71CC-BE8B-4DE9-8C67-4145DF3E64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11D-4BDE-9811-6DB7BB7DBB0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9ADEAFB-D749-4701-9CE8-310EA67D27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11D-4BDE-9811-6DB7BB7DBB0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FFB3737-4AA5-47A0-9CA4-D68159C6D1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11D-4BDE-9811-6DB7BB7DBB0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C1BEE6-8E67-422F-A541-43A55B75A3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11D-4BDE-9811-6DB7BB7DBB0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4A2C32-40A1-4208-AA5C-CCA0053350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11D-4BDE-9811-6DB7BB7DBB0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3E7F5E8-A2F3-42A8-A207-2527E36749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11D-4BDE-9811-6DB7BB7DBB0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11D-4BDE-9811-6DB7BB7DBB0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AA7F93-4C92-4176-A943-70E7E444B7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11D-4BDE-9811-6DB7BB7DBB0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B1A643C-5D4B-4853-BDB3-23AE55B4CB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45098039215699E-2"/>
                      <c:h val="4.16165090283749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11D-4BDE-9811-6DB7BB7DBB0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9E1B4AF-BA0C-470E-B54F-2073E93DA9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11D-4BDE-9811-6DB7BB7DBB0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7277332-A1FD-4D24-B046-2AE6EE7BB7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11D-4BDE-9811-6DB7BB7DBB0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C61964B-ED38-4A06-B402-12681EF36A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11D-4BDE-9811-6DB7BB7DBB0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7FF2958-8C8B-4823-B903-F16499438B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11D-4BDE-9811-6DB7BB7DBB0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26B25BF-857D-4AE4-AB7F-56BB89C974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11D-4BDE-9811-6DB7BB7DBB0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8BC576C-5B6C-4BFB-A397-B28DE8200E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11D-4BDE-9811-6DB7BB7DBB0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DF9813F-D6FF-4045-A916-46604C6687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11D-4BDE-9811-6DB7BB7DBB0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383FDFB-2E59-40F8-AC8F-2FCFCEB417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11D-4BDE-9811-6DB7BB7DBB0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1F5A76A-7461-46D6-A7FD-CAC90058C7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11D-4BDE-9811-6DB7BB7DBB0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E06BD81-437E-4706-BC2F-35030275B4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11D-4BDE-9811-6DB7BB7DBB0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494D9E5-18A7-4742-A4BB-5D54852E0E1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11D-4BDE-9811-6DB7BB7DBB0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F0DEB34-789B-4D65-82A9-EC4E472DCC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11D-4BDE-9811-6DB7BB7DBB0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67389FF-2377-4CFF-A470-4E76A726CB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11D-4BDE-9811-6DB7BB7DBB0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C629037-082E-4FBD-A53B-E7F8506586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11D-4BDE-9811-6DB7BB7DBB0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9EFAAD5-700E-4B6B-9376-674956AFE2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11D-4BDE-9811-6DB7BB7DBB0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97B843E-7398-4870-B214-77DA573E83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11D-4BDE-9811-6DB7BB7DBB0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026E653-2693-40CE-9AB8-206BB3CA71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11D-4BDE-9811-6DB7BB7DBB0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9A81F7F-8EB4-4BFA-A8D2-5BF9FFCF74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11D-4BDE-9811-6DB7BB7DBB0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353CAA5A-9B4C-4192-9A6B-FB8B6ABE4D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11D-4BDE-9811-6DB7BB7DBB0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60C0096-0CEC-4513-A34F-15CD206872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11D-4BDE-9811-6DB7BB7DBB0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99302148-7A23-4705-9319-679A6D10CB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11D-4BDE-9811-6DB7BB7DBB0C}"/>
                </c:ext>
              </c:extLst>
            </c:dLbl>
            <c:dLbl>
              <c:idx val="4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27B81279-CB70-4B03-BBFC-9BD828B6BFA4}" type="CELLRANGE">
                      <a:rPr lang="zh-CN" altLang="en-US" sz="700">
                        <a:latin typeface="楷体" panose="02010609060101010101" pitchFamily="49" charset="-122"/>
                        <a:ea typeface="楷体" panose="02010609060101010101" pitchFamily="49" charset="-122"/>
                      </a:rPr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259259259259303E-2"/>
                      <c:h val="4.505588993981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511D-4BDE-9811-6DB7BB7DBB0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465BA7D-7E0C-472A-AA33-4DD990B6D3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11D-4BDE-9811-6DB7BB7DBB0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EFE62C64-5690-4241-A59A-A826288F5B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11D-4BDE-9811-6DB7BB7DBB0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AF19857-587E-423B-917B-5F23EE5C1A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11D-4BDE-9811-6DB7BB7DBB0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E168BE2-1E93-4133-B1D7-65F2F6DA59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11D-4BDE-9811-6DB7BB7DBB0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E5CE6E7-5202-49B9-B400-BAF9B79D0E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11D-4BDE-9811-6DB7BB7DBB0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686ED0F-D1EE-46F0-BAAB-1B6E82A244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11D-4BDE-9811-6DB7BB7DBB0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4706EC4-BEF3-4442-ACB6-2BA51004DC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11D-4BDE-9811-6DB7BB7DBB0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0798563-B569-432B-AE55-B2F18B4E0D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11D-4BDE-9811-6DB7BB7DBB0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1A2D7CB-5182-4249-978A-EE7D753971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11D-4BDE-9811-6DB7BB7DBB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889000" cap="rnd">
                <a:solidFill>
                  <a:srgbClr val="00B0F0">
                    <a:alpha val="3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413764946048399"/>
                  <c:y val="-0.367684088334429"/>
                </c:manualLayout>
              </c:layout>
              <c:numFmt formatCode="#,##0.00_);[Red]\(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7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7" charset="0"/>
                      <a:ea typeface="楷体" panose="02010609060101010101" pitchFamily="49" charset="-122"/>
                      <a:cs typeface="Arial" panose="020B0604020202020204" pitchFamily="7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安全边际!$I$3:$I$53</c:f>
              <c:numCache>
                <c:formatCode>0.0_ </c:formatCode>
                <c:ptCount val="51"/>
                <c:pt idx="0">
                  <c:v>-15.669999999999995</c:v>
                </c:pt>
                <c:pt idx="1">
                  <c:v>-14.016666666666689</c:v>
                </c:pt>
                <c:pt idx="2">
                  <c:v>19.320764068853226</c:v>
                </c:pt>
                <c:pt idx="3">
                  <c:v>-22.585397431119457</c:v>
                </c:pt>
                <c:pt idx="4">
                  <c:v>-3.4110558754074427</c:v>
                </c:pt>
                <c:pt idx="5">
                  <c:v>-46.410000000000018</c:v>
                </c:pt>
                <c:pt idx="6">
                  <c:v>4.7569231270108094</c:v>
                </c:pt>
                <c:pt idx="7">
                  <c:v>-23.631860764312119</c:v>
                </c:pt>
                <c:pt idx="8">
                  <c:v>-24.546563898639306</c:v>
                </c:pt>
                <c:pt idx="9">
                  <c:v>-26.955000000000002</c:v>
                </c:pt>
                <c:pt idx="10">
                  <c:v>14.636875878740913</c:v>
                </c:pt>
                <c:pt idx="11">
                  <c:v>-9.6</c:v>
                </c:pt>
                <c:pt idx="12">
                  <c:v>-19.337500000000006</c:v>
                </c:pt>
                <c:pt idx="13">
                  <c:v>-5.8836079987144521</c:v>
                </c:pt>
                <c:pt idx="14">
                  <c:v>-21.391666666666666</c:v>
                </c:pt>
                <c:pt idx="15">
                  <c:v>5.8933426125583832</c:v>
                </c:pt>
                <c:pt idx="16">
                  <c:v>-12.725000000000009</c:v>
                </c:pt>
                <c:pt idx="17">
                  <c:v>9.8999999999999986</c:v>
                </c:pt>
                <c:pt idx="18">
                  <c:v>-25.872681648045535</c:v>
                </c:pt>
                <c:pt idx="19">
                  <c:v>-5.1445883117856752</c:v>
                </c:pt>
                <c:pt idx="20">
                  <c:v>-18.543763304722745</c:v>
                </c:pt>
                <c:pt idx="21">
                  <c:v>-20.971428571428575</c:v>
                </c:pt>
                <c:pt idx="22">
                  <c:v>42.250000000000007</c:v>
                </c:pt>
                <c:pt idx="23">
                  <c:v>9.6000000000000032</c:v>
                </c:pt>
                <c:pt idx="24">
                  <c:v>-41.733454049274478</c:v>
                </c:pt>
                <c:pt idx="25">
                  <c:v>14.440924159306112</c:v>
                </c:pt>
                <c:pt idx="26">
                  <c:v>25.550000000000022</c:v>
                </c:pt>
                <c:pt idx="27">
                  <c:v>22.237500000000001</c:v>
                </c:pt>
                <c:pt idx="28">
                  <c:v>-39.193333333333342</c:v>
                </c:pt>
                <c:pt idx="29">
                  <c:v>-5.7750000000000306</c:v>
                </c:pt>
                <c:pt idx="30">
                  <c:v>1.8333333333333313</c:v>
                </c:pt>
                <c:pt idx="31">
                  <c:v>26.949999999999996</c:v>
                </c:pt>
                <c:pt idx="32">
                  <c:v>27.414285714285707</c:v>
                </c:pt>
                <c:pt idx="33">
                  <c:v>-10.625000000000007</c:v>
                </c:pt>
                <c:pt idx="34">
                  <c:v>24.490000000000038</c:v>
                </c:pt>
                <c:pt idx="35">
                  <c:v>7.1199999999999761</c:v>
                </c:pt>
                <c:pt idx="36">
                  <c:v>46.209090909090932</c:v>
                </c:pt>
                <c:pt idx="37">
                  <c:v>52.400000000000006</c:v>
                </c:pt>
                <c:pt idx="38">
                  <c:v>-11.075000000000003</c:v>
                </c:pt>
                <c:pt idx="39">
                  <c:v>10.271428571428586</c:v>
                </c:pt>
                <c:pt idx="40">
                  <c:v>6.1206147259015573</c:v>
                </c:pt>
                <c:pt idx="41">
                  <c:v>-28.593749999999996</c:v>
                </c:pt>
                <c:pt idx="42">
                  <c:v>-20.517045454545457</c:v>
                </c:pt>
                <c:pt idx="43">
                  <c:v>2.1297872340425741</c:v>
                </c:pt>
                <c:pt idx="44">
                  <c:v>-4.6666666666666634</c:v>
                </c:pt>
                <c:pt idx="45">
                  <c:v>-57.962500000000006</c:v>
                </c:pt>
                <c:pt idx="46">
                  <c:v>15.98750000000001</c:v>
                </c:pt>
                <c:pt idx="47">
                  <c:v>-22.275000000000002</c:v>
                </c:pt>
                <c:pt idx="48">
                  <c:v>-17.574999999999996</c:v>
                </c:pt>
                <c:pt idx="49">
                  <c:v>-22.100000000000009</c:v>
                </c:pt>
                <c:pt idx="50">
                  <c:v>19.199999999999996</c:v>
                </c:pt>
              </c:numCache>
            </c:numRef>
          </c:xVal>
          <c:yVal>
            <c:numRef>
              <c:f>安全边际!$H$3:$H$53</c:f>
              <c:numCache>
                <c:formatCode>0.0_ 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石化","煤炭","军工","纺服","家电","汽车","轻工","商贸","社服","传媒","公用","环保","建筑","医美","普钢","工业金属","小金属","能源金属","化学原料","化学制品","化纤","农化","水泥","玻璃","装修建材","通用","自动化","工程机械","光伏","风电","电池","电网","半导体","软件","计算机设备","光电","消电","元件","通信服务","通信设备","港股电商","港股游戏","白酒","食品","化药","医疗服务","保险","物流","铁路公路","航空机场","航运港口","半导体(剔除主题基金）","医疗服务(剔除主题基金）"}</c15:f>
                <c15:dlblRangeCache>
                  <c:ptCount val="53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  <c:pt idx="51">
                    <c:v>半导体(剔除主题基金）</c:v>
                  </c:pt>
                  <c:pt idx="52">
                    <c:v>医疗服务(剔除主题基金）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511D-4BDE-9811-6DB7BB7DBB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  <c:min val="-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指数变化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2024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8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 vs 2023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11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月，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pct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33067531264474298"/>
              <c:y val="0.960565531527259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  <c:min val="-3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en-US" altLang="zh-CN" sz="700" b="1" i="0" baseline="0">
                    <a:effectLst/>
                  </a:rPr>
                  <a:t>2023.11.1</a:t>
                </a:r>
                <a:r>
                  <a:rPr lang="zh-CN" altLang="zh-CN" sz="700" b="1" i="0" baseline="0">
                    <a:effectLst/>
                  </a:rPr>
                  <a:t>至今涨跌幅</a:t>
                </a:r>
                <a:endParaRPr lang="zh-CN" altLang="zh-CN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1.74291938997821E-3"/>
              <c:y val="0.353809101912973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32687"/>
        <c:crossesAt val="0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32681110939564E-2"/>
          <c:y val="4.1169931144677402E-2"/>
          <c:w val="0.914396445542346"/>
          <c:h val="0.86734518669037297"/>
        </c:manualLayout>
      </c:layout>
      <c:bubbleChart>
        <c:varyColors val="0"/>
        <c:ser>
          <c:idx val="0"/>
          <c:order val="0"/>
          <c:spPr>
            <a:solidFill>
              <a:srgbClr val="00B0F0">
                <a:alpha val="30000"/>
              </a:srgb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F6F4138-F7EB-44BF-B22A-A61DC47D56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8AB-48FC-BE47-D964168063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6DE142-2910-41EF-97D3-0852EE0752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8AB-48FC-BE47-D964168063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9A15E4-DB16-42FD-B4F5-1215AF8F93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8AB-48FC-BE47-D9641680638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422D62-6D81-483C-ACA4-49FF043BF8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8AB-48FC-BE47-D9641680638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545339-3E09-4647-BDD1-6CE4781ECC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AB-48FC-BE47-D96416806380}"/>
                </c:ext>
              </c:extLst>
            </c:dLbl>
            <c:dLbl>
              <c:idx val="5"/>
              <c:layout>
                <c:manualLayout>
                  <c:x val="-2.8094213713481898E-2"/>
                  <c:y val="-1.719690455717970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703EDE49-0415-4AFE-B083-EBB2FBA740EB}" type="CELLRANGE">
                      <a:rPr lang="zh-CN" altLang="en-US" sz="700">
                        <a:latin typeface="楷体" panose="02010609060101010101" pitchFamily="49" charset="-122"/>
                        <a:ea typeface="楷体" panose="02010609060101010101" pitchFamily="49" charset="-122"/>
                      </a:rPr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087145969498902E-2"/>
                      <c:h val="3.81771281169389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8AB-48FC-BE47-D964168063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8DCFC77-7AEC-4BE0-9196-EFDFDB9B57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AB-48FC-BE47-D9641680638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FD6EC9-0FFB-4640-811A-76101C741D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AB-48FC-BE47-D9641680638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64EFF3-3170-4073-9A3B-BE68AB8CA3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AB-48FC-BE47-D9641680638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05592A3-0770-4868-8400-533B5F718B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AB-48FC-BE47-D9641680638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69B38FF-1173-4CA7-9CEF-0C9A68A036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AB-48FC-BE47-D9641680638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1B0D66D-ED42-485B-8DA6-E0488613C4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AB-48FC-BE47-D9641680638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9B51611-599A-45AF-9D30-BFE25E2B7C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AB-48FC-BE47-D9641680638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A53C5E2-D9C4-4118-951F-AC20F1FDF0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AB-48FC-BE47-D9641680638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D736F42-83A8-4ED5-BD96-67063C67A7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AB-48FC-BE47-D96416806380}"/>
                </c:ext>
              </c:extLst>
            </c:dLbl>
            <c:dLbl>
              <c:idx val="15"/>
              <c:layout>
                <c:manualLayout>
                  <c:x val="-0.10794119362530701"/>
                  <c:y val="-2.40756663800516E-2"/>
                </c:manualLayout>
              </c:layout>
              <c:tx>
                <c:rich>
                  <a:bodyPr/>
                  <a:lstStyle/>
                  <a:p>
                    <a:fld id="{59E15FCB-5965-4707-BED6-B9294D9352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8AB-48FC-BE47-D9641680638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A749136-BA90-4C75-8F19-5E2965CF3D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8AB-48FC-BE47-D96416806380}"/>
                </c:ext>
              </c:extLst>
            </c:dLbl>
            <c:dLbl>
              <c:idx val="17"/>
              <c:layout>
                <c:manualLayout>
                  <c:x val="-6.7744806409002795E-2"/>
                  <c:y val="1.0318142734307799E-2"/>
                </c:manualLayout>
              </c:layout>
              <c:tx>
                <c:rich>
                  <a:bodyPr/>
                  <a:lstStyle/>
                  <a:p>
                    <a:fld id="{32D20661-A849-4832-AFFF-36FB4BE4E3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AB-48FC-BE47-D9641680638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0CFB364-2735-4B38-B8CC-8BC22F396C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8AB-48FC-BE47-D9641680638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E155B44-BFAA-4AFE-B0A2-94B1E1FF78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45098039215699E-2"/>
                      <c:h val="4.16165090283749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8AB-48FC-BE47-D9641680638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3A4061C-80B8-4806-94D0-C34E75E50C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AB-48FC-BE47-D9641680638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337745B-14D4-45AA-90B1-DEA56BA779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AB-48FC-BE47-D9641680638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7EC81D7-B6DA-4A8A-AA40-CB75AEC1CE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8AB-48FC-BE47-D9641680638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1182671-216A-4276-B66B-2F9CFF096D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8AB-48FC-BE47-D9641680638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DE6646A-4B71-431F-BCFD-A9DE8D65C0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8AB-48FC-BE47-D9641680638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82CC3D7-ED20-4B20-AF5A-C42310DC50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AB-48FC-BE47-D9641680638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3BA1DC8-5282-44EC-BF63-506225F78E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AB-48FC-BE47-D9641680638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FE744FB-DDCD-4D2A-8BDB-E71788B8A1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AB-48FC-BE47-D9641680638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545560D-E219-461D-AD36-427100295D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AB-48FC-BE47-D9641680638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BF70FE5-710F-41A7-B845-19893B85E8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AB-48FC-BE47-D9641680638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F165EFA-65E5-4415-817E-D0D0ED26C4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AB-48FC-BE47-D9641680638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BDD6619-1B39-4126-9DF0-33DCD87B81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AB-48FC-BE47-D9641680638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36486BC-805F-405D-BBAA-16D34B41F2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AB-48FC-BE47-D9641680638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E25B0E6-1E42-4389-B9EB-AB8451B3ED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AB-48FC-BE47-D9641680638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8801159-AA52-4E52-BED2-9A7A0A671D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AB-48FC-BE47-D9641680638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8AB736B-009C-491B-A3CC-0F1E738116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AB-48FC-BE47-D9641680638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894BF84-3C91-4A33-9161-B175DF4486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AB-48FC-BE47-D9641680638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89A376F-6846-4331-9265-D8584A9322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AB-48FC-BE47-D9641680638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3308939-09DA-40D5-9954-87C876C3EB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AB-48FC-BE47-D9641680638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0161A6D-60C7-433D-847B-2DBB311E4D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AB-48FC-BE47-D9641680638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8AB-48FC-BE47-D96416806380}"/>
                </c:ext>
              </c:extLst>
            </c:dLbl>
            <c:dLbl>
              <c:idx val="4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700" b="0" i="0" u="none" strike="noStrike" kern="1200" baseline="0">
                        <a:solidFill>
                          <a:schemeClr val="tx1"/>
                        </a:solidFill>
                        <a:latin typeface="楷体" panose="02010609060101010101" pitchFamily="49" charset="-122"/>
                        <a:ea typeface="楷体" panose="02010609060101010101" pitchFamily="49" charset="-122"/>
                        <a:cs typeface="Arial" panose="020B0604020202020204" pitchFamily="7" charset="0"/>
                      </a:defRPr>
                    </a:pPr>
                    <a:endParaRPr lang="zh-CN" altLang="en-US" sz="700">
                      <a:latin typeface="楷体" panose="02010609060101010101" pitchFamily="49" charset="-122"/>
                      <a:ea typeface="楷体" panose="02010609060101010101" pitchFamily="49" charset="-122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259259259259303E-2"/>
                      <c:h val="4.50558899398108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9-D8AB-48FC-BE47-D96416806380}"/>
                </c:ext>
              </c:extLst>
            </c:dLbl>
            <c:dLbl>
              <c:idx val="42"/>
              <c:layout>
                <c:manualLayout>
                  <c:x val="-7.0204930266069707E-2"/>
                  <c:y val="-4.29922613929493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4454B162-C362-41CC-89B3-1CEA84669053}" type="CELLRANGE">
                      <a:rPr lang="zh-CN" altLang="en-US" sz="700">
                        <a:latin typeface="楷体" panose="02010609060101010101" pitchFamily="49" charset="-122"/>
                        <a:ea typeface="楷体" panose="02010609060101010101" pitchFamily="49" charset="-122"/>
                      </a:rPr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058823529411799E-2"/>
                      <c:h val="3.81771281169389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AB-48FC-BE47-D9641680638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991FC30A-926B-4427-BE46-DF6FAAAEB7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8AB-48FC-BE47-D9641680638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BDA335C2-B504-41D5-93B0-47F068907C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8AB-48FC-BE47-D9641680638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7CB0DDD-539C-4F44-8E52-AE0A1F633D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8AB-48FC-BE47-D9641680638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230ED4B8-9BF9-403F-B510-F31E81BE0E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AB-48FC-BE47-D96416806380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812D7C5-D3D9-4C68-9F69-A0F20EAD26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AB-48FC-BE47-D96416806380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06D60E4F-307C-42E0-A1D5-207BAAB1B5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AB-48FC-BE47-D9641680638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CF5BBCD-1035-466D-ABC6-DD1181896E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AB-48FC-BE47-D96416806380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AC34C44-AA79-4298-86CF-07D11E36138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AB-48FC-BE47-D964168063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746007239291"/>
                  <c:y val="-3.92836879912797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700" b="1" i="0" u="none" strike="noStrike" kern="1200" baseline="0">
                      <a:solidFill>
                        <a:srgbClr val="003778"/>
                      </a:solidFill>
                      <a:latin typeface="Arial" panose="020B0604020202020204" pitchFamily="7" charset="0"/>
                      <a:ea typeface="楷体" panose="02010609060101010101" pitchFamily="49" charset="-122"/>
                      <a:cs typeface="Arial" panose="020B0604020202020204" pitchFamily="7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安全边际!$J$3:$J$53</c:f>
              <c:numCache>
                <c:formatCode>0.0_ </c:formatCode>
                <c:ptCount val="51"/>
                <c:pt idx="0">
                  <c:v>57.97</c:v>
                </c:pt>
                <c:pt idx="1">
                  <c:v>52.93333333333338</c:v>
                </c:pt>
                <c:pt idx="2">
                  <c:v>46.612586175121969</c:v>
                </c:pt>
                <c:pt idx="3">
                  <c:v>34.787850864032279</c:v>
                </c:pt>
                <c:pt idx="4">
                  <c:v>60.69029158472442</c:v>
                </c:pt>
                <c:pt idx="5">
                  <c:v>31.699999999999996</c:v>
                </c:pt>
                <c:pt idx="6">
                  <c:v>40.321221679832284</c:v>
                </c:pt>
                <c:pt idx="7">
                  <c:v>30.147234540259159</c:v>
                </c:pt>
                <c:pt idx="8">
                  <c:v>60.000833967451342</c:v>
                </c:pt>
                <c:pt idx="9">
                  <c:v>48.154000000000003</c:v>
                </c:pt>
                <c:pt idx="10">
                  <c:v>56.11669404263332</c:v>
                </c:pt>
                <c:pt idx="11">
                  <c:v>14.899999999999999</c:v>
                </c:pt>
                <c:pt idx="12">
                  <c:v>15.5725</c:v>
                </c:pt>
                <c:pt idx="13">
                  <c:v>12.618481125109634</c:v>
                </c:pt>
                <c:pt idx="14">
                  <c:v>16.233333333333331</c:v>
                </c:pt>
                <c:pt idx="15">
                  <c:v>57.066809653157449</c:v>
                </c:pt>
                <c:pt idx="16">
                  <c:v>50.7</c:v>
                </c:pt>
                <c:pt idx="17">
                  <c:v>24.266666666666666</c:v>
                </c:pt>
                <c:pt idx="18">
                  <c:v>18.248592971915041</c:v>
                </c:pt>
                <c:pt idx="19">
                  <c:v>42.593580207264722</c:v>
                </c:pt>
                <c:pt idx="20">
                  <c:v>17.956416863079021</c:v>
                </c:pt>
                <c:pt idx="21">
                  <c:v>16.357142857142858</c:v>
                </c:pt>
                <c:pt idx="22">
                  <c:v>47.900000000000006</c:v>
                </c:pt>
                <c:pt idx="23">
                  <c:v>45.65</c:v>
                </c:pt>
                <c:pt idx="24">
                  <c:v>21.8801032161549</c:v>
                </c:pt>
                <c:pt idx="25">
                  <c:v>85.818020729814108</c:v>
                </c:pt>
                <c:pt idx="26">
                  <c:v>41.166666666666679</c:v>
                </c:pt>
                <c:pt idx="27">
                  <c:v>42.512500000000003</c:v>
                </c:pt>
                <c:pt idx="28">
                  <c:v>21.893333333333338</c:v>
                </c:pt>
                <c:pt idx="29">
                  <c:v>54.29999999999999</c:v>
                </c:pt>
                <c:pt idx="30">
                  <c:v>30.541666666666661</c:v>
                </c:pt>
                <c:pt idx="31">
                  <c:v>78.825000000000003</c:v>
                </c:pt>
                <c:pt idx="32">
                  <c:v>57.749999999999993</c:v>
                </c:pt>
                <c:pt idx="33">
                  <c:v>26.874999999999993</c:v>
                </c:pt>
                <c:pt idx="34">
                  <c:v>49.100000000000009</c:v>
                </c:pt>
                <c:pt idx="35">
                  <c:v>54.069999999999972</c:v>
                </c:pt>
                <c:pt idx="36">
                  <c:v>78.509090909090915</c:v>
                </c:pt>
                <c:pt idx="37">
                  <c:v>64.849999999999994</c:v>
                </c:pt>
                <c:pt idx="38">
                  <c:v>4.2750000000000021</c:v>
                </c:pt>
                <c:pt idx="39">
                  <c:v>38.728571428571449</c:v>
                </c:pt>
                <c:pt idx="40">
                  <c:v>54.224366118000219</c:v>
                </c:pt>
                <c:pt idx="41">
                  <c:v>54.14374999999999</c:v>
                </c:pt>
                <c:pt idx="42">
                  <c:v>4.2522727272727279</c:v>
                </c:pt>
                <c:pt idx="43">
                  <c:v>48.402127659574482</c:v>
                </c:pt>
                <c:pt idx="44">
                  <c:v>40.125000000000007</c:v>
                </c:pt>
                <c:pt idx="45">
                  <c:v>11.437499999999996</c:v>
                </c:pt>
                <c:pt idx="46">
                  <c:v>66.050000000000011</c:v>
                </c:pt>
                <c:pt idx="47">
                  <c:v>20.775000000000002</c:v>
                </c:pt>
                <c:pt idx="48">
                  <c:v>54.024999999999991</c:v>
                </c:pt>
                <c:pt idx="49">
                  <c:v>75</c:v>
                </c:pt>
                <c:pt idx="50">
                  <c:v>82.875</c:v>
                </c:pt>
              </c:numCache>
            </c:numRef>
          </c:xVal>
          <c:yVal>
            <c:numRef>
              <c:f>安全边际!$G$3:$G$53</c:f>
              <c:numCache>
                <c:formatCode>0.0_ </c:formatCode>
                <c:ptCount val="51"/>
                <c:pt idx="0">
                  <c:v>78.099999999999994</c:v>
                </c:pt>
                <c:pt idx="1">
                  <c:v>100</c:v>
                </c:pt>
                <c:pt idx="2">
                  <c:v>50</c:v>
                </c:pt>
                <c:pt idx="3">
                  <c:v>96.8</c:v>
                </c:pt>
                <c:pt idx="4">
                  <c:v>56.2</c:v>
                </c:pt>
                <c:pt idx="5">
                  <c:v>100</c:v>
                </c:pt>
                <c:pt idx="6">
                  <c:v>62.5</c:v>
                </c:pt>
                <c:pt idx="7">
                  <c:v>18.7</c:v>
                </c:pt>
                <c:pt idx="8">
                  <c:v>0</c:v>
                </c:pt>
                <c:pt idx="9">
                  <c:v>9.3000000000000007</c:v>
                </c:pt>
                <c:pt idx="10">
                  <c:v>100</c:v>
                </c:pt>
                <c:pt idx="11">
                  <c:v>68.7</c:v>
                </c:pt>
                <c:pt idx="12">
                  <c:v>59.3</c:v>
                </c:pt>
                <c:pt idx="13">
                  <c:v>37.5</c:v>
                </c:pt>
                <c:pt idx="14">
                  <c:v>81.2</c:v>
                </c:pt>
                <c:pt idx="15">
                  <c:v>100</c:v>
                </c:pt>
                <c:pt idx="16">
                  <c:v>78.099999999999994</c:v>
                </c:pt>
                <c:pt idx="17">
                  <c:v>25</c:v>
                </c:pt>
                <c:pt idx="18">
                  <c:v>18.7</c:v>
                </c:pt>
                <c:pt idx="19">
                  <c:v>25</c:v>
                </c:pt>
                <c:pt idx="20">
                  <c:v>0</c:v>
                </c:pt>
                <c:pt idx="21">
                  <c:v>87.5</c:v>
                </c:pt>
                <c:pt idx="22">
                  <c:v>59.3</c:v>
                </c:pt>
                <c:pt idx="23">
                  <c:v>3.1</c:v>
                </c:pt>
                <c:pt idx="24">
                  <c:v>3.1</c:v>
                </c:pt>
                <c:pt idx="25">
                  <c:v>50</c:v>
                </c:pt>
                <c:pt idx="26">
                  <c:v>68.7</c:v>
                </c:pt>
                <c:pt idx="27">
                  <c:v>71.8</c:v>
                </c:pt>
                <c:pt idx="28">
                  <c:v>37.5</c:v>
                </c:pt>
                <c:pt idx="29">
                  <c:v>34.299999999999997</c:v>
                </c:pt>
                <c:pt idx="30">
                  <c:v>78.099999999999994</c:v>
                </c:pt>
                <c:pt idx="31">
                  <c:v>81.2</c:v>
                </c:pt>
                <c:pt idx="32">
                  <c:v>50</c:v>
                </c:pt>
                <c:pt idx="33">
                  <c:v>12.5</c:v>
                </c:pt>
                <c:pt idx="34">
                  <c:v>21.8</c:v>
                </c:pt>
                <c:pt idx="35">
                  <c:v>34.299999999999997</c:v>
                </c:pt>
                <c:pt idx="36">
                  <c:v>31.2</c:v>
                </c:pt>
                <c:pt idx="37">
                  <c:v>59.3</c:v>
                </c:pt>
                <c:pt idx="38">
                  <c:v>93.7</c:v>
                </c:pt>
                <c:pt idx="39">
                  <c:v>96.8</c:v>
                </c:pt>
                <c:pt idx="42">
                  <c:v>50</c:v>
                </c:pt>
                <c:pt idx="43">
                  <c:v>21.8</c:v>
                </c:pt>
                <c:pt idx="44">
                  <c:v>59.3</c:v>
                </c:pt>
                <c:pt idx="45">
                  <c:v>12.5</c:v>
                </c:pt>
                <c:pt idx="46">
                  <c:v>6.2</c:v>
                </c:pt>
                <c:pt idx="47">
                  <c:v>28.1</c:v>
                </c:pt>
                <c:pt idx="48">
                  <c:v>40.6</c:v>
                </c:pt>
                <c:pt idx="49">
                  <c:v>84.3</c:v>
                </c:pt>
                <c:pt idx="50">
                  <c:v>100</c:v>
                </c:pt>
              </c:numCache>
            </c:numRef>
          </c:yVal>
          <c:bubbleSize>
            <c:numRef>
              <c:f>安全边际!$F$3:$F$53</c:f>
              <c:numCache>
                <c:formatCode>0.0_ </c:formatCode>
                <c:ptCount val="51"/>
                <c:pt idx="0">
                  <c:v>27.0942746233167</c:v>
                </c:pt>
                <c:pt idx="1">
                  <c:v>56.591466163100101</c:v>
                </c:pt>
                <c:pt idx="2">
                  <c:v>107.460600100897</c:v>
                </c:pt>
                <c:pt idx="3">
                  <c:v>93.982790607236595</c:v>
                </c:pt>
                <c:pt idx="4">
                  <c:v>205.44250158949001</c:v>
                </c:pt>
                <c:pt idx="5">
                  <c:v>128.088808384711</c:v>
                </c:pt>
                <c:pt idx="6">
                  <c:v>107.221136147172</c:v>
                </c:pt>
                <c:pt idx="7">
                  <c:v>55.354608157765199</c:v>
                </c:pt>
                <c:pt idx="8">
                  <c:v>94.769434619842301</c:v>
                </c:pt>
                <c:pt idx="9">
                  <c:v>49.576272858183401</c:v>
                </c:pt>
                <c:pt idx="10">
                  <c:v>55.592759713642401</c:v>
                </c:pt>
                <c:pt idx="11">
                  <c:v>51.236563130608999</c:v>
                </c:pt>
                <c:pt idx="12">
                  <c:v>31.850775566467199</c:v>
                </c:pt>
                <c:pt idx="13">
                  <c:v>96.697551545386304</c:v>
                </c:pt>
                <c:pt idx="14">
                  <c:v>24.1301747239064</c:v>
                </c:pt>
                <c:pt idx="15">
                  <c:v>192.15731698421001</c:v>
                </c:pt>
                <c:pt idx="16">
                  <c:v>129.77783531534701</c:v>
                </c:pt>
                <c:pt idx="17">
                  <c:v>103.989877975776</c:v>
                </c:pt>
                <c:pt idx="18">
                  <c:v>54.655726665742002</c:v>
                </c:pt>
                <c:pt idx="19">
                  <c:v>93.694622429866101</c:v>
                </c:pt>
                <c:pt idx="20">
                  <c:v>22.041419170000701</c:v>
                </c:pt>
                <c:pt idx="21">
                  <c:v>111.146412600543</c:v>
                </c:pt>
                <c:pt idx="22">
                  <c:v>58.224579068821498</c:v>
                </c:pt>
                <c:pt idx="23">
                  <c:v>23.354078533185099</c:v>
                </c:pt>
                <c:pt idx="24">
                  <c:v>74.568868154645997</c:v>
                </c:pt>
                <c:pt idx="25">
                  <c:v>114.941607469853</c:v>
                </c:pt>
                <c:pt idx="26">
                  <c:v>79.6378894200639</c:v>
                </c:pt>
                <c:pt idx="27">
                  <c:v>128.04780120653399</c:v>
                </c:pt>
                <c:pt idx="28">
                  <c:v>183.695496309155</c:v>
                </c:pt>
                <c:pt idx="29">
                  <c:v>91.499839703641399</c:v>
                </c:pt>
                <c:pt idx="30">
                  <c:v>238.051644908675</c:v>
                </c:pt>
                <c:pt idx="31">
                  <c:v>97.055177980851198</c:v>
                </c:pt>
                <c:pt idx="32">
                  <c:v>222.86530421876199</c:v>
                </c:pt>
                <c:pt idx="33">
                  <c:v>105.35088283260799</c:v>
                </c:pt>
                <c:pt idx="34">
                  <c:v>124.580159300632</c:v>
                </c:pt>
                <c:pt idx="35">
                  <c:v>79.894940306206195</c:v>
                </c:pt>
                <c:pt idx="36">
                  <c:v>129.23359854159401</c:v>
                </c:pt>
                <c:pt idx="37">
                  <c:v>192.91139288857499</c:v>
                </c:pt>
                <c:pt idx="38">
                  <c:v>133.60182104437601</c:v>
                </c:pt>
                <c:pt idx="39">
                  <c:v>223.51954282813199</c:v>
                </c:pt>
                <c:pt idx="42">
                  <c:v>208.356202187419</c:v>
                </c:pt>
                <c:pt idx="43">
                  <c:v>129.730615170324</c:v>
                </c:pt>
                <c:pt idx="44">
                  <c:v>168.440665627729</c:v>
                </c:pt>
                <c:pt idx="45">
                  <c:v>226.28893773151901</c:v>
                </c:pt>
                <c:pt idx="46">
                  <c:v>7.0740944865966897</c:v>
                </c:pt>
                <c:pt idx="47">
                  <c:v>67.289262066587895</c:v>
                </c:pt>
                <c:pt idx="48">
                  <c:v>29.3973529980675</c:v>
                </c:pt>
                <c:pt idx="49">
                  <c:v>129.81789680895699</c:v>
                </c:pt>
                <c:pt idx="50">
                  <c:v>51.788968864026899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安全边际!$C$3:$C$53</c15:f>
                <c15:dlblRangeCache>
                  <c:ptCount val="51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D8AB-48FC-BE47-D964168063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80"/>
        <c:showNegBubbles val="0"/>
        <c:sizeRepresents val="w"/>
        <c:axId val="1891332687"/>
        <c:axId val="1891328111"/>
      </c:bubble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</a:t>
                </a:r>
                <a:r>
                  <a:rPr lang="zh-CN" alt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2024</a:t>
                </a:r>
                <a:r>
                  <a:rPr lang="zh-CN" alt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8</a:t>
                </a:r>
                <a:r>
                  <a:rPr lang="zh-CN" alt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,%</a:t>
                </a:r>
                <a:r>
                  <a:rPr lang="zh-CN" alt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44222215360334899"/>
              <c:y val="0.958383490971625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en-US" altLang="zh-CN" sz="700" b="1" i="0" baseline="0">
                    <a:effectLst/>
                  </a:rPr>
                  <a:t>1Q24</a:t>
                </a:r>
                <a:r>
                  <a:rPr lang="zh-CN" altLang="en-US" sz="700" b="1" i="0" baseline="0">
                    <a:effectLst/>
                  </a:rPr>
                  <a:t>公募配置系数分位数（</a:t>
                </a:r>
                <a:r>
                  <a:rPr lang="en-US" altLang="zh-CN" sz="700" b="1" i="0" baseline="0">
                    <a:effectLst/>
                  </a:rPr>
                  <a:t>1Q16</a:t>
                </a:r>
                <a:r>
                  <a:rPr lang="zh-CN" altLang="en-US" sz="700" b="1" i="0" baseline="0">
                    <a:effectLst/>
                  </a:rPr>
                  <a:t>以来，</a:t>
                </a:r>
                <a:r>
                  <a:rPr lang="en-US" altLang="zh-CN" sz="700" b="1" i="0" baseline="0">
                    <a:effectLst/>
                  </a:rPr>
                  <a:t>%</a:t>
                </a:r>
                <a:r>
                  <a:rPr lang="zh-CN" altLang="en-US" sz="700" b="1" i="0" baseline="0">
                    <a:effectLst/>
                  </a:rPr>
                  <a:t>）</a:t>
                </a:r>
                <a:endParaRPr lang="en-US" altLang="zh-CN" sz="700" b="1" i="0" baseline="0">
                  <a:effectLst/>
                </a:endParaRPr>
              </a:p>
            </c:rich>
          </c:tx>
          <c:layout>
            <c:manualLayout>
              <c:xMode val="edge"/>
              <c:yMode val="edge"/>
              <c:x val="1.74291938997821E-3"/>
              <c:y val="0.216233877901978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891332687"/>
        <c:crossesAt val="0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12780108462096E-2"/>
          <c:y val="0.121031851851852"/>
          <c:w val="0.897629093370236"/>
          <c:h val="0.710080054129498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'面板-景气指数'!$A$37</c:f>
              <c:strCache>
                <c:ptCount val="1"/>
                <c:pt idx="0">
                  <c:v>石油石化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'面板-景气指数'!$F$37:$DF$37</c:f>
              <c:numCache>
                <c:formatCode>0.0%</c:formatCode>
                <c:ptCount val="105"/>
                <c:pt idx="0">
                  <c:v>0.57969999999999999</c:v>
                </c:pt>
                <c:pt idx="1">
                  <c:v>0.57725000000000004</c:v>
                </c:pt>
                <c:pt idx="2">
                  <c:v>0.62769999999999992</c:v>
                </c:pt>
                <c:pt idx="3">
                  <c:v>0.61424999999999996</c:v>
                </c:pt>
                <c:pt idx="4">
                  <c:v>0.60539999999999994</c:v>
                </c:pt>
                <c:pt idx="5">
                  <c:v>0.54020000000000001</c:v>
                </c:pt>
                <c:pt idx="6">
                  <c:v>0.62770000000000004</c:v>
                </c:pt>
                <c:pt idx="7">
                  <c:v>0.58419999999999994</c:v>
                </c:pt>
                <c:pt idx="8">
                  <c:v>0.46545000000000003</c:v>
                </c:pt>
                <c:pt idx="9">
                  <c:v>0.43189999999999995</c:v>
                </c:pt>
                <c:pt idx="10">
                  <c:v>0.56204999999999994</c:v>
                </c:pt>
                <c:pt idx="11">
                  <c:v>0.73639999999999994</c:v>
                </c:pt>
                <c:pt idx="12">
                  <c:v>0.81040000000000001</c:v>
                </c:pt>
                <c:pt idx="13">
                  <c:v>0.76439999999999997</c:v>
                </c:pt>
                <c:pt idx="14">
                  <c:v>0.64485000000000003</c:v>
                </c:pt>
                <c:pt idx="15">
                  <c:v>0.58794999999999997</c:v>
                </c:pt>
                <c:pt idx="16">
                  <c:v>0.73285</c:v>
                </c:pt>
                <c:pt idx="17">
                  <c:v>0.75744999999999996</c:v>
                </c:pt>
                <c:pt idx="18">
                  <c:v>0.76394999999999991</c:v>
                </c:pt>
                <c:pt idx="19">
                  <c:v>0.63824999999999998</c:v>
                </c:pt>
                <c:pt idx="20">
                  <c:v>0.60514999999999997</c:v>
                </c:pt>
                <c:pt idx="21">
                  <c:v>0.54229999999999989</c:v>
                </c:pt>
                <c:pt idx="22">
                  <c:v>0.57625000000000004</c:v>
                </c:pt>
                <c:pt idx="23">
                  <c:v>0.65764999999999996</c:v>
                </c:pt>
                <c:pt idx="24">
                  <c:v>0.69074999999999998</c:v>
                </c:pt>
                <c:pt idx="25">
                  <c:v>0.68504999999999983</c:v>
                </c:pt>
                <c:pt idx="26">
                  <c:v>0.69474999999999998</c:v>
                </c:pt>
                <c:pt idx="27">
                  <c:v>0.65790000000000004</c:v>
                </c:pt>
                <c:pt idx="28">
                  <c:v>0.68745000000000001</c:v>
                </c:pt>
                <c:pt idx="29">
                  <c:v>0.66789999999999994</c:v>
                </c:pt>
                <c:pt idx="30">
                  <c:v>0.72330000000000005</c:v>
                </c:pt>
                <c:pt idx="31">
                  <c:v>0.79774999999999996</c:v>
                </c:pt>
                <c:pt idx="32">
                  <c:v>0.88095000000000012</c:v>
                </c:pt>
                <c:pt idx="33">
                  <c:v>0.81555</c:v>
                </c:pt>
                <c:pt idx="34">
                  <c:v>0.77190000000000003</c:v>
                </c:pt>
                <c:pt idx="35">
                  <c:v>0.76229999999999998</c:v>
                </c:pt>
                <c:pt idx="36">
                  <c:v>0.79864999999999986</c:v>
                </c:pt>
                <c:pt idx="37">
                  <c:v>0.73059999999999992</c:v>
                </c:pt>
                <c:pt idx="38">
                  <c:v>0.65739999999999998</c:v>
                </c:pt>
                <c:pt idx="39">
                  <c:v>0.5553499999999999</c:v>
                </c:pt>
                <c:pt idx="40">
                  <c:v>0.44255000000000005</c:v>
                </c:pt>
                <c:pt idx="41">
                  <c:v>0.35935</c:v>
                </c:pt>
                <c:pt idx="42">
                  <c:v>0.36595</c:v>
                </c:pt>
                <c:pt idx="43">
                  <c:v>0.3523</c:v>
                </c:pt>
                <c:pt idx="44">
                  <c:v>0.3422</c:v>
                </c:pt>
                <c:pt idx="45">
                  <c:v>0.32955000000000001</c:v>
                </c:pt>
                <c:pt idx="46">
                  <c:v>0.26169999999999999</c:v>
                </c:pt>
                <c:pt idx="47">
                  <c:v>0.23259999999999997</c:v>
                </c:pt>
                <c:pt idx="48">
                  <c:v>0.17415</c:v>
                </c:pt>
                <c:pt idx="49">
                  <c:v>0.19835000000000003</c:v>
                </c:pt>
                <c:pt idx="50">
                  <c:v>0.26985000000000003</c:v>
                </c:pt>
                <c:pt idx="51">
                  <c:v>0.30559999999999998</c:v>
                </c:pt>
                <c:pt idx="52">
                  <c:v>0.33910000000000001</c:v>
                </c:pt>
                <c:pt idx="53">
                  <c:v>0.32959999999999995</c:v>
                </c:pt>
                <c:pt idx="54">
                  <c:v>0.27779999999999999</c:v>
                </c:pt>
                <c:pt idx="55">
                  <c:v>0.27675</c:v>
                </c:pt>
                <c:pt idx="56">
                  <c:v>0.31469999999999998</c:v>
                </c:pt>
                <c:pt idx="57">
                  <c:v>0.26724999999999999</c:v>
                </c:pt>
                <c:pt idx="58">
                  <c:v>0.28544999999999998</c:v>
                </c:pt>
                <c:pt idx="59">
                  <c:v>0.30044999999999999</c:v>
                </c:pt>
                <c:pt idx="60">
                  <c:v>0.31840000000000002</c:v>
                </c:pt>
                <c:pt idx="61">
                  <c:v>0.38389999999999996</c:v>
                </c:pt>
                <c:pt idx="62">
                  <c:v>0.42989999999999995</c:v>
                </c:pt>
                <c:pt idx="63">
                  <c:v>0.44925000000000004</c:v>
                </c:pt>
                <c:pt idx="64">
                  <c:v>0.42530000000000001</c:v>
                </c:pt>
                <c:pt idx="65">
                  <c:v>0.41080000000000005</c:v>
                </c:pt>
                <c:pt idx="66">
                  <c:v>0.38150000000000001</c:v>
                </c:pt>
                <c:pt idx="67">
                  <c:v>0.42930000000000001</c:v>
                </c:pt>
                <c:pt idx="68">
                  <c:v>0.42935000000000001</c:v>
                </c:pt>
                <c:pt idx="69">
                  <c:v>0.48079999999999995</c:v>
                </c:pt>
                <c:pt idx="70">
                  <c:v>0.52729999999999988</c:v>
                </c:pt>
                <c:pt idx="71">
                  <c:v>0.6107499999999999</c:v>
                </c:pt>
                <c:pt idx="72">
                  <c:v>0.67289999999999994</c:v>
                </c:pt>
                <c:pt idx="73">
                  <c:v>0.66034999999999999</c:v>
                </c:pt>
                <c:pt idx="74">
                  <c:v>0.62154999999999994</c:v>
                </c:pt>
                <c:pt idx="75">
                  <c:v>0.61164999999999992</c:v>
                </c:pt>
                <c:pt idx="76">
                  <c:v>0.6472</c:v>
                </c:pt>
                <c:pt idx="77">
                  <c:v>0.66154999999999997</c:v>
                </c:pt>
                <c:pt idx="78">
                  <c:v>0.70940000000000003</c:v>
                </c:pt>
                <c:pt idx="79">
                  <c:v>0.70594999999999997</c:v>
                </c:pt>
                <c:pt idx="80">
                  <c:v>0.69914999999999994</c:v>
                </c:pt>
                <c:pt idx="81">
                  <c:v>0.65710000000000002</c:v>
                </c:pt>
                <c:pt idx="82">
                  <c:v>0.61380000000000001</c:v>
                </c:pt>
                <c:pt idx="83">
                  <c:v>0.55645</c:v>
                </c:pt>
                <c:pt idx="84">
                  <c:v>0.5423</c:v>
                </c:pt>
                <c:pt idx="85">
                  <c:v>0.54644999999999999</c:v>
                </c:pt>
                <c:pt idx="86">
                  <c:v>0.53390000000000004</c:v>
                </c:pt>
                <c:pt idx="87">
                  <c:v>0.53595000000000004</c:v>
                </c:pt>
                <c:pt idx="88">
                  <c:v>0.48659999999999992</c:v>
                </c:pt>
                <c:pt idx="89">
                  <c:v>0.39350000000000002</c:v>
                </c:pt>
                <c:pt idx="90">
                  <c:v>0.29144999999999999</c:v>
                </c:pt>
                <c:pt idx="91">
                  <c:v>0.22635000000000002</c:v>
                </c:pt>
                <c:pt idx="92">
                  <c:v>0.21424999999999997</c:v>
                </c:pt>
                <c:pt idx="93">
                  <c:v>0.22175</c:v>
                </c:pt>
                <c:pt idx="94">
                  <c:v>0.22735</c:v>
                </c:pt>
                <c:pt idx="95">
                  <c:v>0.18890000000000001</c:v>
                </c:pt>
                <c:pt idx="96">
                  <c:v>0.17085</c:v>
                </c:pt>
                <c:pt idx="97">
                  <c:v>0.15550000000000003</c:v>
                </c:pt>
                <c:pt idx="98">
                  <c:v>0.16075</c:v>
                </c:pt>
                <c:pt idx="99">
                  <c:v>0.17835000000000001</c:v>
                </c:pt>
                <c:pt idx="100">
                  <c:v>0.31459999999999999</c:v>
                </c:pt>
                <c:pt idx="101">
                  <c:v>0.34139999999999998</c:v>
                </c:pt>
                <c:pt idx="102">
                  <c:v>0.37435000000000002</c:v>
                </c:pt>
                <c:pt idx="103">
                  <c:v>0.31499999999999995</c:v>
                </c:pt>
                <c:pt idx="104">
                  <c:v>0.31194999999999995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1F-4A6A-90F5-35B48BC233F3}"/>
            </c:ext>
          </c:extLst>
        </c:ser>
        <c:ser>
          <c:idx val="1"/>
          <c:order val="1"/>
          <c:tx>
            <c:strRef>
              <c:f>'面板-景气指数'!$A$70</c:f>
              <c:strCache>
                <c:ptCount val="1"/>
                <c:pt idx="0">
                  <c:v>油气开采/油服工程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'面板-景气指数'!$F$70:$DF$70</c:f>
              <c:numCache>
                <c:formatCode>0.0%</c:formatCode>
                <c:ptCount val="105"/>
                <c:pt idx="0">
                  <c:v>0.54723076923076919</c:v>
                </c:pt>
                <c:pt idx="1">
                  <c:v>0.55369230769230759</c:v>
                </c:pt>
                <c:pt idx="2">
                  <c:v>0.64207692307692288</c:v>
                </c:pt>
                <c:pt idx="3">
                  <c:v>0.65799999999999992</c:v>
                </c:pt>
                <c:pt idx="4">
                  <c:v>0.69123076923076909</c:v>
                </c:pt>
                <c:pt idx="5">
                  <c:v>0.71099999999999985</c:v>
                </c:pt>
                <c:pt idx="6">
                  <c:v>0.72015384615384603</c:v>
                </c:pt>
                <c:pt idx="7">
                  <c:v>0.66884615384615365</c:v>
                </c:pt>
                <c:pt idx="8">
                  <c:v>0.64338461538461533</c:v>
                </c:pt>
                <c:pt idx="9">
                  <c:v>0.63861538461538447</c:v>
                </c:pt>
                <c:pt idx="10">
                  <c:v>0.67138461538461514</c:v>
                </c:pt>
                <c:pt idx="11">
                  <c:v>0.72046153846153826</c:v>
                </c:pt>
                <c:pt idx="12">
                  <c:v>0.76592307692307682</c:v>
                </c:pt>
                <c:pt idx="13">
                  <c:v>0.76838461538461533</c:v>
                </c:pt>
                <c:pt idx="14">
                  <c:v>0.69969230769230761</c:v>
                </c:pt>
                <c:pt idx="15">
                  <c:v>0.63530769230769202</c:v>
                </c:pt>
                <c:pt idx="16">
                  <c:v>0.59438461538461529</c:v>
                </c:pt>
                <c:pt idx="17">
                  <c:v>0.62684615384615372</c:v>
                </c:pt>
                <c:pt idx="18">
                  <c:v>0.64761538461538448</c:v>
                </c:pt>
                <c:pt idx="19">
                  <c:v>0.67392307692307685</c:v>
                </c:pt>
                <c:pt idx="20">
                  <c:v>0.70646153846153825</c:v>
                </c:pt>
                <c:pt idx="21">
                  <c:v>0.71961538461538443</c:v>
                </c:pt>
                <c:pt idx="22">
                  <c:v>0.74061538461538445</c:v>
                </c:pt>
                <c:pt idx="23">
                  <c:v>0.75599999999999989</c:v>
                </c:pt>
                <c:pt idx="24">
                  <c:v>0.78053846153846129</c:v>
                </c:pt>
                <c:pt idx="25">
                  <c:v>0.79276923076923045</c:v>
                </c:pt>
                <c:pt idx="26">
                  <c:v>0.81792307692307664</c:v>
                </c:pt>
                <c:pt idx="27">
                  <c:v>0.85061538461538455</c:v>
                </c:pt>
                <c:pt idx="28">
                  <c:v>0.85407692307692296</c:v>
                </c:pt>
                <c:pt idx="29">
                  <c:v>0.85523076923076902</c:v>
                </c:pt>
                <c:pt idx="30">
                  <c:v>0.84138461538461529</c:v>
                </c:pt>
                <c:pt idx="31">
                  <c:v>0.86169230769230742</c:v>
                </c:pt>
                <c:pt idx="32">
                  <c:v>0.85346153846153838</c:v>
                </c:pt>
                <c:pt idx="33">
                  <c:v>0.73238461538461519</c:v>
                </c:pt>
                <c:pt idx="34">
                  <c:v>0.67546153846153834</c:v>
                </c:pt>
                <c:pt idx="35">
                  <c:v>0.70269230769230762</c:v>
                </c:pt>
                <c:pt idx="36">
                  <c:v>0.73223076923076902</c:v>
                </c:pt>
                <c:pt idx="37">
                  <c:v>0.66953846153846142</c:v>
                </c:pt>
                <c:pt idx="38">
                  <c:v>0.65115384615384608</c:v>
                </c:pt>
                <c:pt idx="39">
                  <c:v>0.63523076923076904</c:v>
                </c:pt>
                <c:pt idx="40">
                  <c:v>0.60276923076923072</c:v>
                </c:pt>
                <c:pt idx="41">
                  <c:v>0.52161538461538448</c:v>
                </c:pt>
                <c:pt idx="42">
                  <c:v>0.49515384615384611</c:v>
                </c:pt>
                <c:pt idx="43">
                  <c:v>0.4326923076923076</c:v>
                </c:pt>
                <c:pt idx="44">
                  <c:v>0.3907692307692307</c:v>
                </c:pt>
                <c:pt idx="45">
                  <c:v>0.32930769230769225</c:v>
                </c:pt>
                <c:pt idx="46">
                  <c:v>0.23569230769230765</c:v>
                </c:pt>
                <c:pt idx="47">
                  <c:v>0.20115384615384613</c:v>
                </c:pt>
                <c:pt idx="48">
                  <c:v>0.18446153846153843</c:v>
                </c:pt>
                <c:pt idx="49">
                  <c:v>0.20607692307692305</c:v>
                </c:pt>
                <c:pt idx="50">
                  <c:v>0.20623076923076919</c:v>
                </c:pt>
                <c:pt idx="51">
                  <c:v>0.15676923076923074</c:v>
                </c:pt>
                <c:pt idx="52">
                  <c:v>9.3076923076923071E-2</c:v>
                </c:pt>
                <c:pt idx="53">
                  <c:v>6.2846153846153843E-2</c:v>
                </c:pt>
                <c:pt idx="54">
                  <c:v>7.1999999999999981E-2</c:v>
                </c:pt>
                <c:pt idx="55">
                  <c:v>0.1592307692307692</c:v>
                </c:pt>
                <c:pt idx="56">
                  <c:v>0.33284615384615374</c:v>
                </c:pt>
                <c:pt idx="57">
                  <c:v>0.36969230769230765</c:v>
                </c:pt>
                <c:pt idx="58">
                  <c:v>0.38207692307692293</c:v>
                </c:pt>
                <c:pt idx="59">
                  <c:v>0.35776923076923067</c:v>
                </c:pt>
                <c:pt idx="60">
                  <c:v>0.34876923076923072</c:v>
                </c:pt>
                <c:pt idx="61">
                  <c:v>0.40269230769230757</c:v>
                </c:pt>
                <c:pt idx="62">
                  <c:v>0.46323076923076911</c:v>
                </c:pt>
                <c:pt idx="63">
                  <c:v>0.47684615384615375</c:v>
                </c:pt>
                <c:pt idx="64">
                  <c:v>0.52884615384615374</c:v>
                </c:pt>
                <c:pt idx="65">
                  <c:v>0.53830769230769226</c:v>
                </c:pt>
                <c:pt idx="66">
                  <c:v>0.54007692307692301</c:v>
                </c:pt>
                <c:pt idx="67">
                  <c:v>0.47792307692307678</c:v>
                </c:pt>
                <c:pt idx="68">
                  <c:v>0.3837692307692307</c:v>
                </c:pt>
                <c:pt idx="69">
                  <c:v>0.35846153846153839</c:v>
                </c:pt>
                <c:pt idx="70">
                  <c:v>0.41438461538461524</c:v>
                </c:pt>
                <c:pt idx="71">
                  <c:v>0.5476153846153845</c:v>
                </c:pt>
                <c:pt idx="72">
                  <c:v>0.65884615384615364</c:v>
                </c:pt>
                <c:pt idx="73">
                  <c:v>0.66592307692307684</c:v>
                </c:pt>
                <c:pt idx="74">
                  <c:v>0.62723076923076904</c:v>
                </c:pt>
                <c:pt idx="75">
                  <c:v>0.63784615384615362</c:v>
                </c:pt>
                <c:pt idx="76">
                  <c:v>0.65592307692307683</c:v>
                </c:pt>
                <c:pt idx="77">
                  <c:v>0.61553846153846148</c:v>
                </c:pt>
                <c:pt idx="78">
                  <c:v>0.60030769230769221</c:v>
                </c:pt>
                <c:pt idx="79">
                  <c:v>0.57938461538461528</c:v>
                </c:pt>
                <c:pt idx="80">
                  <c:v>0.55815384615384611</c:v>
                </c:pt>
                <c:pt idx="81">
                  <c:v>0.53546153846153832</c:v>
                </c:pt>
                <c:pt idx="82">
                  <c:v>0.48446153846153839</c:v>
                </c:pt>
                <c:pt idx="83">
                  <c:v>0.43284615384615371</c:v>
                </c:pt>
                <c:pt idx="84">
                  <c:v>0.4008461538461538</c:v>
                </c:pt>
                <c:pt idx="85">
                  <c:v>0.39161538461538453</c:v>
                </c:pt>
                <c:pt idx="86">
                  <c:v>0.3561538461538461</c:v>
                </c:pt>
                <c:pt idx="87">
                  <c:v>0.3388461538461538</c:v>
                </c:pt>
                <c:pt idx="88">
                  <c:v>0.30976923076923069</c:v>
                </c:pt>
                <c:pt idx="89">
                  <c:v>0.30761538461538457</c:v>
                </c:pt>
                <c:pt idx="90">
                  <c:v>0.31807692307692298</c:v>
                </c:pt>
                <c:pt idx="91">
                  <c:v>0.3277692307692307</c:v>
                </c:pt>
                <c:pt idx="92">
                  <c:v>0.31399999999999989</c:v>
                </c:pt>
                <c:pt idx="93">
                  <c:v>0.27869230769230763</c:v>
                </c:pt>
                <c:pt idx="94">
                  <c:v>0.26092307692307687</c:v>
                </c:pt>
                <c:pt idx="95">
                  <c:v>0.23838461538461533</c:v>
                </c:pt>
                <c:pt idx="96">
                  <c:v>0.25261538461538458</c:v>
                </c:pt>
                <c:pt idx="97">
                  <c:v>0.23923076923076922</c:v>
                </c:pt>
                <c:pt idx="98">
                  <c:v>0.24246153846153845</c:v>
                </c:pt>
                <c:pt idx="99">
                  <c:v>0.23830769230769228</c:v>
                </c:pt>
                <c:pt idx="100">
                  <c:v>0.24923076923076914</c:v>
                </c:pt>
                <c:pt idx="101">
                  <c:v>0.20646153846153845</c:v>
                </c:pt>
                <c:pt idx="102">
                  <c:v>0.15807692307692306</c:v>
                </c:pt>
                <c:pt idx="103">
                  <c:v>0.11361538461538459</c:v>
                </c:pt>
                <c:pt idx="104">
                  <c:v>9.3307692307692286E-2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1F-4A6A-90F5-35B48BC233F3}"/>
            </c:ext>
          </c:extLst>
        </c:ser>
        <c:ser>
          <c:idx val="2"/>
          <c:order val="2"/>
          <c:tx>
            <c:strRef>
              <c:f>'面板-景气指数'!$A$71</c:f>
              <c:strCache>
                <c:ptCount val="1"/>
                <c:pt idx="0">
                  <c:v>炼化及贸易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'面板-景气指数'!$F$71:$DF$71</c:f>
              <c:numCache>
                <c:formatCode>0.0%</c:formatCode>
                <c:ptCount val="105"/>
                <c:pt idx="0">
                  <c:v>0.64</c:v>
                </c:pt>
                <c:pt idx="1">
                  <c:v>0.621</c:v>
                </c:pt>
                <c:pt idx="2">
                  <c:v>0.60099999999999998</c:v>
                </c:pt>
                <c:pt idx="3">
                  <c:v>0.53300000000000003</c:v>
                </c:pt>
                <c:pt idx="4">
                  <c:v>0.44600000000000001</c:v>
                </c:pt>
                <c:pt idx="5">
                  <c:v>0.223</c:v>
                </c:pt>
                <c:pt idx="6">
                  <c:v>0.45600000000000002</c:v>
                </c:pt>
                <c:pt idx="7">
                  <c:v>0.42700000000000005</c:v>
                </c:pt>
                <c:pt idx="8">
                  <c:v>0.13500000000000001</c:v>
                </c:pt>
                <c:pt idx="9">
                  <c:v>4.8000000000000001E-2</c:v>
                </c:pt>
                <c:pt idx="10">
                  <c:v>0.35899999999999999</c:v>
                </c:pt>
                <c:pt idx="11">
                  <c:v>0.76600000000000001</c:v>
                </c:pt>
                <c:pt idx="12">
                  <c:v>0.89300000000000002</c:v>
                </c:pt>
                <c:pt idx="13">
                  <c:v>0.7569999999999999</c:v>
                </c:pt>
                <c:pt idx="14">
                  <c:v>0.54300000000000004</c:v>
                </c:pt>
                <c:pt idx="15">
                  <c:v>0.5</c:v>
                </c:pt>
                <c:pt idx="16">
                  <c:v>0.99</c:v>
                </c:pt>
                <c:pt idx="17">
                  <c:v>1</c:v>
                </c:pt>
                <c:pt idx="18">
                  <c:v>0.98</c:v>
                </c:pt>
                <c:pt idx="19">
                  <c:v>0.57199999999999995</c:v>
                </c:pt>
                <c:pt idx="20">
                  <c:v>0.41700000000000004</c:v>
                </c:pt>
                <c:pt idx="21">
                  <c:v>0.21299999999999999</c:v>
                </c:pt>
                <c:pt idx="22">
                  <c:v>0.27100000000000002</c:v>
                </c:pt>
                <c:pt idx="23">
                  <c:v>0.47499999999999998</c:v>
                </c:pt>
                <c:pt idx="24">
                  <c:v>0.52400000000000002</c:v>
                </c:pt>
                <c:pt idx="25">
                  <c:v>0.48499999999999999</c:v>
                </c:pt>
                <c:pt idx="26">
                  <c:v>0.46600000000000003</c:v>
                </c:pt>
                <c:pt idx="27">
                  <c:v>0.3</c:v>
                </c:pt>
                <c:pt idx="28">
                  <c:v>0.378</c:v>
                </c:pt>
                <c:pt idx="29">
                  <c:v>0.32</c:v>
                </c:pt>
                <c:pt idx="30">
                  <c:v>0.504</c:v>
                </c:pt>
                <c:pt idx="31">
                  <c:v>0.67900000000000005</c:v>
                </c:pt>
                <c:pt idx="32">
                  <c:v>0.93200000000000005</c:v>
                </c:pt>
                <c:pt idx="33">
                  <c:v>0.97</c:v>
                </c:pt>
                <c:pt idx="34">
                  <c:v>0.95099999999999996</c:v>
                </c:pt>
                <c:pt idx="35">
                  <c:v>0.873</c:v>
                </c:pt>
                <c:pt idx="36">
                  <c:v>0.92200000000000004</c:v>
                </c:pt>
                <c:pt idx="37">
                  <c:v>0.84400000000000008</c:v>
                </c:pt>
                <c:pt idx="38">
                  <c:v>0.66900000000000004</c:v>
                </c:pt>
                <c:pt idx="39">
                  <c:v>0.40700000000000003</c:v>
                </c:pt>
                <c:pt idx="40">
                  <c:v>0.14499999999999999</c:v>
                </c:pt>
                <c:pt idx="41">
                  <c:v>5.8000000000000003E-2</c:v>
                </c:pt>
                <c:pt idx="42">
                  <c:v>0.126</c:v>
                </c:pt>
                <c:pt idx="43">
                  <c:v>0.20300000000000001</c:v>
                </c:pt>
                <c:pt idx="44">
                  <c:v>0.252</c:v>
                </c:pt>
                <c:pt idx="45">
                  <c:v>0.33</c:v>
                </c:pt>
                <c:pt idx="46">
                  <c:v>0.31</c:v>
                </c:pt>
                <c:pt idx="47">
                  <c:v>0.29099999999999998</c:v>
                </c:pt>
                <c:pt idx="48">
                  <c:v>0.155</c:v>
                </c:pt>
                <c:pt idx="49">
                  <c:v>0.184</c:v>
                </c:pt>
                <c:pt idx="50">
                  <c:v>0.38800000000000001</c:v>
                </c:pt>
                <c:pt idx="51">
                  <c:v>0.58199999999999996</c:v>
                </c:pt>
                <c:pt idx="52">
                  <c:v>0.79600000000000004</c:v>
                </c:pt>
                <c:pt idx="53">
                  <c:v>0.82499999999999996</c:v>
                </c:pt>
                <c:pt idx="54">
                  <c:v>0.66</c:v>
                </c:pt>
                <c:pt idx="55">
                  <c:v>0.495</c:v>
                </c:pt>
                <c:pt idx="56">
                  <c:v>0.28100000000000003</c:v>
                </c:pt>
                <c:pt idx="57">
                  <c:v>7.6999999999999999E-2</c:v>
                </c:pt>
                <c:pt idx="58">
                  <c:v>0.10599999999999998</c:v>
                </c:pt>
                <c:pt idx="59">
                  <c:v>0.19400000000000001</c:v>
                </c:pt>
                <c:pt idx="60">
                  <c:v>0.26200000000000001</c:v>
                </c:pt>
                <c:pt idx="61">
                  <c:v>0.34899999999999998</c:v>
                </c:pt>
                <c:pt idx="62">
                  <c:v>0.36799999999999999</c:v>
                </c:pt>
                <c:pt idx="63">
                  <c:v>0.39800000000000002</c:v>
                </c:pt>
                <c:pt idx="64">
                  <c:v>0.23300000000000001</c:v>
                </c:pt>
                <c:pt idx="65">
                  <c:v>0.17399999999999999</c:v>
                </c:pt>
                <c:pt idx="66">
                  <c:v>8.6999999999999994E-2</c:v>
                </c:pt>
                <c:pt idx="67">
                  <c:v>0.33900000000000002</c:v>
                </c:pt>
                <c:pt idx="68">
                  <c:v>0.51400000000000001</c:v>
                </c:pt>
                <c:pt idx="69">
                  <c:v>0.70799999999999996</c:v>
                </c:pt>
                <c:pt idx="70">
                  <c:v>0.73699999999999988</c:v>
                </c:pt>
                <c:pt idx="71">
                  <c:v>0.72799999999999998</c:v>
                </c:pt>
                <c:pt idx="72">
                  <c:v>0.69899999999999995</c:v>
                </c:pt>
                <c:pt idx="73">
                  <c:v>0.65</c:v>
                </c:pt>
                <c:pt idx="74">
                  <c:v>0.61099999999999999</c:v>
                </c:pt>
                <c:pt idx="75">
                  <c:v>0.56299999999999994</c:v>
                </c:pt>
                <c:pt idx="76">
                  <c:v>0.63100000000000001</c:v>
                </c:pt>
                <c:pt idx="77">
                  <c:v>0.74699999999999989</c:v>
                </c:pt>
                <c:pt idx="78">
                  <c:v>0.91200000000000003</c:v>
                </c:pt>
                <c:pt idx="79">
                  <c:v>0.94099999999999995</c:v>
                </c:pt>
                <c:pt idx="80">
                  <c:v>0.96099999999999997</c:v>
                </c:pt>
                <c:pt idx="81">
                  <c:v>0.88300000000000001</c:v>
                </c:pt>
                <c:pt idx="82">
                  <c:v>0.85400000000000009</c:v>
                </c:pt>
                <c:pt idx="83">
                  <c:v>0.78600000000000003</c:v>
                </c:pt>
                <c:pt idx="84">
                  <c:v>0.80500000000000005</c:v>
                </c:pt>
                <c:pt idx="85">
                  <c:v>0.83400000000000007</c:v>
                </c:pt>
                <c:pt idx="86">
                  <c:v>0.8640000000000001</c:v>
                </c:pt>
                <c:pt idx="87">
                  <c:v>0.90200000000000002</c:v>
                </c:pt>
                <c:pt idx="88">
                  <c:v>0.81499999999999995</c:v>
                </c:pt>
                <c:pt idx="89">
                  <c:v>0.55300000000000005</c:v>
                </c:pt>
                <c:pt idx="90">
                  <c:v>0.24200000000000002</c:v>
                </c:pt>
                <c:pt idx="91">
                  <c:v>3.7999999999999999E-2</c:v>
                </c:pt>
                <c:pt idx="92">
                  <c:v>2.9000000000000001E-2</c:v>
                </c:pt>
                <c:pt idx="93">
                  <c:v>0.11600000000000001</c:v>
                </c:pt>
                <c:pt idx="94">
                  <c:v>0.16500000000000001</c:v>
                </c:pt>
                <c:pt idx="95">
                  <c:v>9.7000000000000003E-2</c:v>
                </c:pt>
                <c:pt idx="96">
                  <c:v>1.9E-2</c:v>
                </c:pt>
                <c:pt idx="97">
                  <c:v>0</c:v>
                </c:pt>
                <c:pt idx="98">
                  <c:v>8.9999999999999993E-3</c:v>
                </c:pt>
                <c:pt idx="99">
                  <c:v>6.7000000000000004E-2</c:v>
                </c:pt>
                <c:pt idx="100">
                  <c:v>0.436</c:v>
                </c:pt>
                <c:pt idx="101">
                  <c:v>0.59199999999999997</c:v>
                </c:pt>
                <c:pt idx="102">
                  <c:v>0.77600000000000002</c:v>
                </c:pt>
                <c:pt idx="103">
                  <c:v>0.68899999999999995</c:v>
                </c:pt>
                <c:pt idx="104">
                  <c:v>0.71799999999999997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1F-4A6A-90F5-35B48BC23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8.7787401574803206E-2"/>
          <c:y val="9.1138086905803405E-3"/>
          <c:w val="0.80958583880718604"/>
          <c:h val="9.50648877223679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12664352848807E-2"/>
          <c:y val="0.121031851851852"/>
          <c:w val="0.89764310495670796"/>
          <c:h val="0.7098774074074070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'面板-景气指数'!$A$38</c:f>
              <c:strCache>
                <c:ptCount val="1"/>
                <c:pt idx="0">
                  <c:v>煤炭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'面板-景气指数'!$F$38:$DF$38</c:f>
              <c:numCache>
                <c:formatCode>0.0%</c:formatCode>
                <c:ptCount val="105"/>
                <c:pt idx="0">
                  <c:v>0.52933333333333377</c:v>
                </c:pt>
                <c:pt idx="1">
                  <c:v>0.55466666666666709</c:v>
                </c:pt>
                <c:pt idx="2">
                  <c:v>0.61600000000000055</c:v>
                </c:pt>
                <c:pt idx="3">
                  <c:v>0.61916666666666731</c:v>
                </c:pt>
                <c:pt idx="4">
                  <c:v>0.60766666666666724</c:v>
                </c:pt>
                <c:pt idx="5">
                  <c:v>0.6221666666666672</c:v>
                </c:pt>
                <c:pt idx="6">
                  <c:v>0.64333333333333387</c:v>
                </c:pt>
                <c:pt idx="7">
                  <c:v>0.65750000000000064</c:v>
                </c:pt>
                <c:pt idx="8">
                  <c:v>0.6716666666666673</c:v>
                </c:pt>
                <c:pt idx="9">
                  <c:v>0.72783333333333411</c:v>
                </c:pt>
                <c:pt idx="10">
                  <c:v>0.70050000000000068</c:v>
                </c:pt>
                <c:pt idx="11">
                  <c:v>0.66950000000000065</c:v>
                </c:pt>
                <c:pt idx="12">
                  <c:v>0.64150000000000063</c:v>
                </c:pt>
                <c:pt idx="13">
                  <c:v>0.63366666666666727</c:v>
                </c:pt>
                <c:pt idx="14">
                  <c:v>0.63333333333333397</c:v>
                </c:pt>
                <c:pt idx="15">
                  <c:v>0.68483333333333396</c:v>
                </c:pt>
                <c:pt idx="16">
                  <c:v>0.78883333333333416</c:v>
                </c:pt>
                <c:pt idx="17">
                  <c:v>0.84300000000000086</c:v>
                </c:pt>
                <c:pt idx="18">
                  <c:v>0.86033333333333417</c:v>
                </c:pt>
                <c:pt idx="19">
                  <c:v>0.855833333333334</c:v>
                </c:pt>
                <c:pt idx="20">
                  <c:v>0.80850000000000077</c:v>
                </c:pt>
                <c:pt idx="21">
                  <c:v>0.84366666666666745</c:v>
                </c:pt>
                <c:pt idx="22">
                  <c:v>0.82250000000000068</c:v>
                </c:pt>
                <c:pt idx="23">
                  <c:v>0.82050000000000067</c:v>
                </c:pt>
                <c:pt idx="24">
                  <c:v>0.81683333333333397</c:v>
                </c:pt>
                <c:pt idx="25">
                  <c:v>0.82766666666666733</c:v>
                </c:pt>
                <c:pt idx="26">
                  <c:v>0.84883333333333399</c:v>
                </c:pt>
                <c:pt idx="27">
                  <c:v>0.86833333333333407</c:v>
                </c:pt>
                <c:pt idx="28">
                  <c:v>0.84100000000000086</c:v>
                </c:pt>
                <c:pt idx="29">
                  <c:v>0.93066666666666742</c:v>
                </c:pt>
                <c:pt idx="30">
                  <c:v>0.91800000000000082</c:v>
                </c:pt>
                <c:pt idx="31">
                  <c:v>0.88283333333333414</c:v>
                </c:pt>
                <c:pt idx="32">
                  <c:v>0.86633333333333407</c:v>
                </c:pt>
                <c:pt idx="33">
                  <c:v>0.85450000000000093</c:v>
                </c:pt>
                <c:pt idx="34">
                  <c:v>0.87016666666666764</c:v>
                </c:pt>
                <c:pt idx="35">
                  <c:v>0.787333333333334</c:v>
                </c:pt>
                <c:pt idx="36">
                  <c:v>0.76633333333333398</c:v>
                </c:pt>
                <c:pt idx="37">
                  <c:v>0.72133333333333394</c:v>
                </c:pt>
                <c:pt idx="38">
                  <c:v>0.65883333333333383</c:v>
                </c:pt>
                <c:pt idx="39">
                  <c:v>0.6355000000000004</c:v>
                </c:pt>
                <c:pt idx="40">
                  <c:v>0.61150000000000049</c:v>
                </c:pt>
                <c:pt idx="41">
                  <c:v>0.5656666666666671</c:v>
                </c:pt>
                <c:pt idx="42">
                  <c:v>0.40416666666666695</c:v>
                </c:pt>
                <c:pt idx="43">
                  <c:v>0.49650000000000039</c:v>
                </c:pt>
                <c:pt idx="44">
                  <c:v>0.56033333333333368</c:v>
                </c:pt>
                <c:pt idx="45">
                  <c:v>0.59066666666666712</c:v>
                </c:pt>
                <c:pt idx="46">
                  <c:v>0.393666666666667</c:v>
                </c:pt>
                <c:pt idx="47">
                  <c:v>0.22666666666666688</c:v>
                </c:pt>
                <c:pt idx="48">
                  <c:v>0.17400000000000015</c:v>
                </c:pt>
                <c:pt idx="49">
                  <c:v>0.15950000000000014</c:v>
                </c:pt>
                <c:pt idx="50">
                  <c:v>0.14683333333333348</c:v>
                </c:pt>
                <c:pt idx="51">
                  <c:v>0.11350000000000011</c:v>
                </c:pt>
                <c:pt idx="52">
                  <c:v>0.11316666666666679</c:v>
                </c:pt>
                <c:pt idx="53">
                  <c:v>0.12616666666666684</c:v>
                </c:pt>
                <c:pt idx="54">
                  <c:v>0.12016666666666681</c:v>
                </c:pt>
                <c:pt idx="55">
                  <c:v>0.15333333333333346</c:v>
                </c:pt>
                <c:pt idx="56">
                  <c:v>0.14500000000000013</c:v>
                </c:pt>
                <c:pt idx="57">
                  <c:v>0.18933333333333358</c:v>
                </c:pt>
                <c:pt idx="58">
                  <c:v>0.29116666666666713</c:v>
                </c:pt>
                <c:pt idx="59">
                  <c:v>0.32433333333333381</c:v>
                </c:pt>
                <c:pt idx="60">
                  <c:v>0.34216666666666712</c:v>
                </c:pt>
                <c:pt idx="61">
                  <c:v>0.3731666666666672</c:v>
                </c:pt>
                <c:pt idx="62">
                  <c:v>0.40100000000000058</c:v>
                </c:pt>
                <c:pt idx="63">
                  <c:v>0.44350000000000062</c:v>
                </c:pt>
                <c:pt idx="64">
                  <c:v>0.47500000000000064</c:v>
                </c:pt>
                <c:pt idx="65">
                  <c:v>0.49183333333333396</c:v>
                </c:pt>
                <c:pt idx="66">
                  <c:v>0.43050000000000055</c:v>
                </c:pt>
                <c:pt idx="67">
                  <c:v>0.41000000000000053</c:v>
                </c:pt>
                <c:pt idx="68">
                  <c:v>0.40183333333333388</c:v>
                </c:pt>
                <c:pt idx="69">
                  <c:v>0.4293333333333339</c:v>
                </c:pt>
                <c:pt idx="70">
                  <c:v>0.46916666666666723</c:v>
                </c:pt>
                <c:pt idx="71">
                  <c:v>0.49000000000000055</c:v>
                </c:pt>
                <c:pt idx="72">
                  <c:v>0.45000000000000051</c:v>
                </c:pt>
                <c:pt idx="73">
                  <c:v>0.45300000000000046</c:v>
                </c:pt>
                <c:pt idx="74">
                  <c:v>0.48366666666666708</c:v>
                </c:pt>
                <c:pt idx="75">
                  <c:v>0.48866666666666714</c:v>
                </c:pt>
                <c:pt idx="76">
                  <c:v>0.42783333333333379</c:v>
                </c:pt>
                <c:pt idx="77">
                  <c:v>0.40983333333333383</c:v>
                </c:pt>
                <c:pt idx="78">
                  <c:v>0.49783333333333379</c:v>
                </c:pt>
                <c:pt idx="79">
                  <c:v>0.52366666666666717</c:v>
                </c:pt>
                <c:pt idx="80">
                  <c:v>0.54450000000000043</c:v>
                </c:pt>
                <c:pt idx="81">
                  <c:v>0.4998333333333338</c:v>
                </c:pt>
                <c:pt idx="82">
                  <c:v>0.50433333333333374</c:v>
                </c:pt>
                <c:pt idx="83">
                  <c:v>0.5058333333333338</c:v>
                </c:pt>
                <c:pt idx="84">
                  <c:v>0.48350000000000043</c:v>
                </c:pt>
                <c:pt idx="85">
                  <c:v>0.40483333333333371</c:v>
                </c:pt>
                <c:pt idx="86">
                  <c:v>0.28650000000000031</c:v>
                </c:pt>
                <c:pt idx="87">
                  <c:v>0.25750000000000028</c:v>
                </c:pt>
                <c:pt idx="88">
                  <c:v>0.29750000000000032</c:v>
                </c:pt>
                <c:pt idx="89">
                  <c:v>0.37783333333333369</c:v>
                </c:pt>
                <c:pt idx="90">
                  <c:v>0.40183333333333371</c:v>
                </c:pt>
                <c:pt idx="91">
                  <c:v>0.37133333333333368</c:v>
                </c:pt>
                <c:pt idx="92">
                  <c:v>0.36816666666666709</c:v>
                </c:pt>
                <c:pt idx="93">
                  <c:v>0.44350000000000039</c:v>
                </c:pt>
                <c:pt idx="94">
                  <c:v>0.41950000000000037</c:v>
                </c:pt>
                <c:pt idx="95">
                  <c:v>0.30566666666666686</c:v>
                </c:pt>
                <c:pt idx="96">
                  <c:v>0.17116666666666686</c:v>
                </c:pt>
                <c:pt idx="97">
                  <c:v>0.13916666666666688</c:v>
                </c:pt>
                <c:pt idx="98">
                  <c:v>0.13083333333333352</c:v>
                </c:pt>
                <c:pt idx="99">
                  <c:v>0.12333333333333354</c:v>
                </c:pt>
                <c:pt idx="100">
                  <c:v>0.11500000000000019</c:v>
                </c:pt>
                <c:pt idx="101">
                  <c:v>0.10666666666666685</c:v>
                </c:pt>
                <c:pt idx="102">
                  <c:v>9.5833333333333492E-2</c:v>
                </c:pt>
                <c:pt idx="103">
                  <c:v>8.7833333333333499E-2</c:v>
                </c:pt>
                <c:pt idx="104">
                  <c:v>8.9666666666666853E-2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F8-4B47-A3C7-98E0E6C68CC7}"/>
            </c:ext>
          </c:extLst>
        </c:ser>
        <c:ser>
          <c:idx val="1"/>
          <c:order val="1"/>
          <c:tx>
            <c:strRef>
              <c:f>'面板-景气指数'!$A$73</c:f>
              <c:strCache>
                <c:ptCount val="1"/>
                <c:pt idx="0">
                  <c:v>焦煤 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'面板-景气指数'!$F$73:$DF$73</c:f>
              <c:numCache>
                <c:formatCode>0.0%</c:formatCode>
                <c:ptCount val="105"/>
                <c:pt idx="0">
                  <c:v>0.317</c:v>
                </c:pt>
                <c:pt idx="1">
                  <c:v>0.42299999999999999</c:v>
                </c:pt>
                <c:pt idx="2">
                  <c:v>0.625</c:v>
                </c:pt>
                <c:pt idx="3">
                  <c:v>0.69199999999999995</c:v>
                </c:pt>
                <c:pt idx="4">
                  <c:v>0.70099999999999996</c:v>
                </c:pt>
                <c:pt idx="5">
                  <c:v>0.71099999999999997</c:v>
                </c:pt>
                <c:pt idx="6">
                  <c:v>0.74</c:v>
                </c:pt>
                <c:pt idx="7">
                  <c:v>0.77800000000000002</c:v>
                </c:pt>
                <c:pt idx="8">
                  <c:v>0.79800000000000004</c:v>
                </c:pt>
                <c:pt idx="9">
                  <c:v>0.78800000000000014</c:v>
                </c:pt>
                <c:pt idx="10">
                  <c:v>0.75900000000000001</c:v>
                </c:pt>
                <c:pt idx="11">
                  <c:v>0.73</c:v>
                </c:pt>
                <c:pt idx="12">
                  <c:v>0.67300000000000004</c:v>
                </c:pt>
                <c:pt idx="13">
                  <c:v>0.57599999999999996</c:v>
                </c:pt>
                <c:pt idx="14">
                  <c:v>0.60499999999999998</c:v>
                </c:pt>
                <c:pt idx="15">
                  <c:v>0.64400000000000002</c:v>
                </c:pt>
                <c:pt idx="16">
                  <c:v>0.72099999999999997</c:v>
                </c:pt>
                <c:pt idx="17">
                  <c:v>0.76900000000000013</c:v>
                </c:pt>
                <c:pt idx="18">
                  <c:v>0.80699999999999994</c:v>
                </c:pt>
                <c:pt idx="19">
                  <c:v>0.83599999999999985</c:v>
                </c:pt>
                <c:pt idx="20">
                  <c:v>0.85499999999999998</c:v>
                </c:pt>
                <c:pt idx="21">
                  <c:v>0.86499999999999999</c:v>
                </c:pt>
                <c:pt idx="22">
                  <c:v>0.875</c:v>
                </c:pt>
                <c:pt idx="23">
                  <c:v>0.84599999999999997</c:v>
                </c:pt>
                <c:pt idx="24">
                  <c:v>0.82600000000000007</c:v>
                </c:pt>
                <c:pt idx="25">
                  <c:v>0.88400000000000001</c:v>
                </c:pt>
                <c:pt idx="26">
                  <c:v>0.90300000000000002</c:v>
                </c:pt>
                <c:pt idx="27">
                  <c:v>0.93200000000000016</c:v>
                </c:pt>
                <c:pt idx="28">
                  <c:v>0.96100000000000008</c:v>
                </c:pt>
                <c:pt idx="29">
                  <c:v>0.97099999999999997</c:v>
                </c:pt>
                <c:pt idx="30">
                  <c:v>0.94200000000000006</c:v>
                </c:pt>
                <c:pt idx="31">
                  <c:v>0.92299999999999993</c:v>
                </c:pt>
                <c:pt idx="32">
                  <c:v>0.89400000000000002</c:v>
                </c:pt>
                <c:pt idx="33">
                  <c:v>0.91300000000000014</c:v>
                </c:pt>
                <c:pt idx="34">
                  <c:v>0.97999999999999987</c:v>
                </c:pt>
                <c:pt idx="35">
                  <c:v>1</c:v>
                </c:pt>
                <c:pt idx="36">
                  <c:v>0.99</c:v>
                </c:pt>
                <c:pt idx="37">
                  <c:v>0.95099999999999996</c:v>
                </c:pt>
                <c:pt idx="38">
                  <c:v>0.81700000000000006</c:v>
                </c:pt>
                <c:pt idx="39">
                  <c:v>0.75</c:v>
                </c:pt>
                <c:pt idx="40">
                  <c:v>0.68200000000000005</c:v>
                </c:pt>
                <c:pt idx="41">
                  <c:v>0.52800000000000002</c:v>
                </c:pt>
                <c:pt idx="42">
                  <c:v>0.38400000000000001</c:v>
                </c:pt>
                <c:pt idx="43">
                  <c:v>0.39400000000000007</c:v>
                </c:pt>
                <c:pt idx="44">
                  <c:v>0.375</c:v>
                </c:pt>
                <c:pt idx="45">
                  <c:v>0.307</c:v>
                </c:pt>
                <c:pt idx="46">
                  <c:v>0.21099999999999999</c:v>
                </c:pt>
                <c:pt idx="47">
                  <c:v>0.153</c:v>
                </c:pt>
                <c:pt idx="48">
                  <c:v>0.125</c:v>
                </c:pt>
                <c:pt idx="49">
                  <c:v>0.11499999999999999</c:v>
                </c:pt>
                <c:pt idx="50">
                  <c:v>0.13400000000000001</c:v>
                </c:pt>
                <c:pt idx="51">
                  <c:v>0.14399999999999999</c:v>
                </c:pt>
                <c:pt idx="52">
                  <c:v>0.17299999999999999</c:v>
                </c:pt>
                <c:pt idx="53">
                  <c:v>0.20099999999999998</c:v>
                </c:pt>
                <c:pt idx="54">
                  <c:v>0.24</c:v>
                </c:pt>
                <c:pt idx="55">
                  <c:v>0.28799999999999998</c:v>
                </c:pt>
                <c:pt idx="56">
                  <c:v>0.25</c:v>
                </c:pt>
                <c:pt idx="57">
                  <c:v>0.22999999999999998</c:v>
                </c:pt>
                <c:pt idx="58">
                  <c:v>0.221</c:v>
                </c:pt>
                <c:pt idx="59">
                  <c:v>0.27800000000000002</c:v>
                </c:pt>
                <c:pt idx="60">
                  <c:v>0.35499999999999998</c:v>
                </c:pt>
                <c:pt idx="61">
                  <c:v>0.41300000000000003</c:v>
                </c:pt>
                <c:pt idx="62">
                  <c:v>0.442</c:v>
                </c:pt>
                <c:pt idx="63">
                  <c:v>0.50900000000000001</c:v>
                </c:pt>
                <c:pt idx="64">
                  <c:v>0.55700000000000005</c:v>
                </c:pt>
                <c:pt idx="65">
                  <c:v>0.58599999999999997</c:v>
                </c:pt>
                <c:pt idx="66">
                  <c:v>0.61499999999999999</c:v>
                </c:pt>
                <c:pt idx="67">
                  <c:v>0.65300000000000002</c:v>
                </c:pt>
                <c:pt idx="68">
                  <c:v>0.66300000000000003</c:v>
                </c:pt>
                <c:pt idx="69">
                  <c:v>0.63400000000000001</c:v>
                </c:pt>
                <c:pt idx="70">
                  <c:v>0.59599999999999997</c:v>
                </c:pt>
                <c:pt idx="71">
                  <c:v>0.54800000000000004</c:v>
                </c:pt>
                <c:pt idx="72">
                  <c:v>0.46100000000000002</c:v>
                </c:pt>
                <c:pt idx="73">
                  <c:v>0.47100000000000003</c:v>
                </c:pt>
                <c:pt idx="74">
                  <c:v>0.48</c:v>
                </c:pt>
                <c:pt idx="75">
                  <c:v>0.48999999999999994</c:v>
                </c:pt>
                <c:pt idx="76">
                  <c:v>0.51900000000000002</c:v>
                </c:pt>
                <c:pt idx="77">
                  <c:v>0.53800000000000003</c:v>
                </c:pt>
                <c:pt idx="78">
                  <c:v>0.56699999999999995</c:v>
                </c:pt>
                <c:pt idx="79">
                  <c:v>0.5</c:v>
                </c:pt>
                <c:pt idx="80">
                  <c:v>0.40300000000000002</c:v>
                </c:pt>
                <c:pt idx="81">
                  <c:v>0.33600000000000002</c:v>
                </c:pt>
                <c:pt idx="82">
                  <c:v>0.32600000000000001</c:v>
                </c:pt>
                <c:pt idx="83">
                  <c:v>0.34599999999999997</c:v>
                </c:pt>
                <c:pt idx="84">
                  <c:v>0.29799999999999999</c:v>
                </c:pt>
                <c:pt idx="85">
                  <c:v>0.182</c:v>
                </c:pt>
                <c:pt idx="86">
                  <c:v>9.6000000000000002E-2</c:v>
                </c:pt>
                <c:pt idx="87">
                  <c:v>0.105</c:v>
                </c:pt>
                <c:pt idx="88">
                  <c:v>0.16300000000000001</c:v>
                </c:pt>
                <c:pt idx="89">
                  <c:v>0.192</c:v>
                </c:pt>
                <c:pt idx="90">
                  <c:v>0.25900000000000001</c:v>
                </c:pt>
                <c:pt idx="91">
                  <c:v>0.36499999999999999</c:v>
                </c:pt>
                <c:pt idx="92">
                  <c:v>0.45100000000000001</c:v>
                </c:pt>
                <c:pt idx="93">
                  <c:v>0.43199999999999994</c:v>
                </c:pt>
                <c:pt idx="94">
                  <c:v>0.26900000000000002</c:v>
                </c:pt>
                <c:pt idx="95">
                  <c:v>8.5999999999999993E-2</c:v>
                </c:pt>
                <c:pt idx="96">
                  <c:v>7.5999999999999998E-2</c:v>
                </c:pt>
                <c:pt idx="97">
                  <c:v>6.7000000000000004E-2</c:v>
                </c:pt>
                <c:pt idx="98">
                  <c:v>5.7000000000000002E-2</c:v>
                </c:pt>
                <c:pt idx="99">
                  <c:v>4.8000000000000001E-2</c:v>
                </c:pt>
                <c:pt idx="100">
                  <c:v>3.7999999999999999E-2</c:v>
                </c:pt>
                <c:pt idx="101">
                  <c:v>2.8000000000000001E-2</c:v>
                </c:pt>
                <c:pt idx="102">
                  <c:v>8.9999999999999993E-3</c:v>
                </c:pt>
                <c:pt idx="103">
                  <c:v>0</c:v>
                </c:pt>
                <c:pt idx="104">
                  <c:v>1.9E-2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F8-4B47-A3C7-98E0E6C68CC7}"/>
            </c:ext>
          </c:extLst>
        </c:ser>
        <c:ser>
          <c:idx val="2"/>
          <c:order val="2"/>
          <c:tx>
            <c:strRef>
              <c:f>'面板-景气指数'!$A$72</c:f>
              <c:strCache>
                <c:ptCount val="1"/>
                <c:pt idx="0">
                  <c:v>动力煤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'面板-景气指数'!$F$72:$DF$72</c:f>
              <c:numCache>
                <c:formatCode>0.0%</c:formatCode>
                <c:ptCount val="105"/>
                <c:pt idx="0">
                  <c:v>0.56699999999999995</c:v>
                </c:pt>
                <c:pt idx="1">
                  <c:v>0.57599999999999996</c:v>
                </c:pt>
                <c:pt idx="2">
                  <c:v>0.61499999999999999</c:v>
                </c:pt>
                <c:pt idx="3">
                  <c:v>0.59599999999999997</c:v>
                </c:pt>
                <c:pt idx="4">
                  <c:v>0.58599999999999997</c:v>
                </c:pt>
                <c:pt idx="5">
                  <c:v>0.63400000000000001</c:v>
                </c:pt>
                <c:pt idx="6">
                  <c:v>0.67300000000000004</c:v>
                </c:pt>
                <c:pt idx="7">
                  <c:v>0.69199999999999995</c:v>
                </c:pt>
                <c:pt idx="8">
                  <c:v>0.70099999999999996</c:v>
                </c:pt>
                <c:pt idx="9">
                  <c:v>0.72099999999999997</c:v>
                </c:pt>
                <c:pt idx="10">
                  <c:v>0.74</c:v>
                </c:pt>
                <c:pt idx="11">
                  <c:v>0.70099999999999996</c:v>
                </c:pt>
                <c:pt idx="12">
                  <c:v>0.68200000000000005</c:v>
                </c:pt>
                <c:pt idx="13">
                  <c:v>0.625</c:v>
                </c:pt>
                <c:pt idx="14">
                  <c:v>0.60499999999999998</c:v>
                </c:pt>
                <c:pt idx="15">
                  <c:v>0.66300000000000003</c:v>
                </c:pt>
                <c:pt idx="16">
                  <c:v>0.79800000000000004</c:v>
                </c:pt>
                <c:pt idx="17">
                  <c:v>0.85499999999999998</c:v>
                </c:pt>
                <c:pt idx="18">
                  <c:v>0.875</c:v>
                </c:pt>
                <c:pt idx="19">
                  <c:v>0.88400000000000001</c:v>
                </c:pt>
                <c:pt idx="20">
                  <c:v>0.90300000000000002</c:v>
                </c:pt>
                <c:pt idx="21">
                  <c:v>0.99</c:v>
                </c:pt>
                <c:pt idx="22">
                  <c:v>0.94199999999999995</c:v>
                </c:pt>
                <c:pt idx="23">
                  <c:v>0.94199999999999995</c:v>
                </c:pt>
                <c:pt idx="24">
                  <c:v>0.94199999999999995</c:v>
                </c:pt>
                <c:pt idx="25">
                  <c:v>0.94199999999999995</c:v>
                </c:pt>
                <c:pt idx="26">
                  <c:v>0.91300000000000003</c:v>
                </c:pt>
                <c:pt idx="27">
                  <c:v>0.93200000000000005</c:v>
                </c:pt>
                <c:pt idx="28">
                  <c:v>0.92300000000000004</c:v>
                </c:pt>
                <c:pt idx="29">
                  <c:v>1</c:v>
                </c:pt>
                <c:pt idx="30">
                  <c:v>0.98</c:v>
                </c:pt>
                <c:pt idx="31">
                  <c:v>0.89400000000000002</c:v>
                </c:pt>
                <c:pt idx="32">
                  <c:v>0.86499999999999999</c:v>
                </c:pt>
                <c:pt idx="33">
                  <c:v>0.80700000000000005</c:v>
                </c:pt>
                <c:pt idx="34">
                  <c:v>0.81699999999999995</c:v>
                </c:pt>
                <c:pt idx="35">
                  <c:v>0.82599999999999996</c:v>
                </c:pt>
                <c:pt idx="36">
                  <c:v>0.82599999999999996</c:v>
                </c:pt>
                <c:pt idx="37">
                  <c:v>0.82599999999999996</c:v>
                </c:pt>
                <c:pt idx="38">
                  <c:v>0.75900000000000001</c:v>
                </c:pt>
                <c:pt idx="39">
                  <c:v>0.75900000000000001</c:v>
                </c:pt>
                <c:pt idx="40">
                  <c:v>0.75900000000000001</c:v>
                </c:pt>
                <c:pt idx="41">
                  <c:v>0.75900000000000001</c:v>
                </c:pt>
                <c:pt idx="42">
                  <c:v>0.51900000000000002</c:v>
                </c:pt>
                <c:pt idx="43">
                  <c:v>0.65300000000000002</c:v>
                </c:pt>
                <c:pt idx="44">
                  <c:v>0.75</c:v>
                </c:pt>
                <c:pt idx="45">
                  <c:v>0.73</c:v>
                </c:pt>
                <c:pt idx="46">
                  <c:v>0.42299999999999999</c:v>
                </c:pt>
                <c:pt idx="47">
                  <c:v>0.25</c:v>
                </c:pt>
                <c:pt idx="48">
                  <c:v>0.20100000000000001</c:v>
                </c:pt>
                <c:pt idx="49">
                  <c:v>0.182</c:v>
                </c:pt>
                <c:pt idx="50">
                  <c:v>0.16300000000000001</c:v>
                </c:pt>
                <c:pt idx="51">
                  <c:v>0.105</c:v>
                </c:pt>
                <c:pt idx="52">
                  <c:v>8.5999999999999993E-2</c:v>
                </c:pt>
                <c:pt idx="53">
                  <c:v>7.5999999999999998E-2</c:v>
                </c:pt>
                <c:pt idx="54">
                  <c:v>9.6000000000000002E-2</c:v>
                </c:pt>
                <c:pt idx="55">
                  <c:v>0.153</c:v>
                </c:pt>
                <c:pt idx="56">
                  <c:v>0.14399999999999999</c:v>
                </c:pt>
                <c:pt idx="57">
                  <c:v>0.115</c:v>
                </c:pt>
                <c:pt idx="58">
                  <c:v>0.13400000000000001</c:v>
                </c:pt>
                <c:pt idx="59">
                  <c:v>0.17299999999999999</c:v>
                </c:pt>
                <c:pt idx="60">
                  <c:v>0.192</c:v>
                </c:pt>
                <c:pt idx="61">
                  <c:v>0.21099999999999999</c:v>
                </c:pt>
                <c:pt idx="62">
                  <c:v>0.221</c:v>
                </c:pt>
                <c:pt idx="63">
                  <c:v>0.25900000000000001</c:v>
                </c:pt>
                <c:pt idx="64">
                  <c:v>0.307</c:v>
                </c:pt>
                <c:pt idx="65">
                  <c:v>0.34599999999999997</c:v>
                </c:pt>
                <c:pt idx="66">
                  <c:v>0.32600000000000001</c:v>
                </c:pt>
                <c:pt idx="67">
                  <c:v>0.26900000000000002</c:v>
                </c:pt>
                <c:pt idx="68">
                  <c:v>0.24</c:v>
                </c:pt>
                <c:pt idx="69">
                  <c:v>0.29799999999999999</c:v>
                </c:pt>
                <c:pt idx="70">
                  <c:v>0.38400000000000001</c:v>
                </c:pt>
                <c:pt idx="71">
                  <c:v>0.432</c:v>
                </c:pt>
                <c:pt idx="72">
                  <c:v>0.39400000000000002</c:v>
                </c:pt>
                <c:pt idx="73">
                  <c:v>0.40300000000000002</c:v>
                </c:pt>
                <c:pt idx="74">
                  <c:v>0.47099999999999997</c:v>
                </c:pt>
                <c:pt idx="75">
                  <c:v>0.5</c:v>
                </c:pt>
                <c:pt idx="76">
                  <c:v>0.375</c:v>
                </c:pt>
                <c:pt idx="77">
                  <c:v>0.33600000000000002</c:v>
                </c:pt>
                <c:pt idx="78">
                  <c:v>0.48</c:v>
                </c:pt>
                <c:pt idx="79">
                  <c:v>0.55700000000000005</c:v>
                </c:pt>
                <c:pt idx="80">
                  <c:v>0.64400000000000002</c:v>
                </c:pt>
                <c:pt idx="81">
                  <c:v>0.54800000000000004</c:v>
                </c:pt>
                <c:pt idx="82">
                  <c:v>0.53800000000000003</c:v>
                </c:pt>
                <c:pt idx="83">
                  <c:v>0.52800000000000002</c:v>
                </c:pt>
                <c:pt idx="84">
                  <c:v>0.50900000000000001</c:v>
                </c:pt>
                <c:pt idx="85">
                  <c:v>0.45100000000000001</c:v>
                </c:pt>
                <c:pt idx="86">
                  <c:v>0.28799999999999998</c:v>
                </c:pt>
                <c:pt idx="87">
                  <c:v>0.23</c:v>
                </c:pt>
                <c:pt idx="88">
                  <c:v>0.27800000000000002</c:v>
                </c:pt>
                <c:pt idx="89">
                  <c:v>0.41299999999999998</c:v>
                </c:pt>
                <c:pt idx="90">
                  <c:v>0.442</c:v>
                </c:pt>
                <c:pt idx="91">
                  <c:v>0.35499999999999998</c:v>
                </c:pt>
                <c:pt idx="92">
                  <c:v>0.317</c:v>
                </c:pt>
                <c:pt idx="93">
                  <c:v>0.46100000000000002</c:v>
                </c:pt>
                <c:pt idx="94">
                  <c:v>0.49</c:v>
                </c:pt>
                <c:pt idx="95">
                  <c:v>0.36499999999999999</c:v>
                </c:pt>
                <c:pt idx="96">
                  <c:v>0.125</c:v>
                </c:pt>
                <c:pt idx="97">
                  <c:v>6.7000000000000004E-2</c:v>
                </c:pt>
                <c:pt idx="98">
                  <c:v>5.7000000000000002E-2</c:v>
                </c:pt>
                <c:pt idx="99">
                  <c:v>4.8000000000000001E-2</c:v>
                </c:pt>
                <c:pt idx="100">
                  <c:v>3.7999999999999999E-2</c:v>
                </c:pt>
                <c:pt idx="101">
                  <c:v>2.8000000000000001E-2</c:v>
                </c:pt>
                <c:pt idx="102">
                  <c:v>1.9E-2</c:v>
                </c:pt>
                <c:pt idx="103">
                  <c:v>8.9999999999999993E-3</c:v>
                </c:pt>
                <c:pt idx="10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F8-4B47-A3C7-98E0E6C68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12871464646465"/>
          <c:y val="2.7959629629629602E-2"/>
          <c:w val="0.79515030788215901"/>
          <c:h val="6.937194398849949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'面板-景气指数'!$A$41</c:f>
              <c:strCache>
                <c:ptCount val="1"/>
                <c:pt idx="0">
                  <c:v>钢铁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'面板-景气指数'!$F$41:$DF$41</c:f>
              <c:numCache>
                <c:formatCode>0.0%</c:formatCode>
                <c:ptCount val="105"/>
                <c:pt idx="0">
                  <c:v>0.16136377081782605</c:v>
                </c:pt>
                <c:pt idx="1">
                  <c:v>0.18407775714644514</c:v>
                </c:pt>
                <c:pt idx="2">
                  <c:v>0.22520953479996164</c:v>
                </c:pt>
                <c:pt idx="3">
                  <c:v>0.30065604194640672</c:v>
                </c:pt>
                <c:pt idx="4">
                  <c:v>0.30805314361183289</c:v>
                </c:pt>
                <c:pt idx="5">
                  <c:v>0.28660648412262596</c:v>
                </c:pt>
                <c:pt idx="6">
                  <c:v>0.24570715296427115</c:v>
                </c:pt>
                <c:pt idx="7">
                  <c:v>0.26191318745347808</c:v>
                </c:pt>
                <c:pt idx="8">
                  <c:v>0.32578492126534936</c:v>
                </c:pt>
                <c:pt idx="9">
                  <c:v>0.37331074990695617</c:v>
                </c:pt>
                <c:pt idx="10">
                  <c:v>0.39858746290100122</c:v>
                </c:pt>
                <c:pt idx="11">
                  <c:v>0.38678485439988486</c:v>
                </c:pt>
                <c:pt idx="12">
                  <c:v>0.37704823875232318</c:v>
                </c:pt>
                <c:pt idx="13">
                  <c:v>0.37572100925939456</c:v>
                </c:pt>
                <c:pt idx="14">
                  <c:v>0.31742747477018757</c:v>
                </c:pt>
                <c:pt idx="15">
                  <c:v>0.23990909262374244</c:v>
                </c:pt>
                <c:pt idx="16">
                  <c:v>0.17823110881187121</c:v>
                </c:pt>
                <c:pt idx="17">
                  <c:v>0.17496310197618076</c:v>
                </c:pt>
                <c:pt idx="18">
                  <c:v>0.22634368313453551</c:v>
                </c:pt>
                <c:pt idx="19">
                  <c:v>0.22714613929289029</c:v>
                </c:pt>
                <c:pt idx="20">
                  <c:v>0.1707632617761424</c:v>
                </c:pt>
                <c:pt idx="21">
                  <c:v>0.11078610660587802</c:v>
                </c:pt>
                <c:pt idx="22">
                  <c:v>8.4297335788051986E-2</c:v>
                </c:pt>
                <c:pt idx="23">
                  <c:v>7.1635720140490328E-2</c:v>
                </c:pt>
                <c:pt idx="24">
                  <c:v>8.5014729492928653E-2</c:v>
                </c:pt>
                <c:pt idx="25">
                  <c:v>7.0994493164309544E-2</c:v>
                </c:pt>
                <c:pt idx="26">
                  <c:v>0.106884375</c:v>
                </c:pt>
                <c:pt idx="27">
                  <c:v>0.14387239149888348</c:v>
                </c:pt>
                <c:pt idx="28">
                  <c:v>0.27548273632861908</c:v>
                </c:pt>
                <c:pt idx="29">
                  <c:v>0.42153757432266431</c:v>
                </c:pt>
                <c:pt idx="30">
                  <c:v>0.52213638898213566</c:v>
                </c:pt>
                <c:pt idx="31">
                  <c:v>0.59311956748697403</c:v>
                </c:pt>
                <c:pt idx="32">
                  <c:v>0.60587120615835477</c:v>
                </c:pt>
                <c:pt idx="33">
                  <c:v>0.59605922265723821</c:v>
                </c:pt>
                <c:pt idx="34">
                  <c:v>0.61533475031075457</c:v>
                </c:pt>
                <c:pt idx="35">
                  <c:v>0.64600455561778758</c:v>
                </c:pt>
                <c:pt idx="36">
                  <c:v>0.68366312058801382</c:v>
                </c:pt>
                <c:pt idx="37">
                  <c:v>0.60324281739393004</c:v>
                </c:pt>
                <c:pt idx="38">
                  <c:v>0.53492749338202039</c:v>
                </c:pt>
                <c:pt idx="39">
                  <c:v>0.63725391654260832</c:v>
                </c:pt>
                <c:pt idx="40">
                  <c:v>0.69087556487718227</c:v>
                </c:pt>
                <c:pt idx="41">
                  <c:v>0.68774408821175614</c:v>
                </c:pt>
                <c:pt idx="42">
                  <c:v>0.55284982171287267</c:v>
                </c:pt>
                <c:pt idx="43">
                  <c:v>0.52103709504744655</c:v>
                </c:pt>
                <c:pt idx="44">
                  <c:v>0.55517675021771085</c:v>
                </c:pt>
                <c:pt idx="45">
                  <c:v>0.57832503722366568</c:v>
                </c:pt>
                <c:pt idx="46">
                  <c:v>0.54053582422962043</c:v>
                </c:pt>
                <c:pt idx="47">
                  <c:v>0.49646774307126573</c:v>
                </c:pt>
                <c:pt idx="48">
                  <c:v>0.48949154657610405</c:v>
                </c:pt>
                <c:pt idx="49">
                  <c:v>0.49391043776423277</c:v>
                </c:pt>
                <c:pt idx="50">
                  <c:v>0.49629473844156852</c:v>
                </c:pt>
                <c:pt idx="51">
                  <c:v>0.47329175462969725</c:v>
                </c:pt>
                <c:pt idx="52">
                  <c:v>0.44207374779400682</c:v>
                </c:pt>
                <c:pt idx="53">
                  <c:v>0.42053245395236155</c:v>
                </c:pt>
                <c:pt idx="54">
                  <c:v>0.43164904878209731</c:v>
                </c:pt>
                <c:pt idx="55">
                  <c:v>0.50196884293449706</c:v>
                </c:pt>
                <c:pt idx="56">
                  <c:v>0.57963253942965887</c:v>
                </c:pt>
                <c:pt idx="57">
                  <c:v>0.55680925242370405</c:v>
                </c:pt>
                <c:pt idx="58">
                  <c:v>0.47920084725343975</c:v>
                </c:pt>
                <c:pt idx="59">
                  <c:v>0.38006245174636838</c:v>
                </c:pt>
                <c:pt idx="60">
                  <c:v>0.33955263457014917</c:v>
                </c:pt>
                <c:pt idx="61">
                  <c:v>0.35569542589504649</c:v>
                </c:pt>
                <c:pt idx="62">
                  <c:v>0.42852265538797518</c:v>
                </c:pt>
                <c:pt idx="63">
                  <c:v>0.53309475705340126</c:v>
                </c:pt>
                <c:pt idx="64">
                  <c:v>0.60052429405935626</c:v>
                </c:pt>
                <c:pt idx="65">
                  <c:v>0.61678559756419427</c:v>
                </c:pt>
                <c:pt idx="66">
                  <c:v>0.57822786123557535</c:v>
                </c:pt>
                <c:pt idx="67">
                  <c:v>0.52709103007722058</c:v>
                </c:pt>
                <c:pt idx="68">
                  <c:v>0.49453909041774924</c:v>
                </c:pt>
                <c:pt idx="69">
                  <c:v>0.50797131024748488</c:v>
                </c:pt>
                <c:pt idx="70">
                  <c:v>0.60137614824152996</c:v>
                </c:pt>
                <c:pt idx="71">
                  <c:v>0.67061119208317532</c:v>
                </c:pt>
                <c:pt idx="72">
                  <c:v>0.71127219459992308</c:v>
                </c:pt>
                <c:pt idx="73">
                  <c:v>0.72377337994045177</c:v>
                </c:pt>
                <c:pt idx="74">
                  <c:v>0.74811445827130429</c:v>
                </c:pt>
                <c:pt idx="75">
                  <c:v>0.77795582643561356</c:v>
                </c:pt>
                <c:pt idx="76">
                  <c:v>0.80097427544752342</c:v>
                </c:pt>
                <c:pt idx="77">
                  <c:v>0.73766458830479986</c:v>
                </c:pt>
                <c:pt idx="78">
                  <c:v>0.68643854415239991</c:v>
                </c:pt>
                <c:pt idx="79">
                  <c:v>0.6645596759880904</c:v>
                </c:pt>
                <c:pt idx="80">
                  <c:v>0.74768303731670949</c:v>
                </c:pt>
                <c:pt idx="81">
                  <c:v>0.785040030481019</c:v>
                </c:pt>
                <c:pt idx="82">
                  <c:v>0.81908379163565215</c:v>
                </c:pt>
                <c:pt idx="83">
                  <c:v>0.84956303511071629</c:v>
                </c:pt>
                <c:pt idx="84">
                  <c:v>0.88511453259396844</c:v>
                </c:pt>
                <c:pt idx="85">
                  <c:v>0.90718983358205885</c:v>
                </c:pt>
                <c:pt idx="86">
                  <c:v>0.89742517841179448</c:v>
                </c:pt>
                <c:pt idx="87">
                  <c:v>0.84228447908913018</c:v>
                </c:pt>
                <c:pt idx="88">
                  <c:v>0.77252465075827781</c:v>
                </c:pt>
                <c:pt idx="89">
                  <c:v>0.75618001640583976</c:v>
                </c:pt>
                <c:pt idx="90">
                  <c:v>0.76725264572478225</c:v>
                </c:pt>
                <c:pt idx="91">
                  <c:v>0.76506685871882718</c:v>
                </c:pt>
                <c:pt idx="92">
                  <c:v>0.712114476883137</c:v>
                </c:pt>
                <c:pt idx="93">
                  <c:v>0.69191588888909183</c:v>
                </c:pt>
                <c:pt idx="94">
                  <c:v>0.66470383106531084</c:v>
                </c:pt>
                <c:pt idx="95">
                  <c:v>0.62352680592854226</c:v>
                </c:pt>
                <c:pt idx="96">
                  <c:v>0.59857382211667132</c:v>
                </c:pt>
                <c:pt idx="97">
                  <c:v>0.60018289612858078</c:v>
                </c:pt>
                <c:pt idx="98">
                  <c:v>0.58014219680591639</c:v>
                </c:pt>
                <c:pt idx="99">
                  <c:v>0.55202299347506423</c:v>
                </c:pt>
                <c:pt idx="100">
                  <c:v>0.57935692629884517</c:v>
                </c:pt>
                <c:pt idx="101">
                  <c:v>0.54573074095831631</c:v>
                </c:pt>
                <c:pt idx="102">
                  <c:v>0.40429918997022601</c:v>
                </c:pt>
                <c:pt idx="103">
                  <c:v>0.2616329629940452</c:v>
                </c:pt>
                <c:pt idx="104">
                  <c:v>0.18338250966319303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07-46B5-93AE-B5AA51CC0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97752525252501"/>
          <c:y val="2.7959629629629602E-2"/>
          <c:w val="0.69338042631157304"/>
          <c:h val="7.35664341121567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'面板-景气指数'!$A$42</c:f>
              <c:strCache>
                <c:ptCount val="1"/>
                <c:pt idx="0">
                  <c:v>建筑材料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'面板-景气指数'!$F$42:$DF$42</c:f>
              <c:numCache>
                <c:formatCode>0.0%</c:formatCode>
                <c:ptCount val="105"/>
                <c:pt idx="0">
                  <c:v>0.39886621831531494</c:v>
                </c:pt>
                <c:pt idx="1">
                  <c:v>0.41504922888658002</c:v>
                </c:pt>
                <c:pt idx="2">
                  <c:v>0.43805365077752961</c:v>
                </c:pt>
                <c:pt idx="3">
                  <c:v>0.4323223220078693</c:v>
                </c:pt>
                <c:pt idx="4">
                  <c:v>0.34313763345223502</c:v>
                </c:pt>
                <c:pt idx="5">
                  <c:v>0.27370379985813986</c:v>
                </c:pt>
                <c:pt idx="6">
                  <c:v>0.25047061244637908</c:v>
                </c:pt>
                <c:pt idx="7">
                  <c:v>0.28661188896895584</c:v>
                </c:pt>
                <c:pt idx="8">
                  <c:v>0.32065609282809787</c:v>
                </c:pt>
                <c:pt idx="9">
                  <c:v>0.32513938882475157</c:v>
                </c:pt>
                <c:pt idx="10">
                  <c:v>0.29998686202054575</c:v>
                </c:pt>
                <c:pt idx="11">
                  <c:v>0.26314281438537945</c:v>
                </c:pt>
                <c:pt idx="12">
                  <c:v>0.25350935274266956</c:v>
                </c:pt>
                <c:pt idx="13">
                  <c:v>0.25606298728473581</c:v>
                </c:pt>
                <c:pt idx="14">
                  <c:v>0.25189033543243555</c:v>
                </c:pt>
                <c:pt idx="15">
                  <c:v>0.24919328737625721</c:v>
                </c:pt>
                <c:pt idx="16">
                  <c:v>0.24466971767074774</c:v>
                </c:pt>
                <c:pt idx="17">
                  <c:v>0.26727254814200313</c:v>
                </c:pt>
                <c:pt idx="18">
                  <c:v>0.25502416994199489</c:v>
                </c:pt>
                <c:pt idx="19">
                  <c:v>0.22598564794490225</c:v>
                </c:pt>
                <c:pt idx="20">
                  <c:v>0.15981489461620585</c:v>
                </c:pt>
                <c:pt idx="21">
                  <c:v>9.7367097885878856E-2</c:v>
                </c:pt>
                <c:pt idx="22">
                  <c:v>8.9405544881397417E-2</c:v>
                </c:pt>
                <c:pt idx="23">
                  <c:v>0.10829546536699369</c:v>
                </c:pt>
                <c:pt idx="24">
                  <c:v>0.13777772844214589</c:v>
                </c:pt>
                <c:pt idx="25">
                  <c:v>0.22797863740836352</c:v>
                </c:pt>
                <c:pt idx="26">
                  <c:v>0.26848853937191319</c:v>
                </c:pt>
                <c:pt idx="27">
                  <c:v>0.31755067776940099</c:v>
                </c:pt>
                <c:pt idx="28">
                  <c:v>0.3905765278584451</c:v>
                </c:pt>
                <c:pt idx="29">
                  <c:v>0.47834047013260406</c:v>
                </c:pt>
                <c:pt idx="30">
                  <c:v>0.57400384099216384</c:v>
                </c:pt>
                <c:pt idx="31">
                  <c:v>0.64966772673030293</c:v>
                </c:pt>
                <c:pt idx="32">
                  <c:v>0.66179395398989704</c:v>
                </c:pt>
                <c:pt idx="33">
                  <c:v>0.68342129336840884</c:v>
                </c:pt>
                <c:pt idx="34">
                  <c:v>0.79137675338831071</c:v>
                </c:pt>
                <c:pt idx="35">
                  <c:v>0.89378869217604795</c:v>
                </c:pt>
                <c:pt idx="36">
                  <c:v>0.87786138027783112</c:v>
                </c:pt>
                <c:pt idx="37">
                  <c:v>0.76254120808883286</c:v>
                </c:pt>
                <c:pt idx="38">
                  <c:v>0.69606143387516972</c:v>
                </c:pt>
                <c:pt idx="39">
                  <c:v>0.76173135470856324</c:v>
                </c:pt>
                <c:pt idx="40">
                  <c:v>0.83552174801153656</c:v>
                </c:pt>
                <c:pt idx="41">
                  <c:v>0.77868868901347366</c:v>
                </c:pt>
                <c:pt idx="42">
                  <c:v>0.71804673505147909</c:v>
                </c:pt>
                <c:pt idx="43">
                  <c:v>0.59648243750918417</c:v>
                </c:pt>
                <c:pt idx="44">
                  <c:v>0.55478362277996007</c:v>
                </c:pt>
                <c:pt idx="45">
                  <c:v>0.54802627588862629</c:v>
                </c:pt>
                <c:pt idx="46">
                  <c:v>0.53642329318413151</c:v>
                </c:pt>
                <c:pt idx="47">
                  <c:v>0.53864498981140108</c:v>
                </c:pt>
                <c:pt idx="48">
                  <c:v>0.47472429116900861</c:v>
                </c:pt>
                <c:pt idx="49">
                  <c:v>0.38813888081525177</c:v>
                </c:pt>
                <c:pt idx="50">
                  <c:v>0.36891046306756858</c:v>
                </c:pt>
                <c:pt idx="51">
                  <c:v>0.37652238400396587</c:v>
                </c:pt>
                <c:pt idx="52">
                  <c:v>0.34435790340034755</c:v>
                </c:pt>
                <c:pt idx="53">
                  <c:v>0.30554998716802384</c:v>
                </c:pt>
                <c:pt idx="54">
                  <c:v>0.26470765687358672</c:v>
                </c:pt>
                <c:pt idx="55">
                  <c:v>0.34281905127923318</c:v>
                </c:pt>
                <c:pt idx="56">
                  <c:v>0.46243060857570106</c:v>
                </c:pt>
                <c:pt idx="57">
                  <c:v>0.57887263127976352</c:v>
                </c:pt>
                <c:pt idx="58">
                  <c:v>0.55600696540536942</c:v>
                </c:pt>
                <c:pt idx="59">
                  <c:v>0.54747735009179144</c:v>
                </c:pt>
                <c:pt idx="60">
                  <c:v>0.50232319282449556</c:v>
                </c:pt>
                <c:pt idx="61">
                  <c:v>0.41615327968127031</c:v>
                </c:pt>
                <c:pt idx="62">
                  <c:v>0.35992357696490995</c:v>
                </c:pt>
                <c:pt idx="63">
                  <c:v>0.37497596311069159</c:v>
                </c:pt>
                <c:pt idx="64">
                  <c:v>0.44570215471335745</c:v>
                </c:pt>
                <c:pt idx="65">
                  <c:v>0.46427077856718618</c:v>
                </c:pt>
                <c:pt idx="66">
                  <c:v>0.47779989867450773</c:v>
                </c:pt>
                <c:pt idx="67">
                  <c:v>0.45336594857151263</c:v>
                </c:pt>
                <c:pt idx="68">
                  <c:v>0.57498967860776939</c:v>
                </c:pt>
                <c:pt idx="69">
                  <c:v>0.63632979021351876</c:v>
                </c:pt>
                <c:pt idx="70">
                  <c:v>0.66802870753070143</c:v>
                </c:pt>
                <c:pt idx="71">
                  <c:v>0.68405161129248271</c:v>
                </c:pt>
                <c:pt idx="72">
                  <c:v>0.66535844548493617</c:v>
                </c:pt>
                <c:pt idx="73">
                  <c:v>0.6400823372556379</c:v>
                </c:pt>
                <c:pt idx="74">
                  <c:v>0.6480709374285929</c:v>
                </c:pt>
                <c:pt idx="75">
                  <c:v>0.68958244120684731</c:v>
                </c:pt>
                <c:pt idx="76">
                  <c:v>0.6865159269316703</c:v>
                </c:pt>
                <c:pt idx="77">
                  <c:v>0.67793886268962633</c:v>
                </c:pt>
                <c:pt idx="78">
                  <c:v>0.65089039131379456</c:v>
                </c:pt>
                <c:pt idx="79">
                  <c:v>0.68615499417769432</c:v>
                </c:pt>
                <c:pt idx="80">
                  <c:v>0.7557776622654574</c:v>
                </c:pt>
                <c:pt idx="81">
                  <c:v>0.73983909051699437</c:v>
                </c:pt>
                <c:pt idx="82">
                  <c:v>0.65449298019322266</c:v>
                </c:pt>
                <c:pt idx="83">
                  <c:v>0.60481887684232982</c:v>
                </c:pt>
                <c:pt idx="84">
                  <c:v>0.62146683567576322</c:v>
                </c:pt>
                <c:pt idx="85">
                  <c:v>0.62195045734797016</c:v>
                </c:pt>
                <c:pt idx="86">
                  <c:v>0.63442397756468083</c:v>
                </c:pt>
                <c:pt idx="87">
                  <c:v>0.66336109448378089</c:v>
                </c:pt>
                <c:pt idx="88">
                  <c:v>0.71184519877582086</c:v>
                </c:pt>
                <c:pt idx="89">
                  <c:v>0.75106433559110164</c:v>
                </c:pt>
                <c:pt idx="90">
                  <c:v>0.7584063494872979</c:v>
                </c:pt>
                <c:pt idx="91">
                  <c:v>0.74976321824594561</c:v>
                </c:pt>
                <c:pt idx="92">
                  <c:v>0.73097420036097127</c:v>
                </c:pt>
                <c:pt idx="93">
                  <c:v>0.71526122196322728</c:v>
                </c:pt>
                <c:pt idx="94">
                  <c:v>0.70459771213847699</c:v>
                </c:pt>
                <c:pt idx="95">
                  <c:v>0.67444774481627712</c:v>
                </c:pt>
                <c:pt idx="96">
                  <c:v>0.63037957478912798</c:v>
                </c:pt>
                <c:pt idx="97">
                  <c:v>0.5659329184070504</c:v>
                </c:pt>
                <c:pt idx="98">
                  <c:v>0.54129773874198583</c:v>
                </c:pt>
                <c:pt idx="99">
                  <c:v>0.47985954618728949</c:v>
                </c:pt>
                <c:pt idx="100">
                  <c:v>0.42837139049629019</c:v>
                </c:pt>
                <c:pt idx="101">
                  <c:v>0.39981372535699961</c:v>
                </c:pt>
                <c:pt idx="102">
                  <c:v>0.40854275523889283</c:v>
                </c:pt>
                <c:pt idx="103">
                  <c:v>0.39440594033228676</c:v>
                </c:pt>
                <c:pt idx="104">
                  <c:v>0.33201028706518021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69-4B5A-8335-FDE34895C536}"/>
            </c:ext>
          </c:extLst>
        </c:ser>
        <c:ser>
          <c:idx val="1"/>
          <c:order val="1"/>
          <c:tx>
            <c:strRef>
              <c:f>'面板-景气指数'!$A$90</c:f>
              <c:strCache>
                <c:ptCount val="1"/>
                <c:pt idx="0">
                  <c:v>水泥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'面板-景气指数'!$F$90:$DF$90</c:f>
              <c:numCache>
                <c:formatCode>0.0%</c:formatCode>
                <c:ptCount val="105"/>
                <c:pt idx="0">
                  <c:v>0.47900000000000009</c:v>
                </c:pt>
                <c:pt idx="1">
                  <c:v>0.49099999999999999</c:v>
                </c:pt>
                <c:pt idx="2">
                  <c:v>0.50600000000000001</c:v>
                </c:pt>
                <c:pt idx="3">
                  <c:v>0.46499999999999997</c:v>
                </c:pt>
                <c:pt idx="4">
                  <c:v>0.34349999999999997</c:v>
                </c:pt>
                <c:pt idx="5">
                  <c:v>0.28750000000000003</c:v>
                </c:pt>
                <c:pt idx="6">
                  <c:v>0.26100000000000001</c:v>
                </c:pt>
                <c:pt idx="7">
                  <c:v>0.28699999999999998</c:v>
                </c:pt>
                <c:pt idx="8">
                  <c:v>0.23450000000000001</c:v>
                </c:pt>
                <c:pt idx="9">
                  <c:v>0.18799999999999994</c:v>
                </c:pt>
                <c:pt idx="10">
                  <c:v>0.1195</c:v>
                </c:pt>
                <c:pt idx="11">
                  <c:v>5.6500000000000015E-2</c:v>
                </c:pt>
                <c:pt idx="12">
                  <c:v>4.9500000000000009E-2</c:v>
                </c:pt>
                <c:pt idx="13">
                  <c:v>7.1999999999999995E-2</c:v>
                </c:pt>
                <c:pt idx="14">
                  <c:v>8.7500000000000008E-2</c:v>
                </c:pt>
                <c:pt idx="15">
                  <c:v>9.4000000000000014E-2</c:v>
                </c:pt>
                <c:pt idx="16">
                  <c:v>0.11249999999999998</c:v>
                </c:pt>
                <c:pt idx="17">
                  <c:v>0.16549999999999998</c:v>
                </c:pt>
                <c:pt idx="18">
                  <c:v>0.16200000000000001</c:v>
                </c:pt>
                <c:pt idx="19">
                  <c:v>0.12300000000000001</c:v>
                </c:pt>
                <c:pt idx="20">
                  <c:v>5.8999999999999983E-2</c:v>
                </c:pt>
                <c:pt idx="21">
                  <c:v>3.3000000000000029E-2</c:v>
                </c:pt>
                <c:pt idx="22">
                  <c:v>3.4499999999999975E-2</c:v>
                </c:pt>
                <c:pt idx="23">
                  <c:v>8.6500000000000007E-2</c:v>
                </c:pt>
                <c:pt idx="24">
                  <c:v>0.17450000000000002</c:v>
                </c:pt>
                <c:pt idx="25">
                  <c:v>0.32550000000000001</c:v>
                </c:pt>
                <c:pt idx="26">
                  <c:v>0.36649999999999999</c:v>
                </c:pt>
                <c:pt idx="27">
                  <c:v>0.35899999999999999</c:v>
                </c:pt>
                <c:pt idx="28">
                  <c:v>0.41750000000000004</c:v>
                </c:pt>
                <c:pt idx="29">
                  <c:v>0.53799999999999992</c:v>
                </c:pt>
                <c:pt idx="30">
                  <c:v>0.62</c:v>
                </c:pt>
                <c:pt idx="31">
                  <c:v>0.70650000000000002</c:v>
                </c:pt>
                <c:pt idx="32">
                  <c:v>0.66550000000000009</c:v>
                </c:pt>
                <c:pt idx="33">
                  <c:v>0.65800000000000014</c:v>
                </c:pt>
                <c:pt idx="34">
                  <c:v>0.78949999999999998</c:v>
                </c:pt>
                <c:pt idx="35">
                  <c:v>0.91299999999999992</c:v>
                </c:pt>
                <c:pt idx="36">
                  <c:v>0.83799999999999997</c:v>
                </c:pt>
                <c:pt idx="37">
                  <c:v>0.64749999999999996</c:v>
                </c:pt>
                <c:pt idx="38">
                  <c:v>0.54</c:v>
                </c:pt>
                <c:pt idx="39">
                  <c:v>0.65500000000000003</c:v>
                </c:pt>
                <c:pt idx="40">
                  <c:v>0.77599999999999991</c:v>
                </c:pt>
                <c:pt idx="41">
                  <c:v>0.6974999999999999</c:v>
                </c:pt>
                <c:pt idx="42">
                  <c:v>0.57500000000000007</c:v>
                </c:pt>
                <c:pt idx="43">
                  <c:v>0.41399999999999998</c:v>
                </c:pt>
                <c:pt idx="44">
                  <c:v>0.42149999999999999</c:v>
                </c:pt>
                <c:pt idx="45">
                  <c:v>0.4945</c:v>
                </c:pt>
                <c:pt idx="46">
                  <c:v>0.502</c:v>
                </c:pt>
                <c:pt idx="47">
                  <c:v>0.55649999999999999</c:v>
                </c:pt>
                <c:pt idx="48">
                  <c:v>0.48899999999999999</c:v>
                </c:pt>
                <c:pt idx="49">
                  <c:v>0.39500000000000002</c:v>
                </c:pt>
                <c:pt idx="50">
                  <c:v>0.37649999999999995</c:v>
                </c:pt>
                <c:pt idx="51">
                  <c:v>0.43049999999999999</c:v>
                </c:pt>
                <c:pt idx="52">
                  <c:v>0.44100000000000006</c:v>
                </c:pt>
                <c:pt idx="53">
                  <c:v>0.38650000000000001</c:v>
                </c:pt>
                <c:pt idx="54">
                  <c:v>0.30899999999999994</c:v>
                </c:pt>
                <c:pt idx="55">
                  <c:v>0.39400000000000002</c:v>
                </c:pt>
                <c:pt idx="56">
                  <c:v>0.50850000000000006</c:v>
                </c:pt>
                <c:pt idx="57">
                  <c:v>0.67149999999999987</c:v>
                </c:pt>
                <c:pt idx="58">
                  <c:v>0.65949999999999998</c:v>
                </c:pt>
                <c:pt idx="59">
                  <c:v>0.67</c:v>
                </c:pt>
                <c:pt idx="60">
                  <c:v>0.622</c:v>
                </c:pt>
                <c:pt idx="61">
                  <c:v>0.48999999999999994</c:v>
                </c:pt>
                <c:pt idx="62">
                  <c:v>0.436</c:v>
                </c:pt>
                <c:pt idx="63">
                  <c:v>0.45350000000000001</c:v>
                </c:pt>
                <c:pt idx="64">
                  <c:v>0.56049999999999989</c:v>
                </c:pt>
                <c:pt idx="65">
                  <c:v>0.58350000000000002</c:v>
                </c:pt>
                <c:pt idx="66">
                  <c:v>0.59499999999999997</c:v>
                </c:pt>
                <c:pt idx="67">
                  <c:v>0.57399999999999995</c:v>
                </c:pt>
                <c:pt idx="68">
                  <c:v>0.71749999999999992</c:v>
                </c:pt>
                <c:pt idx="69">
                  <c:v>0.81099999999999994</c:v>
                </c:pt>
                <c:pt idx="70">
                  <c:v>0.84599999999999997</c:v>
                </c:pt>
                <c:pt idx="71">
                  <c:v>0.88349999999999995</c:v>
                </c:pt>
                <c:pt idx="72">
                  <c:v>0.83550000000000002</c:v>
                </c:pt>
                <c:pt idx="73">
                  <c:v>0.77049999999999996</c:v>
                </c:pt>
                <c:pt idx="74">
                  <c:v>0.7639999999999999</c:v>
                </c:pt>
                <c:pt idx="75">
                  <c:v>0.8224999999999999</c:v>
                </c:pt>
                <c:pt idx="76">
                  <c:v>0.82200000000000006</c:v>
                </c:pt>
                <c:pt idx="77">
                  <c:v>0.78549999999999998</c:v>
                </c:pt>
                <c:pt idx="78">
                  <c:v>0.75</c:v>
                </c:pt>
                <c:pt idx="79">
                  <c:v>0.81199999999999994</c:v>
                </c:pt>
                <c:pt idx="80">
                  <c:v>0.88250000000000006</c:v>
                </c:pt>
                <c:pt idx="81">
                  <c:v>0.84000000000000008</c:v>
                </c:pt>
                <c:pt idx="82">
                  <c:v>0.68800000000000006</c:v>
                </c:pt>
                <c:pt idx="83">
                  <c:v>0.57750000000000001</c:v>
                </c:pt>
                <c:pt idx="84">
                  <c:v>0.59100000000000008</c:v>
                </c:pt>
                <c:pt idx="85">
                  <c:v>0.58750000000000013</c:v>
                </c:pt>
                <c:pt idx="86">
                  <c:v>0.59799999999999998</c:v>
                </c:pt>
                <c:pt idx="87">
                  <c:v>0.62849999999999995</c:v>
                </c:pt>
                <c:pt idx="88">
                  <c:v>0.69499999999999995</c:v>
                </c:pt>
                <c:pt idx="89">
                  <c:v>0.75</c:v>
                </c:pt>
                <c:pt idx="90">
                  <c:v>0.745</c:v>
                </c:pt>
                <c:pt idx="91">
                  <c:v>0.73550000000000004</c:v>
                </c:pt>
                <c:pt idx="92">
                  <c:v>0.72550000000000003</c:v>
                </c:pt>
                <c:pt idx="93">
                  <c:v>0.71600000000000008</c:v>
                </c:pt>
                <c:pt idx="94">
                  <c:v>0.70150000000000001</c:v>
                </c:pt>
                <c:pt idx="95">
                  <c:v>0.64900000000000002</c:v>
                </c:pt>
                <c:pt idx="96">
                  <c:v>0.56699999999999995</c:v>
                </c:pt>
                <c:pt idx="97">
                  <c:v>0.45150000000000001</c:v>
                </c:pt>
                <c:pt idx="98">
                  <c:v>0.42749999999999994</c:v>
                </c:pt>
                <c:pt idx="99">
                  <c:v>0.38450000000000006</c:v>
                </c:pt>
                <c:pt idx="100">
                  <c:v>0.33649999999999997</c:v>
                </c:pt>
                <c:pt idx="101">
                  <c:v>0.30249999999999999</c:v>
                </c:pt>
                <c:pt idx="102">
                  <c:v>0.27850000000000003</c:v>
                </c:pt>
                <c:pt idx="103">
                  <c:v>0.26400000000000001</c:v>
                </c:pt>
                <c:pt idx="104">
                  <c:v>0.25950000000000001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69-4B5A-8335-FDE34895C536}"/>
            </c:ext>
          </c:extLst>
        </c:ser>
        <c:ser>
          <c:idx val="2"/>
          <c:order val="2"/>
          <c:tx>
            <c:strRef>
              <c:f>'面板-景气指数'!$A$91</c:f>
              <c:strCache>
                <c:ptCount val="1"/>
                <c:pt idx="0">
                  <c:v>玻璃玻纤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'面板-景气指数'!$F$91:$DG$91</c:f>
              <c:numCache>
                <c:formatCode>0.0%</c:formatCode>
                <c:ptCount val="106"/>
                <c:pt idx="0">
                  <c:v>0.45650000000000002</c:v>
                </c:pt>
                <c:pt idx="1">
                  <c:v>0.45650000000000002</c:v>
                </c:pt>
                <c:pt idx="2">
                  <c:v>0.48000000000000004</c:v>
                </c:pt>
                <c:pt idx="3">
                  <c:v>0.51400000000000001</c:v>
                </c:pt>
                <c:pt idx="4">
                  <c:v>0.42249999999999999</c:v>
                </c:pt>
                <c:pt idx="5">
                  <c:v>0.17249999999999999</c:v>
                </c:pt>
                <c:pt idx="6">
                  <c:v>0.17749999999999996</c:v>
                </c:pt>
                <c:pt idx="7">
                  <c:v>0.24</c:v>
                </c:pt>
                <c:pt idx="8">
                  <c:v>0.32650000000000007</c:v>
                </c:pt>
                <c:pt idx="9">
                  <c:v>0.35549999999999993</c:v>
                </c:pt>
                <c:pt idx="10">
                  <c:v>0.3695</c:v>
                </c:pt>
                <c:pt idx="11">
                  <c:v>0.36049999999999999</c:v>
                </c:pt>
                <c:pt idx="12">
                  <c:v>0.33599999999999997</c:v>
                </c:pt>
                <c:pt idx="13">
                  <c:v>0.36049999999999999</c:v>
                </c:pt>
                <c:pt idx="14">
                  <c:v>0.42299999999999999</c:v>
                </c:pt>
                <c:pt idx="15">
                  <c:v>0.43699999999999994</c:v>
                </c:pt>
                <c:pt idx="16">
                  <c:v>0.37949999999999995</c:v>
                </c:pt>
                <c:pt idx="17">
                  <c:v>0.3745</c:v>
                </c:pt>
                <c:pt idx="18">
                  <c:v>0.29750000000000004</c:v>
                </c:pt>
                <c:pt idx="19">
                  <c:v>0.28800000000000003</c:v>
                </c:pt>
                <c:pt idx="20">
                  <c:v>0.29300000000000004</c:v>
                </c:pt>
                <c:pt idx="21">
                  <c:v>0.40799999999999992</c:v>
                </c:pt>
                <c:pt idx="22">
                  <c:v>0.38849999999999996</c:v>
                </c:pt>
                <c:pt idx="23">
                  <c:v>0.28300000000000003</c:v>
                </c:pt>
                <c:pt idx="24">
                  <c:v>5.2499999999999998E-2</c:v>
                </c:pt>
                <c:pt idx="25">
                  <c:v>3.3500000000000002E-2</c:v>
                </c:pt>
                <c:pt idx="26">
                  <c:v>4.2499999999999996E-2</c:v>
                </c:pt>
                <c:pt idx="27">
                  <c:v>0.28300000000000003</c:v>
                </c:pt>
                <c:pt idx="28">
                  <c:v>0.44649999999999995</c:v>
                </c:pt>
                <c:pt idx="29">
                  <c:v>0.50449999999999995</c:v>
                </c:pt>
                <c:pt idx="30">
                  <c:v>0.61449999999999994</c:v>
                </c:pt>
                <c:pt idx="31">
                  <c:v>0.71150000000000002</c:v>
                </c:pt>
                <c:pt idx="32">
                  <c:v>0.72050000000000003</c:v>
                </c:pt>
                <c:pt idx="33">
                  <c:v>0.66300000000000003</c:v>
                </c:pt>
                <c:pt idx="34">
                  <c:v>0.70100000000000007</c:v>
                </c:pt>
                <c:pt idx="35">
                  <c:v>0.8650000000000001</c:v>
                </c:pt>
                <c:pt idx="36">
                  <c:v>0.9415</c:v>
                </c:pt>
                <c:pt idx="37">
                  <c:v>0.97550000000000003</c:v>
                </c:pt>
                <c:pt idx="38">
                  <c:v>0.98549999999999993</c:v>
                </c:pt>
                <c:pt idx="39">
                  <c:v>0.98549999999999993</c:v>
                </c:pt>
                <c:pt idx="40">
                  <c:v>0.95150000000000001</c:v>
                </c:pt>
                <c:pt idx="41">
                  <c:v>0.93700000000000006</c:v>
                </c:pt>
                <c:pt idx="42">
                  <c:v>0.91300000000000003</c:v>
                </c:pt>
                <c:pt idx="43">
                  <c:v>0.8650000000000001</c:v>
                </c:pt>
                <c:pt idx="44">
                  <c:v>0.8214999999999999</c:v>
                </c:pt>
                <c:pt idx="45">
                  <c:v>0.80750000000000011</c:v>
                </c:pt>
                <c:pt idx="46">
                  <c:v>0.7975000000000001</c:v>
                </c:pt>
                <c:pt idx="47">
                  <c:v>0.7639999999999999</c:v>
                </c:pt>
                <c:pt idx="48">
                  <c:v>0.75000000000000011</c:v>
                </c:pt>
                <c:pt idx="49">
                  <c:v>0.64349999999999985</c:v>
                </c:pt>
                <c:pt idx="50">
                  <c:v>0.46099999999999991</c:v>
                </c:pt>
                <c:pt idx="51">
                  <c:v>0.3165</c:v>
                </c:pt>
                <c:pt idx="52">
                  <c:v>0.24950000000000003</c:v>
                </c:pt>
                <c:pt idx="53">
                  <c:v>0.26850000000000002</c:v>
                </c:pt>
                <c:pt idx="54">
                  <c:v>0.29750000000000004</c:v>
                </c:pt>
                <c:pt idx="55">
                  <c:v>0.36</c:v>
                </c:pt>
                <c:pt idx="56">
                  <c:v>0.39350000000000002</c:v>
                </c:pt>
                <c:pt idx="57">
                  <c:v>0.41299999999999998</c:v>
                </c:pt>
                <c:pt idx="58">
                  <c:v>0.3745</c:v>
                </c:pt>
                <c:pt idx="59">
                  <c:v>0.32650000000000007</c:v>
                </c:pt>
                <c:pt idx="60">
                  <c:v>0.26900000000000002</c:v>
                </c:pt>
                <c:pt idx="61">
                  <c:v>0.2545</c:v>
                </c:pt>
                <c:pt idx="62">
                  <c:v>0.27350000000000002</c:v>
                </c:pt>
                <c:pt idx="63">
                  <c:v>0.32150000000000001</c:v>
                </c:pt>
                <c:pt idx="64">
                  <c:v>0.29300000000000004</c:v>
                </c:pt>
                <c:pt idx="65">
                  <c:v>0.25900000000000001</c:v>
                </c:pt>
                <c:pt idx="66">
                  <c:v>0.24949999999999997</c:v>
                </c:pt>
                <c:pt idx="67">
                  <c:v>0.24949999999999997</c:v>
                </c:pt>
                <c:pt idx="68">
                  <c:v>0.25900000000000001</c:v>
                </c:pt>
                <c:pt idx="69">
                  <c:v>0.27349999999999997</c:v>
                </c:pt>
                <c:pt idx="70">
                  <c:v>0.38399999999999995</c:v>
                </c:pt>
                <c:pt idx="71">
                  <c:v>0.45150000000000001</c:v>
                </c:pt>
                <c:pt idx="72">
                  <c:v>0.50949999999999995</c:v>
                </c:pt>
                <c:pt idx="73">
                  <c:v>0.50449999999999995</c:v>
                </c:pt>
                <c:pt idx="74">
                  <c:v>0.43699999999999994</c:v>
                </c:pt>
                <c:pt idx="75">
                  <c:v>0.442</c:v>
                </c:pt>
                <c:pt idx="76">
                  <c:v>0.45600000000000007</c:v>
                </c:pt>
                <c:pt idx="77">
                  <c:v>0.57650000000000001</c:v>
                </c:pt>
                <c:pt idx="78">
                  <c:v>0.64399999999999991</c:v>
                </c:pt>
                <c:pt idx="79">
                  <c:v>0.71099999999999997</c:v>
                </c:pt>
                <c:pt idx="80">
                  <c:v>0.70650000000000002</c:v>
                </c:pt>
                <c:pt idx="81">
                  <c:v>0.71099999999999997</c:v>
                </c:pt>
                <c:pt idx="82">
                  <c:v>0.70599999999999996</c:v>
                </c:pt>
                <c:pt idx="83">
                  <c:v>0.69200000000000006</c:v>
                </c:pt>
                <c:pt idx="84">
                  <c:v>0.64399999999999991</c:v>
                </c:pt>
                <c:pt idx="85">
                  <c:v>0.66750000000000009</c:v>
                </c:pt>
                <c:pt idx="86">
                  <c:v>0.72550000000000003</c:v>
                </c:pt>
                <c:pt idx="87">
                  <c:v>0.7589999999999999</c:v>
                </c:pt>
                <c:pt idx="88">
                  <c:v>0.754</c:v>
                </c:pt>
                <c:pt idx="89">
                  <c:v>0.68700000000000006</c:v>
                </c:pt>
                <c:pt idx="90">
                  <c:v>0.61499999999999999</c:v>
                </c:pt>
                <c:pt idx="91">
                  <c:v>0.53800000000000003</c:v>
                </c:pt>
                <c:pt idx="92">
                  <c:v>0.54749999999999999</c:v>
                </c:pt>
                <c:pt idx="93">
                  <c:v>0.54249999999999998</c:v>
                </c:pt>
                <c:pt idx="94">
                  <c:v>0.53300000000000003</c:v>
                </c:pt>
                <c:pt idx="95">
                  <c:v>0.53800000000000003</c:v>
                </c:pt>
                <c:pt idx="96">
                  <c:v>0.54300000000000004</c:v>
                </c:pt>
                <c:pt idx="97">
                  <c:v>0.60549999999999993</c:v>
                </c:pt>
                <c:pt idx="98">
                  <c:v>0.58100000000000007</c:v>
                </c:pt>
                <c:pt idx="99">
                  <c:v>0.5089999999999999</c:v>
                </c:pt>
                <c:pt idx="100">
                  <c:v>0.45599999999999996</c:v>
                </c:pt>
                <c:pt idx="101">
                  <c:v>0.432</c:v>
                </c:pt>
                <c:pt idx="102">
                  <c:v>0.41299999999999998</c:v>
                </c:pt>
                <c:pt idx="103">
                  <c:v>0.32649999999999996</c:v>
                </c:pt>
                <c:pt idx="104">
                  <c:v>0.3165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69-4B5A-8335-FDE34895C536}"/>
            </c:ext>
          </c:extLst>
        </c:ser>
        <c:ser>
          <c:idx val="3"/>
          <c:order val="3"/>
          <c:tx>
            <c:strRef>
              <c:f>'面板-景气指数'!$A$92</c:f>
              <c:strCache>
                <c:ptCount val="1"/>
                <c:pt idx="0">
                  <c:v>装修建材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'面板-景气指数'!$F$92:$DF$92</c:f>
              <c:numCache>
                <c:formatCode>0.0%</c:formatCode>
                <c:ptCount val="105"/>
                <c:pt idx="0">
                  <c:v>0.218801032161549</c:v>
                </c:pt>
                <c:pt idx="1">
                  <c:v>0.24909877521605719</c:v>
                </c:pt>
                <c:pt idx="2">
                  <c:v>0.28771761744555258</c:v>
                </c:pt>
                <c:pt idx="3">
                  <c:v>0.3373498060296074</c:v>
                </c:pt>
                <c:pt idx="4">
                  <c:v>0.3130720825069383</c:v>
                </c:pt>
                <c:pt idx="5">
                  <c:v>0.2826546630757748</c:v>
                </c:pt>
                <c:pt idx="6">
                  <c:v>0.25568469237353347</c:v>
                </c:pt>
                <c:pt idx="7">
                  <c:v>0.30226727294237005</c:v>
                </c:pt>
                <c:pt idx="8">
                  <c:v>0.48841619195122316</c:v>
                </c:pt>
                <c:pt idx="9">
                  <c:v>0.5848457302570057</c:v>
                </c:pt>
                <c:pt idx="10">
                  <c:v>0.63127860515142797</c:v>
                </c:pt>
                <c:pt idx="11">
                  <c:v>0.63613557265429377</c:v>
                </c:pt>
                <c:pt idx="12">
                  <c:v>0.62669980198561093</c:v>
                </c:pt>
                <c:pt idx="13">
                  <c:v>0.58183827041416503</c:v>
                </c:pt>
                <c:pt idx="14">
                  <c:v>0.51458557130629501</c:v>
                </c:pt>
                <c:pt idx="15">
                  <c:v>0.48764729819613234</c:v>
                </c:pt>
                <c:pt idx="16">
                  <c:v>0.45680034045918622</c:v>
                </c:pt>
                <c:pt idx="17">
                  <c:v>0.42924945748242838</c:v>
                </c:pt>
                <c:pt idx="18">
                  <c:v>0.42319607206419063</c:v>
                </c:pt>
                <c:pt idx="19">
                  <c:v>0.40682492405960563</c:v>
                </c:pt>
                <c:pt idx="20">
                  <c:v>0.31066476780489249</c:v>
                </c:pt>
                <c:pt idx="21">
                  <c:v>0.11188699680062435</c:v>
                </c:pt>
                <c:pt idx="22">
                  <c:v>8.9407850479623477E-2</c:v>
                </c:pt>
                <c:pt idx="23">
                  <c:v>8.7878655329024738E-2</c:v>
                </c:pt>
                <c:pt idx="24">
                  <c:v>9.5833611382386663E-2</c:v>
                </c:pt>
                <c:pt idx="25">
                  <c:v>0.10522100151579147</c:v>
                </c:pt>
                <c:pt idx="26">
                  <c:v>0.15611923556227583</c:v>
                </c:pt>
                <c:pt idx="27">
                  <c:v>0.24756334770255825</c:v>
                </c:pt>
                <c:pt idx="28">
                  <c:v>0.31639362249630504</c:v>
                </c:pt>
                <c:pt idx="29">
                  <c:v>0.35005250378947866</c:v>
                </c:pt>
                <c:pt idx="30">
                  <c:v>0.46738361273038553</c:v>
                </c:pt>
                <c:pt idx="31">
                  <c:v>0.51375142414633068</c:v>
                </c:pt>
                <c:pt idx="32">
                  <c:v>0.63207296413569736</c:v>
                </c:pt>
                <c:pt idx="33">
                  <c:v>0.73996830240792144</c:v>
                </c:pt>
                <c:pt idx="34">
                  <c:v>0.82653876410213878</c:v>
                </c:pt>
                <c:pt idx="35">
                  <c:v>0.86473685031183078</c:v>
                </c:pt>
                <c:pt idx="36">
                  <c:v>0.93216638861761347</c:v>
                </c:pt>
                <c:pt idx="37">
                  <c:v>0.91159926351203591</c:v>
                </c:pt>
                <c:pt idx="38">
                  <c:v>0.89863596598707429</c:v>
                </c:pt>
                <c:pt idx="39">
                  <c:v>0.89043454318874238</c:v>
                </c:pt>
                <c:pt idx="40">
                  <c:v>0.90980691867326791</c:v>
                </c:pt>
                <c:pt idx="41">
                  <c:v>0.88057546657717711</c:v>
                </c:pt>
                <c:pt idx="42">
                  <c:v>0.92910176595351557</c:v>
                </c:pt>
                <c:pt idx="43">
                  <c:v>0.8590688408814966</c:v>
                </c:pt>
                <c:pt idx="44">
                  <c:v>0.72077899848420857</c:v>
                </c:pt>
                <c:pt idx="45">
                  <c:v>0.55890157063512425</c:v>
                </c:pt>
                <c:pt idx="46">
                  <c:v>0.508951619464722</c:v>
                </c:pt>
                <c:pt idx="47">
                  <c:v>0.42071727159437122</c:v>
                </c:pt>
                <c:pt idx="48">
                  <c:v>0.34588199191766461</c:v>
                </c:pt>
                <c:pt idx="49">
                  <c:v>0.28132777235226691</c:v>
                </c:pt>
                <c:pt idx="50">
                  <c:v>0.31989200168358417</c:v>
                </c:pt>
                <c:pt idx="51">
                  <c:v>0.2908920016835842</c:v>
                </c:pt>
                <c:pt idx="52">
                  <c:v>0.18702335612047902</c:v>
                </c:pt>
                <c:pt idx="53">
                  <c:v>0.15835780165002564</c:v>
                </c:pt>
                <c:pt idx="54">
                  <c:v>0.16476687960958952</c:v>
                </c:pt>
                <c:pt idx="55">
                  <c:v>0.23478312173840929</c:v>
                </c:pt>
                <c:pt idx="56">
                  <c:v>0.3955291951505987</c:v>
                </c:pt>
                <c:pt idx="57">
                  <c:v>0.45483738878540603</c:v>
                </c:pt>
                <c:pt idx="58">
                  <c:v>0.41618684896383207</c:v>
                </c:pt>
                <c:pt idx="59">
                  <c:v>0.38434322781552577</c:v>
                </c:pt>
                <c:pt idx="60">
                  <c:v>0.34936992052464461</c:v>
                </c:pt>
                <c:pt idx="61">
                  <c:v>0.32800711399165922</c:v>
                </c:pt>
                <c:pt idx="62">
                  <c:v>0.24018307156081259</c:v>
                </c:pt>
                <c:pt idx="63">
                  <c:v>0.23842242431412333</c:v>
                </c:pt>
                <c:pt idx="64">
                  <c:v>0.27326104057946976</c:v>
                </c:pt>
                <c:pt idx="65">
                  <c:v>0.30209465196185642</c:v>
                </c:pt>
                <c:pt idx="66">
                  <c:v>0.32796496581928153</c:v>
                </c:pt>
                <c:pt idx="67">
                  <c:v>0.28791992187264343</c:v>
                </c:pt>
                <c:pt idx="68">
                  <c:v>0.40672561306597083</c:v>
                </c:pt>
                <c:pt idx="69">
                  <c:v>0.42133611382386654</c:v>
                </c:pt>
                <c:pt idx="70">
                  <c:v>0.4178798828089651</c:v>
                </c:pt>
                <c:pt idx="71">
                  <c:v>0.37272973632017159</c:v>
                </c:pt>
                <c:pt idx="72">
                  <c:v>0.38422723387869168</c:v>
                </c:pt>
                <c:pt idx="73">
                  <c:v>0.43021388752413225</c:v>
                </c:pt>
                <c:pt idx="74">
                  <c:v>0.4942188924070921</c:v>
                </c:pt>
                <c:pt idx="75">
                  <c:v>0.51529730224012871</c:v>
                </c:pt>
                <c:pt idx="76">
                  <c:v>0.50097119818218172</c:v>
                </c:pt>
                <c:pt idx="77">
                  <c:v>0.50083650715664707</c:v>
                </c:pt>
                <c:pt idx="78">
                  <c:v>0.45626727294237002</c:v>
                </c:pt>
                <c:pt idx="79">
                  <c:v>0.42708420138155739</c:v>
                </c:pt>
                <c:pt idx="80">
                  <c:v>0.52173184542887108</c:v>
                </c:pt>
                <c:pt idx="81">
                  <c:v>0.55094661458176231</c:v>
                </c:pt>
                <c:pt idx="82">
                  <c:v>0.5684491170232423</c:v>
                </c:pt>
                <c:pt idx="83">
                  <c:v>0.62623434787035093</c:v>
                </c:pt>
                <c:pt idx="84">
                  <c:v>0.67252208115893952</c:v>
                </c:pt>
                <c:pt idx="85">
                  <c:v>0.67253876410213886</c:v>
                </c:pt>
                <c:pt idx="86">
                  <c:v>0.67238739013340487</c:v>
                </c:pt>
                <c:pt idx="87">
                  <c:v>0.69653042263053921</c:v>
                </c:pt>
                <c:pt idx="88">
                  <c:v>0.72869180636519271</c:v>
                </c:pt>
                <c:pt idx="89">
                  <c:v>0.77514592827139484</c:v>
                </c:pt>
                <c:pt idx="90">
                  <c:v>0.83565677218447421</c:v>
                </c:pt>
                <c:pt idx="91">
                  <c:v>0.85350873480438005</c:v>
                </c:pt>
                <c:pt idx="92">
                  <c:v>0.80710922579635636</c:v>
                </c:pt>
                <c:pt idx="93">
                  <c:v>0.77524892170485071</c:v>
                </c:pt>
                <c:pt idx="94">
                  <c:v>0.77176977538384983</c:v>
                </c:pt>
                <c:pt idx="95">
                  <c:v>0.77313258191683532</c:v>
                </c:pt>
                <c:pt idx="96">
                  <c:v>0.78637404377884546</c:v>
                </c:pt>
                <c:pt idx="97">
                  <c:v>0.77698665364544051</c:v>
                </c:pt>
                <c:pt idx="98">
                  <c:v>0.75108719211901565</c:v>
                </c:pt>
                <c:pt idx="99">
                  <c:v>0.65711098905387433</c:v>
                </c:pt>
                <c:pt idx="100">
                  <c:v>0.59935745579884414</c:v>
                </c:pt>
                <c:pt idx="101">
                  <c:v>0.57995961508514038</c:v>
                </c:pt>
                <c:pt idx="102">
                  <c:v>0.66346545411526003</c:v>
                </c:pt>
                <c:pt idx="103">
                  <c:v>0.67630907526356632</c:v>
                </c:pt>
                <c:pt idx="104">
                  <c:v>0.48050338407023896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969-4B5A-8335-FDE34895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77777777803E-2"/>
          <c:y val="1.8552222222222199E-2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'面板-景气指数'!$A$43</c:f>
              <c:strCache>
                <c:ptCount val="1"/>
                <c:pt idx="0">
                  <c:v>机械设备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'面板-景气指数'!$F$43:$DF$43</c:f>
              <c:numCache>
                <c:formatCode>0.0%</c:formatCode>
                <c:ptCount val="105"/>
                <c:pt idx="0">
                  <c:v>0.62291137453176304</c:v>
                </c:pt>
                <c:pt idx="1">
                  <c:v>0.63312526972171423</c:v>
                </c:pt>
                <c:pt idx="2">
                  <c:v>0.60100057273764285</c:v>
                </c:pt>
                <c:pt idx="3">
                  <c:v>0.55289142388354784</c:v>
                </c:pt>
                <c:pt idx="4">
                  <c:v>0.51589487715891924</c:v>
                </c:pt>
                <c:pt idx="5">
                  <c:v>0.41475806257461584</c:v>
                </c:pt>
                <c:pt idx="6">
                  <c:v>0.38926409787338262</c:v>
                </c:pt>
                <c:pt idx="7">
                  <c:v>0.35140681949969083</c:v>
                </c:pt>
                <c:pt idx="8">
                  <c:v>0.48888551419667142</c:v>
                </c:pt>
                <c:pt idx="9">
                  <c:v>0.53714327636524817</c:v>
                </c:pt>
                <c:pt idx="10">
                  <c:v>0.50520541811288067</c:v>
                </c:pt>
                <c:pt idx="11">
                  <c:v>0.43480873491752714</c:v>
                </c:pt>
                <c:pt idx="12">
                  <c:v>0.36061111577600591</c:v>
                </c:pt>
                <c:pt idx="13">
                  <c:v>0.30242663735011222</c:v>
                </c:pt>
                <c:pt idx="14">
                  <c:v>0.27444778312393375</c:v>
                </c:pt>
                <c:pt idx="15">
                  <c:v>0.22320908576225343</c:v>
                </c:pt>
                <c:pt idx="16">
                  <c:v>0.27536738484776541</c:v>
                </c:pt>
                <c:pt idx="17">
                  <c:v>0.30791954215405826</c:v>
                </c:pt>
                <c:pt idx="18">
                  <c:v>0.37175161991873029</c:v>
                </c:pt>
                <c:pt idx="19">
                  <c:v>0.36306553545323045</c:v>
                </c:pt>
                <c:pt idx="20">
                  <c:v>0.3032497463050759</c:v>
                </c:pt>
                <c:pt idx="21">
                  <c:v>0.23226538519646397</c:v>
                </c:pt>
                <c:pt idx="22">
                  <c:v>0.32533841233993188</c:v>
                </c:pt>
                <c:pt idx="23">
                  <c:v>0.38479455821885095</c:v>
                </c:pt>
                <c:pt idx="24">
                  <c:v>0.43854632149513384</c:v>
                </c:pt>
                <c:pt idx="25">
                  <c:v>0.40985709681089116</c:v>
                </c:pt>
                <c:pt idx="26">
                  <c:v>0.37609904759554796</c:v>
                </c:pt>
                <c:pt idx="27">
                  <c:v>0.40605083438434281</c:v>
                </c:pt>
                <c:pt idx="28">
                  <c:v>0.39020598027848002</c:v>
                </c:pt>
                <c:pt idx="29">
                  <c:v>0.42896820520207102</c:v>
                </c:pt>
                <c:pt idx="30">
                  <c:v>0.46259671652795836</c:v>
                </c:pt>
                <c:pt idx="31">
                  <c:v>0.48490076916381952</c:v>
                </c:pt>
                <c:pt idx="32">
                  <c:v>0.51866205047551528</c:v>
                </c:pt>
                <c:pt idx="33">
                  <c:v>0.44668157095262423</c:v>
                </c:pt>
                <c:pt idx="34">
                  <c:v>0.44312883452773999</c:v>
                </c:pt>
                <c:pt idx="35">
                  <c:v>0.4858830007180589</c:v>
                </c:pt>
                <c:pt idx="36">
                  <c:v>0.57760514700454657</c:v>
                </c:pt>
                <c:pt idx="37">
                  <c:v>0.6378928503794824</c:v>
                </c:pt>
                <c:pt idx="38">
                  <c:v>0.68179012980632681</c:v>
                </c:pt>
                <c:pt idx="39">
                  <c:v>0.71216202730796208</c:v>
                </c:pt>
                <c:pt idx="40">
                  <c:v>0.74921915250885174</c:v>
                </c:pt>
                <c:pt idx="41">
                  <c:v>0.83420688077893668</c:v>
                </c:pt>
                <c:pt idx="42">
                  <c:v>0.93717153645289264</c:v>
                </c:pt>
                <c:pt idx="43">
                  <c:v>0.97067034205525782</c:v>
                </c:pt>
                <c:pt idx="44">
                  <c:v>0.91917822818138317</c:v>
                </c:pt>
                <c:pt idx="45">
                  <c:v>0.84670628461580622</c:v>
                </c:pt>
                <c:pt idx="46">
                  <c:v>0.79855138614153565</c:v>
                </c:pt>
                <c:pt idx="47">
                  <c:v>0.75658768265593013</c:v>
                </c:pt>
                <c:pt idx="48">
                  <c:v>0.67052962035732211</c:v>
                </c:pt>
                <c:pt idx="49">
                  <c:v>0.63039663994586037</c:v>
                </c:pt>
                <c:pt idx="50">
                  <c:v>0.60376098953676993</c:v>
                </c:pt>
                <c:pt idx="51">
                  <c:v>0.58250598870481485</c:v>
                </c:pt>
                <c:pt idx="52">
                  <c:v>0.5740154955632315</c:v>
                </c:pt>
                <c:pt idx="53">
                  <c:v>0.41352682084277287</c:v>
                </c:pt>
                <c:pt idx="54">
                  <c:v>0.30998089190299222</c:v>
                </c:pt>
                <c:pt idx="55">
                  <c:v>0.17935404502744098</c:v>
                </c:pt>
                <c:pt idx="56">
                  <c:v>0.34020158337101358</c:v>
                </c:pt>
                <c:pt idx="57">
                  <c:v>0.39155678986617276</c:v>
                </c:pt>
                <c:pt idx="58">
                  <c:v>0.43265681864551125</c:v>
                </c:pt>
                <c:pt idx="59">
                  <c:v>0.38887172807377457</c:v>
                </c:pt>
                <c:pt idx="60">
                  <c:v>0.33736934265453683</c:v>
                </c:pt>
                <c:pt idx="61">
                  <c:v>0.34116620603754599</c:v>
                </c:pt>
                <c:pt idx="62">
                  <c:v>0.36560152811059515</c:v>
                </c:pt>
                <c:pt idx="63">
                  <c:v>0.33270519712756974</c:v>
                </c:pt>
                <c:pt idx="64">
                  <c:v>0.26325920940589304</c:v>
                </c:pt>
                <c:pt idx="65">
                  <c:v>0.27060490789321079</c:v>
                </c:pt>
                <c:pt idx="66">
                  <c:v>0.32666810689330961</c:v>
                </c:pt>
                <c:pt idx="67">
                  <c:v>0.40345888400779145</c:v>
                </c:pt>
                <c:pt idx="68">
                  <c:v>0.26509637432884098</c:v>
                </c:pt>
                <c:pt idx="69">
                  <c:v>0.24295962058569145</c:v>
                </c:pt>
                <c:pt idx="70">
                  <c:v>0.297971052744121</c:v>
                </c:pt>
                <c:pt idx="71">
                  <c:v>0.32067286011285445</c:v>
                </c:pt>
                <c:pt idx="72">
                  <c:v>0.348012420354817</c:v>
                </c:pt>
                <c:pt idx="73">
                  <c:v>0.347688181276121</c:v>
                </c:pt>
                <c:pt idx="74">
                  <c:v>0.36385889082146583</c:v>
                </c:pt>
                <c:pt idx="75">
                  <c:v>0.42758566661273062</c:v>
                </c:pt>
                <c:pt idx="76">
                  <c:v>0.48301026650057793</c:v>
                </c:pt>
                <c:pt idx="77">
                  <c:v>0.50214237454923205</c:v>
                </c:pt>
                <c:pt idx="78">
                  <c:v>0.45758172631359256</c:v>
                </c:pt>
                <c:pt idx="79">
                  <c:v>0.50644186869448682</c:v>
                </c:pt>
                <c:pt idx="80">
                  <c:v>0.55805755726709338</c:v>
                </c:pt>
                <c:pt idx="81">
                  <c:v>0.62879342868397237</c:v>
                </c:pt>
                <c:pt idx="82">
                  <c:v>0.60169800377400551</c:v>
                </c:pt>
                <c:pt idx="83">
                  <c:v>0.63332263730416494</c:v>
                </c:pt>
                <c:pt idx="84">
                  <c:v>0.64312407851516107</c:v>
                </c:pt>
                <c:pt idx="85">
                  <c:v>0.68042238437251457</c:v>
                </c:pt>
                <c:pt idx="86">
                  <c:v>0.69383931728764658</c:v>
                </c:pt>
                <c:pt idx="87">
                  <c:v>0.72260542385256188</c:v>
                </c:pt>
                <c:pt idx="88">
                  <c:v>0.71338891889745393</c:v>
                </c:pt>
                <c:pt idx="89">
                  <c:v>0.70518311041995108</c:v>
                </c:pt>
                <c:pt idx="90">
                  <c:v>0.70839792060501627</c:v>
                </c:pt>
                <c:pt idx="91">
                  <c:v>0.68653328004678515</c:v>
                </c:pt>
                <c:pt idx="92">
                  <c:v>0.72922240755554191</c:v>
                </c:pt>
                <c:pt idx="93">
                  <c:v>0.70173125830941663</c:v>
                </c:pt>
                <c:pt idx="94">
                  <c:v>0.68640930506493991</c:v>
                </c:pt>
                <c:pt idx="95">
                  <c:v>0.70439024021312202</c:v>
                </c:pt>
                <c:pt idx="96">
                  <c:v>0.67253009860937285</c:v>
                </c:pt>
                <c:pt idx="97">
                  <c:v>0.61941989392930674</c:v>
                </c:pt>
                <c:pt idx="98">
                  <c:v>0.53807754776315397</c:v>
                </c:pt>
                <c:pt idx="99">
                  <c:v>0.43819237732950855</c:v>
                </c:pt>
                <c:pt idx="100">
                  <c:v>0.39807690339936797</c:v>
                </c:pt>
                <c:pt idx="101">
                  <c:v>0.40945190449499502</c:v>
                </c:pt>
                <c:pt idx="102">
                  <c:v>0.4487964564158215</c:v>
                </c:pt>
                <c:pt idx="103">
                  <c:v>0.45469066605838654</c:v>
                </c:pt>
                <c:pt idx="104">
                  <c:v>0.27946302443661464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A1-4CE1-999E-CED5602BA44E}"/>
            </c:ext>
          </c:extLst>
        </c:ser>
        <c:ser>
          <c:idx val="1"/>
          <c:order val="1"/>
          <c:tx>
            <c:strRef>
              <c:f>'面板-景气指数'!$A$93</c:f>
              <c:strCache>
                <c:ptCount val="1"/>
                <c:pt idx="0">
                  <c:v>通用设备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'面板-景气指数'!$F$93:$DF$93</c:f>
              <c:numCache>
                <c:formatCode>0.0%</c:formatCode>
                <c:ptCount val="105"/>
                <c:pt idx="0">
                  <c:v>0.85818020729814104</c:v>
                </c:pt>
                <c:pt idx="1">
                  <c:v>0.89161549928426265</c:v>
                </c:pt>
                <c:pt idx="2">
                  <c:v>0.81892137524262676</c:v>
                </c:pt>
                <c:pt idx="3">
                  <c:v>0.74528113508104077</c:v>
                </c:pt>
                <c:pt idx="4">
                  <c:v>0.66469168618983854</c:v>
                </c:pt>
                <c:pt idx="5">
                  <c:v>0.49492203000049523</c:v>
                </c:pt>
                <c:pt idx="6">
                  <c:v>0.49295051824535263</c:v>
                </c:pt>
                <c:pt idx="7">
                  <c:v>0.43159075840693883</c:v>
                </c:pt>
                <c:pt idx="8">
                  <c:v>0.69051147889169739</c:v>
                </c:pt>
                <c:pt idx="9">
                  <c:v>0.78674491531201962</c:v>
                </c:pt>
                <c:pt idx="10">
                  <c:v>0.76074182270235402</c:v>
                </c:pt>
                <c:pt idx="11">
                  <c:v>0.71377096570507992</c:v>
                </c:pt>
                <c:pt idx="12">
                  <c:v>0.55510223729863628</c:v>
                </c:pt>
                <c:pt idx="13">
                  <c:v>0.4411777694463439</c:v>
                </c:pt>
                <c:pt idx="14">
                  <c:v>0.36225639420371714</c:v>
                </c:pt>
                <c:pt idx="15">
                  <c:v>0.16725573944584871</c:v>
                </c:pt>
                <c:pt idx="16">
                  <c:v>0.17658944889120218</c:v>
                </c:pt>
                <c:pt idx="17">
                  <c:v>0.23153865762081821</c:v>
                </c:pt>
                <c:pt idx="18">
                  <c:v>0.35582223055365603</c:v>
                </c:pt>
                <c:pt idx="19">
                  <c:v>0.43115415690508074</c:v>
                </c:pt>
                <c:pt idx="20">
                  <c:v>0.30938450071573742</c:v>
                </c:pt>
                <c:pt idx="21">
                  <c:v>0.20284584309491926</c:v>
                </c:pt>
                <c:pt idx="22">
                  <c:v>0.27805013651251564</c:v>
                </c:pt>
                <c:pt idx="23">
                  <c:v>0.29943463722825309</c:v>
                </c:pt>
                <c:pt idx="24">
                  <c:v>0.41233370944535347</c:v>
                </c:pt>
                <c:pt idx="25">
                  <c:v>0.37092381309442402</c:v>
                </c:pt>
                <c:pt idx="26">
                  <c:v>0.35276965618934325</c:v>
                </c:pt>
                <c:pt idx="27">
                  <c:v>0.48053687452688942</c:v>
                </c:pt>
                <c:pt idx="28">
                  <c:v>0.58559075840693897</c:v>
                </c:pt>
                <c:pt idx="29">
                  <c:v>0.66953996713655473</c:v>
                </c:pt>
                <c:pt idx="30">
                  <c:v>0.61499999999999988</c:v>
                </c:pt>
                <c:pt idx="31">
                  <c:v>0.57605013651251558</c:v>
                </c:pt>
                <c:pt idx="32">
                  <c:v>0.59187367658190837</c:v>
                </c:pt>
                <c:pt idx="33">
                  <c:v>0.53525639420371707</c:v>
                </c:pt>
                <c:pt idx="34">
                  <c:v>0.582230998568525</c:v>
                </c:pt>
                <c:pt idx="35">
                  <c:v>0.68146134237918188</c:v>
                </c:pt>
                <c:pt idx="36">
                  <c:v>0.78679505182453524</c:v>
                </c:pt>
                <c:pt idx="37">
                  <c:v>0.82317711468847565</c:v>
                </c:pt>
                <c:pt idx="38">
                  <c:v>0.86925573944584866</c:v>
                </c:pt>
                <c:pt idx="39">
                  <c:v>0.91725573944584871</c:v>
                </c:pt>
                <c:pt idx="40">
                  <c:v>0.9506910314319702</c:v>
                </c:pt>
                <c:pt idx="41">
                  <c:v>0.97323034381065665</c:v>
                </c:pt>
                <c:pt idx="42">
                  <c:v>0.9675901036490705</c:v>
                </c:pt>
                <c:pt idx="43">
                  <c:v>0.99323034381065667</c:v>
                </c:pt>
                <c:pt idx="44">
                  <c:v>0.9474606876213133</c:v>
                </c:pt>
                <c:pt idx="45">
                  <c:v>0.9624383845957869</c:v>
                </c:pt>
                <c:pt idx="46">
                  <c:v>0.93864024016158631</c:v>
                </c:pt>
                <c:pt idx="47">
                  <c:v>0.82515415690508065</c:v>
                </c:pt>
                <c:pt idx="48">
                  <c:v>0.6733089685680298</c:v>
                </c:pt>
                <c:pt idx="49">
                  <c:v>0.63548852110830256</c:v>
                </c:pt>
                <c:pt idx="50">
                  <c:v>0.55494920872961606</c:v>
                </c:pt>
                <c:pt idx="51">
                  <c:v>0.47794920872961605</c:v>
                </c:pt>
                <c:pt idx="52">
                  <c:v>0.45100000000000001</c:v>
                </c:pt>
                <c:pt idx="53">
                  <c:v>0.25282288531152436</c:v>
                </c:pt>
                <c:pt idx="54">
                  <c:v>0.2514346372282531</c:v>
                </c:pt>
                <c:pt idx="55">
                  <c:v>0.11428357293283782</c:v>
                </c:pt>
                <c:pt idx="56">
                  <c:v>0.43266629055464656</c:v>
                </c:pt>
                <c:pt idx="57">
                  <c:v>0.37153996713655485</c:v>
                </c:pt>
                <c:pt idx="58">
                  <c:v>0.35702539563519192</c:v>
                </c:pt>
                <c:pt idx="59">
                  <c:v>0.30359010364907052</c:v>
                </c:pt>
                <c:pt idx="60">
                  <c:v>0.22982044745972724</c:v>
                </c:pt>
                <c:pt idx="61">
                  <c:v>0.22641055110879782</c:v>
                </c:pt>
                <c:pt idx="62">
                  <c:v>0.30784584309491919</c:v>
                </c:pt>
                <c:pt idx="63">
                  <c:v>0.28015481166294909</c:v>
                </c:pt>
                <c:pt idx="64">
                  <c:v>0.13969412404163561</c:v>
                </c:pt>
                <c:pt idx="65">
                  <c:v>0.10715481166294909</c:v>
                </c:pt>
                <c:pt idx="66">
                  <c:v>0.12705079127038399</c:v>
                </c:pt>
                <c:pt idx="67">
                  <c:v>0.30202605039306035</c:v>
                </c:pt>
                <c:pt idx="68">
                  <c:v>5.2435291986121457E-2</c:v>
                </c:pt>
                <c:pt idx="69">
                  <c:v>4.5974604364808005E-2</c:v>
                </c:pt>
                <c:pt idx="70">
                  <c:v>7.8564053256010208E-2</c:v>
                </c:pt>
                <c:pt idx="71">
                  <c:v>8.9639585403717845E-2</c:v>
                </c:pt>
                <c:pt idx="72">
                  <c:v>8.1794397066666927E-2</c:v>
                </c:pt>
                <c:pt idx="73">
                  <c:v>7.6050136512515645E-2</c:v>
                </c:pt>
                <c:pt idx="74">
                  <c:v>7.7308968568029823E-2</c:v>
                </c:pt>
                <c:pt idx="75">
                  <c:v>0.17694855397174766</c:v>
                </c:pt>
                <c:pt idx="76">
                  <c:v>0.22512810651202039</c:v>
                </c:pt>
                <c:pt idx="77">
                  <c:v>0.27107731524163642</c:v>
                </c:pt>
                <c:pt idx="78">
                  <c:v>0.2809732948490713</c:v>
                </c:pt>
                <c:pt idx="79">
                  <c:v>0.29805191960644445</c:v>
                </c:pt>
                <c:pt idx="80">
                  <c:v>0.36600178309392878</c:v>
                </c:pt>
                <c:pt idx="81">
                  <c:v>0.44510271087682834</c:v>
                </c:pt>
                <c:pt idx="82">
                  <c:v>0.42269281452589896</c:v>
                </c:pt>
                <c:pt idx="83">
                  <c:v>0.47938384595786909</c:v>
                </c:pt>
                <c:pt idx="84">
                  <c:v>0.5243869385675346</c:v>
                </c:pt>
                <c:pt idx="85">
                  <c:v>0.59640924159306119</c:v>
                </c:pt>
                <c:pt idx="86">
                  <c:v>0.64687302182404005</c:v>
                </c:pt>
                <c:pt idx="87">
                  <c:v>0.72117955254027277</c:v>
                </c:pt>
                <c:pt idx="88">
                  <c:v>0.73340989635092935</c:v>
                </c:pt>
                <c:pt idx="89">
                  <c:v>0.72099999999999986</c:v>
                </c:pt>
                <c:pt idx="90">
                  <c:v>0.67528048032317234</c:v>
                </c:pt>
                <c:pt idx="91">
                  <c:v>0.62710092778289972</c:v>
                </c:pt>
                <c:pt idx="92">
                  <c:v>0.73646068762131334</c:v>
                </c:pt>
                <c:pt idx="93">
                  <c:v>0.79543594674398976</c:v>
                </c:pt>
                <c:pt idx="94">
                  <c:v>0.74989972697496865</c:v>
                </c:pt>
                <c:pt idx="95">
                  <c:v>0.81425639420371709</c:v>
                </c:pt>
                <c:pt idx="96">
                  <c:v>0.77848673801437374</c:v>
                </c:pt>
                <c:pt idx="97">
                  <c:v>0.71502605039306033</c:v>
                </c:pt>
                <c:pt idx="98">
                  <c:v>0.56748673801437377</c:v>
                </c:pt>
                <c:pt idx="99">
                  <c:v>0.44051147889169745</c:v>
                </c:pt>
                <c:pt idx="100">
                  <c:v>0.40269103143197016</c:v>
                </c:pt>
                <c:pt idx="101">
                  <c:v>0.42864024016158619</c:v>
                </c:pt>
                <c:pt idx="102">
                  <c:v>0.44625573944584873</c:v>
                </c:pt>
                <c:pt idx="103">
                  <c:v>0.47556470801387851</c:v>
                </c:pt>
                <c:pt idx="104">
                  <c:v>0.21561484452639418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A1-4CE1-999E-CED5602BA44E}"/>
            </c:ext>
          </c:extLst>
        </c:ser>
        <c:ser>
          <c:idx val="2"/>
          <c:order val="2"/>
          <c:tx>
            <c:strRef>
              <c:f>'面板-景气指数'!$A$94</c:f>
              <c:strCache>
                <c:ptCount val="1"/>
                <c:pt idx="0">
                  <c:v>工程机械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'面板-景气指数'!$F$94:$DF$94</c:f>
              <c:numCache>
                <c:formatCode>0.0%</c:formatCode>
                <c:ptCount val="105"/>
                <c:pt idx="0">
                  <c:v>0.42512500000000003</c:v>
                </c:pt>
                <c:pt idx="1">
                  <c:v>0.41387500000000005</c:v>
                </c:pt>
                <c:pt idx="2">
                  <c:v>0.40187499999999998</c:v>
                </c:pt>
                <c:pt idx="3">
                  <c:v>0.3776250000000001</c:v>
                </c:pt>
                <c:pt idx="4">
                  <c:v>0.36900000000000011</c:v>
                </c:pt>
                <c:pt idx="5">
                  <c:v>0.33362500000000006</c:v>
                </c:pt>
                <c:pt idx="6">
                  <c:v>0.29587500000000005</c:v>
                </c:pt>
                <c:pt idx="7">
                  <c:v>0.260125</c:v>
                </c:pt>
                <c:pt idx="8">
                  <c:v>0.30712500000000004</c:v>
                </c:pt>
                <c:pt idx="9">
                  <c:v>0.317</c:v>
                </c:pt>
                <c:pt idx="10">
                  <c:v>0.28937500000000005</c:v>
                </c:pt>
                <c:pt idx="11">
                  <c:v>0.20275000000000001</c:v>
                </c:pt>
                <c:pt idx="12">
                  <c:v>0.19125000000000006</c:v>
                </c:pt>
                <c:pt idx="13">
                  <c:v>0.16800000000000004</c:v>
                </c:pt>
                <c:pt idx="14">
                  <c:v>0.19562500000000002</c:v>
                </c:pt>
                <c:pt idx="15">
                  <c:v>0.270125</c:v>
                </c:pt>
                <c:pt idx="16">
                  <c:v>0.33150000000000002</c:v>
                </c:pt>
                <c:pt idx="17">
                  <c:v>0.31662500000000005</c:v>
                </c:pt>
                <c:pt idx="18">
                  <c:v>0.35950000000000004</c:v>
                </c:pt>
                <c:pt idx="19">
                  <c:v>0.27700000000000008</c:v>
                </c:pt>
                <c:pt idx="20">
                  <c:v>0.31075000000000003</c:v>
                </c:pt>
                <c:pt idx="21">
                  <c:v>0.24875</c:v>
                </c:pt>
                <c:pt idx="22">
                  <c:v>0.36287500000000006</c:v>
                </c:pt>
                <c:pt idx="23">
                  <c:v>0.46925000000000006</c:v>
                </c:pt>
                <c:pt idx="24">
                  <c:v>0.46775000000000011</c:v>
                </c:pt>
                <c:pt idx="25">
                  <c:v>0.46812500000000007</c:v>
                </c:pt>
                <c:pt idx="26">
                  <c:v>0.39650000000000007</c:v>
                </c:pt>
                <c:pt idx="27">
                  <c:v>0.36412500000000009</c:v>
                </c:pt>
                <c:pt idx="28">
                  <c:v>0.24737500000000001</c:v>
                </c:pt>
                <c:pt idx="29">
                  <c:v>0.22550000000000003</c:v>
                </c:pt>
                <c:pt idx="30">
                  <c:v>0.32062500000000005</c:v>
                </c:pt>
                <c:pt idx="31">
                  <c:v>0.37050000000000011</c:v>
                </c:pt>
                <c:pt idx="32">
                  <c:v>0.44162500000000005</c:v>
                </c:pt>
                <c:pt idx="33">
                  <c:v>0.32337500000000002</c:v>
                </c:pt>
                <c:pt idx="34">
                  <c:v>0.28962500000000008</c:v>
                </c:pt>
                <c:pt idx="35">
                  <c:v>0.28100000000000003</c:v>
                </c:pt>
                <c:pt idx="36">
                  <c:v>0.36250000000000004</c:v>
                </c:pt>
                <c:pt idx="37">
                  <c:v>0.42275000000000007</c:v>
                </c:pt>
                <c:pt idx="38">
                  <c:v>0.47812500000000008</c:v>
                </c:pt>
                <c:pt idx="39">
                  <c:v>0.48375000000000007</c:v>
                </c:pt>
                <c:pt idx="40">
                  <c:v>0.50700000000000001</c:v>
                </c:pt>
                <c:pt idx="41">
                  <c:v>0.64612500000000017</c:v>
                </c:pt>
                <c:pt idx="42">
                  <c:v>0.89650000000000019</c:v>
                </c:pt>
                <c:pt idx="43">
                  <c:v>0.93725000000000025</c:v>
                </c:pt>
                <c:pt idx="44">
                  <c:v>0.92000000000000015</c:v>
                </c:pt>
                <c:pt idx="45">
                  <c:v>0.75525000000000009</c:v>
                </c:pt>
                <c:pt idx="46">
                  <c:v>0.67337500000000017</c:v>
                </c:pt>
                <c:pt idx="47">
                  <c:v>0.69275000000000009</c:v>
                </c:pt>
                <c:pt idx="48">
                  <c:v>0.64762500000000001</c:v>
                </c:pt>
                <c:pt idx="49">
                  <c:v>0.60125000000000017</c:v>
                </c:pt>
                <c:pt idx="50">
                  <c:v>0.64250000000000007</c:v>
                </c:pt>
                <c:pt idx="51">
                  <c:v>0.66462500000000013</c:v>
                </c:pt>
                <c:pt idx="52">
                  <c:v>0.67325000000000002</c:v>
                </c:pt>
                <c:pt idx="53">
                  <c:v>0.55937500000000018</c:v>
                </c:pt>
                <c:pt idx="54">
                  <c:v>0.3493750000000001</c:v>
                </c:pt>
                <c:pt idx="55">
                  <c:v>0.21575000000000008</c:v>
                </c:pt>
                <c:pt idx="56">
                  <c:v>0.25437500000000002</c:v>
                </c:pt>
                <c:pt idx="57">
                  <c:v>0.41475000000000001</c:v>
                </c:pt>
                <c:pt idx="58">
                  <c:v>0.51837500000000003</c:v>
                </c:pt>
                <c:pt idx="59">
                  <c:v>0.48037500000000005</c:v>
                </c:pt>
                <c:pt idx="60">
                  <c:v>0.46300000000000008</c:v>
                </c:pt>
                <c:pt idx="61">
                  <c:v>0.48300000000000015</c:v>
                </c:pt>
                <c:pt idx="62">
                  <c:v>0.44975000000000009</c:v>
                </c:pt>
                <c:pt idx="63">
                  <c:v>0.38337500000000013</c:v>
                </c:pt>
                <c:pt idx="64">
                  <c:v>0.37075000000000008</c:v>
                </c:pt>
                <c:pt idx="65">
                  <c:v>0.42925000000000008</c:v>
                </c:pt>
                <c:pt idx="66">
                  <c:v>0.5475000000000001</c:v>
                </c:pt>
                <c:pt idx="67">
                  <c:v>0.55175000000000007</c:v>
                </c:pt>
                <c:pt idx="68">
                  <c:v>0.48675000000000007</c:v>
                </c:pt>
                <c:pt idx="69">
                  <c:v>0.44175000000000009</c:v>
                </c:pt>
                <c:pt idx="70">
                  <c:v>0.53475000000000006</c:v>
                </c:pt>
                <c:pt idx="71">
                  <c:v>0.58125000000000016</c:v>
                </c:pt>
                <c:pt idx="72">
                  <c:v>0.64574999999999994</c:v>
                </c:pt>
                <c:pt idx="73">
                  <c:v>0.64037500000000014</c:v>
                </c:pt>
                <c:pt idx="74">
                  <c:v>0.67087500000000011</c:v>
                </c:pt>
                <c:pt idx="75">
                  <c:v>0.701125</c:v>
                </c:pt>
                <c:pt idx="76">
                  <c:v>0.75887499999999997</c:v>
                </c:pt>
                <c:pt idx="77">
                  <c:v>0.735375</c:v>
                </c:pt>
                <c:pt idx="78">
                  <c:v>0.6110000000000001</c:v>
                </c:pt>
                <c:pt idx="79">
                  <c:v>0.71650000000000014</c:v>
                </c:pt>
                <c:pt idx="80">
                  <c:v>0.73125000000000018</c:v>
                </c:pt>
                <c:pt idx="81">
                  <c:v>0.83150000000000013</c:v>
                </c:pt>
                <c:pt idx="82">
                  <c:v>0.7808750000000001</c:v>
                </c:pt>
                <c:pt idx="83">
                  <c:v>0.78225000000000011</c:v>
                </c:pt>
                <c:pt idx="84">
                  <c:v>0.7512500000000002</c:v>
                </c:pt>
                <c:pt idx="85">
                  <c:v>0.75687500000000008</c:v>
                </c:pt>
                <c:pt idx="86">
                  <c:v>0.73925000000000007</c:v>
                </c:pt>
                <c:pt idx="87">
                  <c:v>0.73250000000000004</c:v>
                </c:pt>
                <c:pt idx="88">
                  <c:v>0.70700000000000007</c:v>
                </c:pt>
                <c:pt idx="89">
                  <c:v>0.69050000000000011</c:v>
                </c:pt>
                <c:pt idx="90">
                  <c:v>0.74375000000000002</c:v>
                </c:pt>
                <c:pt idx="91">
                  <c:v>0.73512499999999992</c:v>
                </c:pt>
                <c:pt idx="92">
                  <c:v>0.75087500000000018</c:v>
                </c:pt>
                <c:pt idx="93">
                  <c:v>0.6140000000000001</c:v>
                </c:pt>
                <c:pt idx="94">
                  <c:v>0.64024999999999999</c:v>
                </c:pt>
                <c:pt idx="95">
                  <c:v>0.61712500000000003</c:v>
                </c:pt>
                <c:pt idx="96">
                  <c:v>0.57175000000000009</c:v>
                </c:pt>
                <c:pt idx="97">
                  <c:v>0.50075000000000003</c:v>
                </c:pt>
                <c:pt idx="98">
                  <c:v>0.45025000000000009</c:v>
                </c:pt>
                <c:pt idx="99">
                  <c:v>0.36500000000000005</c:v>
                </c:pt>
                <c:pt idx="100">
                  <c:v>0.3277500000000001</c:v>
                </c:pt>
                <c:pt idx="101">
                  <c:v>0.35525000000000007</c:v>
                </c:pt>
                <c:pt idx="102">
                  <c:v>0.43450000000000005</c:v>
                </c:pt>
                <c:pt idx="103">
                  <c:v>0.40962500000000007</c:v>
                </c:pt>
                <c:pt idx="104">
                  <c:v>0.2808750000000001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A1-4CE1-999E-CED5602BA44E}"/>
            </c:ext>
          </c:extLst>
        </c:ser>
        <c:ser>
          <c:idx val="3"/>
          <c:order val="3"/>
          <c:tx>
            <c:strRef>
              <c:f>'面板-景气指数'!$A$95</c:f>
              <c:strCache>
                <c:ptCount val="1"/>
                <c:pt idx="0">
                  <c:v>自动化设备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'面板-景气指数'!$F$95:$DF$95</c:f>
              <c:numCache>
                <c:formatCode>0.0%</c:formatCode>
                <c:ptCount val="105"/>
                <c:pt idx="0">
                  <c:v>0.41166666666666679</c:v>
                </c:pt>
                <c:pt idx="1">
                  <c:v>0.40716666666666684</c:v>
                </c:pt>
                <c:pt idx="2">
                  <c:v>0.44633333333333342</c:v>
                </c:pt>
                <c:pt idx="3">
                  <c:v>0.40783333333333338</c:v>
                </c:pt>
                <c:pt idx="4">
                  <c:v>0.42816666666666675</c:v>
                </c:pt>
                <c:pt idx="5">
                  <c:v>0.35483333333333344</c:v>
                </c:pt>
                <c:pt idx="6">
                  <c:v>0.28316666666666684</c:v>
                </c:pt>
                <c:pt idx="7">
                  <c:v>0.31383333333333335</c:v>
                </c:pt>
                <c:pt idx="8">
                  <c:v>0.3183333333333333</c:v>
                </c:pt>
                <c:pt idx="9">
                  <c:v>0.32716666666666661</c:v>
                </c:pt>
                <c:pt idx="10">
                  <c:v>0.25833333333333325</c:v>
                </c:pt>
                <c:pt idx="11">
                  <c:v>0.15616666666666656</c:v>
                </c:pt>
                <c:pt idx="12">
                  <c:v>0.17066666666666658</c:v>
                </c:pt>
                <c:pt idx="13">
                  <c:v>0.18999999999999989</c:v>
                </c:pt>
                <c:pt idx="14">
                  <c:v>0.16766666666666655</c:v>
                </c:pt>
                <c:pt idx="15">
                  <c:v>0.22316666666666665</c:v>
                </c:pt>
                <c:pt idx="16">
                  <c:v>0.39883333333333332</c:v>
                </c:pt>
                <c:pt idx="17">
                  <c:v>0.50266666666666648</c:v>
                </c:pt>
                <c:pt idx="18">
                  <c:v>0.43033333333333312</c:v>
                </c:pt>
                <c:pt idx="19">
                  <c:v>0.35549999999999982</c:v>
                </c:pt>
                <c:pt idx="20">
                  <c:v>0.23349999999999987</c:v>
                </c:pt>
                <c:pt idx="21">
                  <c:v>0.26616666666666661</c:v>
                </c:pt>
                <c:pt idx="22">
                  <c:v>0.36699999999999999</c:v>
                </c:pt>
                <c:pt idx="23">
                  <c:v>0.42416666666666669</c:v>
                </c:pt>
                <c:pt idx="24">
                  <c:v>0.44999999999999996</c:v>
                </c:pt>
                <c:pt idx="25">
                  <c:v>0.3793333333333333</c:v>
                </c:pt>
                <c:pt idx="26">
                  <c:v>0.40433333333333327</c:v>
                </c:pt>
                <c:pt idx="27">
                  <c:v>0.29533333333333328</c:v>
                </c:pt>
                <c:pt idx="28">
                  <c:v>0.17700000000000005</c:v>
                </c:pt>
                <c:pt idx="29">
                  <c:v>0.24500000000000005</c:v>
                </c:pt>
                <c:pt idx="30">
                  <c:v>0.39883333333333332</c:v>
                </c:pt>
                <c:pt idx="31">
                  <c:v>0.54400000000000004</c:v>
                </c:pt>
                <c:pt idx="32">
                  <c:v>0.52833333333333332</c:v>
                </c:pt>
                <c:pt idx="33">
                  <c:v>0.52583333333333349</c:v>
                </c:pt>
                <c:pt idx="34">
                  <c:v>0.44500000000000012</c:v>
                </c:pt>
                <c:pt idx="35">
                  <c:v>0.45583333333333342</c:v>
                </c:pt>
                <c:pt idx="36">
                  <c:v>0.54266666666666685</c:v>
                </c:pt>
                <c:pt idx="37">
                  <c:v>0.68850000000000011</c:v>
                </c:pt>
                <c:pt idx="38">
                  <c:v>0.68883333333333352</c:v>
                </c:pt>
                <c:pt idx="39">
                  <c:v>0.72516666666666674</c:v>
                </c:pt>
                <c:pt idx="40">
                  <c:v>0.7958333333333335</c:v>
                </c:pt>
                <c:pt idx="41">
                  <c:v>0.91550000000000009</c:v>
                </c:pt>
                <c:pt idx="42">
                  <c:v>0.95200000000000007</c:v>
                </c:pt>
                <c:pt idx="43">
                  <c:v>0.99199999999999999</c:v>
                </c:pt>
                <c:pt idx="44">
                  <c:v>0.8194999999999999</c:v>
                </c:pt>
                <c:pt idx="45">
                  <c:v>0.7679999999999999</c:v>
                </c:pt>
                <c:pt idx="46">
                  <c:v>0.73050000000000004</c:v>
                </c:pt>
                <c:pt idx="47">
                  <c:v>0.73483333333333345</c:v>
                </c:pt>
                <c:pt idx="48">
                  <c:v>0.7400000000000001</c:v>
                </c:pt>
                <c:pt idx="49">
                  <c:v>0.7054999999999999</c:v>
                </c:pt>
                <c:pt idx="50">
                  <c:v>0.65683333333333327</c:v>
                </c:pt>
                <c:pt idx="51">
                  <c:v>0.70650000000000002</c:v>
                </c:pt>
                <c:pt idx="52">
                  <c:v>0.72599999999999998</c:v>
                </c:pt>
                <c:pt idx="53">
                  <c:v>0.54733333333333345</c:v>
                </c:pt>
                <c:pt idx="54">
                  <c:v>0.41083333333333349</c:v>
                </c:pt>
                <c:pt idx="55">
                  <c:v>0.30183333333333345</c:v>
                </c:pt>
                <c:pt idx="56">
                  <c:v>0.30850000000000011</c:v>
                </c:pt>
                <c:pt idx="57">
                  <c:v>0.39033333333333337</c:v>
                </c:pt>
                <c:pt idx="58">
                  <c:v>0.42949999999999994</c:v>
                </c:pt>
                <c:pt idx="59">
                  <c:v>0.3904999999999999</c:v>
                </c:pt>
                <c:pt idx="60">
                  <c:v>0.30299999999999983</c:v>
                </c:pt>
                <c:pt idx="61">
                  <c:v>0.27899999999999986</c:v>
                </c:pt>
                <c:pt idx="62">
                  <c:v>0.28349999999999986</c:v>
                </c:pt>
                <c:pt idx="63">
                  <c:v>0.3274999999999999</c:v>
                </c:pt>
                <c:pt idx="64">
                  <c:v>0.3224999999999999</c:v>
                </c:pt>
                <c:pt idx="65">
                  <c:v>0.31299999999999989</c:v>
                </c:pt>
                <c:pt idx="66">
                  <c:v>0.30799999999999988</c:v>
                </c:pt>
                <c:pt idx="67">
                  <c:v>0.27399999999999985</c:v>
                </c:pt>
                <c:pt idx="68">
                  <c:v>0.29349999999999982</c:v>
                </c:pt>
                <c:pt idx="69">
                  <c:v>0.31749999999999989</c:v>
                </c:pt>
                <c:pt idx="70">
                  <c:v>0.34199999999999986</c:v>
                </c:pt>
                <c:pt idx="71">
                  <c:v>0.33699999999999986</c:v>
                </c:pt>
                <c:pt idx="72">
                  <c:v>0.37599999999999989</c:v>
                </c:pt>
                <c:pt idx="73">
                  <c:v>0.41</c:v>
                </c:pt>
                <c:pt idx="74">
                  <c:v>0.43399999999999994</c:v>
                </c:pt>
                <c:pt idx="75">
                  <c:v>0.48300000000000004</c:v>
                </c:pt>
                <c:pt idx="76">
                  <c:v>0.56050000000000011</c:v>
                </c:pt>
                <c:pt idx="77">
                  <c:v>0.61400000000000021</c:v>
                </c:pt>
                <c:pt idx="78">
                  <c:v>0.60900000000000021</c:v>
                </c:pt>
                <c:pt idx="79">
                  <c:v>0.59450000000000014</c:v>
                </c:pt>
                <c:pt idx="80">
                  <c:v>0.69650000000000034</c:v>
                </c:pt>
                <c:pt idx="81">
                  <c:v>0.6625000000000002</c:v>
                </c:pt>
                <c:pt idx="82">
                  <c:v>0.68650000000000022</c:v>
                </c:pt>
                <c:pt idx="83">
                  <c:v>0.72550000000000037</c:v>
                </c:pt>
                <c:pt idx="84">
                  <c:v>0.73500000000000032</c:v>
                </c:pt>
                <c:pt idx="85">
                  <c:v>0.75000000000000033</c:v>
                </c:pt>
                <c:pt idx="86">
                  <c:v>0.73050000000000037</c:v>
                </c:pt>
                <c:pt idx="87">
                  <c:v>0.71600000000000041</c:v>
                </c:pt>
                <c:pt idx="88">
                  <c:v>0.68200000000000027</c:v>
                </c:pt>
                <c:pt idx="89">
                  <c:v>0.70600000000000041</c:v>
                </c:pt>
                <c:pt idx="90">
                  <c:v>0.72050000000000036</c:v>
                </c:pt>
                <c:pt idx="91">
                  <c:v>0.74000000000000032</c:v>
                </c:pt>
                <c:pt idx="92">
                  <c:v>0.6525000000000003</c:v>
                </c:pt>
                <c:pt idx="93">
                  <c:v>0.66700000000000026</c:v>
                </c:pt>
                <c:pt idx="94">
                  <c:v>0.62350000000000017</c:v>
                </c:pt>
                <c:pt idx="95">
                  <c:v>0.6040000000000002</c:v>
                </c:pt>
                <c:pt idx="96">
                  <c:v>0.61850000000000016</c:v>
                </c:pt>
                <c:pt idx="97">
                  <c:v>0.64800000000000024</c:v>
                </c:pt>
                <c:pt idx="98">
                  <c:v>0.69150000000000034</c:v>
                </c:pt>
                <c:pt idx="99">
                  <c:v>0.62850000000000028</c:v>
                </c:pt>
                <c:pt idx="100">
                  <c:v>0.57500000000000018</c:v>
                </c:pt>
                <c:pt idx="101">
                  <c:v>0.49249999999999999</c:v>
                </c:pt>
                <c:pt idx="102">
                  <c:v>0.51200000000000012</c:v>
                </c:pt>
                <c:pt idx="103">
                  <c:v>0.54100000000000004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A1-4CE1-999E-CED5602BA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'面板-景气指数'!$A$44</c:f>
              <c:strCache>
                <c:ptCount val="1"/>
                <c:pt idx="0">
                  <c:v>电力设备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'面板-景气指数'!$F$44:$DF$44</c:f>
              <c:numCache>
                <c:formatCode>0.0%</c:formatCode>
                <c:ptCount val="105"/>
                <c:pt idx="0">
                  <c:v>0.4587709748867414</c:v>
                </c:pt>
                <c:pt idx="1">
                  <c:v>0.44595162342226524</c:v>
                </c:pt>
                <c:pt idx="2">
                  <c:v>0.44255089139561332</c:v>
                </c:pt>
                <c:pt idx="3">
                  <c:v>0.44212989891151189</c:v>
                </c:pt>
                <c:pt idx="4">
                  <c:v>0.44954703673087637</c:v>
                </c:pt>
                <c:pt idx="5">
                  <c:v>0.44575453724851999</c:v>
                </c:pt>
                <c:pt idx="6">
                  <c:v>0.48177897697534977</c:v>
                </c:pt>
                <c:pt idx="7">
                  <c:v>0.47957166027086839</c:v>
                </c:pt>
                <c:pt idx="8">
                  <c:v>0.49636199465067166</c:v>
                </c:pt>
                <c:pt idx="9">
                  <c:v>0.50740977486160588</c:v>
                </c:pt>
                <c:pt idx="10">
                  <c:v>0.49384102966314514</c:v>
                </c:pt>
                <c:pt idx="11">
                  <c:v>0.46906961288916482</c:v>
                </c:pt>
                <c:pt idx="12">
                  <c:v>0.4513943754634222</c:v>
                </c:pt>
                <c:pt idx="13">
                  <c:v>0.45890686912554424</c:v>
                </c:pt>
                <c:pt idx="14">
                  <c:v>0.47913247484969318</c:v>
                </c:pt>
                <c:pt idx="15">
                  <c:v>0.52848216865871034</c:v>
                </c:pt>
                <c:pt idx="16">
                  <c:v>0.56698792056612246</c:v>
                </c:pt>
                <c:pt idx="17">
                  <c:v>0.56326884915842146</c:v>
                </c:pt>
                <c:pt idx="18">
                  <c:v>0.53684690099121568</c:v>
                </c:pt>
                <c:pt idx="19">
                  <c:v>0.4541454224461331</c:v>
                </c:pt>
                <c:pt idx="20">
                  <c:v>0.42392666640054089</c:v>
                </c:pt>
                <c:pt idx="21">
                  <c:v>0.4785318050228759</c:v>
                </c:pt>
                <c:pt idx="22">
                  <c:v>0.55040317255981286</c:v>
                </c:pt>
                <c:pt idx="23">
                  <c:v>0.61252608182458779</c:v>
                </c:pt>
                <c:pt idx="24">
                  <c:v>0.64994031107254246</c:v>
                </c:pt>
                <c:pt idx="25">
                  <c:v>0.69907573911992271</c:v>
                </c:pt>
                <c:pt idx="26">
                  <c:v>0.71004821248319339</c:v>
                </c:pt>
                <c:pt idx="27">
                  <c:v>0.70172861648430207</c:v>
                </c:pt>
                <c:pt idx="28">
                  <c:v>0.68050394740512066</c:v>
                </c:pt>
                <c:pt idx="29">
                  <c:v>0.70848179803601852</c:v>
                </c:pt>
                <c:pt idx="30">
                  <c:v>0.80250672729653572</c:v>
                </c:pt>
                <c:pt idx="31">
                  <c:v>0.84313819841202631</c:v>
                </c:pt>
                <c:pt idx="32">
                  <c:v>0.77134037680921141</c:v>
                </c:pt>
                <c:pt idx="33">
                  <c:v>0.61141808627618222</c:v>
                </c:pt>
                <c:pt idx="34">
                  <c:v>0.60145244202714443</c:v>
                </c:pt>
                <c:pt idx="35">
                  <c:v>0.62376162842871996</c:v>
                </c:pt>
                <c:pt idx="36">
                  <c:v>0.63874443599565212</c:v>
                </c:pt>
                <c:pt idx="37">
                  <c:v>0.63550263039226518</c:v>
                </c:pt>
                <c:pt idx="38">
                  <c:v>0.64685454059353076</c:v>
                </c:pt>
                <c:pt idx="39">
                  <c:v>0.66163164122937124</c:v>
                </c:pt>
                <c:pt idx="40">
                  <c:v>0.70509109108588441</c:v>
                </c:pt>
                <c:pt idx="41">
                  <c:v>0.73761270206510232</c:v>
                </c:pt>
                <c:pt idx="42">
                  <c:v>0.78502636382900204</c:v>
                </c:pt>
                <c:pt idx="43">
                  <c:v>0.7780630579187815</c:v>
                </c:pt>
                <c:pt idx="44">
                  <c:v>0.72475319705581964</c:v>
                </c:pt>
                <c:pt idx="45">
                  <c:v>0.54680856862334737</c:v>
                </c:pt>
                <c:pt idx="46">
                  <c:v>0.4750998098958662</c:v>
                </c:pt>
                <c:pt idx="47">
                  <c:v>0.42223188179709947</c:v>
                </c:pt>
                <c:pt idx="48">
                  <c:v>0.35589860137532731</c:v>
                </c:pt>
                <c:pt idx="49">
                  <c:v>0.3068684499638224</c:v>
                </c:pt>
                <c:pt idx="50">
                  <c:v>0.24496471521120392</c:v>
                </c:pt>
                <c:pt idx="51">
                  <c:v>0.22010839847446234</c:v>
                </c:pt>
                <c:pt idx="52">
                  <c:v>0.18346551334416994</c:v>
                </c:pt>
                <c:pt idx="53">
                  <c:v>0.1426638524056997</c:v>
                </c:pt>
                <c:pt idx="54">
                  <c:v>0.11747473151564519</c:v>
                </c:pt>
                <c:pt idx="55">
                  <c:v>0.12781903099314026</c:v>
                </c:pt>
                <c:pt idx="56">
                  <c:v>0.15290235527109539</c:v>
                </c:pt>
                <c:pt idx="57">
                  <c:v>0.26376903862407686</c:v>
                </c:pt>
                <c:pt idx="58">
                  <c:v>0.26029311531294597</c:v>
                </c:pt>
                <c:pt idx="59">
                  <c:v>0.24443149716568813</c:v>
                </c:pt>
                <c:pt idx="60">
                  <c:v>0.2419791961120476</c:v>
                </c:pt>
                <c:pt idx="61">
                  <c:v>0.21368718534707826</c:v>
                </c:pt>
                <c:pt idx="62">
                  <c:v>0.21737551609074712</c:v>
                </c:pt>
                <c:pt idx="63">
                  <c:v>0.24683295499382796</c:v>
                </c:pt>
                <c:pt idx="64">
                  <c:v>0.28208506467617872</c:v>
                </c:pt>
                <c:pt idx="65">
                  <c:v>0.28314948297673864</c:v>
                </c:pt>
                <c:pt idx="66">
                  <c:v>0.3060840241202567</c:v>
                </c:pt>
                <c:pt idx="67">
                  <c:v>0.3399968948682639</c:v>
                </c:pt>
                <c:pt idx="68">
                  <c:v>0.36597644394123524</c:v>
                </c:pt>
                <c:pt idx="69">
                  <c:v>0.40901258401941298</c:v>
                </c:pt>
                <c:pt idx="70">
                  <c:v>0.39243975095199102</c:v>
                </c:pt>
                <c:pt idx="71">
                  <c:v>0.38281096397436215</c:v>
                </c:pt>
                <c:pt idx="72">
                  <c:v>0.37784758441370142</c:v>
                </c:pt>
                <c:pt idx="73">
                  <c:v>0.379909034362514</c:v>
                </c:pt>
                <c:pt idx="74">
                  <c:v>0.39259937664908756</c:v>
                </c:pt>
                <c:pt idx="75">
                  <c:v>0.43240582908488528</c:v>
                </c:pt>
                <c:pt idx="76">
                  <c:v>0.44846390428066729</c:v>
                </c:pt>
                <c:pt idx="77">
                  <c:v>0.49245407999859575</c:v>
                </c:pt>
                <c:pt idx="78">
                  <c:v>0.52134483347364036</c:v>
                </c:pt>
                <c:pt idx="79">
                  <c:v>0.59096528318531993</c:v>
                </c:pt>
                <c:pt idx="80">
                  <c:v>0.56694632076839691</c:v>
                </c:pt>
                <c:pt idx="81">
                  <c:v>0.53688880639885295</c:v>
                </c:pt>
                <c:pt idx="82">
                  <c:v>0.51208686797852354</c:v>
                </c:pt>
                <c:pt idx="83">
                  <c:v>0.54239029907026937</c:v>
                </c:pt>
                <c:pt idx="84">
                  <c:v>0.55988315735926708</c:v>
                </c:pt>
                <c:pt idx="85">
                  <c:v>0.56308124428344852</c:v>
                </c:pt>
                <c:pt idx="86">
                  <c:v>0.52752284034551544</c:v>
                </c:pt>
                <c:pt idx="87">
                  <c:v>0.50515151614809806</c:v>
                </c:pt>
                <c:pt idx="88">
                  <c:v>0.49772511940945685</c:v>
                </c:pt>
                <c:pt idx="89">
                  <c:v>0.49953370224874893</c:v>
                </c:pt>
                <c:pt idx="90">
                  <c:v>0.48228691025111203</c:v>
                </c:pt>
                <c:pt idx="91">
                  <c:v>0.42711747984074561</c:v>
                </c:pt>
                <c:pt idx="92">
                  <c:v>0.49760470597062978</c:v>
                </c:pt>
                <c:pt idx="93">
                  <c:v>0.51458748333165427</c:v>
                </c:pt>
                <c:pt idx="94">
                  <c:v>0.5490940079491119</c:v>
                </c:pt>
                <c:pt idx="95">
                  <c:v>0.56537755636517883</c:v>
                </c:pt>
                <c:pt idx="96">
                  <c:v>0.5763022506208505</c:v>
                </c:pt>
                <c:pt idx="97">
                  <c:v>0.59283133970936153</c:v>
                </c:pt>
                <c:pt idx="98">
                  <c:v>0.59559959834810006</c:v>
                </c:pt>
                <c:pt idx="99">
                  <c:v>0.60892952792337574</c:v>
                </c:pt>
                <c:pt idx="100">
                  <c:v>0.60598175817032518</c:v>
                </c:pt>
                <c:pt idx="101">
                  <c:v>0.60720766564411199</c:v>
                </c:pt>
                <c:pt idx="102">
                  <c:v>0.58466273878040909</c:v>
                </c:pt>
                <c:pt idx="103">
                  <c:v>0.57644221828024078</c:v>
                </c:pt>
                <c:pt idx="104">
                  <c:v>0.58339892899734114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7C-46B4-B01E-3DC9D6B7CFC6}"/>
            </c:ext>
          </c:extLst>
        </c:ser>
        <c:ser>
          <c:idx val="1"/>
          <c:order val="1"/>
          <c:tx>
            <c:strRef>
              <c:f>'面板-景气指数'!$A$97</c:f>
              <c:strCache>
                <c:ptCount val="1"/>
                <c:pt idx="0">
                  <c:v>光伏设备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'面板-景气指数'!$F$97:$DF$97</c:f>
              <c:numCache>
                <c:formatCode>0.0%</c:formatCode>
                <c:ptCount val="105"/>
                <c:pt idx="0">
                  <c:v>0.21893333333333337</c:v>
                </c:pt>
                <c:pt idx="1">
                  <c:v>0.24360000000000007</c:v>
                </c:pt>
                <c:pt idx="2">
                  <c:v>0.24913333333333337</c:v>
                </c:pt>
                <c:pt idx="3">
                  <c:v>0.27433333333333337</c:v>
                </c:pt>
                <c:pt idx="4">
                  <c:v>0.2626</c:v>
                </c:pt>
                <c:pt idx="5">
                  <c:v>0.28466666666666673</c:v>
                </c:pt>
                <c:pt idx="6">
                  <c:v>0.33533333333333343</c:v>
                </c:pt>
                <c:pt idx="7">
                  <c:v>0.38693333333333341</c:v>
                </c:pt>
                <c:pt idx="8">
                  <c:v>0.50653333333333339</c:v>
                </c:pt>
                <c:pt idx="9">
                  <c:v>0.59380000000000011</c:v>
                </c:pt>
                <c:pt idx="10">
                  <c:v>0.58826666666666672</c:v>
                </c:pt>
                <c:pt idx="11">
                  <c:v>0.61086666666666678</c:v>
                </c:pt>
                <c:pt idx="12">
                  <c:v>0.61060000000000014</c:v>
                </c:pt>
                <c:pt idx="13">
                  <c:v>0.6278666666666668</c:v>
                </c:pt>
                <c:pt idx="14">
                  <c:v>0.61</c:v>
                </c:pt>
                <c:pt idx="15">
                  <c:v>0.68713333333333348</c:v>
                </c:pt>
                <c:pt idx="16">
                  <c:v>0.77366666666666684</c:v>
                </c:pt>
                <c:pt idx="17">
                  <c:v>0.83540000000000003</c:v>
                </c:pt>
                <c:pt idx="18">
                  <c:v>0.80313333333333337</c:v>
                </c:pt>
                <c:pt idx="19">
                  <c:v>0.73306666666666676</c:v>
                </c:pt>
                <c:pt idx="20">
                  <c:v>0.63046666666666684</c:v>
                </c:pt>
                <c:pt idx="21">
                  <c:v>0.61686666666666667</c:v>
                </c:pt>
                <c:pt idx="22">
                  <c:v>0.66033333333333344</c:v>
                </c:pt>
                <c:pt idx="23">
                  <c:v>0.71153333333333346</c:v>
                </c:pt>
                <c:pt idx="24">
                  <c:v>0.73513333333333353</c:v>
                </c:pt>
                <c:pt idx="25">
                  <c:v>0.78573333333333339</c:v>
                </c:pt>
                <c:pt idx="26">
                  <c:v>0.79920000000000002</c:v>
                </c:pt>
                <c:pt idx="27">
                  <c:v>0.83006666666666673</c:v>
                </c:pt>
                <c:pt idx="28">
                  <c:v>0.83266666666666678</c:v>
                </c:pt>
                <c:pt idx="29">
                  <c:v>0.83520000000000016</c:v>
                </c:pt>
                <c:pt idx="30">
                  <c:v>0.89040000000000008</c:v>
                </c:pt>
                <c:pt idx="31">
                  <c:v>0.89440000000000019</c:v>
                </c:pt>
                <c:pt idx="32">
                  <c:v>0.7718666666666667</c:v>
                </c:pt>
                <c:pt idx="33">
                  <c:v>0.53346666666666676</c:v>
                </c:pt>
                <c:pt idx="34">
                  <c:v>0.54226666666666679</c:v>
                </c:pt>
                <c:pt idx="35">
                  <c:v>0.56513333333333327</c:v>
                </c:pt>
                <c:pt idx="36">
                  <c:v>0.59133333333333327</c:v>
                </c:pt>
                <c:pt idx="37">
                  <c:v>0.57366666666666677</c:v>
                </c:pt>
                <c:pt idx="38">
                  <c:v>0.54886666666666661</c:v>
                </c:pt>
                <c:pt idx="39">
                  <c:v>0.53333333333333355</c:v>
                </c:pt>
                <c:pt idx="40">
                  <c:v>0.54020000000000012</c:v>
                </c:pt>
                <c:pt idx="41">
                  <c:v>0.53539999999999999</c:v>
                </c:pt>
                <c:pt idx="42">
                  <c:v>0.65133333333333332</c:v>
                </c:pt>
                <c:pt idx="43">
                  <c:v>0.69366666666666676</c:v>
                </c:pt>
                <c:pt idx="44">
                  <c:v>0.72220000000000018</c:v>
                </c:pt>
                <c:pt idx="45">
                  <c:v>0.56846666666666668</c:v>
                </c:pt>
                <c:pt idx="46">
                  <c:v>0.53026666666666677</c:v>
                </c:pt>
                <c:pt idx="47">
                  <c:v>0.41006666666666669</c:v>
                </c:pt>
                <c:pt idx="48">
                  <c:v>0.32480000000000003</c:v>
                </c:pt>
                <c:pt idx="49">
                  <c:v>0.24226666666666669</c:v>
                </c:pt>
                <c:pt idx="50">
                  <c:v>0.20506666666666673</c:v>
                </c:pt>
                <c:pt idx="51">
                  <c:v>0.16760000000000003</c:v>
                </c:pt>
                <c:pt idx="52">
                  <c:v>0.15600000000000003</c:v>
                </c:pt>
                <c:pt idx="53">
                  <c:v>0.14626666666666668</c:v>
                </c:pt>
                <c:pt idx="54">
                  <c:v>0.1668</c:v>
                </c:pt>
                <c:pt idx="55">
                  <c:v>0.16406666666666669</c:v>
                </c:pt>
                <c:pt idx="56">
                  <c:v>0.1302666666666667</c:v>
                </c:pt>
                <c:pt idx="57">
                  <c:v>0.22673333333333337</c:v>
                </c:pt>
                <c:pt idx="58">
                  <c:v>0.23700000000000002</c:v>
                </c:pt>
                <c:pt idx="59">
                  <c:v>0.2344</c:v>
                </c:pt>
                <c:pt idx="60">
                  <c:v>0.22033333333333335</c:v>
                </c:pt>
                <c:pt idx="61">
                  <c:v>0.20713333333333336</c:v>
                </c:pt>
                <c:pt idx="62">
                  <c:v>0.20766666666666667</c:v>
                </c:pt>
                <c:pt idx="63">
                  <c:v>0.26713333333333339</c:v>
                </c:pt>
                <c:pt idx="64">
                  <c:v>0.2748666666666667</c:v>
                </c:pt>
                <c:pt idx="65">
                  <c:v>0.2772</c:v>
                </c:pt>
                <c:pt idx="66">
                  <c:v>0.25600000000000001</c:v>
                </c:pt>
                <c:pt idx="67">
                  <c:v>0.24953333333333336</c:v>
                </c:pt>
                <c:pt idx="68">
                  <c:v>0.30560000000000004</c:v>
                </c:pt>
                <c:pt idx="69">
                  <c:v>0.31753333333333333</c:v>
                </c:pt>
                <c:pt idx="70">
                  <c:v>0.29006666666666664</c:v>
                </c:pt>
                <c:pt idx="71">
                  <c:v>0.27873333333333333</c:v>
                </c:pt>
                <c:pt idx="72">
                  <c:v>0.29973333333333335</c:v>
                </c:pt>
                <c:pt idx="73">
                  <c:v>0.30213333333333348</c:v>
                </c:pt>
                <c:pt idx="74">
                  <c:v>0.32053333333333339</c:v>
                </c:pt>
                <c:pt idx="75">
                  <c:v>0.34340000000000004</c:v>
                </c:pt>
                <c:pt idx="76">
                  <c:v>0.4074666666666667</c:v>
                </c:pt>
                <c:pt idx="77">
                  <c:v>0.56533333333333347</c:v>
                </c:pt>
                <c:pt idx="78">
                  <c:v>0.69186666666666696</c:v>
                </c:pt>
                <c:pt idx="79">
                  <c:v>0.75193333333333334</c:v>
                </c:pt>
                <c:pt idx="80">
                  <c:v>0.65940000000000021</c:v>
                </c:pt>
                <c:pt idx="81">
                  <c:v>0.56333333333333335</c:v>
                </c:pt>
                <c:pt idx="82">
                  <c:v>0.59713333333333352</c:v>
                </c:pt>
                <c:pt idx="83">
                  <c:v>0.61606666666666687</c:v>
                </c:pt>
                <c:pt idx="84">
                  <c:v>0.59893333333333354</c:v>
                </c:pt>
                <c:pt idx="85">
                  <c:v>0.55913333333333337</c:v>
                </c:pt>
                <c:pt idx="86">
                  <c:v>0.50846666666666662</c:v>
                </c:pt>
                <c:pt idx="87">
                  <c:v>0.47320000000000001</c:v>
                </c:pt>
                <c:pt idx="88">
                  <c:v>0.45293333333333341</c:v>
                </c:pt>
                <c:pt idx="89">
                  <c:v>0.4294</c:v>
                </c:pt>
                <c:pt idx="90">
                  <c:v>0.38053333333333339</c:v>
                </c:pt>
                <c:pt idx="91">
                  <c:v>0.36000000000000004</c:v>
                </c:pt>
                <c:pt idx="92">
                  <c:v>0.57226666666666681</c:v>
                </c:pt>
                <c:pt idx="93">
                  <c:v>0.7196666666666669</c:v>
                </c:pt>
                <c:pt idx="94">
                  <c:v>0.71060000000000023</c:v>
                </c:pt>
                <c:pt idx="95">
                  <c:v>0.70426666666666693</c:v>
                </c:pt>
                <c:pt idx="96">
                  <c:v>0.70400000000000018</c:v>
                </c:pt>
                <c:pt idx="97">
                  <c:v>0.71373333333333344</c:v>
                </c:pt>
                <c:pt idx="98">
                  <c:v>0.7370000000000001</c:v>
                </c:pt>
                <c:pt idx="99">
                  <c:v>0.72046666666666681</c:v>
                </c:pt>
                <c:pt idx="100">
                  <c:v>0.61446666666666683</c:v>
                </c:pt>
                <c:pt idx="101">
                  <c:v>0.48993333333333339</c:v>
                </c:pt>
                <c:pt idx="102">
                  <c:v>0.5028666666666668</c:v>
                </c:pt>
                <c:pt idx="103">
                  <c:v>0.4864</c:v>
                </c:pt>
                <c:pt idx="104">
                  <c:v>0.52673333333333339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7C-46B4-B01E-3DC9D6B7CFC6}"/>
            </c:ext>
          </c:extLst>
        </c:ser>
        <c:ser>
          <c:idx val="2"/>
          <c:order val="2"/>
          <c:tx>
            <c:strRef>
              <c:f>'面板-景气指数'!$A$98</c:f>
              <c:strCache>
                <c:ptCount val="1"/>
                <c:pt idx="0">
                  <c:v>风电设备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'面板-景气指数'!$F$98:$DF$98</c:f>
              <c:numCache>
                <c:formatCode>0.0%</c:formatCode>
                <c:ptCount val="105"/>
                <c:pt idx="0">
                  <c:v>0.54299999999999993</c:v>
                </c:pt>
                <c:pt idx="1">
                  <c:v>0.48049999999999998</c:v>
                </c:pt>
                <c:pt idx="2">
                  <c:v>0.47349999999999992</c:v>
                </c:pt>
                <c:pt idx="3">
                  <c:v>0.44425000000000003</c:v>
                </c:pt>
                <c:pt idx="4">
                  <c:v>0.46150000000000002</c:v>
                </c:pt>
                <c:pt idx="5">
                  <c:v>0.49025000000000013</c:v>
                </c:pt>
                <c:pt idx="6">
                  <c:v>0.5505000000000001</c:v>
                </c:pt>
                <c:pt idx="7">
                  <c:v>0.55750000000000022</c:v>
                </c:pt>
                <c:pt idx="8">
                  <c:v>0.57925000000000026</c:v>
                </c:pt>
                <c:pt idx="9">
                  <c:v>0.59100000000000041</c:v>
                </c:pt>
                <c:pt idx="10">
                  <c:v>0.60325000000000029</c:v>
                </c:pt>
                <c:pt idx="11">
                  <c:v>0.60075000000000023</c:v>
                </c:pt>
                <c:pt idx="12">
                  <c:v>0.59125000000000028</c:v>
                </c:pt>
                <c:pt idx="13">
                  <c:v>0.58625000000000027</c:v>
                </c:pt>
                <c:pt idx="14">
                  <c:v>0.60075000000000034</c:v>
                </c:pt>
                <c:pt idx="15">
                  <c:v>0.58625000000000027</c:v>
                </c:pt>
                <c:pt idx="16">
                  <c:v>0.55500000000000027</c:v>
                </c:pt>
                <c:pt idx="17">
                  <c:v>0.4785000000000002</c:v>
                </c:pt>
                <c:pt idx="18">
                  <c:v>0.43225000000000008</c:v>
                </c:pt>
                <c:pt idx="19">
                  <c:v>0.40125000000000005</c:v>
                </c:pt>
                <c:pt idx="20">
                  <c:v>0.32674999999999976</c:v>
                </c:pt>
                <c:pt idx="21">
                  <c:v>0.36999999999999977</c:v>
                </c:pt>
                <c:pt idx="22">
                  <c:v>0.39874999999999977</c:v>
                </c:pt>
                <c:pt idx="23">
                  <c:v>0.46849999999999975</c:v>
                </c:pt>
                <c:pt idx="24">
                  <c:v>0.50974999999999993</c:v>
                </c:pt>
                <c:pt idx="25">
                  <c:v>0.54549999999999987</c:v>
                </c:pt>
                <c:pt idx="26">
                  <c:v>0.52624999999999988</c:v>
                </c:pt>
                <c:pt idx="27">
                  <c:v>0.5645</c:v>
                </c:pt>
                <c:pt idx="28">
                  <c:v>0.58850000000000002</c:v>
                </c:pt>
                <c:pt idx="29">
                  <c:v>0.62475000000000003</c:v>
                </c:pt>
                <c:pt idx="30">
                  <c:v>0.65600000000000003</c:v>
                </c:pt>
                <c:pt idx="31">
                  <c:v>0.68</c:v>
                </c:pt>
                <c:pt idx="32">
                  <c:v>0.47099999999999986</c:v>
                </c:pt>
                <c:pt idx="33">
                  <c:v>0.31949999999999984</c:v>
                </c:pt>
                <c:pt idx="34">
                  <c:v>0.32424999999999982</c:v>
                </c:pt>
                <c:pt idx="35">
                  <c:v>0.40624999999999989</c:v>
                </c:pt>
                <c:pt idx="36">
                  <c:v>0.50475000000000003</c:v>
                </c:pt>
                <c:pt idx="37">
                  <c:v>0.54525000000000012</c:v>
                </c:pt>
                <c:pt idx="38">
                  <c:v>0.63700000000000012</c:v>
                </c:pt>
                <c:pt idx="39">
                  <c:v>0.62000000000000011</c:v>
                </c:pt>
                <c:pt idx="40">
                  <c:v>0.6585000000000002</c:v>
                </c:pt>
                <c:pt idx="41">
                  <c:v>0.67500000000000016</c:v>
                </c:pt>
                <c:pt idx="42">
                  <c:v>0.71850000000000025</c:v>
                </c:pt>
                <c:pt idx="43">
                  <c:v>0.75000000000000022</c:v>
                </c:pt>
                <c:pt idx="44">
                  <c:v>0.74750000000000016</c:v>
                </c:pt>
                <c:pt idx="45">
                  <c:v>0.75475000000000014</c:v>
                </c:pt>
                <c:pt idx="46">
                  <c:v>0.71600000000000019</c:v>
                </c:pt>
                <c:pt idx="47">
                  <c:v>0.56449999999999989</c:v>
                </c:pt>
                <c:pt idx="48">
                  <c:v>0.40824999999999989</c:v>
                </c:pt>
                <c:pt idx="49">
                  <c:v>0.37474999999999981</c:v>
                </c:pt>
                <c:pt idx="50">
                  <c:v>0.32424999999999982</c:v>
                </c:pt>
                <c:pt idx="51">
                  <c:v>0.3364999999999998</c:v>
                </c:pt>
                <c:pt idx="52">
                  <c:v>0.28599999999999975</c:v>
                </c:pt>
                <c:pt idx="53">
                  <c:v>0.29274999999999968</c:v>
                </c:pt>
                <c:pt idx="54">
                  <c:v>0.28124999999999972</c:v>
                </c:pt>
                <c:pt idx="55">
                  <c:v>0.23749999999999974</c:v>
                </c:pt>
                <c:pt idx="56">
                  <c:v>0.34099999999999986</c:v>
                </c:pt>
                <c:pt idx="57">
                  <c:v>0.35299999999999992</c:v>
                </c:pt>
                <c:pt idx="58">
                  <c:v>0.35549999999999987</c:v>
                </c:pt>
                <c:pt idx="59">
                  <c:v>0.33399999999999991</c:v>
                </c:pt>
                <c:pt idx="60">
                  <c:v>0.3532499999999999</c:v>
                </c:pt>
                <c:pt idx="61">
                  <c:v>0.37249999999999994</c:v>
                </c:pt>
                <c:pt idx="62">
                  <c:v>0.44224999999999987</c:v>
                </c:pt>
                <c:pt idx="63">
                  <c:v>0.43724999999999992</c:v>
                </c:pt>
                <c:pt idx="64">
                  <c:v>0.4202499999999999</c:v>
                </c:pt>
                <c:pt idx="65">
                  <c:v>0.35299999999999981</c:v>
                </c:pt>
                <c:pt idx="66">
                  <c:v>0.29799999999999977</c:v>
                </c:pt>
                <c:pt idx="67">
                  <c:v>0.26424999999999971</c:v>
                </c:pt>
                <c:pt idx="68">
                  <c:v>0.33399999999999969</c:v>
                </c:pt>
                <c:pt idx="69">
                  <c:v>0.55774999999999997</c:v>
                </c:pt>
                <c:pt idx="70">
                  <c:v>0.52400000000000002</c:v>
                </c:pt>
                <c:pt idx="71">
                  <c:v>0.45400000000000013</c:v>
                </c:pt>
                <c:pt idx="72">
                  <c:v>0.38700000000000018</c:v>
                </c:pt>
                <c:pt idx="73">
                  <c:v>0.44700000000000023</c:v>
                </c:pt>
                <c:pt idx="74">
                  <c:v>0.4492500000000002</c:v>
                </c:pt>
                <c:pt idx="75">
                  <c:v>0.50675000000000026</c:v>
                </c:pt>
                <c:pt idx="76">
                  <c:v>0.46125000000000005</c:v>
                </c:pt>
                <c:pt idx="77">
                  <c:v>0.51675000000000004</c:v>
                </c:pt>
                <c:pt idx="78">
                  <c:v>0.5717500000000002</c:v>
                </c:pt>
                <c:pt idx="79">
                  <c:v>0.60550000000000015</c:v>
                </c:pt>
                <c:pt idx="80">
                  <c:v>0.48550000000000021</c:v>
                </c:pt>
                <c:pt idx="81">
                  <c:v>0.27624999999999994</c:v>
                </c:pt>
                <c:pt idx="82">
                  <c:v>0.28599999999999992</c:v>
                </c:pt>
                <c:pt idx="83">
                  <c:v>0.38674999999999993</c:v>
                </c:pt>
                <c:pt idx="84">
                  <c:v>0.4395</c:v>
                </c:pt>
                <c:pt idx="85">
                  <c:v>0.49724999999999986</c:v>
                </c:pt>
                <c:pt idx="86">
                  <c:v>0.51924999999999988</c:v>
                </c:pt>
                <c:pt idx="87">
                  <c:v>0.51874999999999982</c:v>
                </c:pt>
                <c:pt idx="88">
                  <c:v>0.57399999999999995</c:v>
                </c:pt>
                <c:pt idx="89">
                  <c:v>0.59849999999999992</c:v>
                </c:pt>
                <c:pt idx="90">
                  <c:v>0.68700000000000006</c:v>
                </c:pt>
                <c:pt idx="91">
                  <c:v>0.75924999999999987</c:v>
                </c:pt>
                <c:pt idx="92">
                  <c:v>0.65349999999999986</c:v>
                </c:pt>
                <c:pt idx="93">
                  <c:v>0.4562499999999996</c:v>
                </c:pt>
                <c:pt idx="94">
                  <c:v>0.45174999999999965</c:v>
                </c:pt>
                <c:pt idx="95">
                  <c:v>0.41074999999999967</c:v>
                </c:pt>
                <c:pt idx="96">
                  <c:v>0.40599999999999969</c:v>
                </c:pt>
                <c:pt idx="97">
                  <c:v>0.41074999999999967</c:v>
                </c:pt>
                <c:pt idx="98">
                  <c:v>0.45199999999999957</c:v>
                </c:pt>
                <c:pt idx="99">
                  <c:v>0.5067499999999997</c:v>
                </c:pt>
                <c:pt idx="100">
                  <c:v>0.66074999999999984</c:v>
                </c:pt>
                <c:pt idx="101">
                  <c:v>0.72799999999999976</c:v>
                </c:pt>
                <c:pt idx="102">
                  <c:v>0.80474999999999985</c:v>
                </c:pt>
                <c:pt idx="103">
                  <c:v>0.77849999999999986</c:v>
                </c:pt>
                <c:pt idx="104">
                  <c:v>0.76899999999999991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E7C-46B4-B01E-3DC9D6B7CFC6}"/>
            </c:ext>
          </c:extLst>
        </c:ser>
        <c:ser>
          <c:idx val="4"/>
          <c:order val="3"/>
          <c:tx>
            <c:strRef>
              <c:f>'面板-景气指数'!$A$100</c:f>
              <c:strCache>
                <c:ptCount val="1"/>
                <c:pt idx="0">
                  <c:v>电网设备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'面板-景气指数'!$F$100:$DF$100</c:f>
              <c:numCache>
                <c:formatCode>0.0%</c:formatCode>
                <c:ptCount val="105"/>
                <c:pt idx="0">
                  <c:v>0.78825000000000001</c:v>
                </c:pt>
                <c:pt idx="1">
                  <c:v>0.78075000000000017</c:v>
                </c:pt>
                <c:pt idx="2">
                  <c:v>0.78300000000000003</c:v>
                </c:pt>
                <c:pt idx="3">
                  <c:v>0.7639999999999999</c:v>
                </c:pt>
                <c:pt idx="4">
                  <c:v>0.78300000000000003</c:v>
                </c:pt>
                <c:pt idx="5">
                  <c:v>0.72575000000000001</c:v>
                </c:pt>
                <c:pt idx="6">
                  <c:v>0.75674999999999992</c:v>
                </c:pt>
                <c:pt idx="7">
                  <c:v>0.69425000000000014</c:v>
                </c:pt>
                <c:pt idx="8">
                  <c:v>0.63675000000000004</c:v>
                </c:pt>
                <c:pt idx="9">
                  <c:v>0.61249999999999993</c:v>
                </c:pt>
                <c:pt idx="10">
                  <c:v>0.57399999999999995</c:v>
                </c:pt>
                <c:pt idx="11">
                  <c:v>0.51875000000000004</c:v>
                </c:pt>
                <c:pt idx="12">
                  <c:v>0.46374999999999994</c:v>
                </c:pt>
                <c:pt idx="13">
                  <c:v>0.48275000000000001</c:v>
                </c:pt>
                <c:pt idx="14">
                  <c:v>0.52124999999999999</c:v>
                </c:pt>
                <c:pt idx="15">
                  <c:v>0.57174999999999998</c:v>
                </c:pt>
                <c:pt idx="16">
                  <c:v>0.55925000000000002</c:v>
                </c:pt>
                <c:pt idx="17">
                  <c:v>0.54525000000000001</c:v>
                </c:pt>
                <c:pt idx="18">
                  <c:v>0.48499999999999999</c:v>
                </c:pt>
                <c:pt idx="19">
                  <c:v>0.43475000000000003</c:v>
                </c:pt>
                <c:pt idx="20">
                  <c:v>0.42025000000000001</c:v>
                </c:pt>
                <c:pt idx="21">
                  <c:v>0.58350000000000002</c:v>
                </c:pt>
                <c:pt idx="22">
                  <c:v>0.59799999999999998</c:v>
                </c:pt>
                <c:pt idx="23">
                  <c:v>0.65075000000000005</c:v>
                </c:pt>
                <c:pt idx="24">
                  <c:v>0.70174999999999998</c:v>
                </c:pt>
                <c:pt idx="25">
                  <c:v>0.75424999999999998</c:v>
                </c:pt>
                <c:pt idx="26">
                  <c:v>0.73999999999999988</c:v>
                </c:pt>
                <c:pt idx="27">
                  <c:v>0.6825</c:v>
                </c:pt>
                <c:pt idx="28">
                  <c:v>0.64124999999999999</c:v>
                </c:pt>
                <c:pt idx="29">
                  <c:v>0.6845</c:v>
                </c:pt>
                <c:pt idx="30">
                  <c:v>0.8264999999999999</c:v>
                </c:pt>
                <c:pt idx="31">
                  <c:v>0.91074999999999984</c:v>
                </c:pt>
                <c:pt idx="32">
                  <c:v>0.85750000000000004</c:v>
                </c:pt>
                <c:pt idx="33">
                  <c:v>0.63675000000000004</c:v>
                </c:pt>
                <c:pt idx="34">
                  <c:v>0.59099999999999997</c:v>
                </c:pt>
                <c:pt idx="35">
                  <c:v>0.57174999999999998</c:v>
                </c:pt>
                <c:pt idx="36">
                  <c:v>0.5475000000000001</c:v>
                </c:pt>
                <c:pt idx="37">
                  <c:v>0.51875000000000004</c:v>
                </c:pt>
                <c:pt idx="38">
                  <c:v>0.55700000000000005</c:v>
                </c:pt>
                <c:pt idx="39">
                  <c:v>0.61699999999999999</c:v>
                </c:pt>
                <c:pt idx="40">
                  <c:v>0.74750000000000005</c:v>
                </c:pt>
                <c:pt idx="41">
                  <c:v>0.82175000000000009</c:v>
                </c:pt>
                <c:pt idx="42">
                  <c:v>0.86024999999999996</c:v>
                </c:pt>
                <c:pt idx="43">
                  <c:v>0.82424999999999993</c:v>
                </c:pt>
                <c:pt idx="44">
                  <c:v>0.66750000000000009</c:v>
                </c:pt>
                <c:pt idx="45">
                  <c:v>0.317</c:v>
                </c:pt>
                <c:pt idx="46">
                  <c:v>0.3</c:v>
                </c:pt>
                <c:pt idx="47">
                  <c:v>0.29499999999999998</c:v>
                </c:pt>
                <c:pt idx="48">
                  <c:v>0.26850000000000002</c:v>
                </c:pt>
                <c:pt idx="49">
                  <c:v>0.26875000000000004</c:v>
                </c:pt>
                <c:pt idx="50">
                  <c:v>0.28100000000000003</c:v>
                </c:pt>
                <c:pt idx="51">
                  <c:v>0.27099999999999996</c:v>
                </c:pt>
                <c:pt idx="52">
                  <c:v>0.2135</c:v>
                </c:pt>
                <c:pt idx="53">
                  <c:v>0.13200000000000001</c:v>
                </c:pt>
                <c:pt idx="54">
                  <c:v>5.7250000000000002E-2</c:v>
                </c:pt>
                <c:pt idx="55">
                  <c:v>0.10075000000000001</c:v>
                </c:pt>
                <c:pt idx="56">
                  <c:v>0.151</c:v>
                </c:pt>
                <c:pt idx="57">
                  <c:v>0.37725000000000003</c:v>
                </c:pt>
                <c:pt idx="58">
                  <c:v>0.33124999999999999</c:v>
                </c:pt>
                <c:pt idx="59">
                  <c:v>0.28799999999999998</c:v>
                </c:pt>
                <c:pt idx="60">
                  <c:v>0.26149999999999995</c:v>
                </c:pt>
                <c:pt idx="61">
                  <c:v>0.18225000000000002</c:v>
                </c:pt>
                <c:pt idx="62">
                  <c:v>0.158</c:v>
                </c:pt>
                <c:pt idx="63">
                  <c:v>0.13900000000000001</c:v>
                </c:pt>
                <c:pt idx="64">
                  <c:v>0.15325</c:v>
                </c:pt>
                <c:pt idx="65">
                  <c:v>0.17024999999999998</c:v>
                </c:pt>
                <c:pt idx="66">
                  <c:v>0.23249999999999998</c:v>
                </c:pt>
                <c:pt idx="67">
                  <c:v>0.22825000000000001</c:v>
                </c:pt>
                <c:pt idx="68">
                  <c:v>0.27124999999999999</c:v>
                </c:pt>
                <c:pt idx="69">
                  <c:v>0.29749999999999999</c:v>
                </c:pt>
                <c:pt idx="70">
                  <c:v>0.32125000000000004</c:v>
                </c:pt>
                <c:pt idx="71">
                  <c:v>0.312</c:v>
                </c:pt>
                <c:pt idx="72">
                  <c:v>0.31174999999999997</c:v>
                </c:pt>
                <c:pt idx="73">
                  <c:v>0.317</c:v>
                </c:pt>
                <c:pt idx="74">
                  <c:v>0.33124999999999999</c:v>
                </c:pt>
                <c:pt idx="75">
                  <c:v>0.35075000000000001</c:v>
                </c:pt>
                <c:pt idx="76">
                  <c:v>0.29725000000000001</c:v>
                </c:pt>
                <c:pt idx="77">
                  <c:v>0.25700000000000001</c:v>
                </c:pt>
                <c:pt idx="78">
                  <c:v>0.312</c:v>
                </c:pt>
                <c:pt idx="79">
                  <c:v>0.33349999999999996</c:v>
                </c:pt>
                <c:pt idx="80">
                  <c:v>0.36974999999999997</c:v>
                </c:pt>
                <c:pt idx="81">
                  <c:v>0.41324999999999995</c:v>
                </c:pt>
                <c:pt idx="82">
                  <c:v>0.44424999999999998</c:v>
                </c:pt>
                <c:pt idx="83">
                  <c:v>0.50924999999999998</c:v>
                </c:pt>
                <c:pt idx="84">
                  <c:v>0.55474999999999997</c:v>
                </c:pt>
                <c:pt idx="85">
                  <c:v>0.61499999999999999</c:v>
                </c:pt>
                <c:pt idx="86">
                  <c:v>0.64600000000000002</c:v>
                </c:pt>
                <c:pt idx="87">
                  <c:v>0.64874999999999994</c:v>
                </c:pt>
                <c:pt idx="88">
                  <c:v>0.62925000000000009</c:v>
                </c:pt>
                <c:pt idx="89">
                  <c:v>0.56474999999999997</c:v>
                </c:pt>
                <c:pt idx="90">
                  <c:v>0.52124999999999999</c:v>
                </c:pt>
                <c:pt idx="91">
                  <c:v>0.51624999999999999</c:v>
                </c:pt>
                <c:pt idx="92">
                  <c:v>0.63175000000000003</c:v>
                </c:pt>
                <c:pt idx="93">
                  <c:v>0.65100000000000002</c:v>
                </c:pt>
                <c:pt idx="94">
                  <c:v>0.65574999999999994</c:v>
                </c:pt>
                <c:pt idx="95">
                  <c:v>0.64624999999999999</c:v>
                </c:pt>
                <c:pt idx="96">
                  <c:v>0.62925000000000009</c:v>
                </c:pt>
                <c:pt idx="97">
                  <c:v>0.58400000000000007</c:v>
                </c:pt>
                <c:pt idx="98">
                  <c:v>0.53549999999999998</c:v>
                </c:pt>
                <c:pt idx="99">
                  <c:v>0.52375000000000005</c:v>
                </c:pt>
                <c:pt idx="100">
                  <c:v>0.55474999999999997</c:v>
                </c:pt>
                <c:pt idx="101">
                  <c:v>0.66025</c:v>
                </c:pt>
                <c:pt idx="102">
                  <c:v>0.56950000000000001</c:v>
                </c:pt>
                <c:pt idx="103">
                  <c:v>0.52575000000000005</c:v>
                </c:pt>
                <c:pt idx="104">
                  <c:v>0.45874999999999999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7C-46B4-B01E-3DC9D6B7CFC6}"/>
            </c:ext>
          </c:extLst>
        </c:ser>
        <c:ser>
          <c:idx val="3"/>
          <c:order val="4"/>
          <c:tx>
            <c:strRef>
              <c:f>'面板-景气指数'!$A$99</c:f>
              <c:strCache>
                <c:ptCount val="1"/>
                <c:pt idx="0">
                  <c:v>电池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'面板-景气指数'!$F$99:$DF$99</c:f>
              <c:numCache>
                <c:formatCode>0.0%</c:formatCode>
                <c:ptCount val="105"/>
                <c:pt idx="0">
                  <c:v>0.30541666666666661</c:v>
                </c:pt>
                <c:pt idx="1">
                  <c:v>0.27333333333333332</c:v>
                </c:pt>
                <c:pt idx="2">
                  <c:v>0.25808333333333333</c:v>
                </c:pt>
                <c:pt idx="3">
                  <c:v>0.26608333333333334</c:v>
                </c:pt>
                <c:pt idx="4">
                  <c:v>0.27383333333333337</c:v>
                </c:pt>
                <c:pt idx="5">
                  <c:v>0.29362499999999997</c:v>
                </c:pt>
                <c:pt idx="6">
                  <c:v>0.31712499999999993</c:v>
                </c:pt>
                <c:pt idx="7">
                  <c:v>0.33129166666666671</c:v>
                </c:pt>
                <c:pt idx="8">
                  <c:v>0.34258333333333341</c:v>
                </c:pt>
                <c:pt idx="9">
                  <c:v>0.330125</c:v>
                </c:pt>
                <c:pt idx="10">
                  <c:v>0.32658333333333334</c:v>
                </c:pt>
                <c:pt idx="11">
                  <c:v>0.2870833333333333</c:v>
                </c:pt>
                <c:pt idx="12">
                  <c:v>0.29041666666666666</c:v>
                </c:pt>
                <c:pt idx="13">
                  <c:v>0.28295833333333331</c:v>
                </c:pt>
                <c:pt idx="14">
                  <c:v>0.31741666666666668</c:v>
                </c:pt>
                <c:pt idx="15">
                  <c:v>0.36741666666666667</c:v>
                </c:pt>
                <c:pt idx="16">
                  <c:v>0.44562499999999994</c:v>
                </c:pt>
                <c:pt idx="17">
                  <c:v>0.42474999999999991</c:v>
                </c:pt>
                <c:pt idx="18">
                  <c:v>0.44291666666666663</c:v>
                </c:pt>
                <c:pt idx="19">
                  <c:v>0.29537499999999994</c:v>
                </c:pt>
                <c:pt idx="20">
                  <c:v>0.31920833333333332</c:v>
                </c:pt>
                <c:pt idx="21">
                  <c:v>0.32254166666666673</c:v>
                </c:pt>
                <c:pt idx="22">
                  <c:v>0.49391666666666673</c:v>
                </c:pt>
                <c:pt idx="23">
                  <c:v>0.5750416666666669</c:v>
                </c:pt>
                <c:pt idx="24">
                  <c:v>0.61008333333333342</c:v>
                </c:pt>
                <c:pt idx="25">
                  <c:v>0.66162500000000002</c:v>
                </c:pt>
                <c:pt idx="26">
                  <c:v>0.70716666666666661</c:v>
                </c:pt>
                <c:pt idx="27">
                  <c:v>0.70262500000000006</c:v>
                </c:pt>
                <c:pt idx="28">
                  <c:v>0.66708333333333347</c:v>
                </c:pt>
                <c:pt idx="29">
                  <c:v>0.69816666666666671</c:v>
                </c:pt>
                <c:pt idx="30">
                  <c:v>0.79925000000000002</c:v>
                </c:pt>
                <c:pt idx="31">
                  <c:v>0.83158333333333312</c:v>
                </c:pt>
                <c:pt idx="32">
                  <c:v>0.82245833333333329</c:v>
                </c:pt>
                <c:pt idx="33">
                  <c:v>0.77583333333333337</c:v>
                </c:pt>
                <c:pt idx="34">
                  <c:v>0.78245833333333337</c:v>
                </c:pt>
                <c:pt idx="35">
                  <c:v>0.8284583333333333</c:v>
                </c:pt>
                <c:pt idx="36">
                  <c:v>0.84804166666666658</c:v>
                </c:pt>
                <c:pt idx="37">
                  <c:v>0.86775000000000002</c:v>
                </c:pt>
                <c:pt idx="38">
                  <c:v>0.85391666666666666</c:v>
                </c:pt>
                <c:pt idx="39">
                  <c:v>0.85741666666666683</c:v>
                </c:pt>
                <c:pt idx="40">
                  <c:v>0.84416666666666673</c:v>
                </c:pt>
                <c:pt idx="41">
                  <c:v>0.87024999999999986</c:v>
                </c:pt>
                <c:pt idx="42">
                  <c:v>0.87654166666666655</c:v>
                </c:pt>
                <c:pt idx="43">
                  <c:v>0.8474166666666666</c:v>
                </c:pt>
                <c:pt idx="44">
                  <c:v>0.81625000000000014</c:v>
                </c:pt>
                <c:pt idx="45">
                  <c:v>0.72591666666666665</c:v>
                </c:pt>
                <c:pt idx="46">
                  <c:v>0.55679166666666668</c:v>
                </c:pt>
                <c:pt idx="47">
                  <c:v>0.53774999999999995</c:v>
                </c:pt>
                <c:pt idx="48">
                  <c:v>0.47170833333333329</c:v>
                </c:pt>
                <c:pt idx="49">
                  <c:v>0.39070833333333332</c:v>
                </c:pt>
                <c:pt idx="50">
                  <c:v>0.22599999999999995</c:v>
                </c:pt>
                <c:pt idx="51">
                  <c:v>0.18220833333333331</c:v>
                </c:pt>
                <c:pt idx="52">
                  <c:v>0.14991666666666664</c:v>
                </c:pt>
                <c:pt idx="53">
                  <c:v>0.10854166666666668</c:v>
                </c:pt>
                <c:pt idx="54">
                  <c:v>9.2374999999999999E-2</c:v>
                </c:pt>
                <c:pt idx="55">
                  <c:v>9.7416666666666651E-2</c:v>
                </c:pt>
                <c:pt idx="56">
                  <c:v>0.11841666666666666</c:v>
                </c:pt>
                <c:pt idx="57">
                  <c:v>0.1605833333333333</c:v>
                </c:pt>
                <c:pt idx="58">
                  <c:v>0.18783333333333332</c:v>
                </c:pt>
                <c:pt idx="59">
                  <c:v>0.19070833333333331</c:v>
                </c:pt>
                <c:pt idx="60">
                  <c:v>0.21483333333333338</c:v>
                </c:pt>
                <c:pt idx="61">
                  <c:v>0.20979166666666671</c:v>
                </c:pt>
                <c:pt idx="62">
                  <c:v>0.223</c:v>
                </c:pt>
                <c:pt idx="63">
                  <c:v>0.29158333333333331</c:v>
                </c:pt>
                <c:pt idx="64">
                  <c:v>0.38933333333333336</c:v>
                </c:pt>
                <c:pt idx="65">
                  <c:v>0.39570833333333333</c:v>
                </c:pt>
                <c:pt idx="66">
                  <c:v>0.44008333333333322</c:v>
                </c:pt>
                <c:pt idx="67">
                  <c:v>0.56933333333333325</c:v>
                </c:pt>
                <c:pt idx="68">
                  <c:v>0.54091666666666671</c:v>
                </c:pt>
                <c:pt idx="69">
                  <c:v>0.56812499999999999</c:v>
                </c:pt>
                <c:pt idx="70">
                  <c:v>0.52349999999999997</c:v>
                </c:pt>
                <c:pt idx="71">
                  <c:v>0.53433333333333333</c:v>
                </c:pt>
                <c:pt idx="72">
                  <c:v>0.52433333333333332</c:v>
                </c:pt>
                <c:pt idx="73">
                  <c:v>0.50375000000000003</c:v>
                </c:pt>
                <c:pt idx="74">
                  <c:v>0.51445833333333335</c:v>
                </c:pt>
                <c:pt idx="75">
                  <c:v>0.58474999999999988</c:v>
                </c:pt>
                <c:pt idx="76">
                  <c:v>0.65570833333333345</c:v>
                </c:pt>
                <c:pt idx="77">
                  <c:v>0.69495833333333334</c:v>
                </c:pt>
                <c:pt idx="78">
                  <c:v>0.61279166666666662</c:v>
                </c:pt>
                <c:pt idx="79">
                  <c:v>0.755</c:v>
                </c:pt>
                <c:pt idx="80">
                  <c:v>0.75362499999999999</c:v>
                </c:pt>
                <c:pt idx="81">
                  <c:v>0.75783333333333325</c:v>
                </c:pt>
                <c:pt idx="82">
                  <c:v>0.61662500000000009</c:v>
                </c:pt>
                <c:pt idx="83">
                  <c:v>0.59845833333333343</c:v>
                </c:pt>
                <c:pt idx="84">
                  <c:v>0.60370833333333329</c:v>
                </c:pt>
                <c:pt idx="85">
                  <c:v>0.56425000000000003</c:v>
                </c:pt>
                <c:pt idx="86">
                  <c:v>0.45120833333333338</c:v>
                </c:pt>
                <c:pt idx="87">
                  <c:v>0.40475</c:v>
                </c:pt>
                <c:pt idx="88">
                  <c:v>0.39870833333333333</c:v>
                </c:pt>
                <c:pt idx="89">
                  <c:v>0.48129166666666667</c:v>
                </c:pt>
                <c:pt idx="90">
                  <c:v>0.48004166666666664</c:v>
                </c:pt>
                <c:pt idx="91">
                  <c:v>0.30079166666666662</c:v>
                </c:pt>
                <c:pt idx="92">
                  <c:v>0.27520833333333333</c:v>
                </c:pt>
                <c:pt idx="93">
                  <c:v>0.2588333333333333</c:v>
                </c:pt>
                <c:pt idx="94">
                  <c:v>0.37308333333333332</c:v>
                </c:pt>
                <c:pt idx="95">
                  <c:v>0.45358333333333317</c:v>
                </c:pt>
                <c:pt idx="96">
                  <c:v>0.50783333333333336</c:v>
                </c:pt>
                <c:pt idx="97">
                  <c:v>0.59804166666666658</c:v>
                </c:pt>
                <c:pt idx="98">
                  <c:v>0.62474999999999992</c:v>
                </c:pt>
                <c:pt idx="99">
                  <c:v>0.67441666666666655</c:v>
                </c:pt>
                <c:pt idx="100">
                  <c:v>0.66570833333333335</c:v>
                </c:pt>
                <c:pt idx="101">
                  <c:v>0.63712500000000005</c:v>
                </c:pt>
                <c:pt idx="102">
                  <c:v>0.62262499999999998</c:v>
                </c:pt>
                <c:pt idx="103">
                  <c:v>0.66299999999999992</c:v>
                </c:pt>
                <c:pt idx="104">
                  <c:v>0.72549999999999992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7C-46B4-B01E-3DC9D6B7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0720863603806401"/>
          <c:y val="4.4410936938309303E-3"/>
          <c:w val="0.87228844776424797"/>
          <c:h val="0.14671407407407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'面板-景气指数'!$A$45</c:f>
              <c:strCache>
                <c:ptCount val="1"/>
                <c:pt idx="0">
                  <c:v>国防军工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'面板-景气指数'!$F$69:$GR$69</c:f>
              <c:numCache>
                <c:formatCode>[$-409]mmm\-yy;@</c:formatCode>
                <c:ptCount val="19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'面板-景气指数'!$F$45:$DF$45</c:f>
              <c:numCache>
                <c:formatCode>0.0%</c:formatCode>
                <c:ptCount val="105"/>
                <c:pt idx="0">
                  <c:v>0.46612586175121967</c:v>
                </c:pt>
                <c:pt idx="1">
                  <c:v>0.4667022441268146</c:v>
                </c:pt>
                <c:pt idx="2">
                  <c:v>0.47449646532614609</c:v>
                </c:pt>
                <c:pt idx="3">
                  <c:v>0.45022900634787555</c:v>
                </c:pt>
                <c:pt idx="4">
                  <c:v>0.44219309165144843</c:v>
                </c:pt>
                <c:pt idx="5">
                  <c:v>0.42115442464663516</c:v>
                </c:pt>
                <c:pt idx="6">
                  <c:v>0.37055023352782307</c:v>
                </c:pt>
                <c:pt idx="7">
                  <c:v>0.35693495311257506</c:v>
                </c:pt>
                <c:pt idx="8">
                  <c:v>0.32360826455335445</c:v>
                </c:pt>
                <c:pt idx="9">
                  <c:v>0.30122389127764454</c:v>
                </c:pt>
                <c:pt idx="10">
                  <c:v>0.27936613826116286</c:v>
                </c:pt>
                <c:pt idx="11">
                  <c:v>0.27291822106268743</c:v>
                </c:pt>
                <c:pt idx="12">
                  <c:v>0.27027071007117565</c:v>
                </c:pt>
                <c:pt idx="13">
                  <c:v>0.25753303619114681</c:v>
                </c:pt>
                <c:pt idx="14">
                  <c:v>0.26182934135834307</c:v>
                </c:pt>
                <c:pt idx="15">
                  <c:v>0.27458045271463744</c:v>
                </c:pt>
                <c:pt idx="16">
                  <c:v>0.31037984050216105</c:v>
                </c:pt>
                <c:pt idx="17">
                  <c:v>0.32824149532983071</c:v>
                </c:pt>
                <c:pt idx="18">
                  <c:v>0.36749915264009125</c:v>
                </c:pt>
                <c:pt idx="19">
                  <c:v>0.38576788145871921</c:v>
                </c:pt>
                <c:pt idx="20">
                  <c:v>0.48211141795007417</c:v>
                </c:pt>
                <c:pt idx="21">
                  <c:v>0.54245305437941949</c:v>
                </c:pt>
                <c:pt idx="22">
                  <c:v>0.55279874162404774</c:v>
                </c:pt>
                <c:pt idx="23">
                  <c:v>0.58910155006047882</c:v>
                </c:pt>
                <c:pt idx="24">
                  <c:v>0.62139824094906304</c:v>
                </c:pt>
                <c:pt idx="25">
                  <c:v>0.63778742758326978</c:v>
                </c:pt>
                <c:pt idx="26">
                  <c:v>0.6587638612778296</c:v>
                </c:pt>
                <c:pt idx="27">
                  <c:v>0.67269404709957792</c:v>
                </c:pt>
                <c:pt idx="28">
                  <c:v>0.68428444553352041</c:v>
                </c:pt>
                <c:pt idx="29">
                  <c:v>0.71429969387717929</c:v>
                </c:pt>
                <c:pt idx="30">
                  <c:v>0.77957433021399147</c:v>
                </c:pt>
                <c:pt idx="31">
                  <c:v>0.81880989281942496</c:v>
                </c:pt>
                <c:pt idx="32">
                  <c:v>0.81960821635200054</c:v>
                </c:pt>
                <c:pt idx="33">
                  <c:v>0.79955642185206244</c:v>
                </c:pt>
                <c:pt idx="34">
                  <c:v>0.79830426087811213</c:v>
                </c:pt>
                <c:pt idx="35">
                  <c:v>0.81062025092563794</c:v>
                </c:pt>
                <c:pt idx="36">
                  <c:v>0.83317894460923758</c:v>
                </c:pt>
                <c:pt idx="37">
                  <c:v>0.79211924591634553</c:v>
                </c:pt>
                <c:pt idx="38">
                  <c:v>0.79963902499936779</c:v>
                </c:pt>
                <c:pt idx="39">
                  <c:v>0.72875432450721644</c:v>
                </c:pt>
                <c:pt idx="40">
                  <c:v>0.68049467755339266</c:v>
                </c:pt>
                <c:pt idx="41">
                  <c:v>0.60550853003668559</c:v>
                </c:pt>
                <c:pt idx="42">
                  <c:v>0.57722790415094416</c:v>
                </c:pt>
                <c:pt idx="43">
                  <c:v>0.58411367717850549</c:v>
                </c:pt>
                <c:pt idx="44">
                  <c:v>0.56732573327692193</c:v>
                </c:pt>
                <c:pt idx="45">
                  <c:v>0.52552153027360171</c:v>
                </c:pt>
                <c:pt idx="46">
                  <c:v>0.45711437671724281</c:v>
                </c:pt>
                <c:pt idx="47">
                  <c:v>0.44335421474963699</c:v>
                </c:pt>
                <c:pt idx="48">
                  <c:v>0.41014428778021639</c:v>
                </c:pt>
                <c:pt idx="49">
                  <c:v>0.40542773343412908</c:v>
                </c:pt>
                <c:pt idx="50">
                  <c:v>0.3694028310667461</c:v>
                </c:pt>
                <c:pt idx="51">
                  <c:v>0.38737951618222322</c:v>
                </c:pt>
                <c:pt idx="52">
                  <c:v>0.37713782268512763</c:v>
                </c:pt>
                <c:pt idx="53">
                  <c:v>0.40211245885610936</c:v>
                </c:pt>
                <c:pt idx="54">
                  <c:v>0.3884773853285915</c:v>
                </c:pt>
                <c:pt idx="55">
                  <c:v>0.35879224230157514</c:v>
                </c:pt>
                <c:pt idx="56">
                  <c:v>0.3765622657356143</c:v>
                </c:pt>
                <c:pt idx="57">
                  <c:v>0.36066929879964277</c:v>
                </c:pt>
                <c:pt idx="58">
                  <c:v>0.35976841110979335</c:v>
                </c:pt>
                <c:pt idx="59">
                  <c:v>0.36845070632119881</c:v>
                </c:pt>
                <c:pt idx="60">
                  <c:v>0.39273236273199558</c:v>
                </c:pt>
                <c:pt idx="61">
                  <c:v>0.41435231071875434</c:v>
                </c:pt>
                <c:pt idx="62">
                  <c:v>0.4597585470453513</c:v>
                </c:pt>
                <c:pt idx="63">
                  <c:v>0.48195588754668289</c:v>
                </c:pt>
                <c:pt idx="64">
                  <c:v>0.47742820995315988</c:v>
                </c:pt>
                <c:pt idx="65">
                  <c:v>0.48322122877191931</c:v>
                </c:pt>
                <c:pt idx="66">
                  <c:v>0.52002065733159775</c:v>
                </c:pt>
                <c:pt idx="67">
                  <c:v>0.5864326026332316</c:v>
                </c:pt>
                <c:pt idx="68">
                  <c:v>0.67112432725668358</c:v>
                </c:pt>
                <c:pt idx="69">
                  <c:v>0.6677355257247648</c:v>
                </c:pt>
                <c:pt idx="70">
                  <c:v>0.66701696444453695</c:v>
                </c:pt>
                <c:pt idx="71">
                  <c:v>0.6034644125310703</c:v>
                </c:pt>
                <c:pt idx="72">
                  <c:v>0.5676340385582096</c:v>
                </c:pt>
                <c:pt idx="73">
                  <c:v>0.5743559854639757</c:v>
                </c:pt>
                <c:pt idx="74">
                  <c:v>0.52086628361699039</c:v>
                </c:pt>
                <c:pt idx="75">
                  <c:v>0.51796956448197029</c:v>
                </c:pt>
                <c:pt idx="76">
                  <c:v>0.50117588813482805</c:v>
                </c:pt>
                <c:pt idx="77">
                  <c:v>0.54751022760878554</c:v>
                </c:pt>
                <c:pt idx="78">
                  <c:v>0.51575830341846052</c:v>
                </c:pt>
                <c:pt idx="79">
                  <c:v>0.51767224286318747</c:v>
                </c:pt>
                <c:pt idx="80">
                  <c:v>0.50935848189613564</c:v>
                </c:pt>
                <c:pt idx="81">
                  <c:v>0.54428742332695745</c:v>
                </c:pt>
                <c:pt idx="82">
                  <c:v>0.55183763670086539</c:v>
                </c:pt>
                <c:pt idx="83">
                  <c:v>0.61143586556642338</c:v>
                </c:pt>
                <c:pt idx="84">
                  <c:v>0.6145810787241992</c:v>
                </c:pt>
                <c:pt idx="85">
                  <c:v>0.61082345519910808</c:v>
                </c:pt>
                <c:pt idx="86">
                  <c:v>0.59717254523824281</c:v>
                </c:pt>
                <c:pt idx="87">
                  <c:v>0.56228925271207286</c:v>
                </c:pt>
                <c:pt idx="88">
                  <c:v>0.52212096460417612</c:v>
                </c:pt>
                <c:pt idx="89">
                  <c:v>0.46012609870067533</c:v>
                </c:pt>
                <c:pt idx="90">
                  <c:v>0.46846496379536617</c:v>
                </c:pt>
                <c:pt idx="91">
                  <c:v>0.44209099683827896</c:v>
                </c:pt>
                <c:pt idx="92">
                  <c:v>0.50398179709020852</c:v>
                </c:pt>
                <c:pt idx="93">
                  <c:v>0.44019504160628181</c:v>
                </c:pt>
                <c:pt idx="94">
                  <c:v>0.44000781659030952</c:v>
                </c:pt>
                <c:pt idx="95">
                  <c:v>0.35824752217953287</c:v>
                </c:pt>
                <c:pt idx="96">
                  <c:v>0.34690680421814946</c:v>
                </c:pt>
                <c:pt idx="97">
                  <c:v>0.32618630728871945</c:v>
                </c:pt>
                <c:pt idx="98">
                  <c:v>0.3737290078735146</c:v>
                </c:pt>
                <c:pt idx="99">
                  <c:v>0.37711494318265398</c:v>
                </c:pt>
                <c:pt idx="100">
                  <c:v>0.38527197322304252</c:v>
                </c:pt>
                <c:pt idx="101">
                  <c:v>0.37518079315328534</c:v>
                </c:pt>
                <c:pt idx="102">
                  <c:v>0.39511169568273991</c:v>
                </c:pt>
                <c:pt idx="103">
                  <c:v>0.36854871446656445</c:v>
                </c:pt>
                <c:pt idx="104">
                  <c:v>0.334134346615718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00-42BD-95E0-C13C6E23E59D}"/>
            </c:ext>
          </c:extLst>
        </c:ser>
        <c:ser>
          <c:idx val="1"/>
          <c:order val="1"/>
          <c:tx>
            <c:strRef>
              <c:f>'面板-景气指数'!$A$101</c:f>
              <c:strCache>
                <c:ptCount val="1"/>
                <c:pt idx="0">
                  <c:v>航海装备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'面板-景气指数'!$F$69:$GR$69</c:f>
              <c:numCache>
                <c:formatCode>[$-409]mmm\-yy;@</c:formatCode>
                <c:ptCount val="19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'面板-景气指数'!$F$101:$DF$101</c:f>
              <c:numCache>
                <c:formatCode>0.0%</c:formatCode>
                <c:ptCount val="105"/>
                <c:pt idx="0">
                  <c:v>0.67749999999999999</c:v>
                </c:pt>
                <c:pt idx="1">
                  <c:v>0.71574999999999989</c:v>
                </c:pt>
                <c:pt idx="2">
                  <c:v>0.73775000000000002</c:v>
                </c:pt>
                <c:pt idx="3">
                  <c:v>0.76400000000000001</c:v>
                </c:pt>
                <c:pt idx="4">
                  <c:v>0.75200000000000011</c:v>
                </c:pt>
                <c:pt idx="5">
                  <c:v>0.76649999999999996</c:v>
                </c:pt>
                <c:pt idx="6">
                  <c:v>0.76649999999999996</c:v>
                </c:pt>
                <c:pt idx="7">
                  <c:v>0.747</c:v>
                </c:pt>
                <c:pt idx="8">
                  <c:v>0.72800000000000009</c:v>
                </c:pt>
                <c:pt idx="9">
                  <c:v>0.65100000000000002</c:v>
                </c:pt>
                <c:pt idx="10">
                  <c:v>0.63200000000000001</c:v>
                </c:pt>
                <c:pt idx="11">
                  <c:v>0.62475000000000003</c:v>
                </c:pt>
                <c:pt idx="12">
                  <c:v>0.65574999999999994</c:v>
                </c:pt>
                <c:pt idx="13">
                  <c:v>0.61</c:v>
                </c:pt>
                <c:pt idx="14">
                  <c:v>0.58850000000000002</c:v>
                </c:pt>
                <c:pt idx="15">
                  <c:v>0.58599999999999997</c:v>
                </c:pt>
                <c:pt idx="16">
                  <c:v>0.63425000000000009</c:v>
                </c:pt>
                <c:pt idx="17">
                  <c:v>0.66075000000000017</c:v>
                </c:pt>
                <c:pt idx="18">
                  <c:v>0.61725000000000008</c:v>
                </c:pt>
                <c:pt idx="19">
                  <c:v>0.59075000000000011</c:v>
                </c:pt>
                <c:pt idx="20">
                  <c:v>0.59550000000000014</c:v>
                </c:pt>
                <c:pt idx="21">
                  <c:v>0.69200000000000017</c:v>
                </c:pt>
                <c:pt idx="22">
                  <c:v>0.70150000000000012</c:v>
                </c:pt>
                <c:pt idx="23">
                  <c:v>0.71125000000000016</c:v>
                </c:pt>
                <c:pt idx="24">
                  <c:v>0.72825000000000017</c:v>
                </c:pt>
                <c:pt idx="25">
                  <c:v>0.73025000000000018</c:v>
                </c:pt>
                <c:pt idx="26">
                  <c:v>0.73525000000000018</c:v>
                </c:pt>
                <c:pt idx="27">
                  <c:v>0.73275000000000012</c:v>
                </c:pt>
                <c:pt idx="28">
                  <c:v>0.74950000000000017</c:v>
                </c:pt>
                <c:pt idx="29">
                  <c:v>0.79050000000000009</c:v>
                </c:pt>
                <c:pt idx="30">
                  <c:v>0.81225000000000014</c:v>
                </c:pt>
                <c:pt idx="31">
                  <c:v>0.8167500000000002</c:v>
                </c:pt>
                <c:pt idx="32">
                  <c:v>0.82900000000000007</c:v>
                </c:pt>
                <c:pt idx="33">
                  <c:v>0.85500000000000009</c:v>
                </c:pt>
                <c:pt idx="34">
                  <c:v>0.84075</c:v>
                </c:pt>
                <c:pt idx="35">
                  <c:v>0.81174999999999997</c:v>
                </c:pt>
                <c:pt idx="36">
                  <c:v>0.78800000000000014</c:v>
                </c:pt>
                <c:pt idx="37">
                  <c:v>0.75900000000000012</c:v>
                </c:pt>
                <c:pt idx="38">
                  <c:v>0.71850000000000014</c:v>
                </c:pt>
                <c:pt idx="39">
                  <c:v>0.69650000000000012</c:v>
                </c:pt>
                <c:pt idx="40">
                  <c:v>0.55499999999999994</c:v>
                </c:pt>
                <c:pt idx="41">
                  <c:v>0.47524999999999989</c:v>
                </c:pt>
                <c:pt idx="42">
                  <c:v>0.43699999999999994</c:v>
                </c:pt>
                <c:pt idx="43">
                  <c:v>0.41274999999999989</c:v>
                </c:pt>
                <c:pt idx="44">
                  <c:v>0.39624999999999988</c:v>
                </c:pt>
                <c:pt idx="45">
                  <c:v>0.30224999999999996</c:v>
                </c:pt>
                <c:pt idx="46">
                  <c:v>0.29249999999999993</c:v>
                </c:pt>
                <c:pt idx="47">
                  <c:v>0.30274999999999996</c:v>
                </c:pt>
                <c:pt idx="48">
                  <c:v>0.3075</c:v>
                </c:pt>
                <c:pt idx="49">
                  <c:v>0.30475000000000008</c:v>
                </c:pt>
                <c:pt idx="50">
                  <c:v>0.28799999999999998</c:v>
                </c:pt>
                <c:pt idx="51">
                  <c:v>0.27375000000000005</c:v>
                </c:pt>
                <c:pt idx="52">
                  <c:v>0.27375000000000005</c:v>
                </c:pt>
                <c:pt idx="53">
                  <c:v>0.25925000000000009</c:v>
                </c:pt>
                <c:pt idx="54">
                  <c:v>0.2637500000000001</c:v>
                </c:pt>
                <c:pt idx="55">
                  <c:v>0.2712500000000001</c:v>
                </c:pt>
                <c:pt idx="56">
                  <c:v>0.34825000000000006</c:v>
                </c:pt>
                <c:pt idx="57">
                  <c:v>0.41049999999999998</c:v>
                </c:pt>
                <c:pt idx="58">
                  <c:v>0.42025000000000001</c:v>
                </c:pt>
                <c:pt idx="59">
                  <c:v>0.43924999999999997</c:v>
                </c:pt>
                <c:pt idx="60">
                  <c:v>0.45875000000000005</c:v>
                </c:pt>
                <c:pt idx="61">
                  <c:v>0.46350000000000002</c:v>
                </c:pt>
                <c:pt idx="62">
                  <c:v>0.47550000000000003</c:v>
                </c:pt>
                <c:pt idx="63">
                  <c:v>0.52375000000000005</c:v>
                </c:pt>
                <c:pt idx="64">
                  <c:v>0.58850000000000002</c:v>
                </c:pt>
                <c:pt idx="65">
                  <c:v>0.63425000000000009</c:v>
                </c:pt>
                <c:pt idx="66">
                  <c:v>0.64350000000000007</c:v>
                </c:pt>
                <c:pt idx="67">
                  <c:v>0.61725000000000008</c:v>
                </c:pt>
                <c:pt idx="68">
                  <c:v>0.58625000000000016</c:v>
                </c:pt>
                <c:pt idx="69">
                  <c:v>0.57150000000000023</c:v>
                </c:pt>
                <c:pt idx="70">
                  <c:v>0.5980000000000002</c:v>
                </c:pt>
                <c:pt idx="71">
                  <c:v>0.58350000000000024</c:v>
                </c:pt>
                <c:pt idx="72">
                  <c:v>0.58150000000000013</c:v>
                </c:pt>
                <c:pt idx="73">
                  <c:v>0.56925000000000026</c:v>
                </c:pt>
                <c:pt idx="74">
                  <c:v>0.55950000000000022</c:v>
                </c:pt>
                <c:pt idx="75">
                  <c:v>0.52350000000000008</c:v>
                </c:pt>
                <c:pt idx="76">
                  <c:v>0.49250000000000016</c:v>
                </c:pt>
                <c:pt idx="77">
                  <c:v>0.46600000000000014</c:v>
                </c:pt>
                <c:pt idx="78">
                  <c:v>0.43225000000000013</c:v>
                </c:pt>
                <c:pt idx="79">
                  <c:v>0.36475000000000013</c:v>
                </c:pt>
                <c:pt idx="80">
                  <c:v>0.41075000000000006</c:v>
                </c:pt>
                <c:pt idx="81">
                  <c:v>0.42249999999999999</c:v>
                </c:pt>
                <c:pt idx="82">
                  <c:v>0.39149999999999996</c:v>
                </c:pt>
                <c:pt idx="83">
                  <c:v>0.36724999999999997</c:v>
                </c:pt>
                <c:pt idx="84">
                  <c:v>0.35525000000000001</c:v>
                </c:pt>
                <c:pt idx="85">
                  <c:v>0.31449999999999995</c:v>
                </c:pt>
                <c:pt idx="86">
                  <c:v>0.29049999999999992</c:v>
                </c:pt>
                <c:pt idx="87">
                  <c:v>0.28349999999999986</c:v>
                </c:pt>
                <c:pt idx="88">
                  <c:v>0.28299999999999992</c:v>
                </c:pt>
                <c:pt idx="89">
                  <c:v>0.27599999999999986</c:v>
                </c:pt>
                <c:pt idx="90">
                  <c:v>0.26899999999999991</c:v>
                </c:pt>
                <c:pt idx="91">
                  <c:v>0.27124999999999988</c:v>
                </c:pt>
                <c:pt idx="92">
                  <c:v>0.25449999999999989</c:v>
                </c:pt>
                <c:pt idx="93">
                  <c:v>9.3249999999999972E-2</c:v>
                </c:pt>
                <c:pt idx="94">
                  <c:v>9.5499999999999974E-2</c:v>
                </c:pt>
                <c:pt idx="95">
                  <c:v>0.11974999999999997</c:v>
                </c:pt>
                <c:pt idx="96">
                  <c:v>0.11949999999999998</c:v>
                </c:pt>
                <c:pt idx="97">
                  <c:v>0.12925</c:v>
                </c:pt>
                <c:pt idx="98">
                  <c:v>0.16999999999999996</c:v>
                </c:pt>
                <c:pt idx="99">
                  <c:v>0.17749999999999999</c:v>
                </c:pt>
                <c:pt idx="100">
                  <c:v>0.19424999999999995</c:v>
                </c:pt>
                <c:pt idx="101">
                  <c:v>0.16799999999999998</c:v>
                </c:pt>
                <c:pt idx="102">
                  <c:v>0.1605</c:v>
                </c:pt>
                <c:pt idx="103">
                  <c:v>0.15825000000000003</c:v>
                </c:pt>
                <c:pt idx="104">
                  <c:v>0.24950000000000006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00-42BD-95E0-C13C6E23E59D}"/>
            </c:ext>
          </c:extLst>
        </c:ser>
        <c:ser>
          <c:idx val="2"/>
          <c:order val="2"/>
          <c:tx>
            <c:strRef>
              <c:f>'面板-景气指数'!$A$102</c:f>
              <c:strCache>
                <c:ptCount val="1"/>
                <c:pt idx="0">
                  <c:v>航空装备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'面板-景气指数'!$F$69:$GR$69</c:f>
              <c:numCache>
                <c:formatCode>[$-409]mmm\-yy;@</c:formatCode>
                <c:ptCount val="19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'面板-景气指数'!$F$102:$DG$102</c:f>
              <c:numCache>
                <c:formatCode>0.0%</c:formatCode>
                <c:ptCount val="106"/>
                <c:pt idx="0">
                  <c:v>0.2545</c:v>
                </c:pt>
                <c:pt idx="1">
                  <c:v>0.18699999999999997</c:v>
                </c:pt>
                <c:pt idx="2">
                  <c:v>0.20149999999999998</c:v>
                </c:pt>
                <c:pt idx="3">
                  <c:v>0.12449999999999999</c:v>
                </c:pt>
                <c:pt idx="4">
                  <c:v>0.12449999999999999</c:v>
                </c:pt>
                <c:pt idx="5">
                  <c:v>8.1000000000000003E-2</c:v>
                </c:pt>
                <c:pt idx="6">
                  <c:v>8.1500000000000003E-2</c:v>
                </c:pt>
                <c:pt idx="7">
                  <c:v>5.7000000000000002E-2</c:v>
                </c:pt>
                <c:pt idx="8">
                  <c:v>3.3500000000000002E-2</c:v>
                </c:pt>
                <c:pt idx="9">
                  <c:v>1.8500000000000003E-2</c:v>
                </c:pt>
                <c:pt idx="10">
                  <c:v>3.7999999999999999E-2</c:v>
                </c:pt>
                <c:pt idx="11">
                  <c:v>3.7999999999999999E-2</c:v>
                </c:pt>
                <c:pt idx="12">
                  <c:v>1.4E-2</c:v>
                </c:pt>
                <c:pt idx="13">
                  <c:v>2.8500000000000001E-2</c:v>
                </c:pt>
                <c:pt idx="14">
                  <c:v>7.2000000000000008E-2</c:v>
                </c:pt>
                <c:pt idx="15">
                  <c:v>0.115</c:v>
                </c:pt>
                <c:pt idx="16">
                  <c:v>0.16300000000000001</c:v>
                </c:pt>
                <c:pt idx="17">
                  <c:v>0.1875</c:v>
                </c:pt>
                <c:pt idx="18">
                  <c:v>0.29249999999999998</c:v>
                </c:pt>
                <c:pt idx="19">
                  <c:v>0.37</c:v>
                </c:pt>
                <c:pt idx="20">
                  <c:v>0.54749999999999999</c:v>
                </c:pt>
                <c:pt idx="21">
                  <c:v>0.60050000000000003</c:v>
                </c:pt>
                <c:pt idx="22">
                  <c:v>0.57150000000000001</c:v>
                </c:pt>
                <c:pt idx="23">
                  <c:v>0.64849999999999997</c:v>
                </c:pt>
                <c:pt idx="24">
                  <c:v>0.71599999999999997</c:v>
                </c:pt>
                <c:pt idx="25">
                  <c:v>0.77349999999999997</c:v>
                </c:pt>
                <c:pt idx="26">
                  <c:v>0.80249999999999999</c:v>
                </c:pt>
                <c:pt idx="27">
                  <c:v>0.82150000000000001</c:v>
                </c:pt>
                <c:pt idx="28">
                  <c:v>0.8165</c:v>
                </c:pt>
                <c:pt idx="29">
                  <c:v>0.8165</c:v>
                </c:pt>
                <c:pt idx="30">
                  <c:v>0.85049999999999992</c:v>
                </c:pt>
                <c:pt idx="31">
                  <c:v>0.87949999999999995</c:v>
                </c:pt>
                <c:pt idx="32">
                  <c:v>0.90349999999999997</c:v>
                </c:pt>
                <c:pt idx="33">
                  <c:v>0.89850000000000008</c:v>
                </c:pt>
                <c:pt idx="34">
                  <c:v>0.95150000000000001</c:v>
                </c:pt>
                <c:pt idx="35">
                  <c:v>0.93700000000000006</c:v>
                </c:pt>
                <c:pt idx="36">
                  <c:v>0.93700000000000006</c:v>
                </c:pt>
                <c:pt idx="37">
                  <c:v>0.84550000000000014</c:v>
                </c:pt>
                <c:pt idx="38">
                  <c:v>0.86949999999999994</c:v>
                </c:pt>
                <c:pt idx="39">
                  <c:v>0.71599999999999997</c:v>
                </c:pt>
                <c:pt idx="40">
                  <c:v>0.6915</c:v>
                </c:pt>
                <c:pt idx="41">
                  <c:v>0.57150000000000001</c:v>
                </c:pt>
                <c:pt idx="42">
                  <c:v>0.52849999999999997</c:v>
                </c:pt>
                <c:pt idx="43">
                  <c:v>0.54800000000000004</c:v>
                </c:pt>
                <c:pt idx="44">
                  <c:v>0.51849999999999996</c:v>
                </c:pt>
                <c:pt idx="45">
                  <c:v>0.50449999999999995</c:v>
                </c:pt>
                <c:pt idx="46">
                  <c:v>0.3745</c:v>
                </c:pt>
                <c:pt idx="47">
                  <c:v>0.34549999999999997</c:v>
                </c:pt>
                <c:pt idx="48">
                  <c:v>0.27350000000000002</c:v>
                </c:pt>
                <c:pt idx="49">
                  <c:v>0.27399999999999997</c:v>
                </c:pt>
                <c:pt idx="50">
                  <c:v>0.22049999999999997</c:v>
                </c:pt>
                <c:pt idx="51">
                  <c:v>0.29299999999999998</c:v>
                </c:pt>
                <c:pt idx="52">
                  <c:v>0.29749999999999999</c:v>
                </c:pt>
                <c:pt idx="53">
                  <c:v>0.40800000000000008</c:v>
                </c:pt>
                <c:pt idx="54">
                  <c:v>0.50950000000000006</c:v>
                </c:pt>
                <c:pt idx="55">
                  <c:v>0.52350000000000008</c:v>
                </c:pt>
                <c:pt idx="56">
                  <c:v>0.53299999999999992</c:v>
                </c:pt>
                <c:pt idx="57">
                  <c:v>0.46100000000000002</c:v>
                </c:pt>
                <c:pt idx="58">
                  <c:v>0.45649999999999996</c:v>
                </c:pt>
                <c:pt idx="59">
                  <c:v>0.47049999999999997</c:v>
                </c:pt>
                <c:pt idx="60">
                  <c:v>0.51850000000000007</c:v>
                </c:pt>
                <c:pt idx="61">
                  <c:v>0.57150000000000001</c:v>
                </c:pt>
                <c:pt idx="62">
                  <c:v>0.65850000000000009</c:v>
                </c:pt>
                <c:pt idx="63">
                  <c:v>0.66299999999999992</c:v>
                </c:pt>
                <c:pt idx="64">
                  <c:v>0.59600000000000009</c:v>
                </c:pt>
                <c:pt idx="65">
                  <c:v>0.56200000000000006</c:v>
                </c:pt>
                <c:pt idx="66">
                  <c:v>0.59099999999999997</c:v>
                </c:pt>
                <c:pt idx="67">
                  <c:v>0.59099999999999997</c:v>
                </c:pt>
                <c:pt idx="68">
                  <c:v>0.70150000000000001</c:v>
                </c:pt>
                <c:pt idx="69">
                  <c:v>0.6825</c:v>
                </c:pt>
                <c:pt idx="70">
                  <c:v>0.63900000000000001</c:v>
                </c:pt>
                <c:pt idx="71">
                  <c:v>0.45600000000000002</c:v>
                </c:pt>
                <c:pt idx="72">
                  <c:v>0.36499999999999999</c:v>
                </c:pt>
                <c:pt idx="73">
                  <c:v>0.3795</c:v>
                </c:pt>
                <c:pt idx="74">
                  <c:v>0.27350000000000002</c:v>
                </c:pt>
                <c:pt idx="75">
                  <c:v>0.30249999999999999</c:v>
                </c:pt>
                <c:pt idx="76">
                  <c:v>0.29299999999999998</c:v>
                </c:pt>
                <c:pt idx="77">
                  <c:v>0.437</c:v>
                </c:pt>
                <c:pt idx="78">
                  <c:v>0.4325</c:v>
                </c:pt>
                <c:pt idx="79">
                  <c:v>0.49950000000000006</c:v>
                </c:pt>
                <c:pt idx="80">
                  <c:v>0.46549999999999997</c:v>
                </c:pt>
                <c:pt idx="81">
                  <c:v>0.53800000000000003</c:v>
                </c:pt>
                <c:pt idx="82">
                  <c:v>0.59099999999999997</c:v>
                </c:pt>
                <c:pt idx="83">
                  <c:v>0.74950000000000006</c:v>
                </c:pt>
                <c:pt idx="84">
                  <c:v>0.78300000000000014</c:v>
                </c:pt>
                <c:pt idx="85">
                  <c:v>0.83599999999999997</c:v>
                </c:pt>
                <c:pt idx="86">
                  <c:v>0.84599999999999997</c:v>
                </c:pt>
                <c:pt idx="87">
                  <c:v>0.79249999999999998</c:v>
                </c:pt>
                <c:pt idx="88">
                  <c:v>0.74449999999999994</c:v>
                </c:pt>
                <c:pt idx="89">
                  <c:v>0.64900000000000002</c:v>
                </c:pt>
                <c:pt idx="90">
                  <c:v>0.6100000000000001</c:v>
                </c:pt>
                <c:pt idx="91">
                  <c:v>0.58149999999999991</c:v>
                </c:pt>
                <c:pt idx="92">
                  <c:v>0.66299999999999992</c:v>
                </c:pt>
                <c:pt idx="93">
                  <c:v>0.67249999999999999</c:v>
                </c:pt>
                <c:pt idx="94">
                  <c:v>0.63450000000000006</c:v>
                </c:pt>
                <c:pt idx="95">
                  <c:v>0.49950000000000006</c:v>
                </c:pt>
                <c:pt idx="96">
                  <c:v>0.45650000000000002</c:v>
                </c:pt>
                <c:pt idx="97">
                  <c:v>0.41300000000000003</c:v>
                </c:pt>
                <c:pt idx="98">
                  <c:v>0.45600000000000002</c:v>
                </c:pt>
                <c:pt idx="99">
                  <c:v>0.48499999999999999</c:v>
                </c:pt>
                <c:pt idx="100">
                  <c:v>0.49950000000000006</c:v>
                </c:pt>
                <c:pt idx="101">
                  <c:v>0.51899999999999991</c:v>
                </c:pt>
                <c:pt idx="102">
                  <c:v>0.59549999999999992</c:v>
                </c:pt>
                <c:pt idx="103">
                  <c:v>0.54749999999999999</c:v>
                </c:pt>
                <c:pt idx="104">
                  <c:v>0.41799999999999998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00-42BD-95E0-C13C6E23E59D}"/>
            </c:ext>
          </c:extLst>
        </c:ser>
        <c:ser>
          <c:idx val="3"/>
          <c:order val="3"/>
          <c:tx>
            <c:strRef>
              <c:f>'面板-景气指数'!$A$103</c:f>
              <c:strCache>
                <c:ptCount val="1"/>
                <c:pt idx="0">
                  <c:v>军工电子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'面板-景气指数'!$F$69:$GR$69</c:f>
              <c:numCache>
                <c:formatCode>[$-409]mmm\-yy;@</c:formatCode>
                <c:ptCount val="19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'面板-景气指数'!$F$103:$DF$103</c:f>
              <c:numCache>
                <c:formatCode>0.0%</c:formatCode>
                <c:ptCount val="105"/>
                <c:pt idx="0">
                  <c:v>0.58599999999999997</c:v>
                </c:pt>
                <c:pt idx="1">
                  <c:v>0.67300000000000004</c:v>
                </c:pt>
                <c:pt idx="2">
                  <c:v>0.64400000000000002</c:v>
                </c:pt>
                <c:pt idx="3">
                  <c:v>0.65300000000000002</c:v>
                </c:pt>
                <c:pt idx="4">
                  <c:v>0.63400000000000001</c:v>
                </c:pt>
                <c:pt idx="5">
                  <c:v>0.60499999999999998</c:v>
                </c:pt>
                <c:pt idx="6">
                  <c:v>0.36500000000000005</c:v>
                </c:pt>
                <c:pt idx="7">
                  <c:v>0.38400000000000001</c:v>
                </c:pt>
                <c:pt idx="8">
                  <c:v>0.307</c:v>
                </c:pt>
                <c:pt idx="9">
                  <c:v>0.35499999999999998</c:v>
                </c:pt>
                <c:pt idx="10">
                  <c:v>0.24000000000000002</c:v>
                </c:pt>
                <c:pt idx="11">
                  <c:v>0.22099999999999997</c:v>
                </c:pt>
                <c:pt idx="12">
                  <c:v>0.21099999999999999</c:v>
                </c:pt>
                <c:pt idx="13">
                  <c:v>0.192</c:v>
                </c:pt>
                <c:pt idx="14">
                  <c:v>0.153</c:v>
                </c:pt>
                <c:pt idx="15">
                  <c:v>0.125</c:v>
                </c:pt>
                <c:pt idx="16">
                  <c:v>0.115</c:v>
                </c:pt>
                <c:pt idx="17">
                  <c:v>0.105</c:v>
                </c:pt>
                <c:pt idx="18">
                  <c:v>0.13400000000000001</c:v>
                </c:pt>
                <c:pt idx="19">
                  <c:v>9.6000000000000002E-2</c:v>
                </c:pt>
                <c:pt idx="20">
                  <c:v>0.16299999999999998</c:v>
                </c:pt>
                <c:pt idx="21">
                  <c:v>0.18199999999999997</c:v>
                </c:pt>
                <c:pt idx="22">
                  <c:v>0.27800000000000002</c:v>
                </c:pt>
                <c:pt idx="23">
                  <c:v>0.26900000000000002</c:v>
                </c:pt>
                <c:pt idx="24">
                  <c:v>0.25</c:v>
                </c:pt>
                <c:pt idx="25">
                  <c:v>0.20100000000000001</c:v>
                </c:pt>
                <c:pt idx="26">
                  <c:v>0.23</c:v>
                </c:pt>
                <c:pt idx="27">
                  <c:v>0.25900000000000001</c:v>
                </c:pt>
                <c:pt idx="28">
                  <c:v>0.29799999999999999</c:v>
                </c:pt>
                <c:pt idx="29">
                  <c:v>0.375</c:v>
                </c:pt>
                <c:pt idx="30">
                  <c:v>0.57599999999999996</c:v>
                </c:pt>
                <c:pt idx="31">
                  <c:v>0.69199999999999995</c:v>
                </c:pt>
                <c:pt idx="32">
                  <c:v>0.625</c:v>
                </c:pt>
                <c:pt idx="33">
                  <c:v>0.5</c:v>
                </c:pt>
                <c:pt idx="34">
                  <c:v>0.40300000000000002</c:v>
                </c:pt>
                <c:pt idx="35">
                  <c:v>0.53800000000000003</c:v>
                </c:pt>
                <c:pt idx="36">
                  <c:v>0.68200000000000005</c:v>
                </c:pt>
                <c:pt idx="37">
                  <c:v>0.73000000000000009</c:v>
                </c:pt>
                <c:pt idx="38">
                  <c:v>0.77800000000000002</c:v>
                </c:pt>
                <c:pt idx="39">
                  <c:v>0.80700000000000005</c:v>
                </c:pt>
                <c:pt idx="40">
                  <c:v>0.85499999999999998</c:v>
                </c:pt>
                <c:pt idx="41">
                  <c:v>0.8839999999999999</c:v>
                </c:pt>
                <c:pt idx="42">
                  <c:v>0.90300000000000002</c:v>
                </c:pt>
                <c:pt idx="43">
                  <c:v>0.93200000000000005</c:v>
                </c:pt>
                <c:pt idx="44">
                  <c:v>0.94199999999999995</c:v>
                </c:pt>
                <c:pt idx="45">
                  <c:v>0.92299999999999993</c:v>
                </c:pt>
                <c:pt idx="46">
                  <c:v>0.89400000000000002</c:v>
                </c:pt>
                <c:pt idx="47">
                  <c:v>0.875</c:v>
                </c:pt>
                <c:pt idx="48">
                  <c:v>0.86499999999999999</c:v>
                </c:pt>
                <c:pt idx="49">
                  <c:v>0.84599999999999997</c:v>
                </c:pt>
                <c:pt idx="50">
                  <c:v>0.81699999999999995</c:v>
                </c:pt>
                <c:pt idx="51">
                  <c:v>0.76899999999999991</c:v>
                </c:pt>
                <c:pt idx="52">
                  <c:v>0.71099999999999997</c:v>
                </c:pt>
                <c:pt idx="53">
                  <c:v>0.6150000000000001</c:v>
                </c:pt>
                <c:pt idx="54">
                  <c:v>0.32599999999999996</c:v>
                </c:pt>
                <c:pt idx="55">
                  <c:v>0.14399999999999999</c:v>
                </c:pt>
                <c:pt idx="56">
                  <c:v>8.5999999999999993E-2</c:v>
                </c:pt>
                <c:pt idx="57">
                  <c:v>6.7000000000000004E-2</c:v>
                </c:pt>
                <c:pt idx="58">
                  <c:v>5.7000000000000002E-2</c:v>
                </c:pt>
                <c:pt idx="59">
                  <c:v>3.7999999999999999E-2</c:v>
                </c:pt>
                <c:pt idx="60">
                  <c:v>1.9E-2</c:v>
                </c:pt>
                <c:pt idx="61">
                  <c:v>0</c:v>
                </c:pt>
                <c:pt idx="62">
                  <c:v>8.9999999999999993E-3</c:v>
                </c:pt>
                <c:pt idx="63">
                  <c:v>2.8000000000000001E-2</c:v>
                </c:pt>
                <c:pt idx="64">
                  <c:v>4.8000000000000001E-2</c:v>
                </c:pt>
                <c:pt idx="65">
                  <c:v>7.5999999999999998E-2</c:v>
                </c:pt>
                <c:pt idx="66">
                  <c:v>0.17299999999999999</c:v>
                </c:pt>
                <c:pt idx="67">
                  <c:v>0.52800000000000002</c:v>
                </c:pt>
                <c:pt idx="68">
                  <c:v>0.74</c:v>
                </c:pt>
                <c:pt idx="69">
                  <c:v>0.78800000000000003</c:v>
                </c:pt>
                <c:pt idx="70">
                  <c:v>0.83599999999999997</c:v>
                </c:pt>
                <c:pt idx="71">
                  <c:v>0.95099999999999996</c:v>
                </c:pt>
                <c:pt idx="72">
                  <c:v>0.98</c:v>
                </c:pt>
                <c:pt idx="73">
                  <c:v>1</c:v>
                </c:pt>
                <c:pt idx="74">
                  <c:v>0.99</c:v>
                </c:pt>
                <c:pt idx="75">
                  <c:v>0.97099999999999997</c:v>
                </c:pt>
                <c:pt idx="76">
                  <c:v>0.96099999999999997</c:v>
                </c:pt>
                <c:pt idx="77">
                  <c:v>0.91300000000000003</c:v>
                </c:pt>
                <c:pt idx="78">
                  <c:v>0.82599999999999996</c:v>
                </c:pt>
                <c:pt idx="79">
                  <c:v>0.79800000000000004</c:v>
                </c:pt>
                <c:pt idx="80">
                  <c:v>0.75900000000000001</c:v>
                </c:pt>
                <c:pt idx="81">
                  <c:v>0.75</c:v>
                </c:pt>
                <c:pt idx="82">
                  <c:v>0.72099999999999997</c:v>
                </c:pt>
                <c:pt idx="83">
                  <c:v>0.70099999999999996</c:v>
                </c:pt>
                <c:pt idx="84">
                  <c:v>0.66300000000000003</c:v>
                </c:pt>
                <c:pt idx="85">
                  <c:v>0.59599999999999997</c:v>
                </c:pt>
                <c:pt idx="86">
                  <c:v>0.54800000000000004</c:v>
                </c:pt>
                <c:pt idx="87">
                  <c:v>0.50900000000000001</c:v>
                </c:pt>
                <c:pt idx="88">
                  <c:v>0.42299999999999999</c:v>
                </c:pt>
                <c:pt idx="89">
                  <c:v>0.34599999999999997</c:v>
                </c:pt>
                <c:pt idx="90">
                  <c:v>0.48000000000000004</c:v>
                </c:pt>
                <c:pt idx="91">
                  <c:v>0.41299999999999998</c:v>
                </c:pt>
                <c:pt idx="92">
                  <c:v>0.55700000000000005</c:v>
                </c:pt>
                <c:pt idx="93">
                  <c:v>0.49</c:v>
                </c:pt>
                <c:pt idx="94">
                  <c:v>0.56699999999999995</c:v>
                </c:pt>
                <c:pt idx="95">
                  <c:v>0.432</c:v>
                </c:pt>
                <c:pt idx="96">
                  <c:v>0.47099999999999997</c:v>
                </c:pt>
                <c:pt idx="97">
                  <c:v>0.45100000000000001</c:v>
                </c:pt>
                <c:pt idx="98">
                  <c:v>0.51900000000000002</c:v>
                </c:pt>
                <c:pt idx="99">
                  <c:v>0.46100000000000002</c:v>
                </c:pt>
                <c:pt idx="100">
                  <c:v>0.44199999999999995</c:v>
                </c:pt>
                <c:pt idx="101">
                  <c:v>0.39400000000000002</c:v>
                </c:pt>
                <c:pt idx="102">
                  <c:v>0.33600000000000002</c:v>
                </c:pt>
                <c:pt idx="103">
                  <c:v>0.317</c:v>
                </c:pt>
                <c:pt idx="104">
                  <c:v>0.28799999999999998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00-42BD-95E0-C13C6E23E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'面板-景气指数'!$A$57</c:f>
              <c:strCache>
                <c:ptCount val="1"/>
                <c:pt idx="0">
                  <c:v>计算机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'面板-景气指数'!$F$57:$DF$57</c:f>
              <c:numCache>
                <c:formatCode>0.0%</c:formatCode>
                <c:ptCount val="105"/>
                <c:pt idx="0">
                  <c:v>0.34670442251789213</c:v>
                </c:pt>
                <c:pt idx="1">
                  <c:v>0.38416592136013128</c:v>
                </c:pt>
                <c:pt idx="2">
                  <c:v>0.37841566561162571</c:v>
                </c:pt>
                <c:pt idx="3">
                  <c:v>0.40725561961187245</c:v>
                </c:pt>
                <c:pt idx="4">
                  <c:v>0.41829551823984606</c:v>
                </c:pt>
                <c:pt idx="5">
                  <c:v>0.40861665422933019</c:v>
                </c:pt>
                <c:pt idx="6">
                  <c:v>0.36666635476060561</c:v>
                </c:pt>
                <c:pt idx="7">
                  <c:v>0.33872977558756068</c:v>
                </c:pt>
                <c:pt idx="8">
                  <c:v>0.32695389882545761</c:v>
                </c:pt>
                <c:pt idx="9">
                  <c:v>0.29410730359410753</c:v>
                </c:pt>
                <c:pt idx="10">
                  <c:v>0.27287634644396247</c:v>
                </c:pt>
                <c:pt idx="11">
                  <c:v>0.25902721248363225</c:v>
                </c:pt>
                <c:pt idx="12">
                  <c:v>0.24149789286182055</c:v>
                </c:pt>
                <c:pt idx="13">
                  <c:v>0.2368610151739875</c:v>
                </c:pt>
                <c:pt idx="14">
                  <c:v>0.24824956081979302</c:v>
                </c:pt>
                <c:pt idx="15">
                  <c:v>0.24719892124090773</c:v>
                </c:pt>
                <c:pt idx="16">
                  <c:v>0.23049863098889301</c:v>
                </c:pt>
                <c:pt idx="17">
                  <c:v>0.23021573821086941</c:v>
                </c:pt>
                <c:pt idx="18">
                  <c:v>0.22797299854676206</c:v>
                </c:pt>
                <c:pt idx="19">
                  <c:v>0.21399839437055523</c:v>
                </c:pt>
                <c:pt idx="20">
                  <c:v>0.19834382730977307</c:v>
                </c:pt>
                <c:pt idx="21">
                  <c:v>0.23892040780299131</c:v>
                </c:pt>
                <c:pt idx="22">
                  <c:v>0.17507118824556459</c:v>
                </c:pt>
                <c:pt idx="23">
                  <c:v>0.1763067386326963</c:v>
                </c:pt>
                <c:pt idx="24">
                  <c:v>0.19418747702369124</c:v>
                </c:pt>
                <c:pt idx="25">
                  <c:v>0.18085248251125774</c:v>
                </c:pt>
                <c:pt idx="26">
                  <c:v>0.19941431436992371</c:v>
                </c:pt>
                <c:pt idx="27">
                  <c:v>0.21149984555581006</c:v>
                </c:pt>
                <c:pt idx="28">
                  <c:v>0.18589228772359676</c:v>
                </c:pt>
                <c:pt idx="29">
                  <c:v>0.19805547555530242</c:v>
                </c:pt>
                <c:pt idx="30">
                  <c:v>0.24341110112834236</c:v>
                </c:pt>
                <c:pt idx="31">
                  <c:v>0.33551624012362452</c:v>
                </c:pt>
                <c:pt idx="32">
                  <c:v>0.47152547245669252</c:v>
                </c:pt>
                <c:pt idx="33">
                  <c:v>0.64478042679137826</c:v>
                </c:pt>
                <c:pt idx="34">
                  <c:v>0.6807284734922936</c:v>
                </c:pt>
                <c:pt idx="35">
                  <c:v>0.68966067104794171</c:v>
                </c:pt>
                <c:pt idx="36">
                  <c:v>0.68906148486894048</c:v>
                </c:pt>
                <c:pt idx="37">
                  <c:v>0.67666800294777651</c:v>
                </c:pt>
                <c:pt idx="38">
                  <c:v>0.72127093495952521</c:v>
                </c:pt>
                <c:pt idx="39">
                  <c:v>0.72498756491865302</c:v>
                </c:pt>
                <c:pt idx="40">
                  <c:v>0.70422592572429732</c:v>
                </c:pt>
                <c:pt idx="41">
                  <c:v>0.73744724385112226</c:v>
                </c:pt>
                <c:pt idx="42">
                  <c:v>0.75573429387974222</c:v>
                </c:pt>
                <c:pt idx="43">
                  <c:v>0.84742114182907247</c:v>
                </c:pt>
                <c:pt idx="44">
                  <c:v>0.77355237919899977</c:v>
                </c:pt>
                <c:pt idx="45">
                  <c:v>0.51986742628661453</c:v>
                </c:pt>
                <c:pt idx="46">
                  <c:v>0.41123665832358808</c:v>
                </c:pt>
                <c:pt idx="47">
                  <c:v>0.35768789062063078</c:v>
                </c:pt>
                <c:pt idx="48">
                  <c:v>0.3101845197690995</c:v>
                </c:pt>
                <c:pt idx="49">
                  <c:v>0.31785735743540577</c:v>
                </c:pt>
                <c:pt idx="50">
                  <c:v>0.35422168906783918</c:v>
                </c:pt>
                <c:pt idx="51">
                  <c:v>0.36937799370525376</c:v>
                </c:pt>
                <c:pt idx="52">
                  <c:v>0.35518795538076131</c:v>
                </c:pt>
                <c:pt idx="53">
                  <c:v>0.29985384408259547</c:v>
                </c:pt>
                <c:pt idx="54">
                  <c:v>0.25293907550328859</c:v>
                </c:pt>
                <c:pt idx="55">
                  <c:v>0.44654764918902912</c:v>
                </c:pt>
                <c:pt idx="56">
                  <c:v>0.48763541547151878</c:v>
                </c:pt>
                <c:pt idx="57">
                  <c:v>0.55653167216015675</c:v>
                </c:pt>
                <c:pt idx="58">
                  <c:v>0.56183388986331784</c:v>
                </c:pt>
                <c:pt idx="59">
                  <c:v>0.56645556194828139</c:v>
                </c:pt>
                <c:pt idx="60">
                  <c:v>0.50238750575682012</c:v>
                </c:pt>
                <c:pt idx="61">
                  <c:v>0.49010442923846836</c:v>
                </c:pt>
                <c:pt idx="62">
                  <c:v>0.49314736592506681</c:v>
                </c:pt>
                <c:pt idx="63">
                  <c:v>0.55197698566465414</c:v>
                </c:pt>
                <c:pt idx="64">
                  <c:v>0.59862622000529098</c:v>
                </c:pt>
                <c:pt idx="65">
                  <c:v>0.56461330311586733</c:v>
                </c:pt>
                <c:pt idx="66">
                  <c:v>0.5870733238288216</c:v>
                </c:pt>
                <c:pt idx="67">
                  <c:v>0.53585863977857628</c:v>
                </c:pt>
                <c:pt idx="68">
                  <c:v>0.5619304883492745</c:v>
                </c:pt>
                <c:pt idx="69">
                  <c:v>0.62984828939919579</c:v>
                </c:pt>
                <c:pt idx="70">
                  <c:v>0.71054617827505817</c:v>
                </c:pt>
                <c:pt idx="71">
                  <c:v>0.71545297837025734</c:v>
                </c:pt>
                <c:pt idx="72">
                  <c:v>0.7759694969544928</c:v>
                </c:pt>
                <c:pt idx="73">
                  <c:v>0.76251663869606434</c:v>
                </c:pt>
                <c:pt idx="74">
                  <c:v>0.73231143145317235</c:v>
                </c:pt>
                <c:pt idx="75">
                  <c:v>0.68198571018084853</c:v>
                </c:pt>
                <c:pt idx="76">
                  <c:v>0.64212779616557969</c:v>
                </c:pt>
                <c:pt idx="77">
                  <c:v>0.66771369661841529</c:v>
                </c:pt>
                <c:pt idx="78">
                  <c:v>0.62045069221934646</c:v>
                </c:pt>
                <c:pt idx="79">
                  <c:v>0.68345589781810068</c:v>
                </c:pt>
                <c:pt idx="80">
                  <c:v>0.64535720480088965</c:v>
                </c:pt>
                <c:pt idx="81">
                  <c:v>0.77687586512688389</c:v>
                </c:pt>
                <c:pt idx="82">
                  <c:v>0.69470731560154964</c:v>
                </c:pt>
                <c:pt idx="83">
                  <c:v>0.72221678142460477</c:v>
                </c:pt>
                <c:pt idx="84">
                  <c:v>0.7253351598801322</c:v>
                </c:pt>
                <c:pt idx="85">
                  <c:v>0.7486602302076979</c:v>
                </c:pt>
                <c:pt idx="86">
                  <c:v>0.73132736003703414</c:v>
                </c:pt>
                <c:pt idx="87">
                  <c:v>0.67956301029290034</c:v>
                </c:pt>
                <c:pt idx="88">
                  <c:v>0.65414400306509179</c:v>
                </c:pt>
                <c:pt idx="89">
                  <c:v>0.63275714108447811</c:v>
                </c:pt>
                <c:pt idx="90">
                  <c:v>0.70138760141233525</c:v>
                </c:pt>
                <c:pt idx="91">
                  <c:v>0.67372839136490736</c:v>
                </c:pt>
                <c:pt idx="92">
                  <c:v>0.68950415781641217</c:v>
                </c:pt>
                <c:pt idx="93">
                  <c:v>0.59299935908092782</c:v>
                </c:pt>
                <c:pt idx="94">
                  <c:v>0.58193189660738698</c:v>
                </c:pt>
                <c:pt idx="95">
                  <c:v>0.54733315178300679</c:v>
                </c:pt>
                <c:pt idx="96">
                  <c:v>0.53065163711963725</c:v>
                </c:pt>
                <c:pt idx="97">
                  <c:v>0.54414689688758233</c:v>
                </c:pt>
                <c:pt idx="98">
                  <c:v>0.55464135698084593</c:v>
                </c:pt>
                <c:pt idx="99">
                  <c:v>0.54343484824591126</c:v>
                </c:pt>
                <c:pt idx="100">
                  <c:v>0.55238248234590903</c:v>
                </c:pt>
                <c:pt idx="101">
                  <c:v>0.58153750168482066</c:v>
                </c:pt>
                <c:pt idx="102">
                  <c:v>0.61376550014011666</c:v>
                </c:pt>
                <c:pt idx="103">
                  <c:v>0.60347316478890223</c:v>
                </c:pt>
                <c:pt idx="104">
                  <c:v>0.61227482575321079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FF-497F-A634-FD615DF77EF0}"/>
            </c:ext>
          </c:extLst>
        </c:ser>
        <c:ser>
          <c:idx val="1"/>
          <c:order val="1"/>
          <c:tx>
            <c:strRef>
              <c:f>'面板-景气指数'!$A$110</c:f>
              <c:strCache>
                <c:ptCount val="1"/>
                <c:pt idx="0">
                  <c:v>计算机设备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'面板-景气指数'!$F$110:$DF$110</c:f>
              <c:numCache>
                <c:formatCode>0.0%</c:formatCode>
                <c:ptCount val="105"/>
                <c:pt idx="0">
                  <c:v>0.4910000000000001</c:v>
                </c:pt>
                <c:pt idx="1">
                  <c:v>0.61700000000000033</c:v>
                </c:pt>
                <c:pt idx="2">
                  <c:v>0.56960000000000022</c:v>
                </c:pt>
                <c:pt idx="3">
                  <c:v>0.66180000000000028</c:v>
                </c:pt>
                <c:pt idx="4">
                  <c:v>0.7080000000000003</c:v>
                </c:pt>
                <c:pt idx="5">
                  <c:v>0.66870000000000041</c:v>
                </c:pt>
                <c:pt idx="6">
                  <c:v>0.70190000000000041</c:v>
                </c:pt>
                <c:pt idx="7">
                  <c:v>0.60040000000000027</c:v>
                </c:pt>
                <c:pt idx="8">
                  <c:v>0.56340000000000012</c:v>
                </c:pt>
                <c:pt idx="9">
                  <c:v>0.35670000000000002</c:v>
                </c:pt>
                <c:pt idx="10">
                  <c:v>0.28159999999999985</c:v>
                </c:pt>
                <c:pt idx="11">
                  <c:v>0.24609999999999974</c:v>
                </c:pt>
                <c:pt idx="12">
                  <c:v>0.21689999999999976</c:v>
                </c:pt>
                <c:pt idx="13">
                  <c:v>0.1817999999999998</c:v>
                </c:pt>
                <c:pt idx="14">
                  <c:v>0.12819999999999987</c:v>
                </c:pt>
                <c:pt idx="15">
                  <c:v>9.9099999999999883E-2</c:v>
                </c:pt>
                <c:pt idx="16">
                  <c:v>9.8899999999999919E-2</c:v>
                </c:pt>
                <c:pt idx="17">
                  <c:v>8.2999999999999935E-2</c:v>
                </c:pt>
                <c:pt idx="18">
                  <c:v>6.1699999999999922E-2</c:v>
                </c:pt>
                <c:pt idx="19">
                  <c:v>5.059999999999993E-2</c:v>
                </c:pt>
                <c:pt idx="20">
                  <c:v>9.8399999999999835E-2</c:v>
                </c:pt>
                <c:pt idx="21">
                  <c:v>0.40730000000000016</c:v>
                </c:pt>
                <c:pt idx="22">
                  <c:v>0.20249999999999976</c:v>
                </c:pt>
                <c:pt idx="23">
                  <c:v>0.25279999999999975</c:v>
                </c:pt>
                <c:pt idx="24">
                  <c:v>0.33299999999999991</c:v>
                </c:pt>
                <c:pt idx="25">
                  <c:v>0.31199999999999978</c:v>
                </c:pt>
                <c:pt idx="26">
                  <c:v>0.34239999999999976</c:v>
                </c:pt>
                <c:pt idx="27">
                  <c:v>0.38049999999999978</c:v>
                </c:pt>
                <c:pt idx="28">
                  <c:v>0.29479999999999978</c:v>
                </c:pt>
                <c:pt idx="29">
                  <c:v>0.33189999999999981</c:v>
                </c:pt>
                <c:pt idx="30">
                  <c:v>0.34909999999999991</c:v>
                </c:pt>
                <c:pt idx="31">
                  <c:v>0.61350000000000016</c:v>
                </c:pt>
                <c:pt idx="32">
                  <c:v>0.55470000000000008</c:v>
                </c:pt>
                <c:pt idx="33">
                  <c:v>0.67800000000000016</c:v>
                </c:pt>
                <c:pt idx="34">
                  <c:v>0.70450000000000024</c:v>
                </c:pt>
                <c:pt idx="35">
                  <c:v>0.63730000000000009</c:v>
                </c:pt>
                <c:pt idx="36">
                  <c:v>0.63480000000000014</c:v>
                </c:pt>
                <c:pt idx="37">
                  <c:v>0.61039999999999994</c:v>
                </c:pt>
                <c:pt idx="38">
                  <c:v>0.74370000000000025</c:v>
                </c:pt>
                <c:pt idx="39">
                  <c:v>0.71980000000000022</c:v>
                </c:pt>
                <c:pt idx="40">
                  <c:v>0.68759999999999977</c:v>
                </c:pt>
                <c:pt idx="41">
                  <c:v>0.72839999999999971</c:v>
                </c:pt>
                <c:pt idx="42">
                  <c:v>0.72519999999999962</c:v>
                </c:pt>
                <c:pt idx="43">
                  <c:v>0.80679999999999974</c:v>
                </c:pt>
                <c:pt idx="44">
                  <c:v>0.74699999999999966</c:v>
                </c:pt>
                <c:pt idx="45">
                  <c:v>0.57039999999999969</c:v>
                </c:pt>
                <c:pt idx="46">
                  <c:v>0.4447999999999997</c:v>
                </c:pt>
                <c:pt idx="47">
                  <c:v>0.34399999999999964</c:v>
                </c:pt>
                <c:pt idx="48">
                  <c:v>0.35049999999999965</c:v>
                </c:pt>
                <c:pt idx="49">
                  <c:v>0.4453999999999998</c:v>
                </c:pt>
                <c:pt idx="50">
                  <c:v>0.54899999999999982</c:v>
                </c:pt>
                <c:pt idx="51">
                  <c:v>0.58719999999999994</c:v>
                </c:pt>
                <c:pt idx="52">
                  <c:v>0.52490000000000014</c:v>
                </c:pt>
                <c:pt idx="53">
                  <c:v>0.38310000000000005</c:v>
                </c:pt>
                <c:pt idx="54">
                  <c:v>0.35480000000000017</c:v>
                </c:pt>
                <c:pt idx="55">
                  <c:v>0.26250000000000012</c:v>
                </c:pt>
                <c:pt idx="56">
                  <c:v>0.40570000000000028</c:v>
                </c:pt>
                <c:pt idx="57">
                  <c:v>0.40789999999999998</c:v>
                </c:pt>
                <c:pt idx="58">
                  <c:v>0.3909999999999999</c:v>
                </c:pt>
                <c:pt idx="59">
                  <c:v>0.40149999999999997</c:v>
                </c:pt>
                <c:pt idx="60">
                  <c:v>0.25279999999999991</c:v>
                </c:pt>
                <c:pt idx="61">
                  <c:v>0.22369999999999979</c:v>
                </c:pt>
                <c:pt idx="62">
                  <c:v>0.18899999999999986</c:v>
                </c:pt>
                <c:pt idx="63">
                  <c:v>0.3698999999999999</c:v>
                </c:pt>
                <c:pt idx="64">
                  <c:v>0.47689999999999999</c:v>
                </c:pt>
                <c:pt idx="65">
                  <c:v>0.47789999999999999</c:v>
                </c:pt>
                <c:pt idx="66">
                  <c:v>0.43650000000000017</c:v>
                </c:pt>
                <c:pt idx="67">
                  <c:v>0.34939999999999999</c:v>
                </c:pt>
                <c:pt idx="68">
                  <c:v>0.42210000000000003</c:v>
                </c:pt>
                <c:pt idx="69">
                  <c:v>0.51380000000000003</c:v>
                </c:pt>
                <c:pt idx="70">
                  <c:v>0.66130000000000011</c:v>
                </c:pt>
                <c:pt idx="71">
                  <c:v>0.6868000000000003</c:v>
                </c:pt>
                <c:pt idx="72">
                  <c:v>0.80040000000000022</c:v>
                </c:pt>
                <c:pt idx="73">
                  <c:v>0.7291000000000003</c:v>
                </c:pt>
                <c:pt idx="74">
                  <c:v>0.70440000000000036</c:v>
                </c:pt>
                <c:pt idx="75">
                  <c:v>0.54960000000000031</c:v>
                </c:pt>
                <c:pt idx="76">
                  <c:v>0.51380000000000026</c:v>
                </c:pt>
                <c:pt idx="77">
                  <c:v>0.58590000000000042</c:v>
                </c:pt>
                <c:pt idx="78">
                  <c:v>0.58000000000000018</c:v>
                </c:pt>
                <c:pt idx="79">
                  <c:v>0.64580000000000015</c:v>
                </c:pt>
                <c:pt idx="80">
                  <c:v>0.65260000000000007</c:v>
                </c:pt>
                <c:pt idx="81">
                  <c:v>0.8148000000000003</c:v>
                </c:pt>
                <c:pt idx="82">
                  <c:v>0.77880000000000005</c:v>
                </c:pt>
                <c:pt idx="83">
                  <c:v>0.83190000000000031</c:v>
                </c:pt>
                <c:pt idx="84">
                  <c:v>0.81040000000000023</c:v>
                </c:pt>
                <c:pt idx="85">
                  <c:v>0.79340000000000022</c:v>
                </c:pt>
                <c:pt idx="86">
                  <c:v>0.73380000000000012</c:v>
                </c:pt>
                <c:pt idx="87">
                  <c:v>0.67220000000000002</c:v>
                </c:pt>
                <c:pt idx="88">
                  <c:v>0.7209000000000001</c:v>
                </c:pt>
                <c:pt idx="89">
                  <c:v>0.76040000000000019</c:v>
                </c:pt>
                <c:pt idx="90">
                  <c:v>0.81850000000000012</c:v>
                </c:pt>
                <c:pt idx="91">
                  <c:v>0.82940000000000025</c:v>
                </c:pt>
                <c:pt idx="92">
                  <c:v>0.79500000000000015</c:v>
                </c:pt>
                <c:pt idx="93">
                  <c:v>0.55759999999999987</c:v>
                </c:pt>
                <c:pt idx="94">
                  <c:v>0.51019999999999976</c:v>
                </c:pt>
                <c:pt idx="95">
                  <c:v>0.43719999999999981</c:v>
                </c:pt>
                <c:pt idx="96">
                  <c:v>0.4493999999999998</c:v>
                </c:pt>
                <c:pt idx="97">
                  <c:v>0.50359999999999983</c:v>
                </c:pt>
                <c:pt idx="98">
                  <c:v>0.50979999999999992</c:v>
                </c:pt>
                <c:pt idx="99">
                  <c:v>0.48559999999999992</c:v>
                </c:pt>
                <c:pt idx="100">
                  <c:v>0.43129999999999985</c:v>
                </c:pt>
                <c:pt idx="101">
                  <c:v>0.41739999999999977</c:v>
                </c:pt>
                <c:pt idx="102">
                  <c:v>0.38649999999999968</c:v>
                </c:pt>
                <c:pt idx="103">
                  <c:v>0.39049999999999968</c:v>
                </c:pt>
                <c:pt idx="104">
                  <c:v>0.32459999999999972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FF-497F-A634-FD615DF77EF0}"/>
            </c:ext>
          </c:extLst>
        </c:ser>
        <c:ser>
          <c:idx val="2"/>
          <c:order val="2"/>
          <c:tx>
            <c:strRef>
              <c:f>'面板-景气指数'!$A$111</c:f>
              <c:strCache>
                <c:ptCount val="1"/>
                <c:pt idx="0">
                  <c:v>软件开发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'面板-景气指数'!$F$111:$DF$111</c:f>
              <c:numCache>
                <c:formatCode>0.0%</c:formatCode>
                <c:ptCount val="105"/>
                <c:pt idx="0">
                  <c:v>0.26874999999999993</c:v>
                </c:pt>
                <c:pt idx="1">
                  <c:v>0.26874999999999993</c:v>
                </c:pt>
                <c:pt idx="2">
                  <c:v>0.28199999999999992</c:v>
                </c:pt>
                <c:pt idx="3">
                  <c:v>0.29087499999999994</c:v>
                </c:pt>
                <c:pt idx="4">
                  <c:v>0.2987499999999999</c:v>
                </c:pt>
                <c:pt idx="5">
                  <c:v>0.31574999999999998</c:v>
                </c:pt>
                <c:pt idx="6">
                  <c:v>0.22850000000000001</c:v>
                </c:pt>
                <c:pt idx="7">
                  <c:v>0.26737500000000003</c:v>
                </c:pt>
                <c:pt idx="8">
                  <c:v>0.29612499999999997</c:v>
                </c:pt>
                <c:pt idx="9">
                  <c:v>0.38125000000000003</c:v>
                </c:pt>
                <c:pt idx="10">
                  <c:v>0.38124999999999998</c:v>
                </c:pt>
                <c:pt idx="11">
                  <c:v>0.375</c:v>
                </c:pt>
                <c:pt idx="12">
                  <c:v>0.34812500000000007</c:v>
                </c:pt>
                <c:pt idx="13">
                  <c:v>0.35724999999999996</c:v>
                </c:pt>
                <c:pt idx="14">
                  <c:v>0.41712500000000002</c:v>
                </c:pt>
                <c:pt idx="15">
                  <c:v>0.39937499999999998</c:v>
                </c:pt>
                <c:pt idx="16">
                  <c:v>0.34262500000000001</c:v>
                </c:pt>
                <c:pt idx="17">
                  <c:v>0.33287499999999992</c:v>
                </c:pt>
                <c:pt idx="18">
                  <c:v>0.33074999999999999</c:v>
                </c:pt>
                <c:pt idx="19">
                  <c:v>0.33737499999999998</c:v>
                </c:pt>
                <c:pt idx="20">
                  <c:v>0.28412499999999996</c:v>
                </c:pt>
                <c:pt idx="21">
                  <c:v>0.23312499999999994</c:v>
                </c:pt>
                <c:pt idx="22">
                  <c:v>0.20424999999999993</c:v>
                </c:pt>
                <c:pt idx="23">
                  <c:v>0.16612499999999994</c:v>
                </c:pt>
                <c:pt idx="24">
                  <c:v>0.13324999999999992</c:v>
                </c:pt>
                <c:pt idx="25">
                  <c:v>0.12324999999999996</c:v>
                </c:pt>
                <c:pt idx="26">
                  <c:v>0.15149999999999994</c:v>
                </c:pt>
                <c:pt idx="27">
                  <c:v>0.16699999999999998</c:v>
                </c:pt>
                <c:pt idx="28">
                  <c:v>0.18224999999999997</c:v>
                </c:pt>
                <c:pt idx="29">
                  <c:v>0.19612499999999997</c:v>
                </c:pt>
                <c:pt idx="30">
                  <c:v>0.22624999999999998</c:v>
                </c:pt>
                <c:pt idx="31">
                  <c:v>0.23875000000000002</c:v>
                </c:pt>
                <c:pt idx="32">
                  <c:v>0.53512499999999996</c:v>
                </c:pt>
                <c:pt idx="33">
                  <c:v>0.79625000000000001</c:v>
                </c:pt>
                <c:pt idx="34">
                  <c:v>0.81612499999999988</c:v>
                </c:pt>
                <c:pt idx="35">
                  <c:v>0.83774999999999999</c:v>
                </c:pt>
                <c:pt idx="36">
                  <c:v>0.82137500000000008</c:v>
                </c:pt>
                <c:pt idx="37">
                  <c:v>0.80037499999999995</c:v>
                </c:pt>
                <c:pt idx="38">
                  <c:v>0.80574999999999974</c:v>
                </c:pt>
                <c:pt idx="39">
                  <c:v>0.82850000000000001</c:v>
                </c:pt>
                <c:pt idx="40">
                  <c:v>0.84137499999999998</c:v>
                </c:pt>
                <c:pt idx="41">
                  <c:v>0.86224999999999996</c:v>
                </c:pt>
                <c:pt idx="42">
                  <c:v>0.84962499999999996</c:v>
                </c:pt>
                <c:pt idx="43">
                  <c:v>0.89487499999999998</c:v>
                </c:pt>
                <c:pt idx="44">
                  <c:v>0.77899999999999991</c:v>
                </c:pt>
                <c:pt idx="45">
                  <c:v>0.38187499999999991</c:v>
                </c:pt>
                <c:pt idx="46">
                  <c:v>0.33737499999999992</c:v>
                </c:pt>
                <c:pt idx="47">
                  <c:v>0.29274999999999995</c:v>
                </c:pt>
                <c:pt idx="48">
                  <c:v>0.21362499999999995</c:v>
                </c:pt>
                <c:pt idx="49">
                  <c:v>0.15637499999999999</c:v>
                </c:pt>
                <c:pt idx="50">
                  <c:v>0.13824999999999996</c:v>
                </c:pt>
                <c:pt idx="51">
                  <c:v>0.12849999999999998</c:v>
                </c:pt>
                <c:pt idx="52">
                  <c:v>0.12299999999999994</c:v>
                </c:pt>
                <c:pt idx="53">
                  <c:v>0.11412499999999995</c:v>
                </c:pt>
                <c:pt idx="54">
                  <c:v>0.10737499999999993</c:v>
                </c:pt>
                <c:pt idx="55">
                  <c:v>0.68425000000000002</c:v>
                </c:pt>
                <c:pt idx="56">
                  <c:v>0.66812499999999997</c:v>
                </c:pt>
                <c:pt idx="57">
                  <c:v>0.73524999999999996</c:v>
                </c:pt>
                <c:pt idx="58">
                  <c:v>0.69125000000000003</c:v>
                </c:pt>
                <c:pt idx="59">
                  <c:v>0.68474999999999997</c:v>
                </c:pt>
                <c:pt idx="60">
                  <c:v>0.65300000000000002</c:v>
                </c:pt>
                <c:pt idx="61">
                  <c:v>0.66849999999999998</c:v>
                </c:pt>
                <c:pt idx="62">
                  <c:v>0.6775000000000001</c:v>
                </c:pt>
                <c:pt idx="63">
                  <c:v>0.66387499999999999</c:v>
                </c:pt>
                <c:pt idx="64">
                  <c:v>0.63975000000000004</c:v>
                </c:pt>
                <c:pt idx="65">
                  <c:v>0.60612499999999991</c:v>
                </c:pt>
                <c:pt idx="66">
                  <c:v>0.59475</c:v>
                </c:pt>
                <c:pt idx="67">
                  <c:v>0.56174999999999986</c:v>
                </c:pt>
                <c:pt idx="68">
                  <c:v>0.49074999999999991</c:v>
                </c:pt>
                <c:pt idx="69">
                  <c:v>0.64087499999999997</c:v>
                </c:pt>
                <c:pt idx="70">
                  <c:v>0.68324999999999991</c:v>
                </c:pt>
                <c:pt idx="71">
                  <c:v>0.69262499999999994</c:v>
                </c:pt>
                <c:pt idx="72">
                  <c:v>0.71750000000000003</c:v>
                </c:pt>
                <c:pt idx="73">
                  <c:v>0.69325000000000003</c:v>
                </c:pt>
                <c:pt idx="74">
                  <c:v>0.64312499999999995</c:v>
                </c:pt>
                <c:pt idx="75">
                  <c:v>0.62124999999999986</c:v>
                </c:pt>
                <c:pt idx="76">
                  <c:v>0.59575</c:v>
                </c:pt>
                <c:pt idx="77">
                  <c:v>0.59099999999999997</c:v>
                </c:pt>
                <c:pt idx="78">
                  <c:v>0.65212499999999984</c:v>
                </c:pt>
                <c:pt idx="79">
                  <c:v>0.62424999999999997</c:v>
                </c:pt>
                <c:pt idx="80">
                  <c:v>0.60949999999999982</c:v>
                </c:pt>
                <c:pt idx="81">
                  <c:v>0.67374999999999996</c:v>
                </c:pt>
                <c:pt idx="82">
                  <c:v>0.66224999999999989</c:v>
                </c:pt>
                <c:pt idx="83">
                  <c:v>0.66349999999999987</c:v>
                </c:pt>
                <c:pt idx="84">
                  <c:v>0.64612499999999995</c:v>
                </c:pt>
                <c:pt idx="85">
                  <c:v>0.63024999999999987</c:v>
                </c:pt>
                <c:pt idx="86">
                  <c:v>0.59612500000000002</c:v>
                </c:pt>
                <c:pt idx="87">
                  <c:v>0.56399999999999983</c:v>
                </c:pt>
                <c:pt idx="88">
                  <c:v>0.54974999999999985</c:v>
                </c:pt>
                <c:pt idx="89">
                  <c:v>0.50599999999999989</c:v>
                </c:pt>
                <c:pt idx="90">
                  <c:v>0.47487499999999988</c:v>
                </c:pt>
                <c:pt idx="91">
                  <c:v>0.44049999999999995</c:v>
                </c:pt>
                <c:pt idx="92">
                  <c:v>0.499</c:v>
                </c:pt>
                <c:pt idx="93">
                  <c:v>0.64324999999999999</c:v>
                </c:pt>
                <c:pt idx="94">
                  <c:v>0.55625000000000002</c:v>
                </c:pt>
                <c:pt idx="95">
                  <c:v>0.52012500000000006</c:v>
                </c:pt>
                <c:pt idx="96">
                  <c:v>0.50812500000000005</c:v>
                </c:pt>
                <c:pt idx="97">
                  <c:v>0.51762500000000011</c:v>
                </c:pt>
                <c:pt idx="98">
                  <c:v>0.55262500000000003</c:v>
                </c:pt>
                <c:pt idx="99">
                  <c:v>0.55725000000000002</c:v>
                </c:pt>
                <c:pt idx="100">
                  <c:v>0.59699999999999998</c:v>
                </c:pt>
                <c:pt idx="101">
                  <c:v>0.69425000000000003</c:v>
                </c:pt>
                <c:pt idx="102">
                  <c:v>0.72062500000000007</c:v>
                </c:pt>
                <c:pt idx="103">
                  <c:v>0.72949999999999993</c:v>
                </c:pt>
                <c:pt idx="104">
                  <c:v>0.75562499999999999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FF-497F-A634-FD615DF77EF0}"/>
            </c:ext>
          </c:extLst>
        </c:ser>
        <c:ser>
          <c:idx val="3"/>
          <c:order val="3"/>
          <c:tx>
            <c:strRef>
              <c:f>'面板-景气指数'!$A$112</c:f>
              <c:strCache>
                <c:ptCount val="1"/>
                <c:pt idx="0">
                  <c:v>IT服务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'面板-景气指数'!$F$112:$DF$112</c:f>
              <c:numCache>
                <c:formatCode>0.0%</c:formatCode>
                <c:ptCount val="105"/>
                <c:pt idx="0">
                  <c:v>0.31474999999999992</c:v>
                </c:pt>
                <c:pt idx="1">
                  <c:v>0.31474999999999992</c:v>
                </c:pt>
                <c:pt idx="2">
                  <c:v>0.32424999999999993</c:v>
                </c:pt>
                <c:pt idx="3">
                  <c:v>0.3145</c:v>
                </c:pt>
                <c:pt idx="4">
                  <c:v>0.29049999999999998</c:v>
                </c:pt>
                <c:pt idx="5">
                  <c:v>0.26900000000000007</c:v>
                </c:pt>
                <c:pt idx="6">
                  <c:v>0.21850000000000003</c:v>
                </c:pt>
                <c:pt idx="7">
                  <c:v>0.16025000000000006</c:v>
                </c:pt>
                <c:pt idx="8">
                  <c:v>0.10775000000000005</c:v>
                </c:pt>
                <c:pt idx="9">
                  <c:v>7.2000000000000064E-2</c:v>
                </c:pt>
                <c:pt idx="10">
                  <c:v>7.6250000000000068E-2</c:v>
                </c:pt>
                <c:pt idx="11">
                  <c:v>7.4250000000000038E-2</c:v>
                </c:pt>
                <c:pt idx="12">
                  <c:v>8.6250000000000049E-2</c:v>
                </c:pt>
                <c:pt idx="13">
                  <c:v>9.3000000000000013E-2</c:v>
                </c:pt>
                <c:pt idx="14">
                  <c:v>9.5750000000000002E-2</c:v>
                </c:pt>
                <c:pt idx="15">
                  <c:v>0.15575</c:v>
                </c:pt>
                <c:pt idx="16">
                  <c:v>0.18899999999999997</c:v>
                </c:pt>
                <c:pt idx="17">
                  <c:v>0.22299999999999998</c:v>
                </c:pt>
                <c:pt idx="18">
                  <c:v>0.24249999999999991</c:v>
                </c:pt>
                <c:pt idx="19">
                  <c:v>0.18974999999999995</c:v>
                </c:pt>
                <c:pt idx="20">
                  <c:v>0.16574999999999995</c:v>
                </c:pt>
                <c:pt idx="21">
                  <c:v>5.4999999999999993E-2</c:v>
                </c:pt>
                <c:pt idx="22">
                  <c:v>9.3249999999999986E-2</c:v>
                </c:pt>
                <c:pt idx="23">
                  <c:v>0.10574999999999998</c:v>
                </c:pt>
                <c:pt idx="24">
                  <c:v>0.13924999999999993</c:v>
                </c:pt>
                <c:pt idx="25">
                  <c:v>0.12899999999999998</c:v>
                </c:pt>
                <c:pt idx="26">
                  <c:v>0.11724999999999999</c:v>
                </c:pt>
                <c:pt idx="27">
                  <c:v>9.35E-2</c:v>
                </c:pt>
                <c:pt idx="28">
                  <c:v>6.6750000000000004E-2</c:v>
                </c:pt>
                <c:pt idx="29">
                  <c:v>4.7250000000000021E-2</c:v>
                </c:pt>
                <c:pt idx="30">
                  <c:v>0.15125</c:v>
                </c:pt>
                <c:pt idx="31">
                  <c:v>0.182</c:v>
                </c:pt>
                <c:pt idx="32">
                  <c:v>0.26625000000000004</c:v>
                </c:pt>
                <c:pt idx="33">
                  <c:v>0.34575000000000011</c:v>
                </c:pt>
                <c:pt idx="34">
                  <c:v>0.42025000000000012</c:v>
                </c:pt>
                <c:pt idx="35">
                  <c:v>0.49500000000000011</c:v>
                </c:pt>
                <c:pt idx="36">
                  <c:v>0.52375000000000016</c:v>
                </c:pt>
                <c:pt idx="37">
                  <c:v>0.54</c:v>
                </c:pt>
                <c:pt idx="38">
                  <c:v>0.55000000000000016</c:v>
                </c:pt>
                <c:pt idx="39">
                  <c:v>0.55275000000000007</c:v>
                </c:pt>
                <c:pt idx="40">
                  <c:v>0.48725000000000018</c:v>
                </c:pt>
                <c:pt idx="41">
                  <c:v>0.53300000000000014</c:v>
                </c:pt>
                <c:pt idx="42">
                  <c:v>0.62925000000000009</c:v>
                </c:pt>
                <c:pt idx="43">
                  <c:v>0.8125</c:v>
                </c:pt>
                <c:pt idx="44">
                  <c:v>0.79474999999999985</c:v>
                </c:pt>
                <c:pt idx="45">
                  <c:v>0.69924999999999982</c:v>
                </c:pt>
                <c:pt idx="46">
                  <c:v>0.49974999999999997</c:v>
                </c:pt>
                <c:pt idx="47">
                  <c:v>0.48525000000000001</c:v>
                </c:pt>
                <c:pt idx="48">
                  <c:v>0.43</c:v>
                </c:pt>
                <c:pt idx="49">
                  <c:v>0.44900000000000001</c:v>
                </c:pt>
                <c:pt idx="50">
                  <c:v>0.50175000000000003</c:v>
                </c:pt>
                <c:pt idx="51">
                  <c:v>0.53324999999999989</c:v>
                </c:pt>
                <c:pt idx="52">
                  <c:v>0.55949999999999989</c:v>
                </c:pt>
                <c:pt idx="53">
                  <c:v>0.52374999999999994</c:v>
                </c:pt>
                <c:pt idx="54">
                  <c:v>0.38624999999999998</c:v>
                </c:pt>
                <c:pt idx="55">
                  <c:v>0.24925</c:v>
                </c:pt>
                <c:pt idx="56">
                  <c:v>0.27124999999999999</c:v>
                </c:pt>
                <c:pt idx="57">
                  <c:v>0.4200000000000001</c:v>
                </c:pt>
                <c:pt idx="58">
                  <c:v>0.53575000000000006</c:v>
                </c:pt>
                <c:pt idx="59">
                  <c:v>0.55274999999999996</c:v>
                </c:pt>
                <c:pt idx="60">
                  <c:v>0.53050000000000008</c:v>
                </c:pt>
                <c:pt idx="61">
                  <c:v>0.48975000000000002</c:v>
                </c:pt>
                <c:pt idx="62">
                  <c:v>0.52599999999999991</c:v>
                </c:pt>
                <c:pt idx="63">
                  <c:v>0.56900000000000006</c:v>
                </c:pt>
                <c:pt idx="64">
                  <c:v>0.66799999999999993</c:v>
                </c:pt>
                <c:pt idx="65">
                  <c:v>0.59299999999999997</c:v>
                </c:pt>
                <c:pt idx="66">
                  <c:v>0.74724999999999997</c:v>
                </c:pt>
                <c:pt idx="67">
                  <c:v>0.70599999999999985</c:v>
                </c:pt>
                <c:pt idx="68">
                  <c:v>0.84549999999999981</c:v>
                </c:pt>
                <c:pt idx="69">
                  <c:v>0.74450000000000005</c:v>
                </c:pt>
                <c:pt idx="70">
                  <c:v>0.81424999999999992</c:v>
                </c:pt>
                <c:pt idx="71">
                  <c:v>0.78774999999999995</c:v>
                </c:pt>
                <c:pt idx="72">
                  <c:v>0.84849999999999992</c:v>
                </c:pt>
                <c:pt idx="73">
                  <c:v>0.9202499999999999</c:v>
                </c:pt>
                <c:pt idx="74">
                  <c:v>0.91799999999999993</c:v>
                </c:pt>
                <c:pt idx="75">
                  <c:v>0.93899999999999995</c:v>
                </c:pt>
                <c:pt idx="76">
                  <c:v>0.86974999999999991</c:v>
                </c:pt>
                <c:pt idx="77">
                  <c:v>0.89400000000000002</c:v>
                </c:pt>
                <c:pt idx="78">
                  <c:v>0.61250000000000016</c:v>
                </c:pt>
                <c:pt idx="79">
                  <c:v>0.8287500000000001</c:v>
                </c:pt>
                <c:pt idx="80">
                  <c:v>0.69874999999999987</c:v>
                </c:pt>
                <c:pt idx="81">
                  <c:v>0.91074999999999995</c:v>
                </c:pt>
                <c:pt idx="82">
                  <c:v>0.65374999999999994</c:v>
                </c:pt>
                <c:pt idx="83">
                  <c:v>0.69699999999999995</c:v>
                </c:pt>
                <c:pt idx="84">
                  <c:v>0.76374999999999993</c:v>
                </c:pt>
                <c:pt idx="85">
                  <c:v>0.90100000000000002</c:v>
                </c:pt>
                <c:pt idx="86">
                  <c:v>0.96125000000000005</c:v>
                </c:pt>
                <c:pt idx="87">
                  <c:v>0.88700000000000001</c:v>
                </c:pt>
                <c:pt idx="88">
                  <c:v>0.75700000000000001</c:v>
                </c:pt>
                <c:pt idx="89">
                  <c:v>0.70400000000000007</c:v>
                </c:pt>
                <c:pt idx="90">
                  <c:v>0.95650000000000002</c:v>
                </c:pt>
                <c:pt idx="91">
                  <c:v>0.89600000000000002</c:v>
                </c:pt>
                <c:pt idx="92">
                  <c:v>0.89600000000000002</c:v>
                </c:pt>
                <c:pt idx="93">
                  <c:v>0.5472499999999999</c:v>
                </c:pt>
                <c:pt idx="94">
                  <c:v>0.70874999999999999</c:v>
                </c:pt>
                <c:pt idx="95">
                  <c:v>0.72099999999999997</c:v>
                </c:pt>
                <c:pt idx="96">
                  <c:v>0.66299999999999992</c:v>
                </c:pt>
                <c:pt idx="97">
                  <c:v>0.63650000000000007</c:v>
                </c:pt>
                <c:pt idx="98">
                  <c:v>0.60975000000000001</c:v>
                </c:pt>
                <c:pt idx="99">
                  <c:v>0.58624999999999994</c:v>
                </c:pt>
                <c:pt idx="100">
                  <c:v>0.61499999999999999</c:v>
                </c:pt>
                <c:pt idx="101">
                  <c:v>0.5764999999999999</c:v>
                </c:pt>
                <c:pt idx="102">
                  <c:v>0.6915</c:v>
                </c:pt>
                <c:pt idx="103">
                  <c:v>0.63175000000000003</c:v>
                </c:pt>
                <c:pt idx="104">
                  <c:v>0.69674999999999998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FF-497F-A634-FD615DF7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'面板-景气指数'!$A$58</c:f>
              <c:strCache>
                <c:ptCount val="1"/>
                <c:pt idx="0">
                  <c:v>传媒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'面板-景气指数'!$F$58:$DF$58</c:f>
              <c:numCache>
                <c:formatCode>0.0%</c:formatCode>
                <c:ptCount val="105"/>
                <c:pt idx="0">
                  <c:v>0.48154000000000002</c:v>
                </c:pt>
                <c:pt idx="1">
                  <c:v>0.46809000000000006</c:v>
                </c:pt>
                <c:pt idx="2">
                  <c:v>0.44999000000000006</c:v>
                </c:pt>
                <c:pt idx="3">
                  <c:v>0.38784000000000002</c:v>
                </c:pt>
                <c:pt idx="4">
                  <c:v>0.42519000000000001</c:v>
                </c:pt>
                <c:pt idx="5">
                  <c:v>0.5718399999999999</c:v>
                </c:pt>
                <c:pt idx="6">
                  <c:v>0.66159000000000001</c:v>
                </c:pt>
                <c:pt idx="7">
                  <c:v>0.61714000000000002</c:v>
                </c:pt>
                <c:pt idx="8">
                  <c:v>0.64234000000000002</c:v>
                </c:pt>
                <c:pt idx="9">
                  <c:v>0.65529000000000004</c:v>
                </c:pt>
                <c:pt idx="10">
                  <c:v>0.66974</c:v>
                </c:pt>
                <c:pt idx="11">
                  <c:v>0.75109000000000004</c:v>
                </c:pt>
                <c:pt idx="12">
                  <c:v>0.75908999999999993</c:v>
                </c:pt>
                <c:pt idx="13">
                  <c:v>0.80784</c:v>
                </c:pt>
                <c:pt idx="14">
                  <c:v>0.76414500000000007</c:v>
                </c:pt>
                <c:pt idx="15">
                  <c:v>0.79036499999999998</c:v>
                </c:pt>
                <c:pt idx="16">
                  <c:v>0.70496000000000003</c:v>
                </c:pt>
                <c:pt idx="17">
                  <c:v>0.55809500000000001</c:v>
                </c:pt>
                <c:pt idx="18">
                  <c:v>0.36026500000000006</c:v>
                </c:pt>
                <c:pt idx="19">
                  <c:v>0.33590500000000001</c:v>
                </c:pt>
                <c:pt idx="20">
                  <c:v>0.26587499999999997</c:v>
                </c:pt>
                <c:pt idx="21">
                  <c:v>0.21696500000000002</c:v>
                </c:pt>
                <c:pt idx="22">
                  <c:v>0.16031000000000001</c:v>
                </c:pt>
                <c:pt idx="23">
                  <c:v>0.14122500000000002</c:v>
                </c:pt>
                <c:pt idx="24">
                  <c:v>0.20083499999999999</c:v>
                </c:pt>
                <c:pt idx="25">
                  <c:v>0.226405</c:v>
                </c:pt>
                <c:pt idx="26">
                  <c:v>0.16774000000000003</c:v>
                </c:pt>
                <c:pt idx="27">
                  <c:v>0.16414499999999999</c:v>
                </c:pt>
                <c:pt idx="28">
                  <c:v>0.23222999999999996</c:v>
                </c:pt>
                <c:pt idx="29">
                  <c:v>0.40634000000000003</c:v>
                </c:pt>
                <c:pt idx="30">
                  <c:v>0.510625</c:v>
                </c:pt>
                <c:pt idx="31">
                  <c:v>0.51985000000000003</c:v>
                </c:pt>
                <c:pt idx="32">
                  <c:v>0.485315</c:v>
                </c:pt>
                <c:pt idx="33">
                  <c:v>0.54369000000000001</c:v>
                </c:pt>
                <c:pt idx="34">
                  <c:v>0.40202000000000004</c:v>
                </c:pt>
                <c:pt idx="35">
                  <c:v>0.438</c:v>
                </c:pt>
                <c:pt idx="36">
                  <c:v>0.41694999999999999</c:v>
                </c:pt>
                <c:pt idx="37">
                  <c:v>0.51754500000000003</c:v>
                </c:pt>
                <c:pt idx="38">
                  <c:v>0.54283000000000003</c:v>
                </c:pt>
                <c:pt idx="39">
                  <c:v>0.58014999999999994</c:v>
                </c:pt>
                <c:pt idx="40">
                  <c:v>0.55996000000000012</c:v>
                </c:pt>
                <c:pt idx="41">
                  <c:v>0.52313500000000002</c:v>
                </c:pt>
                <c:pt idx="42">
                  <c:v>0.54995500000000008</c:v>
                </c:pt>
                <c:pt idx="43">
                  <c:v>0.48324499999999998</c:v>
                </c:pt>
                <c:pt idx="44">
                  <c:v>0.48867500000000003</c:v>
                </c:pt>
                <c:pt idx="45">
                  <c:v>0.4022</c:v>
                </c:pt>
                <c:pt idx="46">
                  <c:v>0.41440999999999995</c:v>
                </c:pt>
                <c:pt idx="47">
                  <c:v>0.40592000000000006</c:v>
                </c:pt>
                <c:pt idx="48">
                  <c:v>0.408605</c:v>
                </c:pt>
                <c:pt idx="49">
                  <c:v>0.39086000000000004</c:v>
                </c:pt>
                <c:pt idx="50">
                  <c:v>0.37575500000000001</c:v>
                </c:pt>
                <c:pt idx="51">
                  <c:v>0.38137000000000004</c:v>
                </c:pt>
                <c:pt idx="52">
                  <c:v>0.36535500000000004</c:v>
                </c:pt>
                <c:pt idx="53">
                  <c:v>0.36453000000000002</c:v>
                </c:pt>
                <c:pt idx="54">
                  <c:v>0.37373000000000001</c:v>
                </c:pt>
                <c:pt idx="55">
                  <c:v>0.38299000000000005</c:v>
                </c:pt>
                <c:pt idx="56">
                  <c:v>0.47735</c:v>
                </c:pt>
                <c:pt idx="57">
                  <c:v>0.53996</c:v>
                </c:pt>
                <c:pt idx="58">
                  <c:v>0.56035000000000001</c:v>
                </c:pt>
                <c:pt idx="59">
                  <c:v>0.54354999999999998</c:v>
                </c:pt>
                <c:pt idx="60">
                  <c:v>0.52425500000000003</c:v>
                </c:pt>
                <c:pt idx="61">
                  <c:v>0.47319</c:v>
                </c:pt>
                <c:pt idx="62">
                  <c:v>0.47163000000000005</c:v>
                </c:pt>
                <c:pt idx="63">
                  <c:v>0.47664000000000006</c:v>
                </c:pt>
                <c:pt idx="64">
                  <c:v>0.48333000000000004</c:v>
                </c:pt>
                <c:pt idx="65">
                  <c:v>0.487985</c:v>
                </c:pt>
                <c:pt idx="66">
                  <c:v>0.49262999999999996</c:v>
                </c:pt>
                <c:pt idx="67">
                  <c:v>0.46933500000000006</c:v>
                </c:pt>
                <c:pt idx="68">
                  <c:v>0.45885500000000001</c:v>
                </c:pt>
                <c:pt idx="69">
                  <c:v>0.47965500000000005</c:v>
                </c:pt>
                <c:pt idx="70">
                  <c:v>0.52546000000000004</c:v>
                </c:pt>
                <c:pt idx="71">
                  <c:v>0.56616</c:v>
                </c:pt>
                <c:pt idx="72">
                  <c:v>0.59575</c:v>
                </c:pt>
                <c:pt idx="73">
                  <c:v>0.61435499999999998</c:v>
                </c:pt>
                <c:pt idx="74">
                  <c:v>0.5798049999999999</c:v>
                </c:pt>
                <c:pt idx="75">
                  <c:v>0.57574499999999995</c:v>
                </c:pt>
                <c:pt idx="76">
                  <c:v>0.57845999999999997</c:v>
                </c:pt>
                <c:pt idx="77">
                  <c:v>0.59070500000000004</c:v>
                </c:pt>
                <c:pt idx="78">
                  <c:v>0.59674500000000008</c:v>
                </c:pt>
                <c:pt idx="79">
                  <c:v>0.58654000000000006</c:v>
                </c:pt>
                <c:pt idx="80">
                  <c:v>0.57216500000000003</c:v>
                </c:pt>
                <c:pt idx="81">
                  <c:v>0.57927000000000006</c:v>
                </c:pt>
                <c:pt idx="82">
                  <c:v>0.60159499999999988</c:v>
                </c:pt>
                <c:pt idx="83">
                  <c:v>0.60237499999999999</c:v>
                </c:pt>
                <c:pt idx="84">
                  <c:v>0.59269000000000005</c:v>
                </c:pt>
                <c:pt idx="85">
                  <c:v>0.58220500000000008</c:v>
                </c:pt>
                <c:pt idx="86">
                  <c:v>0.57575500000000002</c:v>
                </c:pt>
                <c:pt idx="87">
                  <c:v>0.57326999999999995</c:v>
                </c:pt>
                <c:pt idx="88">
                  <c:v>0.55522000000000005</c:v>
                </c:pt>
                <c:pt idx="89">
                  <c:v>0.53247</c:v>
                </c:pt>
                <c:pt idx="90">
                  <c:v>0.49863499999999999</c:v>
                </c:pt>
                <c:pt idx="91">
                  <c:v>0.50295000000000001</c:v>
                </c:pt>
                <c:pt idx="92">
                  <c:v>0.47810000000000002</c:v>
                </c:pt>
                <c:pt idx="93">
                  <c:v>0.46025000000000005</c:v>
                </c:pt>
                <c:pt idx="94">
                  <c:v>0.45231500000000002</c:v>
                </c:pt>
                <c:pt idx="95">
                  <c:v>0.44808000000000003</c:v>
                </c:pt>
                <c:pt idx="96">
                  <c:v>0.45654499999999998</c:v>
                </c:pt>
                <c:pt idx="97">
                  <c:v>0.46135999999999999</c:v>
                </c:pt>
                <c:pt idx="98">
                  <c:v>0.48022500000000001</c:v>
                </c:pt>
                <c:pt idx="99">
                  <c:v>0.48471000000000003</c:v>
                </c:pt>
                <c:pt idx="100">
                  <c:v>0.55679500000000004</c:v>
                </c:pt>
                <c:pt idx="101">
                  <c:v>0.59743000000000002</c:v>
                </c:pt>
                <c:pt idx="102">
                  <c:v>0.60916499999999996</c:v>
                </c:pt>
                <c:pt idx="103">
                  <c:v>0.61346499999999993</c:v>
                </c:pt>
                <c:pt idx="104">
                  <c:v>0.623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A1-4507-8ABF-F7614D544056}"/>
            </c:ext>
          </c:extLst>
        </c:ser>
        <c:ser>
          <c:idx val="1"/>
          <c:order val="1"/>
          <c:tx>
            <c:strRef>
              <c:f>'面板-景气指数'!$A$113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'面板-景气指数'!$F$113:$DF$113</c:f>
              <c:numCache>
                <c:formatCode>0.0%</c:formatCode>
                <c:ptCount val="105"/>
                <c:pt idx="0">
                  <c:v>0.5414374999999999</c:v>
                </c:pt>
                <c:pt idx="1">
                  <c:v>0.52237499999999992</c:v>
                </c:pt>
                <c:pt idx="2">
                  <c:v>0.53337499999999993</c:v>
                </c:pt>
                <c:pt idx="3">
                  <c:v>0.45518749999999997</c:v>
                </c:pt>
                <c:pt idx="4">
                  <c:v>0.46937499999999999</c:v>
                </c:pt>
                <c:pt idx="5">
                  <c:v>0.58968749999999992</c:v>
                </c:pt>
                <c:pt idx="6">
                  <c:v>0.66212499999999985</c:v>
                </c:pt>
                <c:pt idx="7">
                  <c:v>0.63756249999999992</c:v>
                </c:pt>
                <c:pt idx="8">
                  <c:v>0.70518749999999986</c:v>
                </c:pt>
                <c:pt idx="9">
                  <c:v>0.70262500000000006</c:v>
                </c:pt>
                <c:pt idx="10">
                  <c:v>0.70906250000000004</c:v>
                </c:pt>
                <c:pt idx="11">
                  <c:v>0.82737499999999986</c:v>
                </c:pt>
                <c:pt idx="12">
                  <c:v>0.86037499999999989</c:v>
                </c:pt>
                <c:pt idx="13">
                  <c:v>0.91468749999999988</c:v>
                </c:pt>
                <c:pt idx="14">
                  <c:v>0.80574999999999986</c:v>
                </c:pt>
                <c:pt idx="15">
                  <c:v>0.79181250000000003</c:v>
                </c:pt>
                <c:pt idx="16">
                  <c:v>0.61368749999999994</c:v>
                </c:pt>
                <c:pt idx="17">
                  <c:v>0.29062499999999997</c:v>
                </c:pt>
                <c:pt idx="18">
                  <c:v>0.15649999999999997</c:v>
                </c:pt>
                <c:pt idx="19">
                  <c:v>0.114125</c:v>
                </c:pt>
                <c:pt idx="20">
                  <c:v>0.112125</c:v>
                </c:pt>
                <c:pt idx="21">
                  <c:v>0.13906249999999998</c:v>
                </c:pt>
                <c:pt idx="22">
                  <c:v>0.10793749999999999</c:v>
                </c:pt>
                <c:pt idx="23">
                  <c:v>7.2374999999999981E-2</c:v>
                </c:pt>
                <c:pt idx="24">
                  <c:v>2.8124999999999997E-2</c:v>
                </c:pt>
                <c:pt idx="25">
                  <c:v>6.7562499999999998E-2</c:v>
                </c:pt>
                <c:pt idx="26">
                  <c:v>0.14481249999999996</c:v>
                </c:pt>
                <c:pt idx="27">
                  <c:v>0.21562499999999998</c:v>
                </c:pt>
                <c:pt idx="28">
                  <c:v>0.30549999999999994</c:v>
                </c:pt>
                <c:pt idx="29">
                  <c:v>0.3969375</c:v>
                </c:pt>
                <c:pt idx="30">
                  <c:v>0.48681249999999998</c:v>
                </c:pt>
                <c:pt idx="31">
                  <c:v>0.59224999999999994</c:v>
                </c:pt>
                <c:pt idx="32">
                  <c:v>0.67662499999999992</c:v>
                </c:pt>
                <c:pt idx="33">
                  <c:v>0.71187499999999992</c:v>
                </c:pt>
                <c:pt idx="34">
                  <c:v>0.46699999999999997</c:v>
                </c:pt>
                <c:pt idx="35">
                  <c:v>0.51581250000000001</c:v>
                </c:pt>
                <c:pt idx="36">
                  <c:v>0.53231250000000008</c:v>
                </c:pt>
                <c:pt idx="37">
                  <c:v>0.63062499999999988</c:v>
                </c:pt>
                <c:pt idx="38">
                  <c:v>0.6959375000000001</c:v>
                </c:pt>
                <c:pt idx="39">
                  <c:v>0.66362499999999991</c:v>
                </c:pt>
                <c:pt idx="40">
                  <c:v>0.71243750000000006</c:v>
                </c:pt>
                <c:pt idx="41">
                  <c:v>0.59762499999999996</c:v>
                </c:pt>
                <c:pt idx="42">
                  <c:v>0.67943749999999992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A1-4507-8ABF-F7614D544056}"/>
            </c:ext>
          </c:extLst>
        </c:ser>
        <c:ser>
          <c:idx val="4"/>
          <c:order val="2"/>
          <c:tx>
            <c:strRef>
              <c:f>'面板-景气指数'!$A$116</c:f>
              <c:strCache>
                <c:ptCount val="1"/>
                <c:pt idx="0">
                  <c:v>广告营销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'面板-景气指数'!$F$116:$DF$116</c:f>
              <c:numCache>
                <c:formatCode>0.0%</c:formatCode>
                <c:ptCount val="105"/>
                <c:pt idx="0">
                  <c:v>0.64100000000000001</c:v>
                </c:pt>
                <c:pt idx="1">
                  <c:v>0.64100000000000001</c:v>
                </c:pt>
                <c:pt idx="2">
                  <c:v>0.64100000000000001</c:v>
                </c:pt>
                <c:pt idx="3">
                  <c:v>0.64100000000000001</c:v>
                </c:pt>
                <c:pt idx="4">
                  <c:v>0.64100000000000001</c:v>
                </c:pt>
                <c:pt idx="5">
                  <c:v>0.64100000000000001</c:v>
                </c:pt>
                <c:pt idx="6">
                  <c:v>0.64100000000000001</c:v>
                </c:pt>
                <c:pt idx="7">
                  <c:v>0.64100000000000001</c:v>
                </c:pt>
                <c:pt idx="8">
                  <c:v>0.64100000000000001</c:v>
                </c:pt>
                <c:pt idx="9">
                  <c:v>0.64100000000000001</c:v>
                </c:pt>
                <c:pt idx="10">
                  <c:v>0.64100000000000001</c:v>
                </c:pt>
                <c:pt idx="11">
                  <c:v>0.64100000000000001</c:v>
                </c:pt>
                <c:pt idx="12">
                  <c:v>0.64100000000000001</c:v>
                </c:pt>
                <c:pt idx="13">
                  <c:v>0.64100000000000001</c:v>
                </c:pt>
                <c:pt idx="14">
                  <c:v>0.81399999999999995</c:v>
                </c:pt>
                <c:pt idx="15">
                  <c:v>0.876</c:v>
                </c:pt>
                <c:pt idx="16">
                  <c:v>0.91300000000000003</c:v>
                </c:pt>
                <c:pt idx="17">
                  <c:v>0.86399999999999999</c:v>
                </c:pt>
                <c:pt idx="18">
                  <c:v>0.50600000000000001</c:v>
                </c:pt>
                <c:pt idx="19">
                  <c:v>0.37</c:v>
                </c:pt>
                <c:pt idx="20">
                  <c:v>0.17199999999999999</c:v>
                </c:pt>
                <c:pt idx="21">
                  <c:v>0.19700000000000001</c:v>
                </c:pt>
                <c:pt idx="22">
                  <c:v>7.3999999999999996E-2</c:v>
                </c:pt>
                <c:pt idx="23">
                  <c:v>0.123</c:v>
                </c:pt>
                <c:pt idx="24">
                  <c:v>0.16</c:v>
                </c:pt>
                <c:pt idx="25">
                  <c:v>0.222</c:v>
                </c:pt>
                <c:pt idx="26">
                  <c:v>0.23400000000000004</c:v>
                </c:pt>
                <c:pt idx="27">
                  <c:v>9.8000000000000004E-2</c:v>
                </c:pt>
                <c:pt idx="28">
                  <c:v>6.1000000000000006E-2</c:v>
                </c:pt>
                <c:pt idx="29">
                  <c:v>4.9000000000000002E-2</c:v>
                </c:pt>
                <c:pt idx="30">
                  <c:v>0.111</c:v>
                </c:pt>
                <c:pt idx="31">
                  <c:v>0.25900000000000001</c:v>
                </c:pt>
                <c:pt idx="32">
                  <c:v>0.44400000000000001</c:v>
                </c:pt>
                <c:pt idx="33">
                  <c:v>0.53</c:v>
                </c:pt>
                <c:pt idx="34">
                  <c:v>0.46899999999999992</c:v>
                </c:pt>
                <c:pt idx="35">
                  <c:v>0.51800000000000002</c:v>
                </c:pt>
                <c:pt idx="36">
                  <c:v>0.57999999999999996</c:v>
                </c:pt>
                <c:pt idx="37">
                  <c:v>0.82699999999999996</c:v>
                </c:pt>
                <c:pt idx="38">
                  <c:v>0.88800000000000001</c:v>
                </c:pt>
                <c:pt idx="39">
                  <c:v>0.93799999999999983</c:v>
                </c:pt>
                <c:pt idx="40">
                  <c:v>0.96200000000000008</c:v>
                </c:pt>
                <c:pt idx="41">
                  <c:v>0.98699999999999999</c:v>
                </c:pt>
                <c:pt idx="42">
                  <c:v>1</c:v>
                </c:pt>
                <c:pt idx="43">
                  <c:v>0.97499999999999987</c:v>
                </c:pt>
                <c:pt idx="44">
                  <c:v>0.95</c:v>
                </c:pt>
                <c:pt idx="45">
                  <c:v>0.49299999999999999</c:v>
                </c:pt>
                <c:pt idx="46">
                  <c:v>0.59199999999999997</c:v>
                </c:pt>
                <c:pt idx="47">
                  <c:v>0.61699999999999999</c:v>
                </c:pt>
                <c:pt idx="48">
                  <c:v>0.55500000000000005</c:v>
                </c:pt>
                <c:pt idx="49">
                  <c:v>0.40699999999999997</c:v>
                </c:pt>
                <c:pt idx="50">
                  <c:v>0.23400000000000004</c:v>
                </c:pt>
                <c:pt idx="51">
                  <c:v>0.13500000000000001</c:v>
                </c:pt>
                <c:pt idx="52">
                  <c:v>3.6999999999999998E-2</c:v>
                </c:pt>
                <c:pt idx="53">
                  <c:v>1.2E-2</c:v>
                </c:pt>
                <c:pt idx="54">
                  <c:v>0</c:v>
                </c:pt>
                <c:pt idx="55">
                  <c:v>2.4E-2</c:v>
                </c:pt>
                <c:pt idx="56">
                  <c:v>8.5999999999999993E-2</c:v>
                </c:pt>
                <c:pt idx="57">
                  <c:v>0.32</c:v>
                </c:pt>
                <c:pt idx="58">
                  <c:v>0.33300000000000002</c:v>
                </c:pt>
                <c:pt idx="59">
                  <c:v>0.28299999999999997</c:v>
                </c:pt>
                <c:pt idx="60">
                  <c:v>0.34499999999999997</c:v>
                </c:pt>
                <c:pt idx="61">
                  <c:v>0.29599999999999999</c:v>
                </c:pt>
                <c:pt idx="62">
                  <c:v>0.20899999999999999</c:v>
                </c:pt>
                <c:pt idx="63">
                  <c:v>0.185</c:v>
                </c:pt>
                <c:pt idx="64">
                  <c:v>0.14799999999999999</c:v>
                </c:pt>
                <c:pt idx="65">
                  <c:v>0.27100000000000002</c:v>
                </c:pt>
                <c:pt idx="66">
                  <c:v>0.35799999999999998</c:v>
                </c:pt>
                <c:pt idx="67">
                  <c:v>0.432</c:v>
                </c:pt>
                <c:pt idx="68">
                  <c:v>0.45600000000000002</c:v>
                </c:pt>
                <c:pt idx="69">
                  <c:v>0.56699999999999995</c:v>
                </c:pt>
                <c:pt idx="70">
                  <c:v>0.85099999999999998</c:v>
                </c:pt>
                <c:pt idx="71">
                  <c:v>0.90100000000000002</c:v>
                </c:pt>
                <c:pt idx="72">
                  <c:v>0.92500000000000004</c:v>
                </c:pt>
                <c:pt idx="73">
                  <c:v>0.83899999999999997</c:v>
                </c:pt>
                <c:pt idx="74">
                  <c:v>0.629</c:v>
                </c:pt>
                <c:pt idx="75">
                  <c:v>0.60399999999999998</c:v>
                </c:pt>
                <c:pt idx="76">
                  <c:v>0.54300000000000004</c:v>
                </c:pt>
                <c:pt idx="77">
                  <c:v>0.48100000000000004</c:v>
                </c:pt>
                <c:pt idx="78">
                  <c:v>0.39500000000000002</c:v>
                </c:pt>
                <c:pt idx="79">
                  <c:v>0.38200000000000001</c:v>
                </c:pt>
                <c:pt idx="80">
                  <c:v>0.308</c:v>
                </c:pt>
                <c:pt idx="81">
                  <c:v>0.41899999999999998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1-4507-8ABF-F7614D54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4164687885445197"/>
          <c:h val="0.139699708136285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'面板-景气指数'!$A$60</c:f>
              <c:strCache>
                <c:ptCount val="1"/>
                <c:pt idx="0">
                  <c:v>港股互联网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'面板-景气指数'!$F$60:$DF$60</c:f>
              <c:numCache>
                <c:formatCode>0.0%</c:formatCode>
                <c:ptCount val="105"/>
                <c:pt idx="0">
                  <c:v>0.49484999999999996</c:v>
                </c:pt>
                <c:pt idx="1">
                  <c:v>0.48649999999999999</c:v>
                </c:pt>
                <c:pt idx="2">
                  <c:v>0.52015</c:v>
                </c:pt>
                <c:pt idx="3">
                  <c:v>0.51949999999999996</c:v>
                </c:pt>
                <c:pt idx="4">
                  <c:v>0.52475000000000005</c:v>
                </c:pt>
                <c:pt idx="5">
                  <c:v>0.52279999999999993</c:v>
                </c:pt>
                <c:pt idx="6">
                  <c:v>0.58509999999999995</c:v>
                </c:pt>
                <c:pt idx="7">
                  <c:v>0.60585</c:v>
                </c:pt>
                <c:pt idx="8">
                  <c:v>0.64680000000000004</c:v>
                </c:pt>
                <c:pt idx="9">
                  <c:v>0.61820000000000008</c:v>
                </c:pt>
                <c:pt idx="10">
                  <c:v>0.59079999999999999</c:v>
                </c:pt>
                <c:pt idx="11">
                  <c:v>0.59594999999999998</c:v>
                </c:pt>
                <c:pt idx="12">
                  <c:v>0.58204999999999996</c:v>
                </c:pt>
                <c:pt idx="13">
                  <c:v>0.57700000000000007</c:v>
                </c:pt>
                <c:pt idx="14">
                  <c:v>0.54549999999999998</c:v>
                </c:pt>
                <c:pt idx="15">
                  <c:v>0.56410000000000005</c:v>
                </c:pt>
                <c:pt idx="16">
                  <c:v>0.50859999999999994</c:v>
                </c:pt>
                <c:pt idx="17">
                  <c:v>0.36205000000000004</c:v>
                </c:pt>
                <c:pt idx="18">
                  <c:v>0.27055000000000001</c:v>
                </c:pt>
                <c:pt idx="19">
                  <c:v>0.21945000000000003</c:v>
                </c:pt>
                <c:pt idx="20">
                  <c:v>0.17624999999999999</c:v>
                </c:pt>
                <c:pt idx="21">
                  <c:v>0.15840000000000001</c:v>
                </c:pt>
                <c:pt idx="22">
                  <c:v>0.1678</c:v>
                </c:pt>
                <c:pt idx="23">
                  <c:v>0.18615000000000001</c:v>
                </c:pt>
                <c:pt idx="24">
                  <c:v>0.17949999999999997</c:v>
                </c:pt>
                <c:pt idx="25">
                  <c:v>0.19824999999999998</c:v>
                </c:pt>
                <c:pt idx="26">
                  <c:v>0.2228</c:v>
                </c:pt>
                <c:pt idx="27">
                  <c:v>0.22325</c:v>
                </c:pt>
                <c:pt idx="28">
                  <c:v>0.21390000000000001</c:v>
                </c:pt>
                <c:pt idx="29">
                  <c:v>0.18775</c:v>
                </c:pt>
                <c:pt idx="30">
                  <c:v>0.24474999999999997</c:v>
                </c:pt>
                <c:pt idx="31">
                  <c:v>0.33479999999999993</c:v>
                </c:pt>
                <c:pt idx="32">
                  <c:v>0.44875000000000004</c:v>
                </c:pt>
                <c:pt idx="33">
                  <c:v>0.48799999999999999</c:v>
                </c:pt>
                <c:pt idx="34">
                  <c:v>0.47220000000000001</c:v>
                </c:pt>
                <c:pt idx="35">
                  <c:v>0.51010000000000011</c:v>
                </c:pt>
                <c:pt idx="36">
                  <c:v>0.49110000000000004</c:v>
                </c:pt>
                <c:pt idx="37">
                  <c:v>0.51439999999999997</c:v>
                </c:pt>
                <c:pt idx="38">
                  <c:v>0.56845000000000001</c:v>
                </c:pt>
                <c:pt idx="39">
                  <c:v>0.60075000000000001</c:v>
                </c:pt>
                <c:pt idx="40">
                  <c:v>0.70740000000000003</c:v>
                </c:pt>
                <c:pt idx="41">
                  <c:v>0.68414999999999992</c:v>
                </c:pt>
                <c:pt idx="42">
                  <c:v>0.76489999999999991</c:v>
                </c:pt>
                <c:pt idx="43">
                  <c:v>0.61855000000000004</c:v>
                </c:pt>
                <c:pt idx="44">
                  <c:v>0.57734999999999992</c:v>
                </c:pt>
                <c:pt idx="45">
                  <c:v>0.47754999999999997</c:v>
                </c:pt>
                <c:pt idx="46">
                  <c:v>0.41899999999999998</c:v>
                </c:pt>
                <c:pt idx="47">
                  <c:v>0.39815</c:v>
                </c:pt>
                <c:pt idx="48">
                  <c:v>0.4521</c:v>
                </c:pt>
                <c:pt idx="49">
                  <c:v>0.46135000000000004</c:v>
                </c:pt>
                <c:pt idx="50">
                  <c:v>0.44389999999999996</c:v>
                </c:pt>
                <c:pt idx="51">
                  <c:v>0.36410000000000003</c:v>
                </c:pt>
                <c:pt idx="52">
                  <c:v>0.31254999999999999</c:v>
                </c:pt>
                <c:pt idx="53">
                  <c:v>0.26214999999999999</c:v>
                </c:pt>
                <c:pt idx="54">
                  <c:v>0.20644999999999999</c:v>
                </c:pt>
                <c:pt idx="55">
                  <c:v>0.25090000000000001</c:v>
                </c:pt>
                <c:pt idx="56">
                  <c:v>0.30304999999999999</c:v>
                </c:pt>
                <c:pt idx="57">
                  <c:v>0.48015000000000002</c:v>
                </c:pt>
                <c:pt idx="58">
                  <c:v>0.48254999999999998</c:v>
                </c:pt>
                <c:pt idx="59">
                  <c:v>0.49305000000000004</c:v>
                </c:pt>
                <c:pt idx="60">
                  <c:v>0.4753</c:v>
                </c:pt>
                <c:pt idx="61">
                  <c:v>0.47660000000000002</c:v>
                </c:pt>
                <c:pt idx="62">
                  <c:v>0.49505000000000005</c:v>
                </c:pt>
                <c:pt idx="63">
                  <c:v>0.50374999999999992</c:v>
                </c:pt>
                <c:pt idx="64">
                  <c:v>0.51615</c:v>
                </c:pt>
                <c:pt idx="65">
                  <c:v>0.49734999999999996</c:v>
                </c:pt>
                <c:pt idx="66">
                  <c:v>0.48305000000000003</c:v>
                </c:pt>
                <c:pt idx="67">
                  <c:v>0.48620000000000002</c:v>
                </c:pt>
                <c:pt idx="68">
                  <c:v>0.50509999999999999</c:v>
                </c:pt>
                <c:pt idx="69">
                  <c:v>0.50669999999999993</c:v>
                </c:pt>
                <c:pt idx="70">
                  <c:v>0.50449999999999995</c:v>
                </c:pt>
                <c:pt idx="71">
                  <c:v>0.55069999999999997</c:v>
                </c:pt>
                <c:pt idx="72">
                  <c:v>0.57644999999999991</c:v>
                </c:pt>
                <c:pt idx="73">
                  <c:v>0.57015000000000005</c:v>
                </c:pt>
                <c:pt idx="74">
                  <c:v>0.55289999999999995</c:v>
                </c:pt>
                <c:pt idx="75">
                  <c:v>0.59209999999999996</c:v>
                </c:pt>
                <c:pt idx="76">
                  <c:v>0.62754999999999994</c:v>
                </c:pt>
                <c:pt idx="77">
                  <c:v>0.65974999999999995</c:v>
                </c:pt>
                <c:pt idx="78">
                  <c:v>0.65554999999999997</c:v>
                </c:pt>
                <c:pt idx="79">
                  <c:v>0.62539999999999996</c:v>
                </c:pt>
                <c:pt idx="80">
                  <c:v>0.64009999999999989</c:v>
                </c:pt>
                <c:pt idx="81">
                  <c:v>0.63514999999999988</c:v>
                </c:pt>
                <c:pt idx="82">
                  <c:v>0.65559999999999996</c:v>
                </c:pt>
                <c:pt idx="83">
                  <c:v>0.66164999999999996</c:v>
                </c:pt>
                <c:pt idx="84">
                  <c:v>0.67214999999999991</c:v>
                </c:pt>
                <c:pt idx="85">
                  <c:v>0.66904999999999992</c:v>
                </c:pt>
                <c:pt idx="86">
                  <c:v>0.65794999999999992</c:v>
                </c:pt>
                <c:pt idx="87">
                  <c:v>0.63859999999999995</c:v>
                </c:pt>
                <c:pt idx="88">
                  <c:v>0.59345000000000003</c:v>
                </c:pt>
                <c:pt idx="89">
                  <c:v>0.55584999999999996</c:v>
                </c:pt>
                <c:pt idx="90">
                  <c:v>0.6149</c:v>
                </c:pt>
                <c:pt idx="91">
                  <c:v>0.61660000000000004</c:v>
                </c:pt>
                <c:pt idx="92">
                  <c:v>0.58765000000000001</c:v>
                </c:pt>
                <c:pt idx="93">
                  <c:v>0.56974999999999998</c:v>
                </c:pt>
                <c:pt idx="94">
                  <c:v>0.59299999999999997</c:v>
                </c:pt>
                <c:pt idx="95">
                  <c:v>0.61399999999999999</c:v>
                </c:pt>
                <c:pt idx="96">
                  <c:v>0.60960000000000003</c:v>
                </c:pt>
                <c:pt idx="97">
                  <c:v>0.62039999999999995</c:v>
                </c:pt>
                <c:pt idx="98">
                  <c:v>0.55940000000000001</c:v>
                </c:pt>
                <c:pt idx="99">
                  <c:v>0.59119999999999995</c:v>
                </c:pt>
                <c:pt idx="100">
                  <c:v>0.62199999999999989</c:v>
                </c:pt>
                <c:pt idx="101">
                  <c:v>0.6238999999999999</c:v>
                </c:pt>
                <c:pt idx="102">
                  <c:v>0.60079999999999989</c:v>
                </c:pt>
                <c:pt idx="103">
                  <c:v>0.61039999999999994</c:v>
                </c:pt>
                <c:pt idx="104">
                  <c:v>0.65079999999999993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D0-439B-9252-6D3D507599F3}"/>
            </c:ext>
          </c:extLst>
        </c:ser>
        <c:ser>
          <c:idx val="1"/>
          <c:order val="1"/>
          <c:tx>
            <c:strRef>
              <c:f>'面板-景气指数'!$A$113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'面板-景气指数'!$F$113:$DF$113</c:f>
              <c:numCache>
                <c:formatCode>0.0%</c:formatCode>
                <c:ptCount val="105"/>
                <c:pt idx="0">
                  <c:v>0.5414374999999999</c:v>
                </c:pt>
                <c:pt idx="1">
                  <c:v>0.52237499999999992</c:v>
                </c:pt>
                <c:pt idx="2">
                  <c:v>0.53337499999999993</c:v>
                </c:pt>
                <c:pt idx="3">
                  <c:v>0.45518749999999997</c:v>
                </c:pt>
                <c:pt idx="4">
                  <c:v>0.46937499999999999</c:v>
                </c:pt>
                <c:pt idx="5">
                  <c:v>0.58968749999999992</c:v>
                </c:pt>
                <c:pt idx="6">
                  <c:v>0.66212499999999985</c:v>
                </c:pt>
                <c:pt idx="7">
                  <c:v>0.63756249999999992</c:v>
                </c:pt>
                <c:pt idx="8">
                  <c:v>0.70518749999999986</c:v>
                </c:pt>
                <c:pt idx="9">
                  <c:v>0.70262500000000006</c:v>
                </c:pt>
                <c:pt idx="10">
                  <c:v>0.70906250000000004</c:v>
                </c:pt>
                <c:pt idx="11">
                  <c:v>0.82737499999999986</c:v>
                </c:pt>
                <c:pt idx="12">
                  <c:v>0.86037499999999989</c:v>
                </c:pt>
                <c:pt idx="13">
                  <c:v>0.91468749999999988</c:v>
                </c:pt>
                <c:pt idx="14">
                  <c:v>0.80574999999999986</c:v>
                </c:pt>
                <c:pt idx="15">
                  <c:v>0.79181250000000003</c:v>
                </c:pt>
                <c:pt idx="16">
                  <c:v>0.61368749999999994</c:v>
                </c:pt>
                <c:pt idx="17">
                  <c:v>0.29062499999999997</c:v>
                </c:pt>
                <c:pt idx="18">
                  <c:v>0.15649999999999997</c:v>
                </c:pt>
                <c:pt idx="19">
                  <c:v>0.114125</c:v>
                </c:pt>
                <c:pt idx="20">
                  <c:v>0.112125</c:v>
                </c:pt>
                <c:pt idx="21">
                  <c:v>0.13906249999999998</c:v>
                </c:pt>
                <c:pt idx="22">
                  <c:v>0.10793749999999999</c:v>
                </c:pt>
                <c:pt idx="23">
                  <c:v>7.2374999999999981E-2</c:v>
                </c:pt>
                <c:pt idx="24">
                  <c:v>2.8124999999999997E-2</c:v>
                </c:pt>
                <c:pt idx="25">
                  <c:v>6.7562499999999998E-2</c:v>
                </c:pt>
                <c:pt idx="26">
                  <c:v>0.14481249999999996</c:v>
                </c:pt>
                <c:pt idx="27">
                  <c:v>0.21562499999999998</c:v>
                </c:pt>
                <c:pt idx="28">
                  <c:v>0.30549999999999994</c:v>
                </c:pt>
                <c:pt idx="29">
                  <c:v>0.3969375</c:v>
                </c:pt>
                <c:pt idx="30">
                  <c:v>0.48681249999999998</c:v>
                </c:pt>
                <c:pt idx="31">
                  <c:v>0.59224999999999994</c:v>
                </c:pt>
                <c:pt idx="32">
                  <c:v>0.67662499999999992</c:v>
                </c:pt>
                <c:pt idx="33">
                  <c:v>0.71187499999999992</c:v>
                </c:pt>
                <c:pt idx="34">
                  <c:v>0.46699999999999997</c:v>
                </c:pt>
                <c:pt idx="35">
                  <c:v>0.51581250000000001</c:v>
                </c:pt>
                <c:pt idx="36">
                  <c:v>0.53231250000000008</c:v>
                </c:pt>
                <c:pt idx="37">
                  <c:v>0.63062499999999988</c:v>
                </c:pt>
                <c:pt idx="38">
                  <c:v>0.6959375000000001</c:v>
                </c:pt>
                <c:pt idx="39">
                  <c:v>0.66362499999999991</c:v>
                </c:pt>
                <c:pt idx="40">
                  <c:v>0.71243750000000006</c:v>
                </c:pt>
                <c:pt idx="41">
                  <c:v>0.59762499999999996</c:v>
                </c:pt>
                <c:pt idx="42">
                  <c:v>0.67943749999999992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D0-439B-9252-6D3D507599F3}"/>
            </c:ext>
          </c:extLst>
        </c:ser>
        <c:ser>
          <c:idx val="2"/>
          <c:order val="2"/>
          <c:tx>
            <c:strRef>
              <c:f>'面板-景气指数'!$A$118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'面板-景气指数'!$F$118:$DH$118</c:f>
              <c:numCache>
                <c:formatCode>0.0%</c:formatCode>
                <c:ptCount val="107"/>
                <c:pt idx="0">
                  <c:v>0.54224366118000222</c:v>
                </c:pt>
                <c:pt idx="1">
                  <c:v>0.53736413570395958</c:v>
                </c:pt>
                <c:pt idx="2">
                  <c:v>0.55273416961913235</c:v>
                </c:pt>
                <c:pt idx="3">
                  <c:v>0.55157740118290932</c:v>
                </c:pt>
                <c:pt idx="4">
                  <c:v>0.58331609042122978</c:v>
                </c:pt>
                <c:pt idx="5">
                  <c:v>0.53616183048182875</c:v>
                </c:pt>
                <c:pt idx="6">
                  <c:v>0.59183934447493025</c:v>
                </c:pt>
                <c:pt idx="7">
                  <c:v>0.6004170393970294</c:v>
                </c:pt>
                <c:pt idx="8">
                  <c:v>0.58875102808716406</c:v>
                </c:pt>
                <c:pt idx="9">
                  <c:v>0.52489353665610106</c:v>
                </c:pt>
                <c:pt idx="10">
                  <c:v>0.48803722018179679</c:v>
                </c:pt>
                <c:pt idx="11">
                  <c:v>0.48103751392098665</c:v>
                </c:pt>
                <c:pt idx="12">
                  <c:v>0.440356406578228</c:v>
                </c:pt>
                <c:pt idx="13">
                  <c:v>0.42716049694176578</c:v>
                </c:pt>
                <c:pt idx="14">
                  <c:v>0.40908924265729735</c:v>
                </c:pt>
                <c:pt idx="15">
                  <c:v>0.46295175108200426</c:v>
                </c:pt>
                <c:pt idx="16">
                  <c:v>0.46120775111085022</c:v>
                </c:pt>
                <c:pt idx="17">
                  <c:v>0.42848302800062615</c:v>
                </c:pt>
                <c:pt idx="18">
                  <c:v>0.30338291519043392</c:v>
                </c:pt>
                <c:pt idx="19">
                  <c:v>0.24378451976341819</c:v>
                </c:pt>
                <c:pt idx="20">
                  <c:v>0.18517240689553388</c:v>
                </c:pt>
                <c:pt idx="21">
                  <c:v>0.16218440695322589</c:v>
                </c:pt>
                <c:pt idx="22">
                  <c:v>0.18296470083664554</c:v>
                </c:pt>
                <c:pt idx="23">
                  <c:v>0.21639035057697575</c:v>
                </c:pt>
                <c:pt idx="24">
                  <c:v>0.21033527717823575</c:v>
                </c:pt>
                <c:pt idx="25">
                  <c:v>0.20358513030864089</c:v>
                </c:pt>
                <c:pt idx="26">
                  <c:v>0.20280395520765199</c:v>
                </c:pt>
                <c:pt idx="27">
                  <c:v>0.19269134496531209</c:v>
                </c:pt>
                <c:pt idx="28">
                  <c:v>0.15674248622324335</c:v>
                </c:pt>
                <c:pt idx="29">
                  <c:v>0.13180626006920801</c:v>
                </c:pt>
                <c:pt idx="30">
                  <c:v>0.2052352995239293</c:v>
                </c:pt>
                <c:pt idx="31">
                  <c:v>0.2762730621321437</c:v>
                </c:pt>
                <c:pt idx="32">
                  <c:v>0.39801509603289337</c:v>
                </c:pt>
                <c:pt idx="33">
                  <c:v>0.4353353672821596</c:v>
                </c:pt>
                <c:pt idx="34">
                  <c:v>0.47636639551355375</c:v>
                </c:pt>
                <c:pt idx="35">
                  <c:v>0.51031387566359765</c:v>
                </c:pt>
                <c:pt idx="36">
                  <c:v>0.48093351402194756</c:v>
                </c:pt>
                <c:pt idx="37">
                  <c:v>0.4645391862522012</c:v>
                </c:pt>
                <c:pt idx="38">
                  <c:v>0.51425889236878142</c:v>
                </c:pt>
                <c:pt idx="39">
                  <c:v>0.5779204291114205</c:v>
                </c:pt>
                <c:pt idx="40">
                  <c:v>0.69164707324008701</c:v>
                </c:pt>
                <c:pt idx="41">
                  <c:v>0.72997127663016181</c:v>
                </c:pt>
                <c:pt idx="42">
                  <c:v>0.79521778509813779</c:v>
                </c:pt>
                <c:pt idx="43">
                  <c:v>0.68654056484422621</c:v>
                </c:pt>
                <c:pt idx="44">
                  <c:v>0.60911654238314861</c:v>
                </c:pt>
                <c:pt idx="45">
                  <c:v>0.43175005676567102</c:v>
                </c:pt>
                <c:pt idx="46">
                  <c:v>0.36559805663586409</c:v>
                </c:pt>
                <c:pt idx="47">
                  <c:v>0.33797536735427464</c:v>
                </c:pt>
                <c:pt idx="48">
                  <c:v>0.43608413555972969</c:v>
                </c:pt>
                <c:pt idx="49">
                  <c:v>0.447003638401619</c:v>
                </c:pt>
                <c:pt idx="50">
                  <c:v>0.42528117510098901</c:v>
                </c:pt>
                <c:pt idx="51">
                  <c:v>0.30013665540968582</c:v>
                </c:pt>
                <c:pt idx="52">
                  <c:v>0.22484682491343408</c:v>
                </c:pt>
                <c:pt idx="53">
                  <c:v>0.15976411299769122</c:v>
                </c:pt>
                <c:pt idx="54">
                  <c:v>7.9215480236581856E-2</c:v>
                </c:pt>
                <c:pt idx="55">
                  <c:v>0.15201538977208312</c:v>
                </c:pt>
                <c:pt idx="56">
                  <c:v>0.24204085858341579</c:v>
                </c:pt>
                <c:pt idx="57">
                  <c:v>0.50049783029432982</c:v>
                </c:pt>
                <c:pt idx="58">
                  <c:v>0.49226583038086774</c:v>
                </c:pt>
                <c:pt idx="59">
                  <c:v>0.50011796602713543</c:v>
                </c:pt>
                <c:pt idx="60">
                  <c:v>0.46964422595211347</c:v>
                </c:pt>
                <c:pt idx="61">
                  <c:v>0.47323618074149854</c:v>
                </c:pt>
                <c:pt idx="62">
                  <c:v>0.4968703276543624</c:v>
                </c:pt>
                <c:pt idx="63">
                  <c:v>0.50063581924407852</c:v>
                </c:pt>
                <c:pt idx="64">
                  <c:v>0.51067520913154552</c:v>
                </c:pt>
                <c:pt idx="65">
                  <c:v>0.47808659900458961</c:v>
                </c:pt>
                <c:pt idx="66">
                  <c:v>0.44810558212632984</c:v>
                </c:pt>
                <c:pt idx="67">
                  <c:v>0.45729396627232627</c:v>
                </c:pt>
                <c:pt idx="68">
                  <c:v>0.48098903974318125</c:v>
                </c:pt>
                <c:pt idx="69">
                  <c:v>0.48918189845640403</c:v>
                </c:pt>
                <c:pt idx="70">
                  <c:v>0.48662097189841286</c:v>
                </c:pt>
                <c:pt idx="71">
                  <c:v>0.53609633925268751</c:v>
                </c:pt>
                <c:pt idx="72">
                  <c:v>0.57325536749850459</c:v>
                </c:pt>
                <c:pt idx="73">
                  <c:v>0.5906179209751734</c:v>
                </c:pt>
                <c:pt idx="74">
                  <c:v>0.57370485877091471</c:v>
                </c:pt>
                <c:pt idx="75">
                  <c:v>0.62624621472878617</c:v>
                </c:pt>
                <c:pt idx="76">
                  <c:v>0.67077331081937164</c:v>
                </c:pt>
                <c:pt idx="77">
                  <c:v>0.72922442937103427</c:v>
                </c:pt>
                <c:pt idx="78">
                  <c:v>0.73598298294866404</c:v>
                </c:pt>
                <c:pt idx="79">
                  <c:v>0.71038045174557396</c:v>
                </c:pt>
                <c:pt idx="80">
                  <c:v>0.73629941216104566</c:v>
                </c:pt>
                <c:pt idx="81">
                  <c:v>0.7209491975332204</c:v>
                </c:pt>
                <c:pt idx="82">
                  <c:v>0.74648524275825823</c:v>
                </c:pt>
                <c:pt idx="83">
                  <c:v>0.75362386423834826</c:v>
                </c:pt>
                <c:pt idx="84">
                  <c:v>0.76578009024815374</c:v>
                </c:pt>
                <c:pt idx="85">
                  <c:v>0.74941645191864992</c:v>
                </c:pt>
                <c:pt idx="86">
                  <c:v>0.72559893785343332</c:v>
                </c:pt>
                <c:pt idx="87">
                  <c:v>0.70353383046740581</c:v>
                </c:pt>
                <c:pt idx="88">
                  <c:v>0.65440558176575492</c:v>
                </c:pt>
                <c:pt idx="89">
                  <c:v>0.61428431612815215</c:v>
                </c:pt>
                <c:pt idx="90">
                  <c:v>0.6697864858338225</c:v>
                </c:pt>
                <c:pt idx="91">
                  <c:v>0.67146842934218842</c:v>
                </c:pt>
                <c:pt idx="92">
                  <c:v>0.63252684740335752</c:v>
                </c:pt>
                <c:pt idx="93">
                  <c:v>0.59852291526254886</c:v>
                </c:pt>
                <c:pt idx="94">
                  <c:v>0.61860533343910196</c:v>
                </c:pt>
                <c:pt idx="95">
                  <c:v>0.63784510753025747</c:v>
                </c:pt>
                <c:pt idx="96">
                  <c:v>0.63641247472587936</c:v>
                </c:pt>
                <c:pt idx="97">
                  <c:v>0.65001839564336072</c:v>
                </c:pt>
                <c:pt idx="98">
                  <c:v>0.59412411292557621</c:v>
                </c:pt>
                <c:pt idx="99">
                  <c:v>0.63158133332371802</c:v>
                </c:pt>
                <c:pt idx="100">
                  <c:v>0.66205419218117079</c:v>
                </c:pt>
                <c:pt idx="101">
                  <c:v>0.66239683626656831</c:v>
                </c:pt>
                <c:pt idx="102">
                  <c:v>0.63662155937679243</c:v>
                </c:pt>
                <c:pt idx="103">
                  <c:v>0.64611959330638802</c:v>
                </c:pt>
                <c:pt idx="104">
                  <c:v>0.70084736733985165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D0-439B-9252-6D3D50759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'面板-景气指数'!$A$51</c:f>
              <c:strCache>
                <c:ptCount val="1"/>
                <c:pt idx="0">
                  <c:v>家用电器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'面板-景气指数'!$F$51:$DF$51</c:f>
              <c:numCache>
                <c:formatCode>0.0%</c:formatCode>
                <c:ptCount val="105"/>
                <c:pt idx="0">
                  <c:v>0.60690291584724421</c:v>
                </c:pt>
                <c:pt idx="1">
                  <c:v>0.61185237310872809</c:v>
                </c:pt>
                <c:pt idx="2">
                  <c:v>0.64325373914138184</c:v>
                </c:pt>
                <c:pt idx="3">
                  <c:v>0.67439588325372435</c:v>
                </c:pt>
                <c:pt idx="4">
                  <c:v>0.69868893935163057</c:v>
                </c:pt>
                <c:pt idx="5">
                  <c:v>0.71848252363222909</c:v>
                </c:pt>
                <c:pt idx="6">
                  <c:v>0.65788199260668345</c:v>
                </c:pt>
                <c:pt idx="7">
                  <c:v>0.62460499571670247</c:v>
                </c:pt>
                <c:pt idx="8">
                  <c:v>0.70287730037917973</c:v>
                </c:pt>
                <c:pt idx="9">
                  <c:v>0.72818428817245728</c:v>
                </c:pt>
                <c:pt idx="10">
                  <c:v>0.72773879306556521</c:v>
                </c:pt>
                <c:pt idx="11">
                  <c:v>0.64101347460131863</c:v>
                </c:pt>
                <c:pt idx="12">
                  <c:v>0.60102658406273812</c:v>
                </c:pt>
                <c:pt idx="13">
                  <c:v>0.58886409595922273</c:v>
                </c:pt>
                <c:pt idx="14">
                  <c:v>0.63931647595169283</c:v>
                </c:pt>
                <c:pt idx="15">
                  <c:v>0.63171387766399556</c:v>
                </c:pt>
                <c:pt idx="16">
                  <c:v>0.64090949407981168</c:v>
                </c:pt>
                <c:pt idx="17">
                  <c:v>0.55203789519586621</c:v>
                </c:pt>
                <c:pt idx="18">
                  <c:v>0.60397401695854092</c:v>
                </c:pt>
                <c:pt idx="19">
                  <c:v>0.42515748838546752</c:v>
                </c:pt>
                <c:pt idx="20">
                  <c:v>0.35272406997669198</c:v>
                </c:pt>
                <c:pt idx="21">
                  <c:v>0.11350533158920351</c:v>
                </c:pt>
                <c:pt idx="22">
                  <c:v>0.20164652951127207</c:v>
                </c:pt>
                <c:pt idx="23">
                  <c:v>0.23694949524348921</c:v>
                </c:pt>
                <c:pt idx="24">
                  <c:v>0.32226373538068809</c:v>
                </c:pt>
                <c:pt idx="25">
                  <c:v>0.31375762363239712</c:v>
                </c:pt>
                <c:pt idx="26">
                  <c:v>0.2355226134775871</c:v>
                </c:pt>
                <c:pt idx="27">
                  <c:v>0.2009741486894249</c:v>
                </c:pt>
                <c:pt idx="28">
                  <c:v>0.18630711042118023</c:v>
                </c:pt>
                <c:pt idx="29">
                  <c:v>0.26027265184637705</c:v>
                </c:pt>
                <c:pt idx="30">
                  <c:v>0.33295812935831781</c:v>
                </c:pt>
                <c:pt idx="31">
                  <c:v>0.33203831763887554</c:v>
                </c:pt>
                <c:pt idx="32">
                  <c:v>0.29939107392188397</c:v>
                </c:pt>
                <c:pt idx="33">
                  <c:v>0.1851507185851469</c:v>
                </c:pt>
                <c:pt idx="34">
                  <c:v>0.27057907152090049</c:v>
                </c:pt>
                <c:pt idx="35">
                  <c:v>0.26425679717696826</c:v>
                </c:pt>
                <c:pt idx="36">
                  <c:v>0.33215635406868516</c:v>
                </c:pt>
                <c:pt idx="37">
                  <c:v>0.2932680556020667</c:v>
                </c:pt>
                <c:pt idx="38">
                  <c:v>0.32777443529260381</c:v>
                </c:pt>
                <c:pt idx="39">
                  <c:v>0.35617498307789586</c:v>
                </c:pt>
                <c:pt idx="40">
                  <c:v>0.40952469431985872</c:v>
                </c:pt>
                <c:pt idx="41">
                  <c:v>0.58852900002293451</c:v>
                </c:pt>
                <c:pt idx="42">
                  <c:v>0.7685387548307715</c:v>
                </c:pt>
                <c:pt idx="43">
                  <c:v>0.90761641482622102</c:v>
                </c:pt>
                <c:pt idx="44">
                  <c:v>0.90558320491692779</c:v>
                </c:pt>
                <c:pt idx="45">
                  <c:v>0.79328100131852086</c:v>
                </c:pt>
                <c:pt idx="46">
                  <c:v>0.69380151058900141</c:v>
                </c:pt>
                <c:pt idx="47">
                  <c:v>0.713365244170726</c:v>
                </c:pt>
                <c:pt idx="48">
                  <c:v>0.64905925790739982</c:v>
                </c:pt>
                <c:pt idx="49">
                  <c:v>0.64421672039358291</c:v>
                </c:pt>
                <c:pt idx="50">
                  <c:v>0.64172720100375813</c:v>
                </c:pt>
                <c:pt idx="51">
                  <c:v>0.5805368750045965</c:v>
                </c:pt>
                <c:pt idx="52">
                  <c:v>0.37941449471451216</c:v>
                </c:pt>
                <c:pt idx="53">
                  <c:v>0.30319958290663096</c:v>
                </c:pt>
                <c:pt idx="54">
                  <c:v>0.22731104879687486</c:v>
                </c:pt>
                <c:pt idx="55">
                  <c:v>0.16704701347451748</c:v>
                </c:pt>
                <c:pt idx="56">
                  <c:v>0.18272102628527481</c:v>
                </c:pt>
                <c:pt idx="57">
                  <c:v>0.22737752639555361</c:v>
                </c:pt>
                <c:pt idx="58">
                  <c:v>0.42254679427068109</c:v>
                </c:pt>
                <c:pt idx="59">
                  <c:v>0.4440673931565452</c:v>
                </c:pt>
                <c:pt idx="60">
                  <c:v>0.54632617501140956</c:v>
                </c:pt>
                <c:pt idx="61">
                  <c:v>0.47145883255852106</c:v>
                </c:pt>
                <c:pt idx="62">
                  <c:v>0.40921297408245233</c:v>
                </c:pt>
                <c:pt idx="63">
                  <c:v>0.36337471451394626</c:v>
                </c:pt>
                <c:pt idx="64">
                  <c:v>0.37965859826602288</c:v>
                </c:pt>
                <c:pt idx="65">
                  <c:v>0.40888639672662458</c:v>
                </c:pt>
                <c:pt idx="66">
                  <c:v>0.31754782299413908</c:v>
                </c:pt>
                <c:pt idx="67">
                  <c:v>0.40612973613900494</c:v>
                </c:pt>
                <c:pt idx="68">
                  <c:v>0.48653929480964847</c:v>
                </c:pt>
                <c:pt idx="69">
                  <c:v>0.72507845334978305</c:v>
                </c:pt>
                <c:pt idx="70">
                  <c:v>0.64243502098702687</c:v>
                </c:pt>
                <c:pt idx="71">
                  <c:v>0.6284709708419931</c:v>
                </c:pt>
                <c:pt idx="72">
                  <c:v>0.37211685006884571</c:v>
                </c:pt>
                <c:pt idx="73">
                  <c:v>0.3424084193825444</c:v>
                </c:pt>
                <c:pt idx="74">
                  <c:v>0.37797638424363311</c:v>
                </c:pt>
                <c:pt idx="75">
                  <c:v>0.49812667307051467</c:v>
                </c:pt>
                <c:pt idx="76">
                  <c:v>0.55448737188294162</c:v>
                </c:pt>
                <c:pt idx="77">
                  <c:v>0.55117874346600537</c:v>
                </c:pt>
                <c:pt idx="78">
                  <c:v>0.47944146012406874</c:v>
                </c:pt>
                <c:pt idx="79">
                  <c:v>0.51598517972034486</c:v>
                </c:pt>
                <c:pt idx="80">
                  <c:v>0.4794106014583967</c:v>
                </c:pt>
                <c:pt idx="81">
                  <c:v>0.56746311194900423</c:v>
                </c:pt>
                <c:pt idx="82">
                  <c:v>0.50999076420264444</c:v>
                </c:pt>
                <c:pt idx="83">
                  <c:v>0.53732459334527993</c:v>
                </c:pt>
                <c:pt idx="84">
                  <c:v>0.58450222174427446</c:v>
                </c:pt>
                <c:pt idx="85">
                  <c:v>0.63205327494184982</c:v>
                </c:pt>
                <c:pt idx="86">
                  <c:v>0.6754012246349641</c:v>
                </c:pt>
                <c:pt idx="87">
                  <c:v>0.71111999436828655</c:v>
                </c:pt>
                <c:pt idx="88">
                  <c:v>0.79080399162980797</c:v>
                </c:pt>
                <c:pt idx="89">
                  <c:v>0.78316110347233459</c:v>
                </c:pt>
                <c:pt idx="90">
                  <c:v>0.83331598286469133</c:v>
                </c:pt>
                <c:pt idx="91">
                  <c:v>0.71324082036168046</c:v>
                </c:pt>
                <c:pt idx="92">
                  <c:v>0.73505033683108922</c:v>
                </c:pt>
                <c:pt idx="93">
                  <c:v>0.61149271159927832</c:v>
                </c:pt>
                <c:pt idx="94">
                  <c:v>0.6424985576593697</c:v>
                </c:pt>
                <c:pt idx="95">
                  <c:v>0.63738977574514932</c:v>
                </c:pt>
                <c:pt idx="96">
                  <c:v>0.68042941849889294</c:v>
                </c:pt>
                <c:pt idx="97">
                  <c:v>0.64237503521084616</c:v>
                </c:pt>
                <c:pt idx="98">
                  <c:v>0.58758590835389646</c:v>
                </c:pt>
                <c:pt idx="99">
                  <c:v>0.43678315024679853</c:v>
                </c:pt>
                <c:pt idx="100">
                  <c:v>0.32658962859820695</c:v>
                </c:pt>
                <c:pt idx="101">
                  <c:v>0.32765779955227164</c:v>
                </c:pt>
                <c:pt idx="102">
                  <c:v>0.21034454008657463</c:v>
                </c:pt>
                <c:pt idx="103">
                  <c:v>0.2978851625503256</c:v>
                </c:pt>
                <c:pt idx="104">
                  <c:v>0.20776794446454588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1-4FE8-A5FA-26E1CC80EFFE}"/>
            </c:ext>
          </c:extLst>
        </c:ser>
        <c:ser>
          <c:idx val="1"/>
          <c:order val="1"/>
          <c:tx>
            <c:strRef>
              <c:f>'面板-景气指数'!$A$123</c:f>
              <c:strCache>
                <c:ptCount val="1"/>
                <c:pt idx="0">
                  <c:v>白色家电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'面板-景气指数'!$F$123:$DF$123</c:f>
              <c:numCache>
                <c:formatCode>0.0%</c:formatCode>
                <c:ptCount val="105"/>
                <c:pt idx="0">
                  <c:v>0.61186219751062698</c:v>
                </c:pt>
                <c:pt idx="1">
                  <c:v>0.61453278697544433</c:v>
                </c:pt>
                <c:pt idx="2">
                  <c:v>0.65567140945689217</c:v>
                </c:pt>
                <c:pt idx="3">
                  <c:v>0.69899543133705566</c:v>
                </c:pt>
                <c:pt idx="4">
                  <c:v>0.75270656630997812</c:v>
                </c:pt>
                <c:pt idx="5">
                  <c:v>0.76087598904562959</c:v>
                </c:pt>
                <c:pt idx="6">
                  <c:v>0.69886126921031444</c:v>
                </c:pt>
                <c:pt idx="7">
                  <c:v>0.65062338481670301</c:v>
                </c:pt>
                <c:pt idx="8">
                  <c:v>0.75057799124507674</c:v>
                </c:pt>
                <c:pt idx="9">
                  <c:v>0.76667107637704235</c:v>
                </c:pt>
                <c:pt idx="10">
                  <c:v>0.7569876145727078</c:v>
                </c:pt>
                <c:pt idx="11">
                  <c:v>0.68165366268906313</c:v>
                </c:pt>
                <c:pt idx="12">
                  <c:v>0.64653356239307336</c:v>
                </c:pt>
                <c:pt idx="13">
                  <c:v>0.64568650334378086</c:v>
                </c:pt>
                <c:pt idx="14">
                  <c:v>0.71742026956736282</c:v>
                </c:pt>
                <c:pt idx="15">
                  <c:v>0.71336538738034339</c:v>
                </c:pt>
                <c:pt idx="16">
                  <c:v>0.71319810975072151</c:v>
                </c:pt>
                <c:pt idx="17">
                  <c:v>0.60144852885158639</c:v>
                </c:pt>
                <c:pt idx="18">
                  <c:v>0.64499453945605256</c:v>
                </c:pt>
                <c:pt idx="19">
                  <c:v>0.44818757542194992</c:v>
                </c:pt>
                <c:pt idx="20">
                  <c:v>0.36693942244290245</c:v>
                </c:pt>
                <c:pt idx="21">
                  <c:v>0.11120858489811485</c:v>
                </c:pt>
                <c:pt idx="22">
                  <c:v>0.19009561244470446</c:v>
                </c:pt>
                <c:pt idx="23">
                  <c:v>0.23095653491792772</c:v>
                </c:pt>
                <c:pt idx="24">
                  <c:v>0.31279232064012941</c:v>
                </c:pt>
                <c:pt idx="25">
                  <c:v>0.30449963050084039</c:v>
                </c:pt>
                <c:pt idx="26">
                  <c:v>0.22163087305361459</c:v>
                </c:pt>
                <c:pt idx="27">
                  <c:v>0.14779260914553338</c:v>
                </c:pt>
                <c:pt idx="28">
                  <c:v>0.14398180634197813</c:v>
                </c:pt>
                <c:pt idx="29">
                  <c:v>0.23328854010236394</c:v>
                </c:pt>
                <c:pt idx="30">
                  <c:v>0.36812204604550719</c:v>
                </c:pt>
                <c:pt idx="31">
                  <c:v>0.36137440274075322</c:v>
                </c:pt>
                <c:pt idx="32">
                  <c:v>0.31573541986497317</c:v>
                </c:pt>
                <c:pt idx="33">
                  <c:v>0.18686564857126517</c:v>
                </c:pt>
                <c:pt idx="34">
                  <c:v>0.26621969984041699</c:v>
                </c:pt>
                <c:pt idx="35">
                  <c:v>0.2603915734474655</c:v>
                </c:pt>
                <c:pt idx="36">
                  <c:v>0.33556305934569969</c:v>
                </c:pt>
                <c:pt idx="37">
                  <c:v>0.31041512389361064</c:v>
                </c:pt>
                <c:pt idx="38">
                  <c:v>0.3360257264693795</c:v>
                </c:pt>
                <c:pt idx="39">
                  <c:v>0.37392548257762981</c:v>
                </c:pt>
                <c:pt idx="40">
                  <c:v>0.43838265729046627</c:v>
                </c:pt>
                <c:pt idx="41">
                  <c:v>0.6577212952501208</c:v>
                </c:pt>
                <c:pt idx="42">
                  <c:v>0.8527993902510218</c:v>
                </c:pt>
                <c:pt idx="43">
                  <c:v>0.95660986812986337</c:v>
                </c:pt>
                <c:pt idx="44">
                  <c:v>0.94163845594152307</c:v>
                </c:pt>
                <c:pt idx="45">
                  <c:v>0.80547307038214511</c:v>
                </c:pt>
                <c:pt idx="46">
                  <c:v>0.71364613803284183</c:v>
                </c:pt>
                <c:pt idx="47">
                  <c:v>0.73545683252815919</c:v>
                </c:pt>
                <c:pt idx="48">
                  <c:v>0.66480431475588475</c:v>
                </c:pt>
                <c:pt idx="49">
                  <c:v>0.66430147162325937</c:v>
                </c:pt>
                <c:pt idx="50">
                  <c:v>0.64317350903878479</c:v>
                </c:pt>
                <c:pt idx="51">
                  <c:v>0.5735233611441517</c:v>
                </c:pt>
                <c:pt idx="52">
                  <c:v>0.32062960712103816</c:v>
                </c:pt>
                <c:pt idx="53">
                  <c:v>0.23690869502731823</c:v>
                </c:pt>
                <c:pt idx="54">
                  <c:v>0.13426019622166235</c:v>
                </c:pt>
                <c:pt idx="55">
                  <c:v>8.7317651245558112E-2</c:v>
                </c:pt>
                <c:pt idx="56">
                  <c:v>9.9027601279659774E-2</c:v>
                </c:pt>
                <c:pt idx="57">
                  <c:v>0.14880358030997909</c:v>
                </c:pt>
                <c:pt idx="58">
                  <c:v>0.36224556648493023</c:v>
                </c:pt>
                <c:pt idx="59">
                  <c:v>0.38607951381616135</c:v>
                </c:pt>
                <c:pt idx="60">
                  <c:v>0.52184684698523043</c:v>
                </c:pt>
                <c:pt idx="61">
                  <c:v>0.44512147908921784</c:v>
                </c:pt>
                <c:pt idx="62">
                  <c:v>0.38805200358477576</c:v>
                </c:pt>
                <c:pt idx="63">
                  <c:v>0.33079869222442598</c:v>
                </c:pt>
                <c:pt idx="64">
                  <c:v>0.33966981499687965</c:v>
                </c:pt>
                <c:pt idx="65">
                  <c:v>0.36400861949645907</c:v>
                </c:pt>
                <c:pt idx="66">
                  <c:v>0.28980447219098215</c:v>
                </c:pt>
                <c:pt idx="67">
                  <c:v>0.36804941253824469</c:v>
                </c:pt>
                <c:pt idx="68">
                  <c:v>0.46792052165345732</c:v>
                </c:pt>
                <c:pt idx="69">
                  <c:v>0.72111427025288288</c:v>
                </c:pt>
                <c:pt idx="70">
                  <c:v>0.65570469700180267</c:v>
                </c:pt>
                <c:pt idx="71">
                  <c:v>0.63899959047880817</c:v>
                </c:pt>
                <c:pt idx="72">
                  <c:v>0.33113611337836368</c:v>
                </c:pt>
                <c:pt idx="73">
                  <c:v>0.27444852885158638</c:v>
                </c:pt>
                <c:pt idx="74">
                  <c:v>0.30653033610404723</c:v>
                </c:pt>
                <c:pt idx="75">
                  <c:v>0.43951175473721094</c:v>
                </c:pt>
                <c:pt idx="76">
                  <c:v>0.51671027856153795</c:v>
                </c:pt>
                <c:pt idx="77">
                  <c:v>0.53080222332912852</c:v>
                </c:pt>
                <c:pt idx="78">
                  <c:v>0.45479868216990738</c:v>
                </c:pt>
                <c:pt idx="79">
                  <c:v>0.50935566393881926</c:v>
                </c:pt>
                <c:pt idx="80">
                  <c:v>0.47410482621193523</c:v>
                </c:pt>
                <c:pt idx="81">
                  <c:v>0.5675040863031332</c:v>
                </c:pt>
                <c:pt idx="82">
                  <c:v>0.48999808061527378</c:v>
                </c:pt>
                <c:pt idx="83">
                  <c:v>0.52950018474957983</c:v>
                </c:pt>
                <c:pt idx="84">
                  <c:v>0.57759239526050588</c:v>
                </c:pt>
                <c:pt idx="85">
                  <c:v>0.64009768015970081</c:v>
                </c:pt>
                <c:pt idx="86">
                  <c:v>0.67741631338484509</c:v>
                </c:pt>
                <c:pt idx="87">
                  <c:v>0.7357585917071312</c:v>
                </c:pt>
                <c:pt idx="88">
                  <c:v>0.82864722376825217</c:v>
                </c:pt>
                <c:pt idx="89">
                  <c:v>0.82891069085338653</c:v>
                </c:pt>
                <c:pt idx="90">
                  <c:v>0.87762602499009357</c:v>
                </c:pt>
                <c:pt idx="91">
                  <c:v>0.7286115572408729</c:v>
                </c:pt>
                <c:pt idx="92">
                  <c:v>0.75336928438148298</c:v>
                </c:pt>
                <c:pt idx="93">
                  <c:v>0.60073179771199647</c:v>
                </c:pt>
                <c:pt idx="94">
                  <c:v>0.66916266894464549</c:v>
                </c:pt>
                <c:pt idx="95">
                  <c:v>0.6630974462832615</c:v>
                </c:pt>
                <c:pt idx="96">
                  <c:v>0.71419475694380286</c:v>
                </c:pt>
                <c:pt idx="97">
                  <c:v>0.66901602123751014</c:v>
                </c:pt>
                <c:pt idx="98">
                  <c:v>0.60396954648288748</c:v>
                </c:pt>
                <c:pt idx="99">
                  <c:v>0.42493424585194528</c:v>
                </c:pt>
                <c:pt idx="100">
                  <c:v>0.29411084100462204</c:v>
                </c:pt>
                <c:pt idx="101">
                  <c:v>0.29537898961335235</c:v>
                </c:pt>
                <c:pt idx="102">
                  <c:v>0.15610292503686374</c:v>
                </c:pt>
                <c:pt idx="103">
                  <c:v>0.2600324675528356</c:v>
                </c:pt>
                <c:pt idx="104">
                  <c:v>0.15304395199429727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01-4FE8-A5FA-26E1CC80EFFE}"/>
            </c:ext>
          </c:extLst>
        </c:ser>
        <c:ser>
          <c:idx val="2"/>
          <c:order val="2"/>
          <c:tx>
            <c:strRef>
              <c:f>'面板-景气指数'!$A$124</c:f>
              <c:strCache>
                <c:ptCount val="1"/>
                <c:pt idx="0">
                  <c:v>黑色家电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'面板-景气指数'!$F$124:$DF$124</c:f>
              <c:numCache>
                <c:formatCode>0.0%</c:formatCode>
                <c:ptCount val="105"/>
                <c:pt idx="0">
                  <c:v>0.92400000000000004</c:v>
                </c:pt>
                <c:pt idx="1">
                  <c:v>0.97799999999999998</c:v>
                </c:pt>
                <c:pt idx="2">
                  <c:v>0.91300000000000003</c:v>
                </c:pt>
                <c:pt idx="3">
                  <c:v>0.80600000000000005</c:v>
                </c:pt>
                <c:pt idx="4">
                  <c:v>0.505</c:v>
                </c:pt>
                <c:pt idx="5">
                  <c:v>0.56899999999999995</c:v>
                </c:pt>
                <c:pt idx="6">
                  <c:v>0.41899999999999998</c:v>
                </c:pt>
                <c:pt idx="7">
                  <c:v>0.39700000000000002</c:v>
                </c:pt>
                <c:pt idx="8">
                  <c:v>0.27900000000000003</c:v>
                </c:pt>
                <c:pt idx="9">
                  <c:v>0.623</c:v>
                </c:pt>
                <c:pt idx="10">
                  <c:v>0.65500000000000003</c:v>
                </c:pt>
                <c:pt idx="11">
                  <c:v>0.25800000000000001</c:v>
                </c:pt>
                <c:pt idx="12">
                  <c:v>5.2999999999999999E-2</c:v>
                </c:pt>
                <c:pt idx="13">
                  <c:v>0.01</c:v>
                </c:pt>
                <c:pt idx="14">
                  <c:v>4.2999999999999997E-2</c:v>
                </c:pt>
                <c:pt idx="15">
                  <c:v>8.5999999999999993E-2</c:v>
                </c:pt>
                <c:pt idx="16">
                  <c:v>0.193</c:v>
                </c:pt>
                <c:pt idx="17">
                  <c:v>0.247</c:v>
                </c:pt>
                <c:pt idx="18">
                  <c:v>0.38700000000000001</c:v>
                </c:pt>
                <c:pt idx="19">
                  <c:v>0.33300000000000002</c:v>
                </c:pt>
                <c:pt idx="20">
                  <c:v>0.33300000000000002</c:v>
                </c:pt>
                <c:pt idx="21">
                  <c:v>0.182</c:v>
                </c:pt>
                <c:pt idx="22">
                  <c:v>0.35399999999999998</c:v>
                </c:pt>
                <c:pt idx="23">
                  <c:v>0.376</c:v>
                </c:pt>
                <c:pt idx="24">
                  <c:v>0.66600000000000004</c:v>
                </c:pt>
                <c:pt idx="25">
                  <c:v>0.77400000000000002</c:v>
                </c:pt>
                <c:pt idx="26">
                  <c:v>0.71999999999999986</c:v>
                </c:pt>
                <c:pt idx="27">
                  <c:v>0.95599999999999996</c:v>
                </c:pt>
                <c:pt idx="28">
                  <c:v>0.79500000000000015</c:v>
                </c:pt>
                <c:pt idx="29">
                  <c:v>0.73099999999999998</c:v>
                </c:pt>
                <c:pt idx="30">
                  <c:v>0.15</c:v>
                </c:pt>
                <c:pt idx="31">
                  <c:v>0.16099999999999998</c:v>
                </c:pt>
                <c:pt idx="32">
                  <c:v>0.28999999999999998</c:v>
                </c:pt>
                <c:pt idx="33">
                  <c:v>0.311</c:v>
                </c:pt>
                <c:pt idx="34">
                  <c:v>0.59099999999999997</c:v>
                </c:pt>
                <c:pt idx="35">
                  <c:v>0.51600000000000001</c:v>
                </c:pt>
                <c:pt idx="36">
                  <c:v>0.43</c:v>
                </c:pt>
                <c:pt idx="37">
                  <c:v>0.11799999999999999</c:v>
                </c:pt>
                <c:pt idx="38">
                  <c:v>6.4000000000000001E-2</c:v>
                </c:pt>
                <c:pt idx="39">
                  <c:v>3.2000000000000001E-2</c:v>
                </c:pt>
                <c:pt idx="40">
                  <c:v>0</c:v>
                </c:pt>
                <c:pt idx="41">
                  <c:v>2.1000000000000001E-2</c:v>
                </c:pt>
                <c:pt idx="42">
                  <c:v>0.22500000000000001</c:v>
                </c:pt>
                <c:pt idx="43">
                  <c:v>0.76300000000000001</c:v>
                </c:pt>
                <c:pt idx="44">
                  <c:v>0.78400000000000003</c:v>
                </c:pt>
                <c:pt idx="45">
                  <c:v>0.61199999999999999</c:v>
                </c:pt>
                <c:pt idx="46">
                  <c:v>0.32199999999999995</c:v>
                </c:pt>
                <c:pt idx="47">
                  <c:v>0.45100000000000001</c:v>
                </c:pt>
                <c:pt idx="48">
                  <c:v>0.49399999999999999</c:v>
                </c:pt>
                <c:pt idx="49">
                  <c:v>0.53700000000000003</c:v>
                </c:pt>
                <c:pt idx="50">
                  <c:v>0.88100000000000012</c:v>
                </c:pt>
                <c:pt idx="51">
                  <c:v>0.86</c:v>
                </c:pt>
                <c:pt idx="52">
                  <c:v>0.94599999999999995</c:v>
                </c:pt>
                <c:pt idx="53">
                  <c:v>0.70899999999999996</c:v>
                </c:pt>
                <c:pt idx="54">
                  <c:v>0.68799999999999994</c:v>
                </c:pt>
                <c:pt idx="55">
                  <c:v>0.40800000000000003</c:v>
                </c:pt>
                <c:pt idx="56">
                  <c:v>0.55900000000000005</c:v>
                </c:pt>
                <c:pt idx="57">
                  <c:v>0.69799999999999995</c:v>
                </c:pt>
                <c:pt idx="58">
                  <c:v>0.89200000000000002</c:v>
                </c:pt>
                <c:pt idx="59">
                  <c:v>0.84899999999999998</c:v>
                </c:pt>
                <c:pt idx="60">
                  <c:v>0.82699999999999996</c:v>
                </c:pt>
                <c:pt idx="61">
                  <c:v>0.67700000000000005</c:v>
                </c:pt>
                <c:pt idx="62">
                  <c:v>0.44</c:v>
                </c:pt>
                <c:pt idx="63">
                  <c:v>0.46200000000000002</c:v>
                </c:pt>
                <c:pt idx="64">
                  <c:v>0.6339999999999999</c:v>
                </c:pt>
                <c:pt idx="65">
                  <c:v>0.74099999999999999</c:v>
                </c:pt>
                <c:pt idx="66">
                  <c:v>0.23599999999999999</c:v>
                </c:pt>
                <c:pt idx="67">
                  <c:v>0.57999999999999996</c:v>
                </c:pt>
                <c:pt idx="68">
                  <c:v>0.52600000000000002</c:v>
                </c:pt>
                <c:pt idx="69">
                  <c:v>0.81699999999999995</c:v>
                </c:pt>
                <c:pt idx="70">
                  <c:v>0.47299999999999998</c:v>
                </c:pt>
                <c:pt idx="71">
                  <c:v>0.48299999999999998</c:v>
                </c:pt>
                <c:pt idx="72">
                  <c:v>0.60199999999999998</c:v>
                </c:pt>
                <c:pt idx="73">
                  <c:v>0.87</c:v>
                </c:pt>
                <c:pt idx="74">
                  <c:v>0.98899999999999999</c:v>
                </c:pt>
                <c:pt idx="75">
                  <c:v>1</c:v>
                </c:pt>
                <c:pt idx="76">
                  <c:v>0.90300000000000002</c:v>
                </c:pt>
                <c:pt idx="77">
                  <c:v>0.752</c:v>
                </c:pt>
                <c:pt idx="78">
                  <c:v>0.93500000000000005</c:v>
                </c:pt>
                <c:pt idx="79">
                  <c:v>0.96700000000000008</c:v>
                </c:pt>
                <c:pt idx="80">
                  <c:v>0.83799999999999997</c:v>
                </c:pt>
                <c:pt idx="81">
                  <c:v>0.64500000000000002</c:v>
                </c:pt>
                <c:pt idx="82">
                  <c:v>0.54800000000000004</c:v>
                </c:pt>
                <c:pt idx="83">
                  <c:v>0.26800000000000002</c:v>
                </c:pt>
                <c:pt idx="84">
                  <c:v>0.215</c:v>
                </c:pt>
                <c:pt idx="85">
                  <c:v>0.13900000000000001</c:v>
                </c:pt>
                <c:pt idx="86">
                  <c:v>0.30099999999999999</c:v>
                </c:pt>
                <c:pt idx="87">
                  <c:v>7.4999999999999997E-2</c:v>
                </c:pt>
                <c:pt idx="88">
                  <c:v>9.6000000000000002E-2</c:v>
                </c:pt>
                <c:pt idx="89">
                  <c:v>0.10700000000000001</c:v>
                </c:pt>
                <c:pt idx="90">
                  <c:v>0.129</c:v>
                </c:pt>
                <c:pt idx="91">
                  <c:v>0.20400000000000001</c:v>
                </c:pt>
                <c:pt idx="92">
                  <c:v>0.17199999999999999</c:v>
                </c:pt>
                <c:pt idx="93">
                  <c:v>0.36499999999999994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01-4FE8-A5FA-26E1CC80EFFE}"/>
            </c:ext>
          </c:extLst>
        </c:ser>
        <c:ser>
          <c:idx val="3"/>
          <c:order val="3"/>
          <c:tx>
            <c:strRef>
              <c:f>'面板-景气指数'!$A$125</c:f>
              <c:strCache>
                <c:ptCount val="1"/>
                <c:pt idx="0">
                  <c:v>小家电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'面板-景气指数'!$F$125:$DF$125</c:f>
              <c:numCache>
                <c:formatCode>0.0%</c:formatCode>
                <c:ptCount val="105"/>
                <c:pt idx="0">
                  <c:v>0.28450000000000003</c:v>
                </c:pt>
                <c:pt idx="1">
                  <c:v>0.28450000000000003</c:v>
                </c:pt>
                <c:pt idx="2">
                  <c:v>0.28450000000000003</c:v>
                </c:pt>
                <c:pt idx="3">
                  <c:v>0.28450000000000003</c:v>
                </c:pt>
                <c:pt idx="4">
                  <c:v>0.20950000000000002</c:v>
                </c:pt>
                <c:pt idx="5">
                  <c:v>0.33300000000000002</c:v>
                </c:pt>
                <c:pt idx="6">
                  <c:v>0.32199999999999995</c:v>
                </c:pt>
                <c:pt idx="7">
                  <c:v>0.42949999999999999</c:v>
                </c:pt>
                <c:pt idx="8">
                  <c:v>0.38100000000000001</c:v>
                </c:pt>
                <c:pt idx="9">
                  <c:v>0.30099999999999999</c:v>
                </c:pt>
                <c:pt idx="10">
                  <c:v>0.41900000000000004</c:v>
                </c:pt>
                <c:pt idx="11">
                  <c:v>0.3755</c:v>
                </c:pt>
                <c:pt idx="12">
                  <c:v>0.41900000000000004</c:v>
                </c:pt>
                <c:pt idx="13">
                  <c:v>0.34900000000000003</c:v>
                </c:pt>
                <c:pt idx="14">
                  <c:v>0.23600000000000004</c:v>
                </c:pt>
                <c:pt idx="15">
                  <c:v>0.17150000000000001</c:v>
                </c:pt>
                <c:pt idx="16">
                  <c:v>0.16600000000000001</c:v>
                </c:pt>
                <c:pt idx="17">
                  <c:v>0.19849999999999998</c:v>
                </c:pt>
                <c:pt idx="18">
                  <c:v>0.28999999999999998</c:v>
                </c:pt>
                <c:pt idx="19">
                  <c:v>0.24699999999999997</c:v>
                </c:pt>
                <c:pt idx="20">
                  <c:v>0.24699999999999997</c:v>
                </c:pt>
                <c:pt idx="21">
                  <c:v>0.11800000000000001</c:v>
                </c:pt>
                <c:pt idx="22">
                  <c:v>0.28450000000000003</c:v>
                </c:pt>
                <c:pt idx="23">
                  <c:v>0.27900000000000003</c:v>
                </c:pt>
                <c:pt idx="24">
                  <c:v>0.29499999999999998</c:v>
                </c:pt>
                <c:pt idx="25">
                  <c:v>0.19350000000000001</c:v>
                </c:pt>
                <c:pt idx="26">
                  <c:v>0.11800000000000001</c:v>
                </c:pt>
                <c:pt idx="27">
                  <c:v>0.30599999999999999</c:v>
                </c:pt>
                <c:pt idx="28">
                  <c:v>0.25750000000000001</c:v>
                </c:pt>
                <c:pt idx="29">
                  <c:v>0.29549999999999998</c:v>
                </c:pt>
                <c:pt idx="30">
                  <c:v>0.14499999999999999</c:v>
                </c:pt>
                <c:pt idx="31">
                  <c:v>0.18249999999999997</c:v>
                </c:pt>
                <c:pt idx="32">
                  <c:v>0.15549999999999997</c:v>
                </c:pt>
                <c:pt idx="33">
                  <c:v>5.3500000000000006E-2</c:v>
                </c:pt>
                <c:pt idx="34">
                  <c:v>7.4499999999999997E-2</c:v>
                </c:pt>
                <c:pt idx="35">
                  <c:v>0.08</c:v>
                </c:pt>
                <c:pt idx="36">
                  <c:v>0.17150000000000001</c:v>
                </c:pt>
                <c:pt idx="37">
                  <c:v>0.13400000000000001</c:v>
                </c:pt>
                <c:pt idx="38">
                  <c:v>0.30599999999999999</c:v>
                </c:pt>
                <c:pt idx="39">
                  <c:v>0.22000000000000003</c:v>
                </c:pt>
                <c:pt idx="40">
                  <c:v>0.20949999999999996</c:v>
                </c:pt>
                <c:pt idx="41">
                  <c:v>0.10700000000000001</c:v>
                </c:pt>
                <c:pt idx="42">
                  <c:v>0.17150000000000001</c:v>
                </c:pt>
                <c:pt idx="43">
                  <c:v>0.49399999999999994</c:v>
                </c:pt>
                <c:pt idx="44">
                  <c:v>0.63400000000000001</c:v>
                </c:pt>
                <c:pt idx="45">
                  <c:v>0.82199999999999984</c:v>
                </c:pt>
                <c:pt idx="46">
                  <c:v>0.70350000000000001</c:v>
                </c:pt>
                <c:pt idx="47">
                  <c:v>0.65549999999999997</c:v>
                </c:pt>
                <c:pt idx="48">
                  <c:v>0.5804999999999999</c:v>
                </c:pt>
                <c:pt idx="49">
                  <c:v>0.52100000000000002</c:v>
                </c:pt>
                <c:pt idx="50">
                  <c:v>0.52650000000000008</c:v>
                </c:pt>
                <c:pt idx="51">
                  <c:v>0.56950000000000001</c:v>
                </c:pt>
                <c:pt idx="52">
                  <c:v>0.72499999999999998</c:v>
                </c:pt>
                <c:pt idx="53">
                  <c:v>0.83800000000000008</c:v>
                </c:pt>
                <c:pt idx="54">
                  <c:v>0.94550000000000012</c:v>
                </c:pt>
                <c:pt idx="55">
                  <c:v>0.86</c:v>
                </c:pt>
                <c:pt idx="56">
                  <c:v>0.79499999999999993</c:v>
                </c:pt>
                <c:pt idx="57">
                  <c:v>0.70399999999999996</c:v>
                </c:pt>
                <c:pt idx="58">
                  <c:v>0.73599999999999999</c:v>
                </c:pt>
                <c:pt idx="59">
                  <c:v>0.75749999999999995</c:v>
                </c:pt>
                <c:pt idx="60">
                  <c:v>0.623</c:v>
                </c:pt>
                <c:pt idx="61">
                  <c:v>0.6070000000000001</c:v>
                </c:pt>
                <c:pt idx="62">
                  <c:v>0.60699999999999998</c:v>
                </c:pt>
                <c:pt idx="63">
                  <c:v>0.61799999999999999</c:v>
                </c:pt>
                <c:pt idx="64">
                  <c:v>0.63400000000000001</c:v>
                </c:pt>
                <c:pt idx="65">
                  <c:v>0.65549999999999997</c:v>
                </c:pt>
                <c:pt idx="66">
                  <c:v>0.67699999999999994</c:v>
                </c:pt>
                <c:pt idx="67">
                  <c:v>0.72499999999999998</c:v>
                </c:pt>
                <c:pt idx="68">
                  <c:v>0.76850000000000007</c:v>
                </c:pt>
                <c:pt idx="69">
                  <c:v>0.78949999999999998</c:v>
                </c:pt>
                <c:pt idx="70">
                  <c:v>0.66049999999999998</c:v>
                </c:pt>
                <c:pt idx="71">
                  <c:v>0.65550000000000008</c:v>
                </c:pt>
                <c:pt idx="72">
                  <c:v>0.61750000000000005</c:v>
                </c:pt>
                <c:pt idx="73">
                  <c:v>0.67649999999999999</c:v>
                </c:pt>
                <c:pt idx="74">
                  <c:v>0.70950000000000002</c:v>
                </c:pt>
                <c:pt idx="75">
                  <c:v>0.80599999999999994</c:v>
                </c:pt>
                <c:pt idx="76">
                  <c:v>0.75750000000000006</c:v>
                </c:pt>
                <c:pt idx="77">
                  <c:v>0.66050000000000009</c:v>
                </c:pt>
                <c:pt idx="78">
                  <c:v>0.44600000000000001</c:v>
                </c:pt>
                <c:pt idx="79">
                  <c:v>0.30600000000000005</c:v>
                </c:pt>
                <c:pt idx="80">
                  <c:v>0.30049999999999999</c:v>
                </c:pt>
                <c:pt idx="81">
                  <c:v>0.54249999999999987</c:v>
                </c:pt>
                <c:pt idx="82">
                  <c:v>0.70350000000000001</c:v>
                </c:pt>
                <c:pt idx="83">
                  <c:v>0.80600000000000016</c:v>
                </c:pt>
                <c:pt idx="84">
                  <c:v>0.92449999999999999</c:v>
                </c:pt>
                <c:pt idx="85">
                  <c:v>0.90799999999999992</c:v>
                </c:pt>
                <c:pt idx="86">
                  <c:v>0.95650000000000013</c:v>
                </c:pt>
                <c:pt idx="87">
                  <c:v>0.92949999999999999</c:v>
                </c:pt>
                <c:pt idx="88">
                  <c:v>0.9345</c:v>
                </c:pt>
                <c:pt idx="89">
                  <c:v>0.8274999999999999</c:v>
                </c:pt>
                <c:pt idx="90">
                  <c:v>0.92949999999999999</c:v>
                </c:pt>
                <c:pt idx="91">
                  <c:v>0.95100000000000007</c:v>
                </c:pt>
                <c:pt idx="92">
                  <c:v>0.98350000000000004</c:v>
                </c:pt>
                <c:pt idx="93">
                  <c:v>0.92449999999999999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501-4FE8-A5FA-26E1CC80E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'面板-景气指数'!$A$53</c:f>
              <c:strCache>
                <c:ptCount val="1"/>
                <c:pt idx="0">
                  <c:v>商贸零售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'面板-景气指数'!$F$53:$DF$53</c:f>
              <c:numCache>
                <c:formatCode>0.0%</c:formatCode>
                <c:ptCount val="105"/>
                <c:pt idx="0">
                  <c:v>0.3014723454025916</c:v>
                </c:pt>
                <c:pt idx="1">
                  <c:v>0.31537758813029149</c:v>
                </c:pt>
                <c:pt idx="2">
                  <c:v>0.33038824468818528</c:v>
                </c:pt>
                <c:pt idx="3">
                  <c:v>0.36445960451753556</c:v>
                </c:pt>
                <c:pt idx="4">
                  <c:v>0.39231783806303727</c:v>
                </c:pt>
                <c:pt idx="5">
                  <c:v>0.41046416149506909</c:v>
                </c:pt>
                <c:pt idx="6">
                  <c:v>0.4640894075177992</c:v>
                </c:pt>
                <c:pt idx="7">
                  <c:v>0.48121411283189541</c:v>
                </c:pt>
                <c:pt idx="8">
                  <c:v>0.51964297850173169</c:v>
                </c:pt>
                <c:pt idx="9">
                  <c:v>0.55493301295419928</c:v>
                </c:pt>
                <c:pt idx="10">
                  <c:v>0.54582687178437406</c:v>
                </c:pt>
                <c:pt idx="11">
                  <c:v>0.53779095304571278</c:v>
                </c:pt>
                <c:pt idx="12">
                  <c:v>0.52318478630232879</c:v>
                </c:pt>
                <c:pt idx="13">
                  <c:v>0.53158618676792646</c:v>
                </c:pt>
                <c:pt idx="14">
                  <c:v>0.50286772607572316</c:v>
                </c:pt>
                <c:pt idx="15">
                  <c:v>0.53961131590182732</c:v>
                </c:pt>
                <c:pt idx="16">
                  <c:v>0.51748792799641707</c:v>
                </c:pt>
                <c:pt idx="17">
                  <c:v>0.48185473062498063</c:v>
                </c:pt>
                <c:pt idx="18">
                  <c:v>0.36572619563275627</c:v>
                </c:pt>
                <c:pt idx="19">
                  <c:v>0.23727013894785887</c:v>
                </c:pt>
                <c:pt idx="20">
                  <c:v>0.16229282689467625</c:v>
                </c:pt>
                <c:pt idx="21">
                  <c:v>0.1379755975151874</c:v>
                </c:pt>
                <c:pt idx="22">
                  <c:v>0.14466409790677892</c:v>
                </c:pt>
                <c:pt idx="23">
                  <c:v>0.15726055989527243</c:v>
                </c:pt>
                <c:pt idx="24">
                  <c:v>0.16130957704934115</c:v>
                </c:pt>
                <c:pt idx="25">
                  <c:v>0.15670053106985923</c:v>
                </c:pt>
                <c:pt idx="26">
                  <c:v>0.137017840988124</c:v>
                </c:pt>
                <c:pt idx="27">
                  <c:v>0.11557547908302802</c:v>
                </c:pt>
                <c:pt idx="28">
                  <c:v>8.7069076246990423E-2</c:v>
                </c:pt>
                <c:pt idx="29">
                  <c:v>0.11534499153065687</c:v>
                </c:pt>
                <c:pt idx="30">
                  <c:v>0.31847674013267263</c:v>
                </c:pt>
                <c:pt idx="31">
                  <c:v>0.46936571522770709</c:v>
                </c:pt>
                <c:pt idx="32">
                  <c:v>0.69834952951490392</c:v>
                </c:pt>
                <c:pt idx="33">
                  <c:v>0.68725175048310871</c:v>
                </c:pt>
                <c:pt idx="34">
                  <c:v>0.70387930878931415</c:v>
                </c:pt>
                <c:pt idx="35">
                  <c:v>0.72567083089950446</c:v>
                </c:pt>
                <c:pt idx="36">
                  <c:v>0.72484813264348247</c:v>
                </c:pt>
                <c:pt idx="37">
                  <c:v>0.73882252797346426</c:v>
                </c:pt>
                <c:pt idx="38">
                  <c:v>0.78558293801418577</c:v>
                </c:pt>
                <c:pt idx="39">
                  <c:v>0.83405921876140388</c:v>
                </c:pt>
                <c:pt idx="40">
                  <c:v>0.8724096595987374</c:v>
                </c:pt>
                <c:pt idx="41">
                  <c:v>0.89489972863400424</c:v>
                </c:pt>
                <c:pt idx="42">
                  <c:v>0.92466300496146503</c:v>
                </c:pt>
                <c:pt idx="43">
                  <c:v>0.88740239739190363</c:v>
                </c:pt>
                <c:pt idx="44">
                  <c:v>0.81363661161751188</c:v>
                </c:pt>
                <c:pt idx="45">
                  <c:v>0.20271407010538087</c:v>
                </c:pt>
                <c:pt idx="46">
                  <c:v>0.19756777326260946</c:v>
                </c:pt>
                <c:pt idx="47">
                  <c:v>0.19562939892529782</c:v>
                </c:pt>
                <c:pt idx="48">
                  <c:v>0.23578632224376142</c:v>
                </c:pt>
                <c:pt idx="49">
                  <c:v>0.22749038953776038</c:v>
                </c:pt>
                <c:pt idx="50">
                  <c:v>0.20381903222654574</c:v>
                </c:pt>
                <c:pt idx="51">
                  <c:v>0.14804654034032627</c:v>
                </c:pt>
                <c:pt idx="52">
                  <c:v>9.9436453943733766E-2</c:v>
                </c:pt>
                <c:pt idx="53">
                  <c:v>7.508399218517102E-2</c:v>
                </c:pt>
                <c:pt idx="54">
                  <c:v>4.0844603552719433E-2</c:v>
                </c:pt>
                <c:pt idx="55">
                  <c:v>6.6631093129146099E-2</c:v>
                </c:pt>
                <c:pt idx="56">
                  <c:v>0.13329846252730482</c:v>
                </c:pt>
                <c:pt idx="57">
                  <c:v>0.37572636555663419</c:v>
                </c:pt>
                <c:pt idx="58">
                  <c:v>0.36056341834267186</c:v>
                </c:pt>
                <c:pt idx="59">
                  <c:v>0.37146753871328614</c:v>
                </c:pt>
                <c:pt idx="60">
                  <c:v>0.37033300921722156</c:v>
                </c:pt>
                <c:pt idx="61">
                  <c:v>0.3959064155413598</c:v>
                </c:pt>
                <c:pt idx="62">
                  <c:v>0.41715876004570901</c:v>
                </c:pt>
                <c:pt idx="63">
                  <c:v>0.39885104842472857</c:v>
                </c:pt>
                <c:pt idx="64">
                  <c:v>0.37175862726299191</c:v>
                </c:pt>
                <c:pt idx="65">
                  <c:v>0.32554618733873064</c:v>
                </c:pt>
                <c:pt idx="66">
                  <c:v>0.29382343438164088</c:v>
                </c:pt>
                <c:pt idx="67">
                  <c:v>0.31601433601608653</c:v>
                </c:pt>
                <c:pt idx="68">
                  <c:v>0.4087934624926437</c:v>
                </c:pt>
                <c:pt idx="69">
                  <c:v>0.43717452756428726</c:v>
                </c:pt>
                <c:pt idx="70">
                  <c:v>0.44715983123556419</c:v>
                </c:pt>
                <c:pt idx="71">
                  <c:v>0.45780975951696751</c:v>
                </c:pt>
                <c:pt idx="72">
                  <c:v>0.47844879311709049</c:v>
                </c:pt>
                <c:pt idx="73">
                  <c:v>0.53805551455428158</c:v>
                </c:pt>
                <c:pt idx="74">
                  <c:v>0.5590529266603167</c:v>
                </c:pt>
                <c:pt idx="75">
                  <c:v>0.59475802420435275</c:v>
                </c:pt>
                <c:pt idx="76">
                  <c:v>0.6657146488978003</c:v>
                </c:pt>
                <c:pt idx="77">
                  <c:v>0.72720805977603653</c:v>
                </c:pt>
                <c:pt idx="78">
                  <c:v>0.76412230792956792</c:v>
                </c:pt>
                <c:pt idx="79">
                  <c:v>0.77228434430045823</c:v>
                </c:pt>
                <c:pt idx="80">
                  <c:v>0.77106104927376151</c:v>
                </c:pt>
                <c:pt idx="81">
                  <c:v>0.74518065795761812</c:v>
                </c:pt>
                <c:pt idx="82">
                  <c:v>0.76449893333890084</c:v>
                </c:pt>
                <c:pt idx="83">
                  <c:v>0.77803426971845424</c:v>
                </c:pt>
                <c:pt idx="84">
                  <c:v>0.79069381064769972</c:v>
                </c:pt>
                <c:pt idx="85">
                  <c:v>0.79560978976141328</c:v>
                </c:pt>
                <c:pt idx="86">
                  <c:v>0.79515146522579983</c:v>
                </c:pt>
                <c:pt idx="87">
                  <c:v>0.7867133559866325</c:v>
                </c:pt>
                <c:pt idx="88">
                  <c:v>0.77183396831115292</c:v>
                </c:pt>
                <c:pt idx="89">
                  <c:v>0.71631155772129551</c:v>
                </c:pt>
                <c:pt idx="90">
                  <c:v>0.63694002618003009</c:v>
                </c:pt>
                <c:pt idx="91">
                  <c:v>0.59683911332633777</c:v>
                </c:pt>
                <c:pt idx="92">
                  <c:v>0.59780137499327413</c:v>
                </c:pt>
                <c:pt idx="93">
                  <c:v>0.66811795156820541</c:v>
                </c:pt>
                <c:pt idx="94">
                  <c:v>0.65918075351738192</c:v>
                </c:pt>
                <c:pt idx="95">
                  <c:v>0.65164186518204492</c:v>
                </c:pt>
                <c:pt idx="96">
                  <c:v>0.63723674082549531</c:v>
                </c:pt>
                <c:pt idx="97">
                  <c:v>0.62343013755631427</c:v>
                </c:pt>
                <c:pt idx="98">
                  <c:v>0.61057869066141623</c:v>
                </c:pt>
                <c:pt idx="99">
                  <c:v>0.59928092122816978</c:v>
                </c:pt>
                <c:pt idx="100">
                  <c:v>0.61065282188817216</c:v>
                </c:pt>
                <c:pt idx="101">
                  <c:v>0.62645625596020826</c:v>
                </c:pt>
                <c:pt idx="102">
                  <c:v>0.63487616944307246</c:v>
                </c:pt>
                <c:pt idx="103">
                  <c:v>0.65223328097676014</c:v>
                </c:pt>
                <c:pt idx="104">
                  <c:v>0.65577668394861344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DC-4D2B-ADE5-BD3658963C17}"/>
            </c:ext>
          </c:extLst>
        </c:ser>
        <c:ser>
          <c:idx val="1"/>
          <c:order val="1"/>
          <c:tx>
            <c:strRef>
              <c:f>'面板-景气指数'!$A$127</c:f>
              <c:strCache>
                <c:ptCount val="1"/>
                <c:pt idx="0">
                  <c:v>一般零售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'面板-景气指数'!$F$127:$DF$127</c:f>
              <c:numCache>
                <c:formatCode>0.0%</c:formatCode>
                <c:ptCount val="105"/>
                <c:pt idx="0">
                  <c:v>0.221</c:v>
                </c:pt>
                <c:pt idx="1">
                  <c:v>0.24</c:v>
                </c:pt>
                <c:pt idx="2">
                  <c:v>0.25900000000000001</c:v>
                </c:pt>
                <c:pt idx="3">
                  <c:v>0.307</c:v>
                </c:pt>
                <c:pt idx="4">
                  <c:v>0.33600000000000002</c:v>
                </c:pt>
                <c:pt idx="5">
                  <c:v>0.375</c:v>
                </c:pt>
                <c:pt idx="6">
                  <c:v>0.40300000000000002</c:v>
                </c:pt>
                <c:pt idx="7">
                  <c:v>0.41299999999999998</c:v>
                </c:pt>
                <c:pt idx="8">
                  <c:v>0.46100000000000008</c:v>
                </c:pt>
                <c:pt idx="9">
                  <c:v>0.56699999999999995</c:v>
                </c:pt>
                <c:pt idx="10">
                  <c:v>0.54800000000000004</c:v>
                </c:pt>
                <c:pt idx="11">
                  <c:v>0.51900000000000002</c:v>
                </c:pt>
                <c:pt idx="12">
                  <c:v>0.50900000000000001</c:v>
                </c:pt>
                <c:pt idx="13">
                  <c:v>0.52800000000000002</c:v>
                </c:pt>
                <c:pt idx="14">
                  <c:v>0.49</c:v>
                </c:pt>
                <c:pt idx="15">
                  <c:v>0.52800000000000002</c:v>
                </c:pt>
                <c:pt idx="16">
                  <c:v>0.48</c:v>
                </c:pt>
                <c:pt idx="17">
                  <c:v>0.442</c:v>
                </c:pt>
                <c:pt idx="18">
                  <c:v>0.34599999999999997</c:v>
                </c:pt>
                <c:pt idx="19">
                  <c:v>0.182</c:v>
                </c:pt>
                <c:pt idx="20">
                  <c:v>0.13400000000000001</c:v>
                </c:pt>
                <c:pt idx="21">
                  <c:v>0.14399999999999999</c:v>
                </c:pt>
                <c:pt idx="22">
                  <c:v>0.17299999999999999</c:v>
                </c:pt>
                <c:pt idx="23">
                  <c:v>0.192</c:v>
                </c:pt>
                <c:pt idx="24">
                  <c:v>0.21100000000000002</c:v>
                </c:pt>
                <c:pt idx="25">
                  <c:v>0.20100000000000001</c:v>
                </c:pt>
                <c:pt idx="26">
                  <c:v>0.16300000000000001</c:v>
                </c:pt>
                <c:pt idx="27">
                  <c:v>0.125</c:v>
                </c:pt>
                <c:pt idx="28">
                  <c:v>0.115</c:v>
                </c:pt>
                <c:pt idx="29">
                  <c:v>0.153</c:v>
                </c:pt>
                <c:pt idx="30">
                  <c:v>0.42299999999999999</c:v>
                </c:pt>
                <c:pt idx="31">
                  <c:v>0.59599999999999997</c:v>
                </c:pt>
                <c:pt idx="32">
                  <c:v>0.88400000000000001</c:v>
                </c:pt>
                <c:pt idx="33">
                  <c:v>0.89400000000000002</c:v>
                </c:pt>
                <c:pt idx="34">
                  <c:v>0.90300000000000002</c:v>
                </c:pt>
                <c:pt idx="35">
                  <c:v>0.91300000000000003</c:v>
                </c:pt>
                <c:pt idx="36">
                  <c:v>0.92299999999999993</c:v>
                </c:pt>
                <c:pt idx="37">
                  <c:v>0.93200000000000016</c:v>
                </c:pt>
                <c:pt idx="38">
                  <c:v>0.95099999999999985</c:v>
                </c:pt>
                <c:pt idx="39">
                  <c:v>0.96100000000000008</c:v>
                </c:pt>
                <c:pt idx="40">
                  <c:v>0.97100000000000009</c:v>
                </c:pt>
                <c:pt idx="41">
                  <c:v>0.98</c:v>
                </c:pt>
                <c:pt idx="42">
                  <c:v>0.99</c:v>
                </c:pt>
                <c:pt idx="43">
                  <c:v>1</c:v>
                </c:pt>
                <c:pt idx="44">
                  <c:v>0.94199999999999995</c:v>
                </c:pt>
                <c:pt idx="45">
                  <c:v>0.105</c:v>
                </c:pt>
                <c:pt idx="46">
                  <c:v>9.6000000000000002E-2</c:v>
                </c:pt>
                <c:pt idx="47">
                  <c:v>8.5999999999999993E-2</c:v>
                </c:pt>
                <c:pt idx="48">
                  <c:v>7.5999999999999998E-2</c:v>
                </c:pt>
                <c:pt idx="49">
                  <c:v>6.7000000000000004E-2</c:v>
                </c:pt>
                <c:pt idx="50">
                  <c:v>5.7000000000000009E-2</c:v>
                </c:pt>
                <c:pt idx="51">
                  <c:v>4.8000000000000001E-2</c:v>
                </c:pt>
                <c:pt idx="52">
                  <c:v>2.7999999999999997E-2</c:v>
                </c:pt>
                <c:pt idx="53">
                  <c:v>1.9E-2</c:v>
                </c:pt>
                <c:pt idx="54">
                  <c:v>8.9999999999999993E-3</c:v>
                </c:pt>
                <c:pt idx="55">
                  <c:v>0</c:v>
                </c:pt>
                <c:pt idx="56">
                  <c:v>3.7999999999999999E-2</c:v>
                </c:pt>
                <c:pt idx="57">
                  <c:v>0.28799999999999998</c:v>
                </c:pt>
                <c:pt idx="58">
                  <c:v>0.27800000000000002</c:v>
                </c:pt>
                <c:pt idx="59">
                  <c:v>0.29799999999999999</c:v>
                </c:pt>
                <c:pt idx="60">
                  <c:v>0.317</c:v>
                </c:pt>
                <c:pt idx="61">
                  <c:v>0.35499999999999998</c:v>
                </c:pt>
                <c:pt idx="62">
                  <c:v>0.38400000000000001</c:v>
                </c:pt>
                <c:pt idx="63">
                  <c:v>0.36499999999999999</c:v>
                </c:pt>
                <c:pt idx="64">
                  <c:v>0.32600000000000001</c:v>
                </c:pt>
                <c:pt idx="65">
                  <c:v>0.26900000000000002</c:v>
                </c:pt>
                <c:pt idx="66">
                  <c:v>0.23</c:v>
                </c:pt>
                <c:pt idx="67">
                  <c:v>0.25</c:v>
                </c:pt>
                <c:pt idx="68">
                  <c:v>0.39400000000000002</c:v>
                </c:pt>
                <c:pt idx="69">
                  <c:v>0.432</c:v>
                </c:pt>
                <c:pt idx="70">
                  <c:v>0.45100000000000007</c:v>
                </c:pt>
                <c:pt idx="71">
                  <c:v>0.47099999999999997</c:v>
                </c:pt>
                <c:pt idx="72">
                  <c:v>0.49</c:v>
                </c:pt>
                <c:pt idx="73">
                  <c:v>0.54800000000000004</c:v>
                </c:pt>
                <c:pt idx="74">
                  <c:v>0.57599999999999996</c:v>
                </c:pt>
                <c:pt idx="75">
                  <c:v>0.61499999999999999</c:v>
                </c:pt>
                <c:pt idx="76">
                  <c:v>0.72099999999999997</c:v>
                </c:pt>
                <c:pt idx="77">
                  <c:v>0.77800000000000002</c:v>
                </c:pt>
                <c:pt idx="78">
                  <c:v>0.81699999999999995</c:v>
                </c:pt>
                <c:pt idx="79">
                  <c:v>0.82599999999999996</c:v>
                </c:pt>
                <c:pt idx="80">
                  <c:v>0.79800000000000004</c:v>
                </c:pt>
                <c:pt idx="81">
                  <c:v>0.76900000000000002</c:v>
                </c:pt>
                <c:pt idx="82">
                  <c:v>0.78800000000000003</c:v>
                </c:pt>
                <c:pt idx="83">
                  <c:v>0.80700000000000005</c:v>
                </c:pt>
                <c:pt idx="84">
                  <c:v>0.82599999999999996</c:v>
                </c:pt>
                <c:pt idx="85">
                  <c:v>0.85499999999999987</c:v>
                </c:pt>
                <c:pt idx="86">
                  <c:v>0.87499999999999989</c:v>
                </c:pt>
                <c:pt idx="87">
                  <c:v>0.86499999999999988</c:v>
                </c:pt>
                <c:pt idx="88">
                  <c:v>0.84599999999999997</c:v>
                </c:pt>
                <c:pt idx="89">
                  <c:v>0.75900000000000001</c:v>
                </c:pt>
                <c:pt idx="90">
                  <c:v>0.65300000000000002</c:v>
                </c:pt>
                <c:pt idx="91">
                  <c:v>0.58599999999999997</c:v>
                </c:pt>
                <c:pt idx="92">
                  <c:v>0.60499999999999998</c:v>
                </c:pt>
                <c:pt idx="93">
                  <c:v>0.75</c:v>
                </c:pt>
                <c:pt idx="94">
                  <c:v>0.74</c:v>
                </c:pt>
                <c:pt idx="95">
                  <c:v>0.73</c:v>
                </c:pt>
                <c:pt idx="96">
                  <c:v>0.70099999999999996</c:v>
                </c:pt>
                <c:pt idx="97">
                  <c:v>0.67300000000000004</c:v>
                </c:pt>
                <c:pt idx="98">
                  <c:v>0.64400000000000002</c:v>
                </c:pt>
                <c:pt idx="99">
                  <c:v>0.61499999999999999</c:v>
                </c:pt>
                <c:pt idx="100">
                  <c:v>0.63400000000000001</c:v>
                </c:pt>
                <c:pt idx="101">
                  <c:v>0.66300000000000003</c:v>
                </c:pt>
                <c:pt idx="102">
                  <c:v>0.68200000000000005</c:v>
                </c:pt>
                <c:pt idx="103">
                  <c:v>0.71099999999999997</c:v>
                </c:pt>
                <c:pt idx="104">
                  <c:v>0.69199999999999995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DC-4D2B-ADE5-BD3658963C17}"/>
            </c:ext>
          </c:extLst>
        </c:ser>
        <c:ser>
          <c:idx val="2"/>
          <c:order val="2"/>
          <c:tx>
            <c:strRef>
              <c:f>'面板-景气指数'!$A$128</c:f>
              <c:strCache>
                <c:ptCount val="1"/>
                <c:pt idx="0">
                  <c:v>旅游零售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'面板-景气指数'!$F$128:$DF$128</c:f>
              <c:numCache>
                <c:formatCode>0.0%</c:formatCode>
                <c:ptCount val="105"/>
                <c:pt idx="0">
                  <c:v>0.23633333333333331</c:v>
                </c:pt>
                <c:pt idx="1">
                  <c:v>0.22333333333333327</c:v>
                </c:pt>
                <c:pt idx="2">
                  <c:v>0.22999999999999998</c:v>
                </c:pt>
                <c:pt idx="3">
                  <c:v>0.21033333333333326</c:v>
                </c:pt>
                <c:pt idx="4">
                  <c:v>0.18199999999999994</c:v>
                </c:pt>
                <c:pt idx="5">
                  <c:v>0.24833333333333318</c:v>
                </c:pt>
                <c:pt idx="6">
                  <c:v>0.35399999999999993</c:v>
                </c:pt>
                <c:pt idx="7">
                  <c:v>0.48799999999999982</c:v>
                </c:pt>
                <c:pt idx="8">
                  <c:v>0.66933333333333311</c:v>
                </c:pt>
                <c:pt idx="9">
                  <c:v>0.67799999999999971</c:v>
                </c:pt>
                <c:pt idx="10">
                  <c:v>0.75466666666666637</c:v>
                </c:pt>
                <c:pt idx="11">
                  <c:v>0.85966666666666647</c:v>
                </c:pt>
                <c:pt idx="12">
                  <c:v>0.92133333333333323</c:v>
                </c:pt>
                <c:pt idx="13">
                  <c:v>0.89366666666666639</c:v>
                </c:pt>
                <c:pt idx="14">
                  <c:v>0.82299999999999984</c:v>
                </c:pt>
                <c:pt idx="15">
                  <c:v>0.71366666666666645</c:v>
                </c:pt>
                <c:pt idx="16">
                  <c:v>0.85866666666666647</c:v>
                </c:pt>
                <c:pt idx="17">
                  <c:v>0.89299999999999979</c:v>
                </c:pt>
                <c:pt idx="18">
                  <c:v>0.85733333333333317</c:v>
                </c:pt>
                <c:pt idx="19">
                  <c:v>0.75799999999999979</c:v>
                </c:pt>
                <c:pt idx="20">
                  <c:v>0.52133333333333309</c:v>
                </c:pt>
                <c:pt idx="21">
                  <c:v>0.26100000000000007</c:v>
                </c:pt>
                <c:pt idx="22">
                  <c:v>0.14533333333333329</c:v>
                </c:pt>
                <c:pt idx="23">
                  <c:v>4.2333333333333327E-2</c:v>
                </c:pt>
                <c:pt idx="24">
                  <c:v>2.8333333333333325E-2</c:v>
                </c:pt>
                <c:pt idx="25">
                  <c:v>0.11133333333333337</c:v>
                </c:pt>
                <c:pt idx="26">
                  <c:v>0.21566666666666676</c:v>
                </c:pt>
                <c:pt idx="27">
                  <c:v>0.18000000000000005</c:v>
                </c:pt>
                <c:pt idx="28">
                  <c:v>3.4000000000000016E-2</c:v>
                </c:pt>
                <c:pt idx="29">
                  <c:v>0</c:v>
                </c:pt>
                <c:pt idx="30">
                  <c:v>0.14566666666666672</c:v>
                </c:pt>
                <c:pt idx="31">
                  <c:v>0.37333333333333341</c:v>
                </c:pt>
                <c:pt idx="32">
                  <c:v>0.65266666666666662</c:v>
                </c:pt>
                <c:pt idx="33">
                  <c:v>0.31833333333333352</c:v>
                </c:pt>
                <c:pt idx="34">
                  <c:v>0.27233333333333354</c:v>
                </c:pt>
                <c:pt idx="35">
                  <c:v>0.24433333333333354</c:v>
                </c:pt>
                <c:pt idx="36">
                  <c:v>0.19566666666666685</c:v>
                </c:pt>
                <c:pt idx="37">
                  <c:v>0.27733333333333343</c:v>
                </c:pt>
                <c:pt idx="38">
                  <c:v>0.4343333333333334</c:v>
                </c:pt>
                <c:pt idx="39">
                  <c:v>0.79499999999999982</c:v>
                </c:pt>
                <c:pt idx="40">
                  <c:v>0.83566666666666667</c:v>
                </c:pt>
                <c:pt idx="41">
                  <c:v>0.91233333333333333</c:v>
                </c:pt>
                <c:pt idx="42">
                  <c:v>0.95466666666666666</c:v>
                </c:pt>
                <c:pt idx="43">
                  <c:v>0.93333333333333335</c:v>
                </c:pt>
                <c:pt idx="44">
                  <c:v>0.90400000000000003</c:v>
                </c:pt>
                <c:pt idx="45">
                  <c:v>0.45600000000000024</c:v>
                </c:pt>
                <c:pt idx="46">
                  <c:v>0.58166666666666689</c:v>
                </c:pt>
                <c:pt idx="47">
                  <c:v>0.745</c:v>
                </c:pt>
                <c:pt idx="48">
                  <c:v>0.75866666666666671</c:v>
                </c:pt>
                <c:pt idx="49">
                  <c:v>0.68966666666666676</c:v>
                </c:pt>
                <c:pt idx="50">
                  <c:v>0.49600000000000022</c:v>
                </c:pt>
                <c:pt idx="51">
                  <c:v>0.44166666666666704</c:v>
                </c:pt>
                <c:pt idx="52">
                  <c:v>0.26400000000000012</c:v>
                </c:pt>
                <c:pt idx="53">
                  <c:v>0.21133333333333354</c:v>
                </c:pt>
                <c:pt idx="54">
                  <c:v>0.17400000000000024</c:v>
                </c:pt>
                <c:pt idx="55">
                  <c:v>0.20400000000000024</c:v>
                </c:pt>
                <c:pt idx="56">
                  <c:v>0.27866666666666684</c:v>
                </c:pt>
                <c:pt idx="57">
                  <c:v>0.40600000000000003</c:v>
                </c:pt>
                <c:pt idx="58">
                  <c:v>0.4286666666666667</c:v>
                </c:pt>
                <c:pt idx="59">
                  <c:v>0.45066666666666672</c:v>
                </c:pt>
                <c:pt idx="60">
                  <c:v>0.45866666666666672</c:v>
                </c:pt>
                <c:pt idx="61">
                  <c:v>0.46599999999999997</c:v>
                </c:pt>
                <c:pt idx="62">
                  <c:v>0.4433333333333333</c:v>
                </c:pt>
                <c:pt idx="63">
                  <c:v>0.41333333333333339</c:v>
                </c:pt>
                <c:pt idx="64">
                  <c:v>0.39133333333333342</c:v>
                </c:pt>
                <c:pt idx="65">
                  <c:v>0.42133333333333339</c:v>
                </c:pt>
                <c:pt idx="66">
                  <c:v>0.53333333333333333</c:v>
                </c:pt>
                <c:pt idx="67">
                  <c:v>0.59333333333333327</c:v>
                </c:pt>
                <c:pt idx="68">
                  <c:v>0.61599999999999988</c:v>
                </c:pt>
                <c:pt idx="69">
                  <c:v>0.60066666666666657</c:v>
                </c:pt>
                <c:pt idx="70">
                  <c:v>0.58599999999999985</c:v>
                </c:pt>
                <c:pt idx="71">
                  <c:v>0.51066666666666671</c:v>
                </c:pt>
                <c:pt idx="72">
                  <c:v>0.47333333333333338</c:v>
                </c:pt>
                <c:pt idx="73">
                  <c:v>0.48866666666666664</c:v>
                </c:pt>
                <c:pt idx="74">
                  <c:v>0.54866666666666652</c:v>
                </c:pt>
                <c:pt idx="75">
                  <c:v>0.52600000000000002</c:v>
                </c:pt>
                <c:pt idx="76">
                  <c:v>0.49599999999999994</c:v>
                </c:pt>
                <c:pt idx="77">
                  <c:v>0.5033333333333333</c:v>
                </c:pt>
                <c:pt idx="78">
                  <c:v>0.54066666666666663</c:v>
                </c:pt>
                <c:pt idx="79">
                  <c:v>0.51866666666666661</c:v>
                </c:pt>
                <c:pt idx="80">
                  <c:v>0.57799999999999996</c:v>
                </c:pt>
                <c:pt idx="81">
                  <c:v>0.60799999999999987</c:v>
                </c:pt>
                <c:pt idx="82">
                  <c:v>0.6459999999999998</c:v>
                </c:pt>
                <c:pt idx="83">
                  <c:v>0.66066666666666651</c:v>
                </c:pt>
                <c:pt idx="84">
                  <c:v>0.65333333333333321</c:v>
                </c:pt>
                <c:pt idx="85">
                  <c:v>0.66799999999999982</c:v>
                </c:pt>
                <c:pt idx="86">
                  <c:v>0.67599999999999993</c:v>
                </c:pt>
                <c:pt idx="87">
                  <c:v>0.68333333333333313</c:v>
                </c:pt>
                <c:pt idx="88">
                  <c:v>0.69799999999999984</c:v>
                </c:pt>
                <c:pt idx="89">
                  <c:v>0.69066666666666654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DC-4D2B-ADE5-BD3658963C17}"/>
            </c:ext>
          </c:extLst>
        </c:ser>
        <c:ser>
          <c:idx val="3"/>
          <c:order val="3"/>
          <c:tx>
            <c:strRef>
              <c:f>'面板-景气指数'!$A$118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'面板-景气指数'!$F$118:$DF$118</c:f>
              <c:numCache>
                <c:formatCode>0.0%</c:formatCode>
                <c:ptCount val="105"/>
                <c:pt idx="0">
                  <c:v>0.54224366118000222</c:v>
                </c:pt>
                <c:pt idx="1">
                  <c:v>0.53736413570395958</c:v>
                </c:pt>
                <c:pt idx="2">
                  <c:v>0.55273416961913235</c:v>
                </c:pt>
                <c:pt idx="3">
                  <c:v>0.55157740118290932</c:v>
                </c:pt>
                <c:pt idx="4">
                  <c:v>0.58331609042122978</c:v>
                </c:pt>
                <c:pt idx="5">
                  <c:v>0.53616183048182875</c:v>
                </c:pt>
                <c:pt idx="6">
                  <c:v>0.59183934447493025</c:v>
                </c:pt>
                <c:pt idx="7">
                  <c:v>0.6004170393970294</c:v>
                </c:pt>
                <c:pt idx="8">
                  <c:v>0.58875102808716406</c:v>
                </c:pt>
                <c:pt idx="9">
                  <c:v>0.52489353665610106</c:v>
                </c:pt>
                <c:pt idx="10">
                  <c:v>0.48803722018179679</c:v>
                </c:pt>
                <c:pt idx="11">
                  <c:v>0.48103751392098665</c:v>
                </c:pt>
                <c:pt idx="12">
                  <c:v>0.440356406578228</c:v>
                </c:pt>
                <c:pt idx="13">
                  <c:v>0.42716049694176578</c:v>
                </c:pt>
                <c:pt idx="14">
                  <c:v>0.40908924265729735</c:v>
                </c:pt>
                <c:pt idx="15">
                  <c:v>0.46295175108200426</c:v>
                </c:pt>
                <c:pt idx="16">
                  <c:v>0.46120775111085022</c:v>
                </c:pt>
                <c:pt idx="17">
                  <c:v>0.42848302800062615</c:v>
                </c:pt>
                <c:pt idx="18">
                  <c:v>0.30338291519043392</c:v>
                </c:pt>
                <c:pt idx="19">
                  <c:v>0.24378451976341819</c:v>
                </c:pt>
                <c:pt idx="20">
                  <c:v>0.18517240689553388</c:v>
                </c:pt>
                <c:pt idx="21">
                  <c:v>0.16218440695322589</c:v>
                </c:pt>
                <c:pt idx="22">
                  <c:v>0.18296470083664554</c:v>
                </c:pt>
                <c:pt idx="23">
                  <c:v>0.21639035057697575</c:v>
                </c:pt>
                <c:pt idx="24">
                  <c:v>0.21033527717823575</c:v>
                </c:pt>
                <c:pt idx="25">
                  <c:v>0.20358513030864089</c:v>
                </c:pt>
                <c:pt idx="26">
                  <c:v>0.20280395520765199</c:v>
                </c:pt>
                <c:pt idx="27">
                  <c:v>0.19269134496531209</c:v>
                </c:pt>
                <c:pt idx="28">
                  <c:v>0.15674248622324335</c:v>
                </c:pt>
                <c:pt idx="29">
                  <c:v>0.13180626006920801</c:v>
                </c:pt>
                <c:pt idx="30">
                  <c:v>0.2052352995239293</c:v>
                </c:pt>
                <c:pt idx="31">
                  <c:v>0.2762730621321437</c:v>
                </c:pt>
                <c:pt idx="32">
                  <c:v>0.39801509603289337</c:v>
                </c:pt>
                <c:pt idx="33">
                  <c:v>0.4353353672821596</c:v>
                </c:pt>
                <c:pt idx="34">
                  <c:v>0.47636639551355375</c:v>
                </c:pt>
                <c:pt idx="35">
                  <c:v>0.51031387566359765</c:v>
                </c:pt>
                <c:pt idx="36">
                  <c:v>0.48093351402194756</c:v>
                </c:pt>
                <c:pt idx="37">
                  <c:v>0.4645391862522012</c:v>
                </c:pt>
                <c:pt idx="38">
                  <c:v>0.51425889236878142</c:v>
                </c:pt>
                <c:pt idx="39">
                  <c:v>0.5779204291114205</c:v>
                </c:pt>
                <c:pt idx="40">
                  <c:v>0.69164707324008701</c:v>
                </c:pt>
                <c:pt idx="41">
                  <c:v>0.72997127663016181</c:v>
                </c:pt>
                <c:pt idx="42">
                  <c:v>0.79521778509813779</c:v>
                </c:pt>
                <c:pt idx="43">
                  <c:v>0.68654056484422621</c:v>
                </c:pt>
                <c:pt idx="44">
                  <c:v>0.60911654238314861</c:v>
                </c:pt>
                <c:pt idx="45">
                  <c:v>0.43175005676567102</c:v>
                </c:pt>
                <c:pt idx="46">
                  <c:v>0.36559805663586409</c:v>
                </c:pt>
                <c:pt idx="47">
                  <c:v>0.33797536735427464</c:v>
                </c:pt>
                <c:pt idx="48">
                  <c:v>0.43608413555972969</c:v>
                </c:pt>
                <c:pt idx="49">
                  <c:v>0.447003638401619</c:v>
                </c:pt>
                <c:pt idx="50">
                  <c:v>0.42528117510098901</c:v>
                </c:pt>
                <c:pt idx="51">
                  <c:v>0.30013665540968582</c:v>
                </c:pt>
                <c:pt idx="52">
                  <c:v>0.22484682491343408</c:v>
                </c:pt>
                <c:pt idx="53">
                  <c:v>0.15976411299769122</c:v>
                </c:pt>
                <c:pt idx="54">
                  <c:v>7.9215480236581856E-2</c:v>
                </c:pt>
                <c:pt idx="55">
                  <c:v>0.15201538977208312</c:v>
                </c:pt>
                <c:pt idx="56">
                  <c:v>0.24204085858341579</c:v>
                </c:pt>
                <c:pt idx="57">
                  <c:v>0.50049783029432982</c:v>
                </c:pt>
                <c:pt idx="58">
                  <c:v>0.49226583038086774</c:v>
                </c:pt>
                <c:pt idx="59">
                  <c:v>0.50011796602713543</c:v>
                </c:pt>
                <c:pt idx="60">
                  <c:v>0.46964422595211347</c:v>
                </c:pt>
                <c:pt idx="61">
                  <c:v>0.47323618074149854</c:v>
                </c:pt>
                <c:pt idx="62">
                  <c:v>0.4968703276543624</c:v>
                </c:pt>
                <c:pt idx="63">
                  <c:v>0.50063581924407852</c:v>
                </c:pt>
                <c:pt idx="64">
                  <c:v>0.51067520913154552</c:v>
                </c:pt>
                <c:pt idx="65">
                  <c:v>0.47808659900458961</c:v>
                </c:pt>
                <c:pt idx="66">
                  <c:v>0.44810558212632984</c:v>
                </c:pt>
                <c:pt idx="67">
                  <c:v>0.45729396627232627</c:v>
                </c:pt>
                <c:pt idx="68">
                  <c:v>0.48098903974318125</c:v>
                </c:pt>
                <c:pt idx="69">
                  <c:v>0.48918189845640403</c:v>
                </c:pt>
                <c:pt idx="70">
                  <c:v>0.48662097189841286</c:v>
                </c:pt>
                <c:pt idx="71">
                  <c:v>0.53609633925268751</c:v>
                </c:pt>
                <c:pt idx="72">
                  <c:v>0.57325536749850459</c:v>
                </c:pt>
                <c:pt idx="73">
                  <c:v>0.5906179209751734</c:v>
                </c:pt>
                <c:pt idx="74">
                  <c:v>0.57370485877091471</c:v>
                </c:pt>
                <c:pt idx="75">
                  <c:v>0.62624621472878617</c:v>
                </c:pt>
                <c:pt idx="76">
                  <c:v>0.67077331081937164</c:v>
                </c:pt>
                <c:pt idx="77">
                  <c:v>0.72922442937103427</c:v>
                </c:pt>
                <c:pt idx="78">
                  <c:v>0.73598298294866404</c:v>
                </c:pt>
                <c:pt idx="79">
                  <c:v>0.71038045174557396</c:v>
                </c:pt>
                <c:pt idx="80">
                  <c:v>0.73629941216104566</c:v>
                </c:pt>
                <c:pt idx="81">
                  <c:v>0.7209491975332204</c:v>
                </c:pt>
                <c:pt idx="82">
                  <c:v>0.74648524275825823</c:v>
                </c:pt>
                <c:pt idx="83">
                  <c:v>0.75362386423834826</c:v>
                </c:pt>
                <c:pt idx="84">
                  <c:v>0.76578009024815374</c:v>
                </c:pt>
                <c:pt idx="85">
                  <c:v>0.74941645191864992</c:v>
                </c:pt>
                <c:pt idx="86">
                  <c:v>0.72559893785343332</c:v>
                </c:pt>
                <c:pt idx="87">
                  <c:v>0.70353383046740581</c:v>
                </c:pt>
                <c:pt idx="88">
                  <c:v>0.65440558176575492</c:v>
                </c:pt>
                <c:pt idx="89">
                  <c:v>0.61428431612815215</c:v>
                </c:pt>
                <c:pt idx="90">
                  <c:v>0.6697864858338225</c:v>
                </c:pt>
                <c:pt idx="91">
                  <c:v>0.67146842934218842</c:v>
                </c:pt>
                <c:pt idx="92">
                  <c:v>0.63252684740335752</c:v>
                </c:pt>
                <c:pt idx="93">
                  <c:v>0.59852291526254886</c:v>
                </c:pt>
                <c:pt idx="94">
                  <c:v>0.61860533343910196</c:v>
                </c:pt>
                <c:pt idx="95">
                  <c:v>0.63784510753025747</c:v>
                </c:pt>
                <c:pt idx="96">
                  <c:v>0.63641247472587936</c:v>
                </c:pt>
                <c:pt idx="97">
                  <c:v>0.65001839564336072</c:v>
                </c:pt>
                <c:pt idx="98">
                  <c:v>0.59412411292557621</c:v>
                </c:pt>
                <c:pt idx="99">
                  <c:v>0.63158133332371802</c:v>
                </c:pt>
                <c:pt idx="100">
                  <c:v>0.66205419218117079</c:v>
                </c:pt>
                <c:pt idx="101">
                  <c:v>0.66239683626656831</c:v>
                </c:pt>
                <c:pt idx="102">
                  <c:v>0.63662155937679243</c:v>
                </c:pt>
                <c:pt idx="103">
                  <c:v>0.64611959330638802</c:v>
                </c:pt>
                <c:pt idx="104">
                  <c:v>0.70084736733985165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4DC-4D2B-ADE5-BD3658963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12780108462096E-2"/>
          <c:y val="0.121031851851852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'面板-景气指数'!$A$54</c:f>
              <c:strCache>
                <c:ptCount val="1"/>
                <c:pt idx="0">
                  <c:v>社会服务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'面板-景气指数'!$F$54:$DF$54</c:f>
              <c:numCache>
                <c:formatCode>0.0%</c:formatCode>
                <c:ptCount val="105"/>
                <c:pt idx="0">
                  <c:v>0.60000833967451339</c:v>
                </c:pt>
                <c:pt idx="1">
                  <c:v>0.59671571058036121</c:v>
                </c:pt>
                <c:pt idx="2">
                  <c:v>0.59671571058036121</c:v>
                </c:pt>
                <c:pt idx="3">
                  <c:v>0.60174130235564616</c:v>
                </c:pt>
                <c:pt idx="4">
                  <c:v>0.60330096876866557</c:v>
                </c:pt>
                <c:pt idx="5">
                  <c:v>0.60503393144979833</c:v>
                </c:pt>
                <c:pt idx="6">
                  <c:v>0.75383504340640006</c:v>
                </c:pt>
                <c:pt idx="7">
                  <c:v>0.74756244630452395</c:v>
                </c:pt>
                <c:pt idx="8">
                  <c:v>0.8007029146927187</c:v>
                </c:pt>
                <c:pt idx="9">
                  <c:v>0.83097134195733824</c:v>
                </c:pt>
                <c:pt idx="10">
                  <c:v>0.8426970685338373</c:v>
                </c:pt>
                <c:pt idx="11">
                  <c:v>0.84547397866090646</c:v>
                </c:pt>
                <c:pt idx="12">
                  <c:v>0.82871959404174533</c:v>
                </c:pt>
                <c:pt idx="13">
                  <c:v>0.80176938764656303</c:v>
                </c:pt>
                <c:pt idx="14">
                  <c:v>0.78623531300882865</c:v>
                </c:pt>
                <c:pt idx="15">
                  <c:v>0.79542308148620888</c:v>
                </c:pt>
                <c:pt idx="16">
                  <c:v>0.91011655293453453</c:v>
                </c:pt>
                <c:pt idx="17">
                  <c:v>0.9121407547640672</c:v>
                </c:pt>
                <c:pt idx="18">
                  <c:v>0.8593098811949238</c:v>
                </c:pt>
                <c:pt idx="19">
                  <c:v>0.7509771881162195</c:v>
                </c:pt>
                <c:pt idx="20">
                  <c:v>0.49996300228282481</c:v>
                </c:pt>
                <c:pt idx="21">
                  <c:v>0.33274633132052012</c:v>
                </c:pt>
                <c:pt idx="22">
                  <c:v>0.25461726887421565</c:v>
                </c:pt>
                <c:pt idx="23">
                  <c:v>0.26971963597535537</c:v>
                </c:pt>
                <c:pt idx="24">
                  <c:v>0.32771963597535542</c:v>
                </c:pt>
                <c:pt idx="25">
                  <c:v>0.31827345622949349</c:v>
                </c:pt>
                <c:pt idx="26">
                  <c:v>0.30287984997995376</c:v>
                </c:pt>
                <c:pt idx="27">
                  <c:v>0.14402865804266185</c:v>
                </c:pt>
                <c:pt idx="28">
                  <c:v>0.12224451181095922</c:v>
                </c:pt>
                <c:pt idx="29">
                  <c:v>9.9639221630378749E-2</c:v>
                </c:pt>
                <c:pt idx="30">
                  <c:v>0.14511348666715759</c:v>
                </c:pt>
                <c:pt idx="31">
                  <c:v>0.21913879206657011</c:v>
                </c:pt>
                <c:pt idx="32">
                  <c:v>0.39442140516458429</c:v>
                </c:pt>
                <c:pt idx="33">
                  <c:v>0.42053378826186205</c:v>
                </c:pt>
                <c:pt idx="34">
                  <c:v>0.4479771881162195</c:v>
                </c:pt>
                <c:pt idx="35">
                  <c:v>0.56956857883927769</c:v>
                </c:pt>
                <c:pt idx="36">
                  <c:v>0.59331433740805295</c:v>
                </c:pt>
                <c:pt idx="37">
                  <c:v>0.52552683853310089</c:v>
                </c:pt>
                <c:pt idx="38">
                  <c:v>0.57054490782787981</c:v>
                </c:pt>
                <c:pt idx="39">
                  <c:v>0.68557994284755797</c:v>
                </c:pt>
                <c:pt idx="40">
                  <c:v>0.67737659859103061</c:v>
                </c:pt>
                <c:pt idx="41">
                  <c:v>0.77252041962247475</c:v>
                </c:pt>
                <c:pt idx="42">
                  <c:v>0.83925366867947992</c:v>
                </c:pt>
                <c:pt idx="43">
                  <c:v>0.92336077836962138</c:v>
                </c:pt>
                <c:pt idx="44">
                  <c:v>0.89177997639444606</c:v>
                </c:pt>
                <c:pt idx="45">
                  <c:v>0.55366121632015186</c:v>
                </c:pt>
                <c:pt idx="46">
                  <c:v>0.45997138389094816</c:v>
                </c:pt>
                <c:pt idx="47">
                  <c:v>0.43071714245972337</c:v>
                </c:pt>
                <c:pt idx="48">
                  <c:v>0.3962270152679252</c:v>
                </c:pt>
                <c:pt idx="49">
                  <c:v>0.15520473420227959</c:v>
                </c:pt>
                <c:pt idx="50">
                  <c:v>0.15633269307870432</c:v>
                </c:pt>
                <c:pt idx="51">
                  <c:v>0.14792935720889897</c:v>
                </c:pt>
                <c:pt idx="52">
                  <c:v>0.1249691348175786</c:v>
                </c:pt>
                <c:pt idx="53">
                  <c:v>7.8373860633136172E-2</c:v>
                </c:pt>
                <c:pt idx="54">
                  <c:v>5.3548546847001666E-2</c:v>
                </c:pt>
                <c:pt idx="55">
                  <c:v>5.8474551412651274E-2</c:v>
                </c:pt>
                <c:pt idx="56">
                  <c:v>7.736494820687792E-2</c:v>
                </c:pt>
                <c:pt idx="57">
                  <c:v>0.20097857806197175</c:v>
                </c:pt>
                <c:pt idx="58">
                  <c:v>0.22558775170393641</c:v>
                </c:pt>
                <c:pt idx="59">
                  <c:v>0.24369150875082846</c:v>
                </c:pt>
                <c:pt idx="60">
                  <c:v>0.28800416983725668</c:v>
                </c:pt>
                <c:pt idx="61">
                  <c:v>0.38135243869510793</c:v>
                </c:pt>
                <c:pt idx="62">
                  <c:v>0.42085981798767774</c:v>
                </c:pt>
                <c:pt idx="63">
                  <c:v>0.39154298706399276</c:v>
                </c:pt>
                <c:pt idx="64">
                  <c:v>0.37470348744446358</c:v>
                </c:pt>
                <c:pt idx="65">
                  <c:v>0.40217664891136262</c:v>
                </c:pt>
                <c:pt idx="66">
                  <c:v>0.41851768166458031</c:v>
                </c:pt>
                <c:pt idx="67">
                  <c:v>0.45054466338561744</c:v>
                </c:pt>
                <c:pt idx="68">
                  <c:v>0.43804701371331317</c:v>
                </c:pt>
                <c:pt idx="69">
                  <c:v>0.37646731530801769</c:v>
                </c:pt>
                <c:pt idx="70">
                  <c:v>0.38209791088801065</c:v>
                </c:pt>
                <c:pt idx="71">
                  <c:v>0.40927259710187613</c:v>
                </c:pt>
                <c:pt idx="72">
                  <c:v>0.48694019039904429</c:v>
                </c:pt>
                <c:pt idx="73">
                  <c:v>0.47587592458495953</c:v>
                </c:pt>
                <c:pt idx="74">
                  <c:v>0.56543003121497004</c:v>
                </c:pt>
                <c:pt idx="75">
                  <c:v>0.54389317668573112</c:v>
                </c:pt>
                <c:pt idx="76">
                  <c:v>0.57400972962026553</c:v>
                </c:pt>
                <c:pt idx="77">
                  <c:v>0.57692600456564969</c:v>
                </c:pt>
                <c:pt idx="78">
                  <c:v>0.58256800608753279</c:v>
                </c:pt>
                <c:pt idx="79">
                  <c:v>0.49537525057888843</c:v>
                </c:pt>
                <c:pt idx="80">
                  <c:v>0.48592490099576979</c:v>
                </c:pt>
                <c:pt idx="81">
                  <c:v>0.51728845925689559</c:v>
                </c:pt>
                <c:pt idx="82">
                  <c:v>0.59324978521809568</c:v>
                </c:pt>
                <c:pt idx="83">
                  <c:v>0.58195159634093452</c:v>
                </c:pt>
                <c:pt idx="84">
                  <c:v>0.56110375704689197</c:v>
                </c:pt>
                <c:pt idx="85">
                  <c:v>0.58528122315226194</c:v>
                </c:pt>
                <c:pt idx="86">
                  <c:v>0.61702113556215576</c:v>
                </c:pt>
                <c:pt idx="87">
                  <c:v>0.64572266030912229</c:v>
                </c:pt>
                <c:pt idx="88">
                  <c:v>0.63217578978374522</c:v>
                </c:pt>
                <c:pt idx="89">
                  <c:v>0.62080499541798606</c:v>
                </c:pt>
                <c:pt idx="90">
                  <c:v>0.59485756891430808</c:v>
                </c:pt>
                <c:pt idx="91">
                  <c:v>0.61932320790070117</c:v>
                </c:pt>
                <c:pt idx="92">
                  <c:v>0.59766117438654187</c:v>
                </c:pt>
                <c:pt idx="93">
                  <c:v>0.57632737773795784</c:v>
                </c:pt>
                <c:pt idx="94">
                  <c:v>0.49716160395035058</c:v>
                </c:pt>
                <c:pt idx="95">
                  <c:v>0.5056828827004427</c:v>
                </c:pt>
                <c:pt idx="96">
                  <c:v>0.49109206472912931</c:v>
                </c:pt>
                <c:pt idx="97">
                  <c:v>0.47872850646800369</c:v>
                </c:pt>
                <c:pt idx="98">
                  <c:v>0.45765618735527791</c:v>
                </c:pt>
                <c:pt idx="99">
                  <c:v>0.44028845925689553</c:v>
                </c:pt>
                <c:pt idx="100">
                  <c:v>0.45011516298878229</c:v>
                </c:pt>
                <c:pt idx="101">
                  <c:v>0.41883978599540161</c:v>
                </c:pt>
                <c:pt idx="102">
                  <c:v>0.42137664052464063</c:v>
                </c:pt>
                <c:pt idx="103">
                  <c:v>0.41395049277105478</c:v>
                </c:pt>
                <c:pt idx="104">
                  <c:v>0.41441502818756809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4A-4669-9D12-9CADF7940AEB}"/>
            </c:ext>
          </c:extLst>
        </c:ser>
        <c:ser>
          <c:idx val="1"/>
          <c:order val="1"/>
          <c:tx>
            <c:strRef>
              <c:f>'面板-景气指数'!$A$130</c:f>
              <c:strCache>
                <c:ptCount val="1"/>
                <c:pt idx="0">
                  <c:v>旅游及景区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'面板-景气指数'!$F$130:$DF$130</c:f>
              <c:numCache>
                <c:formatCode>0.0%</c:formatCode>
                <c:ptCount val="105"/>
                <c:pt idx="0">
                  <c:v>0.63900000000000001</c:v>
                </c:pt>
                <c:pt idx="1">
                  <c:v>0.63900000000000001</c:v>
                </c:pt>
                <c:pt idx="2">
                  <c:v>0.63900000000000001</c:v>
                </c:pt>
                <c:pt idx="3">
                  <c:v>0.63900000000000001</c:v>
                </c:pt>
                <c:pt idx="4">
                  <c:v>0.63900000000000001</c:v>
                </c:pt>
                <c:pt idx="5">
                  <c:v>0.63900000000000001</c:v>
                </c:pt>
                <c:pt idx="6">
                  <c:v>0.79299999999999993</c:v>
                </c:pt>
                <c:pt idx="7">
                  <c:v>0.75900000000000001</c:v>
                </c:pt>
                <c:pt idx="8">
                  <c:v>0.84550000000000003</c:v>
                </c:pt>
                <c:pt idx="9">
                  <c:v>0.8839999999999999</c:v>
                </c:pt>
                <c:pt idx="10">
                  <c:v>0.92249999999999999</c:v>
                </c:pt>
                <c:pt idx="11">
                  <c:v>0.94199999999999995</c:v>
                </c:pt>
                <c:pt idx="12">
                  <c:v>0.95150000000000001</c:v>
                </c:pt>
                <c:pt idx="13">
                  <c:v>0.90800000000000003</c:v>
                </c:pt>
                <c:pt idx="14">
                  <c:v>0.88900000000000001</c:v>
                </c:pt>
                <c:pt idx="15">
                  <c:v>0.84099999999999997</c:v>
                </c:pt>
                <c:pt idx="16">
                  <c:v>0.89400000000000002</c:v>
                </c:pt>
                <c:pt idx="17">
                  <c:v>0.88450000000000006</c:v>
                </c:pt>
                <c:pt idx="18">
                  <c:v>0.81199999999999994</c:v>
                </c:pt>
                <c:pt idx="19">
                  <c:v>0.76900000000000002</c:v>
                </c:pt>
                <c:pt idx="20">
                  <c:v>0.5139999999999999</c:v>
                </c:pt>
                <c:pt idx="21">
                  <c:v>0.20650000000000002</c:v>
                </c:pt>
                <c:pt idx="22">
                  <c:v>8.6000000000000007E-2</c:v>
                </c:pt>
                <c:pt idx="23">
                  <c:v>8.1000000000000003E-2</c:v>
                </c:pt>
                <c:pt idx="24">
                  <c:v>0.13899999999999998</c:v>
                </c:pt>
                <c:pt idx="25">
                  <c:v>0.16300000000000003</c:v>
                </c:pt>
                <c:pt idx="26">
                  <c:v>0.17749999999999999</c:v>
                </c:pt>
                <c:pt idx="27">
                  <c:v>9.0999999999999998E-2</c:v>
                </c:pt>
                <c:pt idx="28">
                  <c:v>8.1000000000000003E-2</c:v>
                </c:pt>
                <c:pt idx="29">
                  <c:v>9.6000000000000002E-2</c:v>
                </c:pt>
                <c:pt idx="30">
                  <c:v>0.17700000000000002</c:v>
                </c:pt>
                <c:pt idx="31">
                  <c:v>0.30700000000000005</c:v>
                </c:pt>
                <c:pt idx="32">
                  <c:v>0.4945</c:v>
                </c:pt>
                <c:pt idx="33">
                  <c:v>0.48499999999999999</c:v>
                </c:pt>
                <c:pt idx="34">
                  <c:v>0.46600000000000003</c:v>
                </c:pt>
                <c:pt idx="35">
                  <c:v>0.48499999999999999</c:v>
                </c:pt>
                <c:pt idx="36">
                  <c:v>0.50450000000000006</c:v>
                </c:pt>
                <c:pt idx="37">
                  <c:v>0.5575</c:v>
                </c:pt>
                <c:pt idx="38">
                  <c:v>0.68699999999999994</c:v>
                </c:pt>
                <c:pt idx="39">
                  <c:v>0.90350000000000008</c:v>
                </c:pt>
                <c:pt idx="40">
                  <c:v>0.94200000000000006</c:v>
                </c:pt>
                <c:pt idx="41">
                  <c:v>0.96149999999999991</c:v>
                </c:pt>
                <c:pt idx="42">
                  <c:v>0.96550000000000002</c:v>
                </c:pt>
                <c:pt idx="43">
                  <c:v>0.92699999999999994</c:v>
                </c:pt>
                <c:pt idx="44">
                  <c:v>0.86050000000000004</c:v>
                </c:pt>
                <c:pt idx="45">
                  <c:v>0.40349999999999997</c:v>
                </c:pt>
                <c:pt idx="46">
                  <c:v>0.20149999999999998</c:v>
                </c:pt>
                <c:pt idx="47">
                  <c:v>0.16800000000000001</c:v>
                </c:pt>
                <c:pt idx="48">
                  <c:v>0.14849999999999999</c:v>
                </c:pt>
                <c:pt idx="49">
                  <c:v>0.115</c:v>
                </c:pt>
                <c:pt idx="50">
                  <c:v>9.0999999999999998E-2</c:v>
                </c:pt>
                <c:pt idx="51">
                  <c:v>6.7000000000000004E-2</c:v>
                </c:pt>
                <c:pt idx="52">
                  <c:v>4.3000000000000003E-2</c:v>
                </c:pt>
                <c:pt idx="53">
                  <c:v>1.8499999999999999E-2</c:v>
                </c:pt>
                <c:pt idx="54">
                  <c:v>0</c:v>
                </c:pt>
                <c:pt idx="55">
                  <c:v>3.3000000000000002E-2</c:v>
                </c:pt>
                <c:pt idx="56">
                  <c:v>0.10049999999999999</c:v>
                </c:pt>
                <c:pt idx="57">
                  <c:v>0.22550000000000003</c:v>
                </c:pt>
                <c:pt idx="58">
                  <c:v>0.29299999999999998</c:v>
                </c:pt>
                <c:pt idx="59">
                  <c:v>0.29749999999999999</c:v>
                </c:pt>
                <c:pt idx="60">
                  <c:v>0.3075</c:v>
                </c:pt>
                <c:pt idx="61">
                  <c:v>0.34599999999999997</c:v>
                </c:pt>
                <c:pt idx="62">
                  <c:v>0.32649999999999996</c:v>
                </c:pt>
                <c:pt idx="63">
                  <c:v>0.312</c:v>
                </c:pt>
                <c:pt idx="64">
                  <c:v>0.29749999999999999</c:v>
                </c:pt>
                <c:pt idx="65">
                  <c:v>0.29299999999999998</c:v>
                </c:pt>
                <c:pt idx="66">
                  <c:v>0.28300000000000003</c:v>
                </c:pt>
                <c:pt idx="67">
                  <c:v>0.31650000000000006</c:v>
                </c:pt>
                <c:pt idx="68">
                  <c:v>0.40849999999999997</c:v>
                </c:pt>
                <c:pt idx="69">
                  <c:v>0.3795</c:v>
                </c:pt>
                <c:pt idx="70">
                  <c:v>0.40350000000000003</c:v>
                </c:pt>
                <c:pt idx="71">
                  <c:v>0.437</c:v>
                </c:pt>
                <c:pt idx="72">
                  <c:v>0.51900000000000002</c:v>
                </c:pt>
                <c:pt idx="73">
                  <c:v>0.58149999999999991</c:v>
                </c:pt>
                <c:pt idx="74">
                  <c:v>0.64350000000000007</c:v>
                </c:pt>
                <c:pt idx="75">
                  <c:v>0.60549999999999993</c:v>
                </c:pt>
                <c:pt idx="76">
                  <c:v>0.61950000000000005</c:v>
                </c:pt>
                <c:pt idx="77">
                  <c:v>0.60499999999999998</c:v>
                </c:pt>
                <c:pt idx="78">
                  <c:v>0.61999999999999988</c:v>
                </c:pt>
                <c:pt idx="79">
                  <c:v>0.44199999999999995</c:v>
                </c:pt>
                <c:pt idx="80">
                  <c:v>0.44650000000000006</c:v>
                </c:pt>
                <c:pt idx="81">
                  <c:v>0.4945</c:v>
                </c:pt>
                <c:pt idx="82">
                  <c:v>0.63900000000000001</c:v>
                </c:pt>
                <c:pt idx="83">
                  <c:v>0.60499999999999998</c:v>
                </c:pt>
                <c:pt idx="84">
                  <c:v>0.54749999999999999</c:v>
                </c:pt>
                <c:pt idx="85">
                  <c:v>0.59100000000000008</c:v>
                </c:pt>
                <c:pt idx="86">
                  <c:v>0.65350000000000008</c:v>
                </c:pt>
                <c:pt idx="87">
                  <c:v>0.72049999999999992</c:v>
                </c:pt>
                <c:pt idx="88">
                  <c:v>0.70599999999999996</c:v>
                </c:pt>
                <c:pt idx="89">
                  <c:v>0.70650000000000002</c:v>
                </c:pt>
                <c:pt idx="90">
                  <c:v>0.67699999999999994</c:v>
                </c:pt>
                <c:pt idx="91">
                  <c:v>0.75900000000000001</c:v>
                </c:pt>
                <c:pt idx="92">
                  <c:v>0.75900000000000001</c:v>
                </c:pt>
                <c:pt idx="93">
                  <c:v>0.73549999999999993</c:v>
                </c:pt>
                <c:pt idx="94">
                  <c:v>0.56700000000000006</c:v>
                </c:pt>
                <c:pt idx="95">
                  <c:v>0.58150000000000002</c:v>
                </c:pt>
                <c:pt idx="96">
                  <c:v>0.54749999999999999</c:v>
                </c:pt>
                <c:pt idx="97">
                  <c:v>0.51849999999999996</c:v>
                </c:pt>
                <c:pt idx="98">
                  <c:v>0.47100000000000003</c:v>
                </c:pt>
                <c:pt idx="99">
                  <c:v>0.41749999999999998</c:v>
                </c:pt>
                <c:pt idx="100">
                  <c:v>0.42750000000000005</c:v>
                </c:pt>
                <c:pt idx="101">
                  <c:v>0.35549999999999998</c:v>
                </c:pt>
                <c:pt idx="102">
                  <c:v>0.37449999999999994</c:v>
                </c:pt>
                <c:pt idx="103">
                  <c:v>0.36950000000000005</c:v>
                </c:pt>
                <c:pt idx="104">
                  <c:v>0.36000000000000004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4A-4669-9D12-9CADF7940AEB}"/>
            </c:ext>
          </c:extLst>
        </c:ser>
        <c:ser>
          <c:idx val="2"/>
          <c:order val="2"/>
          <c:tx>
            <c:strRef>
              <c:f>'面板-景气指数'!$A$129</c:f>
              <c:strCache>
                <c:ptCount val="1"/>
                <c:pt idx="0">
                  <c:v>酒店餐饮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'面板-景气指数'!$F$129:$DF$129</c:f>
              <c:numCache>
                <c:formatCode>0.0%</c:formatCode>
                <c:ptCount val="105"/>
                <c:pt idx="0">
                  <c:v>0.56400000000000006</c:v>
                </c:pt>
                <c:pt idx="1">
                  <c:v>0.55766666666666664</c:v>
                </c:pt>
                <c:pt idx="2">
                  <c:v>0.55766666666666664</c:v>
                </c:pt>
                <c:pt idx="3">
                  <c:v>0.56733333333333336</c:v>
                </c:pt>
                <c:pt idx="4">
                  <c:v>0.57033333333333336</c:v>
                </c:pt>
                <c:pt idx="5">
                  <c:v>0.57366666666666677</c:v>
                </c:pt>
                <c:pt idx="6">
                  <c:v>0.71766666666666679</c:v>
                </c:pt>
                <c:pt idx="7">
                  <c:v>0.7370000000000001</c:v>
                </c:pt>
                <c:pt idx="8">
                  <c:v>0.75933333333333342</c:v>
                </c:pt>
                <c:pt idx="9">
                  <c:v>0.78200000000000014</c:v>
                </c:pt>
                <c:pt idx="10">
                  <c:v>0.76900000000000002</c:v>
                </c:pt>
                <c:pt idx="11">
                  <c:v>0.75633333333333341</c:v>
                </c:pt>
                <c:pt idx="12">
                  <c:v>0.71533333333333338</c:v>
                </c:pt>
                <c:pt idx="13">
                  <c:v>0.70366666666666666</c:v>
                </c:pt>
                <c:pt idx="14">
                  <c:v>0.69133333333333336</c:v>
                </c:pt>
                <c:pt idx="15">
                  <c:v>0.7533333333333333</c:v>
                </c:pt>
                <c:pt idx="16">
                  <c:v>0.92500000000000004</c:v>
                </c:pt>
                <c:pt idx="17">
                  <c:v>0.93766666666666676</c:v>
                </c:pt>
                <c:pt idx="18">
                  <c:v>0.90300000000000014</c:v>
                </c:pt>
                <c:pt idx="19">
                  <c:v>0.73433333333333339</c:v>
                </c:pt>
                <c:pt idx="20">
                  <c:v>0.48700000000000004</c:v>
                </c:pt>
                <c:pt idx="21">
                  <c:v>0.44933333333333336</c:v>
                </c:pt>
                <c:pt idx="22">
                  <c:v>0.41033333333333344</c:v>
                </c:pt>
                <c:pt idx="23">
                  <c:v>0.44400000000000001</c:v>
                </c:pt>
                <c:pt idx="24">
                  <c:v>0.50200000000000011</c:v>
                </c:pt>
                <c:pt idx="25">
                  <c:v>0.46166666666666667</c:v>
                </c:pt>
                <c:pt idx="26">
                  <c:v>0.41866666666666674</c:v>
                </c:pt>
                <c:pt idx="27">
                  <c:v>0.19300000000000003</c:v>
                </c:pt>
                <c:pt idx="28">
                  <c:v>0.16033333333333336</c:v>
                </c:pt>
                <c:pt idx="29">
                  <c:v>0.10300000000000001</c:v>
                </c:pt>
                <c:pt idx="30">
                  <c:v>0.11566666666666667</c:v>
                </c:pt>
                <c:pt idx="31">
                  <c:v>0.13800000000000001</c:v>
                </c:pt>
                <c:pt idx="32">
                  <c:v>0.30200000000000005</c:v>
                </c:pt>
                <c:pt idx="33">
                  <c:v>0.36099999999999999</c:v>
                </c:pt>
                <c:pt idx="34">
                  <c:v>0.43133333333333335</c:v>
                </c:pt>
                <c:pt idx="35">
                  <c:v>0.64766666666666672</c:v>
                </c:pt>
                <c:pt idx="36">
                  <c:v>0.67533333333333345</c:v>
                </c:pt>
                <c:pt idx="37">
                  <c:v>0.49599999999999994</c:v>
                </c:pt>
                <c:pt idx="38">
                  <c:v>0.46299999999999997</c:v>
                </c:pt>
                <c:pt idx="39">
                  <c:v>0.48433333333333334</c:v>
                </c:pt>
                <c:pt idx="40">
                  <c:v>0.433</c:v>
                </c:pt>
                <c:pt idx="41">
                  <c:v>0.59800000000000009</c:v>
                </c:pt>
                <c:pt idx="42">
                  <c:v>0.72266666666666668</c:v>
                </c:pt>
                <c:pt idx="43">
                  <c:v>0.92</c:v>
                </c:pt>
                <c:pt idx="44">
                  <c:v>0.92066666666666663</c:v>
                </c:pt>
                <c:pt idx="45">
                  <c:v>0.69233333333333336</c:v>
                </c:pt>
                <c:pt idx="46">
                  <c:v>0.69866666666666666</c:v>
                </c:pt>
                <c:pt idx="47">
                  <c:v>0.67333333333333334</c:v>
                </c:pt>
                <c:pt idx="48">
                  <c:v>0.625</c:v>
                </c:pt>
                <c:pt idx="49">
                  <c:v>0.19233333333333336</c:v>
                </c:pt>
                <c:pt idx="50">
                  <c:v>0.21666666666666667</c:v>
                </c:pt>
                <c:pt idx="51">
                  <c:v>0.22266666666666668</c:v>
                </c:pt>
                <c:pt idx="52">
                  <c:v>0.20066666666666666</c:v>
                </c:pt>
                <c:pt idx="53">
                  <c:v>0.13366666666666668</c:v>
                </c:pt>
                <c:pt idx="54">
                  <c:v>0.10300000000000001</c:v>
                </c:pt>
                <c:pt idx="55">
                  <c:v>8.2000000000000003E-2</c:v>
                </c:pt>
                <c:pt idx="56">
                  <c:v>5.6000000000000001E-2</c:v>
                </c:pt>
                <c:pt idx="57">
                  <c:v>0.17833333333333334</c:v>
                </c:pt>
                <c:pt idx="58">
                  <c:v>0.16333333333333336</c:v>
                </c:pt>
                <c:pt idx="59">
                  <c:v>0.19400000000000001</c:v>
                </c:pt>
                <c:pt idx="60">
                  <c:v>0.27</c:v>
                </c:pt>
                <c:pt idx="61">
                  <c:v>0.41400000000000003</c:v>
                </c:pt>
                <c:pt idx="62">
                  <c:v>0.50800000000000012</c:v>
                </c:pt>
                <c:pt idx="63">
                  <c:v>0.46500000000000002</c:v>
                </c:pt>
                <c:pt idx="64">
                  <c:v>0.44600000000000006</c:v>
                </c:pt>
                <c:pt idx="65">
                  <c:v>0.503</c:v>
                </c:pt>
                <c:pt idx="66">
                  <c:v>0.54366666666666674</c:v>
                </c:pt>
                <c:pt idx="67">
                  <c:v>0.57433333333333336</c:v>
                </c:pt>
                <c:pt idx="68">
                  <c:v>0.46533333333333327</c:v>
                </c:pt>
                <c:pt idx="69">
                  <c:v>0.3736666666666667</c:v>
                </c:pt>
                <c:pt idx="70">
                  <c:v>0.36233333333333334</c:v>
                </c:pt>
                <c:pt idx="71">
                  <c:v>0.38366666666666666</c:v>
                </c:pt>
                <c:pt idx="72">
                  <c:v>0.45733333333333342</c:v>
                </c:pt>
                <c:pt idx="73">
                  <c:v>0.37833333333333341</c:v>
                </c:pt>
                <c:pt idx="74">
                  <c:v>0.49333333333333335</c:v>
                </c:pt>
                <c:pt idx="75">
                  <c:v>0.48700000000000004</c:v>
                </c:pt>
                <c:pt idx="76">
                  <c:v>0.53200000000000003</c:v>
                </c:pt>
                <c:pt idx="77">
                  <c:v>0.55100000000000005</c:v>
                </c:pt>
                <c:pt idx="78">
                  <c:v>0.54800000000000004</c:v>
                </c:pt>
                <c:pt idx="79">
                  <c:v>0.54466666666666663</c:v>
                </c:pt>
                <c:pt idx="80">
                  <c:v>0.52233333333333332</c:v>
                </c:pt>
                <c:pt idx="81">
                  <c:v>0.53833333333333333</c:v>
                </c:pt>
                <c:pt idx="82">
                  <c:v>0.55100000000000005</c:v>
                </c:pt>
                <c:pt idx="83">
                  <c:v>0.56066666666666665</c:v>
                </c:pt>
                <c:pt idx="84">
                  <c:v>0.57366666666666666</c:v>
                </c:pt>
                <c:pt idx="85">
                  <c:v>0.58000000000000007</c:v>
                </c:pt>
                <c:pt idx="86">
                  <c:v>0.58333333333333326</c:v>
                </c:pt>
                <c:pt idx="87">
                  <c:v>0.57666666666666677</c:v>
                </c:pt>
                <c:pt idx="88">
                  <c:v>0.56399999999999995</c:v>
                </c:pt>
                <c:pt idx="89">
                  <c:v>0.54166666666666674</c:v>
                </c:pt>
                <c:pt idx="90">
                  <c:v>0.51900000000000002</c:v>
                </c:pt>
                <c:pt idx="91">
                  <c:v>0.49033333333333334</c:v>
                </c:pt>
                <c:pt idx="92">
                  <c:v>0.44866666666666671</c:v>
                </c:pt>
                <c:pt idx="93">
                  <c:v>0.42933333333333334</c:v>
                </c:pt>
                <c:pt idx="94">
                  <c:v>0.4326666666666667</c:v>
                </c:pt>
                <c:pt idx="95">
                  <c:v>0.4356666666666667</c:v>
                </c:pt>
                <c:pt idx="96">
                  <c:v>0.439</c:v>
                </c:pt>
                <c:pt idx="97">
                  <c:v>0.442</c:v>
                </c:pt>
                <c:pt idx="98">
                  <c:v>0.44533333333333336</c:v>
                </c:pt>
                <c:pt idx="99">
                  <c:v>0.46133333333333337</c:v>
                </c:pt>
                <c:pt idx="100">
                  <c:v>0.47100000000000003</c:v>
                </c:pt>
                <c:pt idx="101">
                  <c:v>0.47733333333333333</c:v>
                </c:pt>
                <c:pt idx="102">
                  <c:v>0.46466666666666673</c:v>
                </c:pt>
                <c:pt idx="103">
                  <c:v>0.45500000000000002</c:v>
                </c:pt>
                <c:pt idx="104">
                  <c:v>0.46466666666666673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4A-4669-9D12-9CADF7940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'面板-景气指数'!$A$49</c:f>
              <c:strCache>
                <c:ptCount val="1"/>
                <c:pt idx="0">
                  <c:v>纺织服饰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'面板-景气指数'!$F$49:$DF$49</c:f>
              <c:numCache>
                <c:formatCode>0.0%</c:formatCode>
                <c:ptCount val="105"/>
                <c:pt idx="0">
                  <c:v>0.34787850864032277</c:v>
                </c:pt>
                <c:pt idx="1">
                  <c:v>0.34634799393019838</c:v>
                </c:pt>
                <c:pt idx="2">
                  <c:v>0.41546777172997057</c:v>
                </c:pt>
                <c:pt idx="3">
                  <c:v>0.43234698239569702</c:v>
                </c:pt>
                <c:pt idx="4">
                  <c:v>0.48006638890262082</c:v>
                </c:pt>
                <c:pt idx="5">
                  <c:v>0.45894570740712459</c:v>
                </c:pt>
                <c:pt idx="6">
                  <c:v>0.53321665414320263</c:v>
                </c:pt>
                <c:pt idx="7">
                  <c:v>0.55283549774962581</c:v>
                </c:pt>
                <c:pt idx="8">
                  <c:v>0.75509103737440053</c:v>
                </c:pt>
                <c:pt idx="9">
                  <c:v>0.67489409711496529</c:v>
                </c:pt>
                <c:pt idx="10">
                  <c:v>0.64036921879120157</c:v>
                </c:pt>
                <c:pt idx="11">
                  <c:v>0.57373248295151735</c:v>
                </c:pt>
                <c:pt idx="12">
                  <c:v>0.53745165075750179</c:v>
                </c:pt>
                <c:pt idx="13">
                  <c:v>0.44038629092629045</c:v>
                </c:pt>
                <c:pt idx="14">
                  <c:v>0.41150022072024112</c:v>
                </c:pt>
                <c:pt idx="15">
                  <c:v>0.46927912895479595</c:v>
                </c:pt>
                <c:pt idx="16">
                  <c:v>0.55994708702267704</c:v>
                </c:pt>
                <c:pt idx="17">
                  <c:v>0.60197832866614698</c:v>
                </c:pt>
                <c:pt idx="18">
                  <c:v>0.58907267105426486</c:v>
                </c:pt>
                <c:pt idx="19">
                  <c:v>0.55405190241709368</c:v>
                </c:pt>
                <c:pt idx="20">
                  <c:v>0.15547020535170872</c:v>
                </c:pt>
                <c:pt idx="21">
                  <c:v>0.16583353228656111</c:v>
                </c:pt>
                <c:pt idx="22">
                  <c:v>0.20373316538413211</c:v>
                </c:pt>
                <c:pt idx="23">
                  <c:v>0.30054411940042153</c:v>
                </c:pt>
                <c:pt idx="24">
                  <c:v>0.39892345952263286</c:v>
                </c:pt>
                <c:pt idx="25">
                  <c:v>0.53708046604086801</c:v>
                </c:pt>
                <c:pt idx="26">
                  <c:v>0.57245023612592782</c:v>
                </c:pt>
                <c:pt idx="27">
                  <c:v>0.55666759845391955</c:v>
                </c:pt>
                <c:pt idx="28">
                  <c:v>0.32402198966919998</c:v>
                </c:pt>
                <c:pt idx="29">
                  <c:v>0.31404462722561671</c:v>
                </c:pt>
                <c:pt idx="30">
                  <c:v>0.29331527339443908</c:v>
                </c:pt>
                <c:pt idx="31">
                  <c:v>0.3689470968149432</c:v>
                </c:pt>
                <c:pt idx="32">
                  <c:v>0.56315156970090285</c:v>
                </c:pt>
                <c:pt idx="33">
                  <c:v>0.63124730103860094</c:v>
                </c:pt>
                <c:pt idx="34">
                  <c:v>0.68221504805465871</c:v>
                </c:pt>
                <c:pt idx="35">
                  <c:v>0.7093989399747902</c:v>
                </c:pt>
                <c:pt idx="36">
                  <c:v>0.71421625241258868</c:v>
                </c:pt>
                <c:pt idx="37">
                  <c:v>0.72296107814833233</c:v>
                </c:pt>
                <c:pt idx="38">
                  <c:v>0.78898915154367988</c:v>
                </c:pt>
                <c:pt idx="39">
                  <c:v>0.84057437860133821</c:v>
                </c:pt>
                <c:pt idx="40">
                  <c:v>0.87233858542415743</c:v>
                </c:pt>
                <c:pt idx="41">
                  <c:v>0.88586104157388745</c:v>
                </c:pt>
                <c:pt idx="42">
                  <c:v>0.94768701924260745</c:v>
                </c:pt>
                <c:pt idx="43">
                  <c:v>0.92972115290724866</c:v>
                </c:pt>
                <c:pt idx="44">
                  <c:v>0.78430793448305014</c:v>
                </c:pt>
                <c:pt idx="45">
                  <c:v>0.69136126792509489</c:v>
                </c:pt>
                <c:pt idx="46">
                  <c:v>0.6908426042722059</c:v>
                </c:pt>
                <c:pt idx="47">
                  <c:v>0.68872900375765789</c:v>
                </c:pt>
                <c:pt idx="48">
                  <c:v>0.63722890877226213</c:v>
                </c:pt>
                <c:pt idx="49">
                  <c:v>0.55225803312712918</c:v>
                </c:pt>
                <c:pt idx="50">
                  <c:v>0.40835089412948028</c:v>
                </c:pt>
                <c:pt idx="51">
                  <c:v>0.29586017438036388</c:v>
                </c:pt>
                <c:pt idx="52">
                  <c:v>0.17961161572496762</c:v>
                </c:pt>
                <c:pt idx="53">
                  <c:v>0.14260928879434667</c:v>
                </c:pt>
                <c:pt idx="54">
                  <c:v>5.3009714217125907E-2</c:v>
                </c:pt>
                <c:pt idx="55">
                  <c:v>6.3640174638381203E-2</c:v>
                </c:pt>
                <c:pt idx="56">
                  <c:v>0.33368356407530397</c:v>
                </c:pt>
                <c:pt idx="57">
                  <c:v>0.47772485943278098</c:v>
                </c:pt>
                <c:pt idx="58">
                  <c:v>0.38502294995530606</c:v>
                </c:pt>
                <c:pt idx="59">
                  <c:v>0.29431256916433091</c:v>
                </c:pt>
                <c:pt idx="60">
                  <c:v>0.27434789152422989</c:v>
                </c:pt>
                <c:pt idx="61">
                  <c:v>0.31417050359681031</c:v>
                </c:pt>
                <c:pt idx="62">
                  <c:v>0.36538950790868946</c:v>
                </c:pt>
                <c:pt idx="63">
                  <c:v>0.42376323943195338</c:v>
                </c:pt>
                <c:pt idx="64">
                  <c:v>0.41497337327576156</c:v>
                </c:pt>
                <c:pt idx="65">
                  <c:v>0.47019777016638675</c:v>
                </c:pt>
                <c:pt idx="66">
                  <c:v>0.39520401302924579</c:v>
                </c:pt>
                <c:pt idx="67">
                  <c:v>0.42365606950940293</c:v>
                </c:pt>
                <c:pt idx="68">
                  <c:v>0.33258453260350929</c:v>
                </c:pt>
                <c:pt idx="69">
                  <c:v>0.40648564011419197</c:v>
                </c:pt>
                <c:pt idx="70">
                  <c:v>0.40360641330278518</c:v>
                </c:pt>
                <c:pt idx="71">
                  <c:v>0.46439394697582731</c:v>
                </c:pt>
                <c:pt idx="72">
                  <c:v>0.52360731225512203</c:v>
                </c:pt>
                <c:pt idx="73">
                  <c:v>0.57625066402154335</c:v>
                </c:pt>
                <c:pt idx="74">
                  <c:v>0.58729698722887391</c:v>
                </c:pt>
                <c:pt idx="75">
                  <c:v>0.53607456114330043</c:v>
                </c:pt>
                <c:pt idx="76">
                  <c:v>0.50808592449861301</c:v>
                </c:pt>
                <c:pt idx="77">
                  <c:v>0.49033650454693245</c:v>
                </c:pt>
                <c:pt idx="78">
                  <c:v>0.58649599347072123</c:v>
                </c:pt>
                <c:pt idx="79">
                  <c:v>0.63205877096118257</c:v>
                </c:pt>
                <c:pt idx="80">
                  <c:v>0.59681696298351983</c:v>
                </c:pt>
                <c:pt idx="81">
                  <c:v>0.52050307437736043</c:v>
                </c:pt>
                <c:pt idx="82">
                  <c:v>0.53686071065143193</c:v>
                </c:pt>
                <c:pt idx="83">
                  <c:v>0.56148601295514311</c:v>
                </c:pt>
                <c:pt idx="84">
                  <c:v>0.53640750973111573</c:v>
                </c:pt>
                <c:pt idx="85">
                  <c:v>0.53255534139949889</c:v>
                </c:pt>
                <c:pt idx="86">
                  <c:v>0.52677144324154512</c:v>
                </c:pt>
                <c:pt idx="87">
                  <c:v>0.55594873555400715</c:v>
                </c:pt>
                <c:pt idx="88">
                  <c:v>0.59410426919484871</c:v>
                </c:pt>
                <c:pt idx="89">
                  <c:v>0.6526982116997555</c:v>
                </c:pt>
                <c:pt idx="90">
                  <c:v>0.59136015971466971</c:v>
                </c:pt>
                <c:pt idx="91">
                  <c:v>0.59189854997879565</c:v>
                </c:pt>
                <c:pt idx="92">
                  <c:v>0.56362606487438283</c:v>
                </c:pt>
                <c:pt idx="93">
                  <c:v>0.58062253885763793</c:v>
                </c:pt>
                <c:pt idx="94">
                  <c:v>0.55361701114809425</c:v>
                </c:pt>
                <c:pt idx="95">
                  <c:v>0.54784118416654071</c:v>
                </c:pt>
                <c:pt idx="96">
                  <c:v>0.4964124658645907</c:v>
                </c:pt>
                <c:pt idx="97">
                  <c:v>0.46335697203888915</c:v>
                </c:pt>
                <c:pt idx="98">
                  <c:v>0.44640961192674877</c:v>
                </c:pt>
                <c:pt idx="99">
                  <c:v>0.41053528550473123</c:v>
                </c:pt>
                <c:pt idx="100">
                  <c:v>0.41673529076828075</c:v>
                </c:pt>
                <c:pt idx="101">
                  <c:v>0.37371354397783335</c:v>
                </c:pt>
                <c:pt idx="102">
                  <c:v>0.37804083642549635</c:v>
                </c:pt>
                <c:pt idx="103">
                  <c:v>0.30571732899837001</c:v>
                </c:pt>
                <c:pt idx="104">
                  <c:v>0.40862184277694924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8FF-8838-756B3FA568EF}"/>
            </c:ext>
          </c:extLst>
        </c:ser>
        <c:ser>
          <c:idx val="1"/>
          <c:order val="1"/>
          <c:tx>
            <c:strRef>
              <c:f>'面板-景气指数'!$A$131</c:f>
              <c:strCache>
                <c:ptCount val="1"/>
                <c:pt idx="0">
                  <c:v>纺织制造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'面板-景气指数'!$F$131:$DF$131</c:f>
              <c:numCache>
                <c:formatCode>0.0%</c:formatCode>
                <c:ptCount val="105"/>
                <c:pt idx="0">
                  <c:v>0.31240000000000001</c:v>
                </c:pt>
                <c:pt idx="1">
                  <c:v>0.29860000000000003</c:v>
                </c:pt>
                <c:pt idx="2">
                  <c:v>0.39480000000000004</c:v>
                </c:pt>
                <c:pt idx="3">
                  <c:v>0.44099999999999995</c:v>
                </c:pt>
                <c:pt idx="4">
                  <c:v>0.46399999999999997</c:v>
                </c:pt>
                <c:pt idx="5">
                  <c:v>0.39999999999999997</c:v>
                </c:pt>
                <c:pt idx="6">
                  <c:v>0.43659999999999999</c:v>
                </c:pt>
                <c:pt idx="7">
                  <c:v>0.42159999999999997</c:v>
                </c:pt>
                <c:pt idx="8">
                  <c:v>0.67999999999999994</c:v>
                </c:pt>
                <c:pt idx="9">
                  <c:v>0.58919999999999995</c:v>
                </c:pt>
                <c:pt idx="10">
                  <c:v>0.59060000000000001</c:v>
                </c:pt>
                <c:pt idx="11">
                  <c:v>0.51339999999999997</c:v>
                </c:pt>
                <c:pt idx="12">
                  <c:v>0.42880000000000007</c:v>
                </c:pt>
                <c:pt idx="13">
                  <c:v>0.38459999999999994</c:v>
                </c:pt>
                <c:pt idx="14">
                  <c:v>0.31699999999999995</c:v>
                </c:pt>
                <c:pt idx="15">
                  <c:v>0.28639999999999999</c:v>
                </c:pt>
                <c:pt idx="16">
                  <c:v>0.2712</c:v>
                </c:pt>
                <c:pt idx="17">
                  <c:v>0.30799999999999994</c:v>
                </c:pt>
                <c:pt idx="18">
                  <c:v>0.30400000000000005</c:v>
                </c:pt>
                <c:pt idx="19">
                  <c:v>0.37879999999999997</c:v>
                </c:pt>
                <c:pt idx="20">
                  <c:v>0.22640000000000002</c:v>
                </c:pt>
                <c:pt idx="21">
                  <c:v>0.20539999999999997</c:v>
                </c:pt>
                <c:pt idx="22">
                  <c:v>0.20559999999999998</c:v>
                </c:pt>
                <c:pt idx="23">
                  <c:v>0.27300000000000002</c:v>
                </c:pt>
                <c:pt idx="24">
                  <c:v>0.39819999999999994</c:v>
                </c:pt>
                <c:pt idx="25">
                  <c:v>0.53320000000000001</c:v>
                </c:pt>
                <c:pt idx="26">
                  <c:v>0.58139999999999992</c:v>
                </c:pt>
                <c:pt idx="27">
                  <c:v>0.66459999999999997</c:v>
                </c:pt>
                <c:pt idx="28">
                  <c:v>0.68359999999999999</c:v>
                </c:pt>
                <c:pt idx="29">
                  <c:v>0.72419999999999995</c:v>
                </c:pt>
                <c:pt idx="30">
                  <c:v>0.68520000000000003</c:v>
                </c:pt>
                <c:pt idx="31">
                  <c:v>0.74719999999999986</c:v>
                </c:pt>
                <c:pt idx="32">
                  <c:v>0.75299999999999989</c:v>
                </c:pt>
                <c:pt idx="33">
                  <c:v>0.7722</c:v>
                </c:pt>
                <c:pt idx="34">
                  <c:v>0.76639999999999997</c:v>
                </c:pt>
                <c:pt idx="35">
                  <c:v>0.71019999999999994</c:v>
                </c:pt>
                <c:pt idx="36">
                  <c:v>0.63280000000000003</c:v>
                </c:pt>
                <c:pt idx="37">
                  <c:v>0.61099999999999999</c:v>
                </c:pt>
                <c:pt idx="38">
                  <c:v>0.65720000000000001</c:v>
                </c:pt>
                <c:pt idx="39">
                  <c:v>0.7248</c:v>
                </c:pt>
                <c:pt idx="40">
                  <c:v>0.7397999999999999</c:v>
                </c:pt>
                <c:pt idx="41">
                  <c:v>0.75739999999999985</c:v>
                </c:pt>
                <c:pt idx="42">
                  <c:v>0.93419999999999992</c:v>
                </c:pt>
                <c:pt idx="43">
                  <c:v>0.90739999999999998</c:v>
                </c:pt>
                <c:pt idx="44">
                  <c:v>0.70359999999999989</c:v>
                </c:pt>
                <c:pt idx="45">
                  <c:v>0.52999999999999992</c:v>
                </c:pt>
                <c:pt idx="46">
                  <c:v>0.55320000000000003</c:v>
                </c:pt>
                <c:pt idx="47">
                  <c:v>0.57640000000000002</c:v>
                </c:pt>
                <c:pt idx="48">
                  <c:v>0.55320000000000003</c:v>
                </c:pt>
                <c:pt idx="49">
                  <c:v>0.4244</c:v>
                </c:pt>
                <c:pt idx="50">
                  <c:v>0.35539999999999994</c:v>
                </c:pt>
                <c:pt idx="51">
                  <c:v>0.313</c:v>
                </c:pt>
                <c:pt idx="52">
                  <c:v>0.25719999999999998</c:v>
                </c:pt>
                <c:pt idx="53">
                  <c:v>0.22079999999999997</c:v>
                </c:pt>
                <c:pt idx="54">
                  <c:v>9.219999999999999E-2</c:v>
                </c:pt>
                <c:pt idx="55">
                  <c:v>9.3799999999999994E-2</c:v>
                </c:pt>
                <c:pt idx="56">
                  <c:v>0.28800000000000003</c:v>
                </c:pt>
                <c:pt idx="57">
                  <c:v>0.41</c:v>
                </c:pt>
                <c:pt idx="58">
                  <c:v>0.32759999999999995</c:v>
                </c:pt>
                <c:pt idx="59">
                  <c:v>0.22120000000000001</c:v>
                </c:pt>
                <c:pt idx="60">
                  <c:v>0.2462</c:v>
                </c:pt>
                <c:pt idx="61">
                  <c:v>0.26779999999999998</c:v>
                </c:pt>
                <c:pt idx="62">
                  <c:v>0.2918</c:v>
                </c:pt>
                <c:pt idx="63">
                  <c:v>0.27559999999999996</c:v>
                </c:pt>
                <c:pt idx="64">
                  <c:v>0.26579999999999998</c:v>
                </c:pt>
                <c:pt idx="65">
                  <c:v>0.41459999999999997</c:v>
                </c:pt>
                <c:pt idx="66">
                  <c:v>0.39259999999999995</c:v>
                </c:pt>
                <c:pt idx="67">
                  <c:v>0.4526</c:v>
                </c:pt>
                <c:pt idx="68">
                  <c:v>0.34060000000000001</c:v>
                </c:pt>
                <c:pt idx="69">
                  <c:v>0.5122000000000001</c:v>
                </c:pt>
                <c:pt idx="70">
                  <c:v>0.52179999999999993</c:v>
                </c:pt>
                <c:pt idx="71">
                  <c:v>0.59320000000000006</c:v>
                </c:pt>
                <c:pt idx="72">
                  <c:v>0.62960000000000005</c:v>
                </c:pt>
                <c:pt idx="73">
                  <c:v>0.68759999999999999</c:v>
                </c:pt>
                <c:pt idx="74">
                  <c:v>0.70100000000000007</c:v>
                </c:pt>
                <c:pt idx="75">
                  <c:v>0.70279999999999987</c:v>
                </c:pt>
                <c:pt idx="76">
                  <c:v>0.68159999999999987</c:v>
                </c:pt>
                <c:pt idx="77">
                  <c:v>0.56540000000000001</c:v>
                </c:pt>
                <c:pt idx="78">
                  <c:v>0.62799999999999989</c:v>
                </c:pt>
                <c:pt idx="79">
                  <c:v>0.60699999999999998</c:v>
                </c:pt>
                <c:pt idx="80">
                  <c:v>0.6110000000000001</c:v>
                </c:pt>
                <c:pt idx="81">
                  <c:v>0.55859999999999987</c:v>
                </c:pt>
                <c:pt idx="82">
                  <c:v>0.5796</c:v>
                </c:pt>
                <c:pt idx="83">
                  <c:v>0.58760000000000001</c:v>
                </c:pt>
                <c:pt idx="84">
                  <c:v>0.52379999999999982</c:v>
                </c:pt>
                <c:pt idx="85">
                  <c:v>0.51219999999999988</c:v>
                </c:pt>
                <c:pt idx="86">
                  <c:v>0.53119999999999989</c:v>
                </c:pt>
                <c:pt idx="87">
                  <c:v>0.60239999999999994</c:v>
                </c:pt>
                <c:pt idx="88">
                  <c:v>0.66399999999999992</c:v>
                </c:pt>
                <c:pt idx="89">
                  <c:v>0.71999999999999986</c:v>
                </c:pt>
                <c:pt idx="90">
                  <c:v>0.61539999999999995</c:v>
                </c:pt>
                <c:pt idx="91">
                  <c:v>0.59440000000000004</c:v>
                </c:pt>
                <c:pt idx="92">
                  <c:v>0.5706</c:v>
                </c:pt>
                <c:pt idx="93">
                  <c:v>0.63300000000000001</c:v>
                </c:pt>
                <c:pt idx="94">
                  <c:v>0.58839999999999992</c:v>
                </c:pt>
                <c:pt idx="95">
                  <c:v>0.56719999999999993</c:v>
                </c:pt>
                <c:pt idx="96">
                  <c:v>0.5593999999999999</c:v>
                </c:pt>
                <c:pt idx="97">
                  <c:v>0.51700000000000002</c:v>
                </c:pt>
                <c:pt idx="98">
                  <c:v>0.5232</c:v>
                </c:pt>
                <c:pt idx="99">
                  <c:v>0.45400000000000001</c:v>
                </c:pt>
                <c:pt idx="100">
                  <c:v>0.40219999999999995</c:v>
                </c:pt>
                <c:pt idx="101">
                  <c:v>0.432</c:v>
                </c:pt>
                <c:pt idx="102">
                  <c:v>0.4274</c:v>
                </c:pt>
                <c:pt idx="103">
                  <c:v>0.43119999999999997</c:v>
                </c:pt>
                <c:pt idx="104">
                  <c:v>0.42079999999999995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93-48FF-8838-756B3FA568EF}"/>
            </c:ext>
          </c:extLst>
        </c:ser>
        <c:ser>
          <c:idx val="2"/>
          <c:order val="2"/>
          <c:tx>
            <c:strRef>
              <c:f>'面板-景气指数'!$A$132</c:f>
              <c:strCache>
                <c:ptCount val="1"/>
                <c:pt idx="0">
                  <c:v>服装家纺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'面板-景气指数'!$F$132:$DF$132</c:f>
              <c:numCache>
                <c:formatCode>0.0%</c:formatCode>
                <c:ptCount val="105"/>
                <c:pt idx="0">
                  <c:v>0.52200000000000002</c:v>
                </c:pt>
                <c:pt idx="1">
                  <c:v>0.51999999999999991</c:v>
                </c:pt>
                <c:pt idx="2">
                  <c:v>0.52580000000000005</c:v>
                </c:pt>
                <c:pt idx="3">
                  <c:v>0.54320000000000002</c:v>
                </c:pt>
                <c:pt idx="4">
                  <c:v>0.54900000000000004</c:v>
                </c:pt>
                <c:pt idx="5">
                  <c:v>0.50859999999999994</c:v>
                </c:pt>
                <c:pt idx="6">
                  <c:v>0.57579999999999998</c:v>
                </c:pt>
                <c:pt idx="7">
                  <c:v>0.63159999999999994</c:v>
                </c:pt>
                <c:pt idx="8">
                  <c:v>0.65759999999999996</c:v>
                </c:pt>
                <c:pt idx="9">
                  <c:v>0.54120000000000001</c:v>
                </c:pt>
                <c:pt idx="10">
                  <c:v>0.49000000000000005</c:v>
                </c:pt>
                <c:pt idx="11">
                  <c:v>0.45080000000000003</c:v>
                </c:pt>
                <c:pt idx="12">
                  <c:v>0.42880000000000001</c:v>
                </c:pt>
                <c:pt idx="13">
                  <c:v>0.41940000000000005</c:v>
                </c:pt>
                <c:pt idx="14">
                  <c:v>0.40460000000000002</c:v>
                </c:pt>
                <c:pt idx="15">
                  <c:v>0.38500000000000001</c:v>
                </c:pt>
                <c:pt idx="16">
                  <c:v>0.46820000000000012</c:v>
                </c:pt>
                <c:pt idx="17">
                  <c:v>0.52600000000000002</c:v>
                </c:pt>
                <c:pt idx="18">
                  <c:v>0.47760000000000002</c:v>
                </c:pt>
                <c:pt idx="19">
                  <c:v>0.33179999999999998</c:v>
                </c:pt>
                <c:pt idx="20">
                  <c:v>0.18559999999999999</c:v>
                </c:pt>
                <c:pt idx="21">
                  <c:v>0.15279999999999999</c:v>
                </c:pt>
                <c:pt idx="22">
                  <c:v>0.15040000000000001</c:v>
                </c:pt>
                <c:pt idx="23">
                  <c:v>0.15839999999999999</c:v>
                </c:pt>
                <c:pt idx="24">
                  <c:v>0.18499999999999997</c:v>
                </c:pt>
                <c:pt idx="25">
                  <c:v>0.30980000000000002</c:v>
                </c:pt>
                <c:pt idx="26">
                  <c:v>0.34060000000000001</c:v>
                </c:pt>
                <c:pt idx="27">
                  <c:v>0.32700000000000007</c:v>
                </c:pt>
                <c:pt idx="28">
                  <c:v>0.26580000000000004</c:v>
                </c:pt>
                <c:pt idx="29">
                  <c:v>0.2404</c:v>
                </c:pt>
                <c:pt idx="30">
                  <c:v>0.23360000000000006</c:v>
                </c:pt>
                <c:pt idx="31">
                  <c:v>0.36160000000000009</c:v>
                </c:pt>
                <c:pt idx="32">
                  <c:v>0.42960000000000004</c:v>
                </c:pt>
                <c:pt idx="33">
                  <c:v>0.51900000000000013</c:v>
                </c:pt>
                <c:pt idx="34">
                  <c:v>0.55740000000000001</c:v>
                </c:pt>
                <c:pt idx="35">
                  <c:v>0.61480000000000001</c:v>
                </c:pt>
                <c:pt idx="36">
                  <c:v>0.67259999999999998</c:v>
                </c:pt>
                <c:pt idx="37">
                  <c:v>0.70460000000000012</c:v>
                </c:pt>
                <c:pt idx="38">
                  <c:v>0.80160000000000009</c:v>
                </c:pt>
                <c:pt idx="39">
                  <c:v>0.86939999999999995</c:v>
                </c:pt>
                <c:pt idx="40">
                  <c:v>0.91700000000000004</c:v>
                </c:pt>
                <c:pt idx="41">
                  <c:v>0.90459999999999996</c:v>
                </c:pt>
                <c:pt idx="42">
                  <c:v>0.92079999999999995</c:v>
                </c:pt>
                <c:pt idx="43">
                  <c:v>0.88500000000000012</c:v>
                </c:pt>
                <c:pt idx="44">
                  <c:v>0.84719999999999995</c:v>
                </c:pt>
                <c:pt idx="45">
                  <c:v>0.64960000000000007</c:v>
                </c:pt>
                <c:pt idx="46">
                  <c:v>0.64660000000000006</c:v>
                </c:pt>
                <c:pt idx="47">
                  <c:v>0.61440000000000006</c:v>
                </c:pt>
                <c:pt idx="48">
                  <c:v>0.55499999999999994</c:v>
                </c:pt>
                <c:pt idx="49">
                  <c:v>0.45519999999999999</c:v>
                </c:pt>
                <c:pt idx="50">
                  <c:v>0.31300000000000006</c:v>
                </c:pt>
                <c:pt idx="51">
                  <c:v>0.24380000000000007</c:v>
                </c:pt>
                <c:pt idx="52">
                  <c:v>0.1832</c:v>
                </c:pt>
                <c:pt idx="53">
                  <c:v>0.16439999999999999</c:v>
                </c:pt>
                <c:pt idx="54">
                  <c:v>5.2000000000000005E-2</c:v>
                </c:pt>
                <c:pt idx="55">
                  <c:v>9.6200000000000022E-2</c:v>
                </c:pt>
                <c:pt idx="56">
                  <c:v>0.27020000000000005</c:v>
                </c:pt>
                <c:pt idx="57">
                  <c:v>0.63740000000000008</c:v>
                </c:pt>
                <c:pt idx="58">
                  <c:v>0.54920000000000002</c:v>
                </c:pt>
                <c:pt idx="59">
                  <c:v>0.49440000000000012</c:v>
                </c:pt>
                <c:pt idx="60">
                  <c:v>0.47240000000000004</c:v>
                </c:pt>
                <c:pt idx="61">
                  <c:v>0.54440000000000011</c:v>
                </c:pt>
                <c:pt idx="62">
                  <c:v>0.55080000000000007</c:v>
                </c:pt>
                <c:pt idx="63">
                  <c:v>0.59160000000000001</c:v>
                </c:pt>
                <c:pt idx="64">
                  <c:v>0.55800000000000005</c:v>
                </c:pt>
                <c:pt idx="65">
                  <c:v>0.6482</c:v>
                </c:pt>
                <c:pt idx="66">
                  <c:v>0.55940000000000001</c:v>
                </c:pt>
                <c:pt idx="67">
                  <c:v>0.57020000000000004</c:v>
                </c:pt>
                <c:pt idx="68">
                  <c:v>0.51</c:v>
                </c:pt>
                <c:pt idx="69">
                  <c:v>0.53700000000000003</c:v>
                </c:pt>
                <c:pt idx="70">
                  <c:v>0.56520000000000004</c:v>
                </c:pt>
                <c:pt idx="71">
                  <c:v>0.62</c:v>
                </c:pt>
                <c:pt idx="72">
                  <c:v>0.64600000000000002</c:v>
                </c:pt>
                <c:pt idx="73">
                  <c:v>0.66379999999999995</c:v>
                </c:pt>
                <c:pt idx="74">
                  <c:v>0.70860000000000012</c:v>
                </c:pt>
                <c:pt idx="75">
                  <c:v>0.69940000000000002</c:v>
                </c:pt>
                <c:pt idx="76">
                  <c:v>0.68380000000000007</c:v>
                </c:pt>
                <c:pt idx="77">
                  <c:v>0.62559999999999993</c:v>
                </c:pt>
                <c:pt idx="78">
                  <c:v>0.78159999999999996</c:v>
                </c:pt>
                <c:pt idx="79">
                  <c:v>0.74820000000000009</c:v>
                </c:pt>
                <c:pt idx="80">
                  <c:v>0.76240000000000008</c:v>
                </c:pt>
                <c:pt idx="81">
                  <c:v>0.53860000000000008</c:v>
                </c:pt>
                <c:pt idx="82">
                  <c:v>0.55780000000000007</c:v>
                </c:pt>
                <c:pt idx="83">
                  <c:v>0.54820000000000002</c:v>
                </c:pt>
                <c:pt idx="84">
                  <c:v>0.47120000000000001</c:v>
                </c:pt>
                <c:pt idx="85">
                  <c:v>0.47899999999999993</c:v>
                </c:pt>
                <c:pt idx="86">
                  <c:v>0.46520000000000006</c:v>
                </c:pt>
                <c:pt idx="87">
                  <c:v>0.4788</c:v>
                </c:pt>
                <c:pt idx="88">
                  <c:v>0.48859999999999998</c:v>
                </c:pt>
                <c:pt idx="89">
                  <c:v>0.55780000000000007</c:v>
                </c:pt>
                <c:pt idx="90">
                  <c:v>0.49420000000000003</c:v>
                </c:pt>
                <c:pt idx="91">
                  <c:v>0.48659999999999998</c:v>
                </c:pt>
                <c:pt idx="92">
                  <c:v>0.40379999999999999</c:v>
                </c:pt>
                <c:pt idx="93">
                  <c:v>0.44240000000000002</c:v>
                </c:pt>
                <c:pt idx="94">
                  <c:v>0.42320000000000002</c:v>
                </c:pt>
                <c:pt idx="95">
                  <c:v>0.43259999999999998</c:v>
                </c:pt>
                <c:pt idx="96">
                  <c:v>0.41360000000000008</c:v>
                </c:pt>
                <c:pt idx="97">
                  <c:v>0.39240000000000003</c:v>
                </c:pt>
                <c:pt idx="98">
                  <c:v>0.39439999999999997</c:v>
                </c:pt>
                <c:pt idx="99">
                  <c:v>0.37899999999999995</c:v>
                </c:pt>
                <c:pt idx="100">
                  <c:v>0.41919999999999996</c:v>
                </c:pt>
                <c:pt idx="101">
                  <c:v>0.44439999999999991</c:v>
                </c:pt>
                <c:pt idx="102">
                  <c:v>0.42499999999999999</c:v>
                </c:pt>
                <c:pt idx="103">
                  <c:v>0.40020000000000011</c:v>
                </c:pt>
                <c:pt idx="104">
                  <c:v>0.31759999999999999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93-48FF-8838-756B3FA56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'面板-景气指数'!$A$52</c:f>
              <c:strCache>
                <c:ptCount val="1"/>
                <c:pt idx="0">
                  <c:v>轻工制造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'面板-景气指数'!$F$52:$DF$52</c:f>
              <c:numCache>
                <c:formatCode>0.0%</c:formatCode>
                <c:ptCount val="105"/>
                <c:pt idx="0">
                  <c:v>0.40321221679832286</c:v>
                </c:pt>
                <c:pt idx="1">
                  <c:v>0.38915915901822917</c:v>
                </c:pt>
                <c:pt idx="2">
                  <c:v>0.3665980506109548</c:v>
                </c:pt>
                <c:pt idx="3">
                  <c:v>0.32284808600479076</c:v>
                </c:pt>
                <c:pt idx="4">
                  <c:v>0.29939106527175541</c:v>
                </c:pt>
                <c:pt idx="5">
                  <c:v>0.2632044202269927</c:v>
                </c:pt>
                <c:pt idx="6">
                  <c:v>0.22016606256284796</c:v>
                </c:pt>
                <c:pt idx="7">
                  <c:v>0.24120635891844577</c:v>
                </c:pt>
                <c:pt idx="8">
                  <c:v>0.33372770007472985</c:v>
                </c:pt>
                <c:pt idx="9">
                  <c:v>0.35584519458417796</c:v>
                </c:pt>
                <c:pt idx="10">
                  <c:v>0.36683440047833682</c:v>
                </c:pt>
                <c:pt idx="11">
                  <c:v>0.35564298552821477</c:v>
                </c:pt>
                <c:pt idx="12">
                  <c:v>0.36730853591149254</c:v>
                </c:pt>
                <c:pt idx="13">
                  <c:v>0.34987092704671247</c:v>
                </c:pt>
                <c:pt idx="14">
                  <c:v>0.34543365463747305</c:v>
                </c:pt>
                <c:pt idx="15">
                  <c:v>0.33826946753945819</c:v>
                </c:pt>
                <c:pt idx="16">
                  <c:v>0.37345140479555095</c:v>
                </c:pt>
                <c:pt idx="17">
                  <c:v>0.41149959916846962</c:v>
                </c:pt>
                <c:pt idx="18">
                  <c:v>0.45053490434243981</c:v>
                </c:pt>
                <c:pt idx="19">
                  <c:v>0.47081946174415418</c:v>
                </c:pt>
                <c:pt idx="20">
                  <c:v>0.40148193652308789</c:v>
                </c:pt>
                <c:pt idx="21">
                  <c:v>0.34645717256538033</c:v>
                </c:pt>
                <c:pt idx="22">
                  <c:v>0.35631635753514501</c:v>
                </c:pt>
                <c:pt idx="23">
                  <c:v>0.3812854594656292</c:v>
                </c:pt>
                <c:pt idx="24">
                  <c:v>0.40150488918630545</c:v>
                </c:pt>
                <c:pt idx="25">
                  <c:v>0.4448346807020751</c:v>
                </c:pt>
                <c:pt idx="26">
                  <c:v>0.53929994848624963</c:v>
                </c:pt>
                <c:pt idx="27">
                  <c:v>0.57240344848026614</c:v>
                </c:pt>
                <c:pt idx="28">
                  <c:v>0.58912736994185111</c:v>
                </c:pt>
                <c:pt idx="29">
                  <c:v>0.62673396288781125</c:v>
                </c:pt>
                <c:pt idx="30">
                  <c:v>0.68418073181483119</c:v>
                </c:pt>
                <c:pt idx="31">
                  <c:v>0.73854701642639142</c:v>
                </c:pt>
                <c:pt idx="32">
                  <c:v>0.77563847305920663</c:v>
                </c:pt>
                <c:pt idx="33">
                  <c:v>0.81042388815013755</c:v>
                </c:pt>
                <c:pt idx="34">
                  <c:v>0.80874452598154412</c:v>
                </c:pt>
                <c:pt idx="35">
                  <c:v>0.81668390608470487</c:v>
                </c:pt>
                <c:pt idx="36">
                  <c:v>0.81633064692878377</c:v>
                </c:pt>
                <c:pt idx="37">
                  <c:v>0.83791450757224228</c:v>
                </c:pt>
                <c:pt idx="38">
                  <c:v>0.860391749113121</c:v>
                </c:pt>
                <c:pt idx="39">
                  <c:v>0.85147525430544513</c:v>
                </c:pt>
                <c:pt idx="40">
                  <c:v>0.82616768442256394</c:v>
                </c:pt>
                <c:pt idx="41">
                  <c:v>0.76293656830177703</c:v>
                </c:pt>
                <c:pt idx="42">
                  <c:v>0.76202296848959317</c:v>
                </c:pt>
                <c:pt idx="43">
                  <c:v>0.73465675240640416</c:v>
                </c:pt>
                <c:pt idx="44">
                  <c:v>0.69807355487057687</c:v>
                </c:pt>
                <c:pt idx="45">
                  <c:v>0.59220336406016416</c:v>
                </c:pt>
                <c:pt idx="46">
                  <c:v>0.54730428109575036</c:v>
                </c:pt>
                <c:pt idx="47">
                  <c:v>0.54054010314593226</c:v>
                </c:pt>
                <c:pt idx="48">
                  <c:v>0.48931939125227586</c:v>
                </c:pt>
                <c:pt idx="49">
                  <c:v>0.42595223636758717</c:v>
                </c:pt>
                <c:pt idx="50">
                  <c:v>0.37987828243742566</c:v>
                </c:pt>
                <c:pt idx="51">
                  <c:v>0.3124153245940422</c:v>
                </c:pt>
                <c:pt idx="52">
                  <c:v>0.29806716858472881</c:v>
                </c:pt>
                <c:pt idx="53">
                  <c:v>0.31783574912039964</c:v>
                </c:pt>
                <c:pt idx="54">
                  <c:v>0.29923749109886166</c:v>
                </c:pt>
                <c:pt idx="55">
                  <c:v>0.31539478876302857</c:v>
                </c:pt>
                <c:pt idx="56">
                  <c:v>0.24630396773747643</c:v>
                </c:pt>
                <c:pt idx="57">
                  <c:v>0.27897560690287349</c:v>
                </c:pt>
                <c:pt idx="58">
                  <c:v>0.26203503759048535</c:v>
                </c:pt>
                <c:pt idx="59">
                  <c:v>0.26280416045978716</c:v>
                </c:pt>
                <c:pt idx="60">
                  <c:v>0.27262678142495456</c:v>
                </c:pt>
                <c:pt idx="61">
                  <c:v>0.30313436410359207</c:v>
                </c:pt>
                <c:pt idx="62">
                  <c:v>0.33000309206456258</c:v>
                </c:pt>
                <c:pt idx="63">
                  <c:v>0.31680880919675442</c:v>
                </c:pt>
                <c:pt idx="64">
                  <c:v>0.34665875787681905</c:v>
                </c:pt>
                <c:pt idx="65">
                  <c:v>0.36569241336392411</c:v>
                </c:pt>
                <c:pt idx="66">
                  <c:v>0.40125023614765187</c:v>
                </c:pt>
                <c:pt idx="67">
                  <c:v>0.36959499120484052</c:v>
                </c:pt>
                <c:pt idx="68">
                  <c:v>0.47307073490810131</c:v>
                </c:pt>
                <c:pt idx="69">
                  <c:v>0.48269565698193984</c:v>
                </c:pt>
                <c:pt idx="70">
                  <c:v>0.50715602974562923</c:v>
                </c:pt>
                <c:pt idx="71">
                  <c:v>0.52418905207351685</c:v>
                </c:pt>
                <c:pt idx="72">
                  <c:v>0.549282587046244</c:v>
                </c:pt>
                <c:pt idx="73">
                  <c:v>0.60316523065276162</c:v>
                </c:pt>
                <c:pt idx="74">
                  <c:v>0.63052183921381511</c:v>
                </c:pt>
                <c:pt idx="75">
                  <c:v>0.65840426454707557</c:v>
                </c:pt>
                <c:pt idx="76">
                  <c:v>0.66543541517938798</c:v>
                </c:pt>
                <c:pt idx="77">
                  <c:v>0.67197366729586838</c:v>
                </c:pt>
                <c:pt idx="78">
                  <c:v>0.62261346449978006</c:v>
                </c:pt>
                <c:pt idx="79">
                  <c:v>0.65767299319090711</c:v>
                </c:pt>
                <c:pt idx="80">
                  <c:v>0.68122566390655637</c:v>
                </c:pt>
                <c:pt idx="81">
                  <c:v>0.70973259381907605</c:v>
                </c:pt>
                <c:pt idx="82">
                  <c:v>0.67099586178334092</c:v>
                </c:pt>
                <c:pt idx="83">
                  <c:v>0.64613592261836994</c:v>
                </c:pt>
                <c:pt idx="84">
                  <c:v>0.61167586032544397</c:v>
                </c:pt>
                <c:pt idx="85">
                  <c:v>0.60001013758736865</c:v>
                </c:pt>
                <c:pt idx="86">
                  <c:v>0.61099865404543474</c:v>
                </c:pt>
                <c:pt idx="87">
                  <c:v>0.59202195254508094</c:v>
                </c:pt>
                <c:pt idx="88">
                  <c:v>0.55802259098914675</c:v>
                </c:pt>
                <c:pt idx="89">
                  <c:v>0.56080276292442421</c:v>
                </c:pt>
                <c:pt idx="90">
                  <c:v>0.58722426097647862</c:v>
                </c:pt>
                <c:pt idx="91">
                  <c:v>0.58914026317204593</c:v>
                </c:pt>
                <c:pt idx="92">
                  <c:v>0.54674221343213369</c:v>
                </c:pt>
                <c:pt idx="93">
                  <c:v>0.50123902247667518</c:v>
                </c:pt>
                <c:pt idx="94">
                  <c:v>0.5214122857103809</c:v>
                </c:pt>
                <c:pt idx="95">
                  <c:v>0.48819912239456731</c:v>
                </c:pt>
                <c:pt idx="96">
                  <c:v>0.48498235846584209</c:v>
                </c:pt>
                <c:pt idx="97">
                  <c:v>0.45410753138123916</c:v>
                </c:pt>
                <c:pt idx="98">
                  <c:v>0.48470290664187865</c:v>
                </c:pt>
                <c:pt idx="99">
                  <c:v>0.48614051736593378</c:v>
                </c:pt>
                <c:pt idx="100">
                  <c:v>0.5012704750637077</c:v>
                </c:pt>
                <c:pt idx="101">
                  <c:v>0.48013491726609181</c:v>
                </c:pt>
                <c:pt idx="102">
                  <c:v>0.47377489852133137</c:v>
                </c:pt>
                <c:pt idx="103">
                  <c:v>0.4065297092434122</c:v>
                </c:pt>
                <c:pt idx="104">
                  <c:v>0.38480191468933922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BD-4E24-8B4A-2DED6FA3128B}"/>
            </c:ext>
          </c:extLst>
        </c:ser>
        <c:ser>
          <c:idx val="1"/>
          <c:order val="1"/>
          <c:tx>
            <c:strRef>
              <c:f>'面板-景气指数'!$A$134</c:f>
              <c:strCache>
                <c:ptCount val="1"/>
                <c:pt idx="0">
                  <c:v>家居用品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'面板-景气指数'!$F$134:$DF$134</c:f>
              <c:numCache>
                <c:formatCode>0.0%</c:formatCode>
                <c:ptCount val="105"/>
                <c:pt idx="0">
                  <c:v>0.35600000000000004</c:v>
                </c:pt>
                <c:pt idx="1">
                  <c:v>0.36568750000000005</c:v>
                </c:pt>
                <c:pt idx="2">
                  <c:v>0.38937500000000003</c:v>
                </c:pt>
                <c:pt idx="3">
                  <c:v>0.35249999999999998</c:v>
                </c:pt>
                <c:pt idx="4">
                  <c:v>0.34537499999999999</c:v>
                </c:pt>
                <c:pt idx="5">
                  <c:v>0.30725000000000002</c:v>
                </c:pt>
                <c:pt idx="6">
                  <c:v>0.27968749999999998</c:v>
                </c:pt>
                <c:pt idx="7">
                  <c:v>0.3470625</c:v>
                </c:pt>
                <c:pt idx="8">
                  <c:v>0.54325000000000012</c:v>
                </c:pt>
                <c:pt idx="9">
                  <c:v>0.62575000000000003</c:v>
                </c:pt>
                <c:pt idx="10">
                  <c:v>0.64400000000000002</c:v>
                </c:pt>
                <c:pt idx="11">
                  <c:v>0.64806249999999987</c:v>
                </c:pt>
                <c:pt idx="12">
                  <c:v>0.65625</c:v>
                </c:pt>
                <c:pt idx="13">
                  <c:v>0.64762500000000001</c:v>
                </c:pt>
                <c:pt idx="14">
                  <c:v>0.60137499999999988</c:v>
                </c:pt>
                <c:pt idx="15">
                  <c:v>0.55325000000000002</c:v>
                </c:pt>
                <c:pt idx="16">
                  <c:v>0.54293750000000007</c:v>
                </c:pt>
                <c:pt idx="17">
                  <c:v>0.52312500000000017</c:v>
                </c:pt>
                <c:pt idx="18">
                  <c:v>0.50343749999999987</c:v>
                </c:pt>
                <c:pt idx="19">
                  <c:v>0.47725000000000006</c:v>
                </c:pt>
                <c:pt idx="20">
                  <c:v>0.32924999999999999</c:v>
                </c:pt>
                <c:pt idx="21">
                  <c:v>0.18181250000000002</c:v>
                </c:pt>
                <c:pt idx="22">
                  <c:v>0.17093750000000002</c:v>
                </c:pt>
                <c:pt idx="23">
                  <c:v>0.17506250000000001</c:v>
                </c:pt>
                <c:pt idx="24">
                  <c:v>0.19518750000000001</c:v>
                </c:pt>
                <c:pt idx="25">
                  <c:v>0.2451875</c:v>
                </c:pt>
                <c:pt idx="26">
                  <c:v>0.38318750000000007</c:v>
                </c:pt>
                <c:pt idx="27">
                  <c:v>0.45493749999999999</c:v>
                </c:pt>
                <c:pt idx="28">
                  <c:v>0.51749999999999985</c:v>
                </c:pt>
                <c:pt idx="29">
                  <c:v>0.5553125000000001</c:v>
                </c:pt>
                <c:pt idx="30">
                  <c:v>0.6151875</c:v>
                </c:pt>
                <c:pt idx="31">
                  <c:v>0.66593750000000007</c:v>
                </c:pt>
                <c:pt idx="32">
                  <c:v>0.72475000000000023</c:v>
                </c:pt>
                <c:pt idx="33">
                  <c:v>0.76906249999999998</c:v>
                </c:pt>
                <c:pt idx="34">
                  <c:v>0.77931249999999996</c:v>
                </c:pt>
                <c:pt idx="35">
                  <c:v>0.81062500000000004</c:v>
                </c:pt>
                <c:pt idx="36">
                  <c:v>0.84625000000000006</c:v>
                </c:pt>
                <c:pt idx="37">
                  <c:v>0.86393750000000014</c:v>
                </c:pt>
                <c:pt idx="38">
                  <c:v>0.88712500000000005</c:v>
                </c:pt>
                <c:pt idx="39">
                  <c:v>0.9058750000000001</c:v>
                </c:pt>
                <c:pt idx="40">
                  <c:v>0.9172499999999999</c:v>
                </c:pt>
                <c:pt idx="41">
                  <c:v>0.90787499999999988</c:v>
                </c:pt>
                <c:pt idx="42">
                  <c:v>0.95281249999999984</c:v>
                </c:pt>
                <c:pt idx="43">
                  <c:v>0.93918749999999995</c:v>
                </c:pt>
                <c:pt idx="44">
                  <c:v>0.86025000000000007</c:v>
                </c:pt>
                <c:pt idx="45">
                  <c:v>0.64118749999999991</c:v>
                </c:pt>
                <c:pt idx="46">
                  <c:v>0.57887500000000003</c:v>
                </c:pt>
                <c:pt idx="47">
                  <c:v>0.55643749999999992</c:v>
                </c:pt>
                <c:pt idx="48">
                  <c:v>0.50418750000000001</c:v>
                </c:pt>
                <c:pt idx="49">
                  <c:v>0.44412499999999988</c:v>
                </c:pt>
                <c:pt idx="50">
                  <c:v>0.41368750000000004</c:v>
                </c:pt>
                <c:pt idx="51">
                  <c:v>0.32918749999999997</c:v>
                </c:pt>
                <c:pt idx="52">
                  <c:v>0.2310625</c:v>
                </c:pt>
                <c:pt idx="53">
                  <c:v>0.1796875</c:v>
                </c:pt>
                <c:pt idx="54">
                  <c:v>0.15693750000000001</c:v>
                </c:pt>
                <c:pt idx="55">
                  <c:v>0.20675000000000002</c:v>
                </c:pt>
                <c:pt idx="56">
                  <c:v>0.33131250000000001</c:v>
                </c:pt>
                <c:pt idx="57">
                  <c:v>0.45637500000000014</c:v>
                </c:pt>
                <c:pt idx="58">
                  <c:v>0.44143749999999998</c:v>
                </c:pt>
                <c:pt idx="59">
                  <c:v>0.44081250000000005</c:v>
                </c:pt>
                <c:pt idx="60">
                  <c:v>0.42512499999999998</c:v>
                </c:pt>
                <c:pt idx="61">
                  <c:v>0.39431249999999995</c:v>
                </c:pt>
                <c:pt idx="62">
                  <c:v>0.35975000000000001</c:v>
                </c:pt>
                <c:pt idx="63">
                  <c:v>0.32887499999999997</c:v>
                </c:pt>
                <c:pt idx="64">
                  <c:v>0.31568750000000001</c:v>
                </c:pt>
                <c:pt idx="65">
                  <c:v>0.35781250000000009</c:v>
                </c:pt>
                <c:pt idx="66">
                  <c:v>0.37993749999999998</c:v>
                </c:pt>
                <c:pt idx="67">
                  <c:v>0.30781249999999999</c:v>
                </c:pt>
                <c:pt idx="68">
                  <c:v>0.37462499999999999</c:v>
                </c:pt>
                <c:pt idx="69">
                  <c:v>0.36318749999999994</c:v>
                </c:pt>
                <c:pt idx="70">
                  <c:v>0.37543750000000009</c:v>
                </c:pt>
                <c:pt idx="71">
                  <c:v>0.32162499999999999</c:v>
                </c:pt>
                <c:pt idx="72">
                  <c:v>0.33199999999999996</c:v>
                </c:pt>
                <c:pt idx="73">
                  <c:v>0.36625000000000008</c:v>
                </c:pt>
                <c:pt idx="74">
                  <c:v>0.42199999999999999</c:v>
                </c:pt>
                <c:pt idx="75">
                  <c:v>0.48337499999999994</c:v>
                </c:pt>
                <c:pt idx="76">
                  <c:v>0.50687499999999996</c:v>
                </c:pt>
                <c:pt idx="77">
                  <c:v>0.52712500000000007</c:v>
                </c:pt>
                <c:pt idx="78">
                  <c:v>0.44856250000000003</c:v>
                </c:pt>
                <c:pt idx="79">
                  <c:v>0.51506249999999998</c:v>
                </c:pt>
                <c:pt idx="80">
                  <c:v>0.52481250000000002</c:v>
                </c:pt>
                <c:pt idx="81">
                  <c:v>0.50806249999999997</c:v>
                </c:pt>
                <c:pt idx="82">
                  <c:v>0.46775000000000005</c:v>
                </c:pt>
                <c:pt idx="83">
                  <c:v>0.52174999999999994</c:v>
                </c:pt>
                <c:pt idx="84">
                  <c:v>0.54237499999999994</c:v>
                </c:pt>
                <c:pt idx="85">
                  <c:v>0.53206249999999999</c:v>
                </c:pt>
                <c:pt idx="86">
                  <c:v>0.51268749999999996</c:v>
                </c:pt>
                <c:pt idx="87">
                  <c:v>0.50087500000000007</c:v>
                </c:pt>
                <c:pt idx="88">
                  <c:v>0.49856249999999996</c:v>
                </c:pt>
                <c:pt idx="89">
                  <c:v>0.52237500000000003</c:v>
                </c:pt>
                <c:pt idx="90">
                  <c:v>0.57481249999999995</c:v>
                </c:pt>
                <c:pt idx="91">
                  <c:v>0.5881875000000002</c:v>
                </c:pt>
                <c:pt idx="92">
                  <c:v>0.58018750000000008</c:v>
                </c:pt>
                <c:pt idx="93">
                  <c:v>0.54368749999999988</c:v>
                </c:pt>
                <c:pt idx="94">
                  <c:v>0.60406250000000006</c:v>
                </c:pt>
                <c:pt idx="95">
                  <c:v>0.57756249999999998</c:v>
                </c:pt>
                <c:pt idx="96">
                  <c:v>0.56374999999999997</c:v>
                </c:pt>
                <c:pt idx="97">
                  <c:v>0.5286249999999999</c:v>
                </c:pt>
                <c:pt idx="98">
                  <c:v>0.58250000000000013</c:v>
                </c:pt>
                <c:pt idx="99">
                  <c:v>0.58437500000000009</c:v>
                </c:pt>
                <c:pt idx="100">
                  <c:v>0.58424999999999994</c:v>
                </c:pt>
                <c:pt idx="101">
                  <c:v>0.54831250000000009</c:v>
                </c:pt>
                <c:pt idx="102">
                  <c:v>0.52737499999999993</c:v>
                </c:pt>
                <c:pt idx="103">
                  <c:v>0.41800000000000004</c:v>
                </c:pt>
                <c:pt idx="104">
                  <c:v>0.32837500000000003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BD-4E24-8B4A-2DED6FA3128B}"/>
            </c:ext>
          </c:extLst>
        </c:ser>
        <c:ser>
          <c:idx val="2"/>
          <c:order val="2"/>
          <c:tx>
            <c:strRef>
              <c:f>'面板-景气指数'!$A$135</c:f>
              <c:strCache>
                <c:ptCount val="1"/>
                <c:pt idx="0">
                  <c:v>文娱用品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'面板-景气指数'!$F$135:$DF$135</c:f>
              <c:numCache>
                <c:formatCode>0.0%</c:formatCode>
                <c:ptCount val="105"/>
                <c:pt idx="0">
                  <c:v>0.22099999999999997</c:v>
                </c:pt>
                <c:pt idx="1">
                  <c:v>0.21099999999999999</c:v>
                </c:pt>
                <c:pt idx="2">
                  <c:v>0.105</c:v>
                </c:pt>
                <c:pt idx="3">
                  <c:v>0.192</c:v>
                </c:pt>
                <c:pt idx="4">
                  <c:v>0.14399999999999999</c:v>
                </c:pt>
                <c:pt idx="5">
                  <c:v>0.182</c:v>
                </c:pt>
                <c:pt idx="6">
                  <c:v>6.7000000000000004E-2</c:v>
                </c:pt>
                <c:pt idx="7">
                  <c:v>5.7000000000000002E-2</c:v>
                </c:pt>
                <c:pt idx="8">
                  <c:v>2.8000000000000001E-2</c:v>
                </c:pt>
                <c:pt idx="9">
                  <c:v>3.7999999999999999E-2</c:v>
                </c:pt>
                <c:pt idx="10">
                  <c:v>0.13400000000000001</c:v>
                </c:pt>
                <c:pt idx="11">
                  <c:v>9.6000000000000002E-2</c:v>
                </c:pt>
                <c:pt idx="12">
                  <c:v>8.5999999999999993E-2</c:v>
                </c:pt>
                <c:pt idx="13">
                  <c:v>0</c:v>
                </c:pt>
                <c:pt idx="14">
                  <c:v>8.9999999999999993E-3</c:v>
                </c:pt>
                <c:pt idx="15">
                  <c:v>4.8000000000000001E-2</c:v>
                </c:pt>
                <c:pt idx="16">
                  <c:v>7.5999999999999998E-2</c:v>
                </c:pt>
                <c:pt idx="17">
                  <c:v>0.153</c:v>
                </c:pt>
                <c:pt idx="18">
                  <c:v>0.16300000000000001</c:v>
                </c:pt>
                <c:pt idx="19">
                  <c:v>0.22999999999999998</c:v>
                </c:pt>
                <c:pt idx="20">
                  <c:v>0.26900000000000002</c:v>
                </c:pt>
                <c:pt idx="21">
                  <c:v>0.25900000000000001</c:v>
                </c:pt>
                <c:pt idx="22">
                  <c:v>0.25</c:v>
                </c:pt>
                <c:pt idx="23">
                  <c:v>0.33600000000000002</c:v>
                </c:pt>
                <c:pt idx="24">
                  <c:v>0.41299999999999998</c:v>
                </c:pt>
                <c:pt idx="25">
                  <c:v>0.61499999999999999</c:v>
                </c:pt>
                <c:pt idx="26">
                  <c:v>0.625</c:v>
                </c:pt>
                <c:pt idx="27">
                  <c:v>0.49</c:v>
                </c:pt>
                <c:pt idx="28">
                  <c:v>0.27800000000000002</c:v>
                </c:pt>
                <c:pt idx="29">
                  <c:v>0.307</c:v>
                </c:pt>
                <c:pt idx="30">
                  <c:v>0.45100000000000001</c:v>
                </c:pt>
                <c:pt idx="31">
                  <c:v>0.71099999999999997</c:v>
                </c:pt>
                <c:pt idx="32">
                  <c:v>0.65300000000000002</c:v>
                </c:pt>
                <c:pt idx="33">
                  <c:v>0.83600000000000008</c:v>
                </c:pt>
                <c:pt idx="34">
                  <c:v>0.82599999999999996</c:v>
                </c:pt>
                <c:pt idx="35">
                  <c:v>0.93200000000000005</c:v>
                </c:pt>
                <c:pt idx="36">
                  <c:v>0.95099999999999996</c:v>
                </c:pt>
                <c:pt idx="37">
                  <c:v>0.96100000000000008</c:v>
                </c:pt>
                <c:pt idx="38">
                  <c:v>0.97099999999999997</c:v>
                </c:pt>
                <c:pt idx="39">
                  <c:v>0.94199999999999995</c:v>
                </c:pt>
                <c:pt idx="40">
                  <c:v>0.90300000000000002</c:v>
                </c:pt>
                <c:pt idx="41">
                  <c:v>0.875</c:v>
                </c:pt>
                <c:pt idx="42">
                  <c:v>0.98</c:v>
                </c:pt>
                <c:pt idx="43">
                  <c:v>1</c:v>
                </c:pt>
                <c:pt idx="44">
                  <c:v>0.9900000000000001</c:v>
                </c:pt>
                <c:pt idx="45">
                  <c:v>0.69199999999999995</c:v>
                </c:pt>
                <c:pt idx="46">
                  <c:v>0.75</c:v>
                </c:pt>
                <c:pt idx="47">
                  <c:v>0.80700000000000005</c:v>
                </c:pt>
                <c:pt idx="48">
                  <c:v>0.76900000000000002</c:v>
                </c:pt>
                <c:pt idx="49">
                  <c:v>0.55700000000000005</c:v>
                </c:pt>
                <c:pt idx="50">
                  <c:v>0.51900000000000002</c:v>
                </c:pt>
                <c:pt idx="51">
                  <c:v>0.38400000000000001</c:v>
                </c:pt>
                <c:pt idx="52">
                  <c:v>0.47099999999999997</c:v>
                </c:pt>
                <c:pt idx="53">
                  <c:v>0.44199999999999995</c:v>
                </c:pt>
                <c:pt idx="54">
                  <c:v>0.32600000000000001</c:v>
                </c:pt>
                <c:pt idx="55">
                  <c:v>0.23999999999999996</c:v>
                </c:pt>
                <c:pt idx="56">
                  <c:v>1.9E-2</c:v>
                </c:pt>
                <c:pt idx="57">
                  <c:v>0.11499999999999999</c:v>
                </c:pt>
                <c:pt idx="58">
                  <c:v>0.125</c:v>
                </c:pt>
                <c:pt idx="59">
                  <c:v>0.28799999999999998</c:v>
                </c:pt>
                <c:pt idx="60">
                  <c:v>0.46100000000000002</c:v>
                </c:pt>
                <c:pt idx="61">
                  <c:v>0.78800000000000014</c:v>
                </c:pt>
                <c:pt idx="62">
                  <c:v>0.86499999999999999</c:v>
                </c:pt>
                <c:pt idx="63">
                  <c:v>0.56699999999999995</c:v>
                </c:pt>
                <c:pt idx="64">
                  <c:v>0.42299999999999999</c:v>
                </c:pt>
                <c:pt idx="65">
                  <c:v>0.317</c:v>
                </c:pt>
                <c:pt idx="66">
                  <c:v>0.375</c:v>
                </c:pt>
                <c:pt idx="67">
                  <c:v>0.35499999999999998</c:v>
                </c:pt>
                <c:pt idx="68">
                  <c:v>0.35499999999999998</c:v>
                </c:pt>
                <c:pt idx="69">
                  <c:v>0.192</c:v>
                </c:pt>
                <c:pt idx="70">
                  <c:v>0.17299999999999999</c:v>
                </c:pt>
                <c:pt idx="71">
                  <c:v>0.29799999999999999</c:v>
                </c:pt>
                <c:pt idx="72">
                  <c:v>0.34599999999999997</c:v>
                </c:pt>
                <c:pt idx="73">
                  <c:v>0.40300000000000002</c:v>
                </c:pt>
                <c:pt idx="74">
                  <c:v>0.39400000000000007</c:v>
                </c:pt>
                <c:pt idx="75">
                  <c:v>0.43200000000000005</c:v>
                </c:pt>
                <c:pt idx="76">
                  <c:v>0.67300000000000004</c:v>
                </c:pt>
                <c:pt idx="77">
                  <c:v>0.85499999999999987</c:v>
                </c:pt>
                <c:pt idx="78">
                  <c:v>0.68200000000000005</c:v>
                </c:pt>
                <c:pt idx="79">
                  <c:v>0.5</c:v>
                </c:pt>
                <c:pt idx="80">
                  <c:v>0.50900000000000001</c:v>
                </c:pt>
                <c:pt idx="81">
                  <c:v>0.76900000000000002</c:v>
                </c:pt>
                <c:pt idx="82">
                  <c:v>0.66300000000000003</c:v>
                </c:pt>
                <c:pt idx="83">
                  <c:v>0.53800000000000003</c:v>
                </c:pt>
                <c:pt idx="84">
                  <c:v>0.47999999999999993</c:v>
                </c:pt>
                <c:pt idx="85">
                  <c:v>0.54800000000000004</c:v>
                </c:pt>
                <c:pt idx="86">
                  <c:v>0.75900000000000001</c:v>
                </c:pt>
                <c:pt idx="87">
                  <c:v>0.72099999999999997</c:v>
                </c:pt>
                <c:pt idx="88">
                  <c:v>0.58599999999999997</c:v>
                </c:pt>
                <c:pt idx="89">
                  <c:v>0.59599999999999997</c:v>
                </c:pt>
                <c:pt idx="90">
                  <c:v>0.79800000000000004</c:v>
                </c:pt>
                <c:pt idx="91">
                  <c:v>0.91299999999999992</c:v>
                </c:pt>
                <c:pt idx="92">
                  <c:v>0.8839999999999999</c:v>
                </c:pt>
                <c:pt idx="93">
                  <c:v>0.92300000000000004</c:v>
                </c:pt>
                <c:pt idx="94">
                  <c:v>0.89400000000000002</c:v>
                </c:pt>
                <c:pt idx="95">
                  <c:v>0.84599999999999997</c:v>
                </c:pt>
                <c:pt idx="96">
                  <c:v>0.81699999999999995</c:v>
                </c:pt>
                <c:pt idx="97">
                  <c:v>0.70099999999999996</c:v>
                </c:pt>
                <c:pt idx="98">
                  <c:v>0.72099999999999997</c:v>
                </c:pt>
                <c:pt idx="99">
                  <c:v>0.625</c:v>
                </c:pt>
                <c:pt idx="100">
                  <c:v>0.74</c:v>
                </c:pt>
                <c:pt idx="101">
                  <c:v>0.57599999999999996</c:v>
                </c:pt>
                <c:pt idx="102">
                  <c:v>0.60499999999999998</c:v>
                </c:pt>
                <c:pt idx="103">
                  <c:v>0.52800000000000002</c:v>
                </c:pt>
                <c:pt idx="104">
                  <c:v>0.64400000000000002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BD-4E24-8B4A-2DED6FA3128B}"/>
            </c:ext>
          </c:extLst>
        </c:ser>
        <c:ser>
          <c:idx val="3"/>
          <c:order val="3"/>
          <c:tx>
            <c:strRef>
              <c:f>'面板-景气指数'!$A$136</c:f>
              <c:strCache>
                <c:ptCount val="1"/>
                <c:pt idx="0">
                  <c:v>造纸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'面板-景气指数'!$F$136:$DF$136</c:f>
              <c:numCache>
                <c:formatCode>0.0%</c:formatCode>
                <c:ptCount val="105"/>
                <c:pt idx="0">
                  <c:v>0.49500000000000005</c:v>
                </c:pt>
                <c:pt idx="1">
                  <c:v>0.45149999999999996</c:v>
                </c:pt>
                <c:pt idx="2">
                  <c:v>0.38899999999999996</c:v>
                </c:pt>
                <c:pt idx="3">
                  <c:v>0.312</c:v>
                </c:pt>
                <c:pt idx="4">
                  <c:v>0.27350000000000002</c:v>
                </c:pt>
                <c:pt idx="5">
                  <c:v>0.22550000000000001</c:v>
                </c:pt>
                <c:pt idx="6">
                  <c:v>0.17750000000000002</c:v>
                </c:pt>
                <c:pt idx="7">
                  <c:v>0.14849999999999999</c:v>
                </c:pt>
                <c:pt idx="8">
                  <c:v>0.13900000000000001</c:v>
                </c:pt>
                <c:pt idx="9">
                  <c:v>9.0499999999999997E-2</c:v>
                </c:pt>
                <c:pt idx="10">
                  <c:v>7.6499999999999999E-2</c:v>
                </c:pt>
                <c:pt idx="11">
                  <c:v>5.2000000000000005E-2</c:v>
                </c:pt>
                <c:pt idx="12">
                  <c:v>7.2000000000000008E-2</c:v>
                </c:pt>
                <c:pt idx="13">
                  <c:v>5.7000000000000002E-2</c:v>
                </c:pt>
                <c:pt idx="14">
                  <c:v>0.10049999999999999</c:v>
                </c:pt>
                <c:pt idx="15">
                  <c:v>0.13399999999999998</c:v>
                </c:pt>
                <c:pt idx="16">
                  <c:v>0.22550000000000001</c:v>
                </c:pt>
                <c:pt idx="17">
                  <c:v>0.32600000000000001</c:v>
                </c:pt>
                <c:pt idx="18">
                  <c:v>0.44149999999999995</c:v>
                </c:pt>
                <c:pt idx="19">
                  <c:v>0.50900000000000001</c:v>
                </c:pt>
                <c:pt idx="20">
                  <c:v>0.51400000000000001</c:v>
                </c:pt>
                <c:pt idx="21">
                  <c:v>0.56200000000000006</c:v>
                </c:pt>
                <c:pt idx="22">
                  <c:v>0.60050000000000003</c:v>
                </c:pt>
                <c:pt idx="23">
                  <c:v>0.63900000000000012</c:v>
                </c:pt>
                <c:pt idx="24">
                  <c:v>0.64849999999999985</c:v>
                </c:pt>
                <c:pt idx="25">
                  <c:v>0.65349999999999997</c:v>
                </c:pt>
                <c:pt idx="26">
                  <c:v>0.71150000000000002</c:v>
                </c:pt>
                <c:pt idx="27">
                  <c:v>0.73</c:v>
                </c:pt>
                <c:pt idx="28">
                  <c:v>0.73499999999999988</c:v>
                </c:pt>
                <c:pt idx="29">
                  <c:v>0.77400000000000002</c:v>
                </c:pt>
                <c:pt idx="30">
                  <c:v>0.81200000000000006</c:v>
                </c:pt>
                <c:pt idx="31">
                  <c:v>0.83149999999999991</c:v>
                </c:pt>
                <c:pt idx="32">
                  <c:v>0.86050000000000004</c:v>
                </c:pt>
                <c:pt idx="33">
                  <c:v>0.85550000000000004</c:v>
                </c:pt>
                <c:pt idx="34">
                  <c:v>0.84100000000000008</c:v>
                </c:pt>
                <c:pt idx="35">
                  <c:v>0.80199999999999994</c:v>
                </c:pt>
                <c:pt idx="36">
                  <c:v>0.75450000000000006</c:v>
                </c:pt>
                <c:pt idx="37">
                  <c:v>0.78300000000000003</c:v>
                </c:pt>
                <c:pt idx="38">
                  <c:v>0.80699999999999994</c:v>
                </c:pt>
                <c:pt idx="39">
                  <c:v>0.76849999999999996</c:v>
                </c:pt>
                <c:pt idx="40">
                  <c:v>0.70150000000000001</c:v>
                </c:pt>
                <c:pt idx="41">
                  <c:v>0.5665</c:v>
                </c:pt>
                <c:pt idx="42">
                  <c:v>0.49000000000000005</c:v>
                </c:pt>
                <c:pt idx="43">
                  <c:v>0.437</c:v>
                </c:pt>
                <c:pt idx="44">
                  <c:v>0.44650000000000006</c:v>
                </c:pt>
                <c:pt idx="45">
                  <c:v>0.51400000000000001</c:v>
                </c:pt>
                <c:pt idx="46">
                  <c:v>0.47050000000000003</c:v>
                </c:pt>
                <c:pt idx="47">
                  <c:v>0.47050000000000003</c:v>
                </c:pt>
                <c:pt idx="48">
                  <c:v>0.41799999999999993</c:v>
                </c:pt>
                <c:pt idx="49">
                  <c:v>0.37899999999999995</c:v>
                </c:pt>
                <c:pt idx="50">
                  <c:v>0.3125</c:v>
                </c:pt>
                <c:pt idx="51">
                  <c:v>0.27850000000000003</c:v>
                </c:pt>
                <c:pt idx="52">
                  <c:v>0.34599999999999997</c:v>
                </c:pt>
                <c:pt idx="53">
                  <c:v>0.46100000000000002</c:v>
                </c:pt>
                <c:pt idx="54">
                  <c:v>0.46599999999999997</c:v>
                </c:pt>
                <c:pt idx="55">
                  <c:v>0.46100000000000002</c:v>
                </c:pt>
                <c:pt idx="56">
                  <c:v>0.187</c:v>
                </c:pt>
                <c:pt idx="57">
                  <c:v>9.6000000000000016E-2</c:v>
                </c:pt>
                <c:pt idx="58">
                  <c:v>7.1500000000000008E-2</c:v>
                </c:pt>
                <c:pt idx="59">
                  <c:v>4.2999999999999997E-2</c:v>
                </c:pt>
                <c:pt idx="60">
                  <c:v>5.2499999999999998E-2</c:v>
                </c:pt>
                <c:pt idx="61">
                  <c:v>0.10050000000000001</c:v>
                </c:pt>
                <c:pt idx="62">
                  <c:v>0.19199999999999998</c:v>
                </c:pt>
                <c:pt idx="63">
                  <c:v>0.2545</c:v>
                </c:pt>
                <c:pt idx="64">
                  <c:v>0.3695</c:v>
                </c:pt>
                <c:pt idx="65">
                  <c:v>0.38450000000000001</c:v>
                </c:pt>
                <c:pt idx="66">
                  <c:v>0.432</c:v>
                </c:pt>
                <c:pt idx="67">
                  <c:v>0.44700000000000001</c:v>
                </c:pt>
                <c:pt idx="68">
                  <c:v>0.61449999999999994</c:v>
                </c:pt>
                <c:pt idx="69">
                  <c:v>0.68250000000000011</c:v>
                </c:pt>
                <c:pt idx="70">
                  <c:v>0.73</c:v>
                </c:pt>
                <c:pt idx="71">
                  <c:v>0.81200000000000006</c:v>
                </c:pt>
                <c:pt idx="72">
                  <c:v>0.85050000000000003</c:v>
                </c:pt>
                <c:pt idx="73">
                  <c:v>0.92749999999999999</c:v>
                </c:pt>
                <c:pt idx="74">
                  <c:v>0.9275000000000001</c:v>
                </c:pt>
                <c:pt idx="75">
                  <c:v>0.91300000000000003</c:v>
                </c:pt>
                <c:pt idx="76">
                  <c:v>0.85550000000000004</c:v>
                </c:pt>
                <c:pt idx="77">
                  <c:v>0.81200000000000006</c:v>
                </c:pt>
                <c:pt idx="78">
                  <c:v>0.8214999999999999</c:v>
                </c:pt>
                <c:pt idx="79">
                  <c:v>0.86</c:v>
                </c:pt>
                <c:pt idx="80">
                  <c:v>0.90299999999999991</c:v>
                </c:pt>
                <c:pt idx="81">
                  <c:v>0.94199999999999995</c:v>
                </c:pt>
                <c:pt idx="82">
                  <c:v>0.91799999999999993</c:v>
                </c:pt>
                <c:pt idx="83">
                  <c:v>0.81700000000000006</c:v>
                </c:pt>
                <c:pt idx="84">
                  <c:v>0.72049999999999992</c:v>
                </c:pt>
                <c:pt idx="85">
                  <c:v>0.69199999999999995</c:v>
                </c:pt>
                <c:pt idx="86">
                  <c:v>0.70150000000000012</c:v>
                </c:pt>
                <c:pt idx="87">
                  <c:v>0.67749999999999999</c:v>
                </c:pt>
                <c:pt idx="88">
                  <c:v>0.62450000000000006</c:v>
                </c:pt>
                <c:pt idx="89">
                  <c:v>0.60050000000000003</c:v>
                </c:pt>
                <c:pt idx="90">
                  <c:v>0.56200000000000006</c:v>
                </c:pt>
                <c:pt idx="91">
                  <c:v>0.52850000000000008</c:v>
                </c:pt>
                <c:pt idx="92">
                  <c:v>0.44199999999999995</c:v>
                </c:pt>
                <c:pt idx="93">
                  <c:v>0.3695</c:v>
                </c:pt>
                <c:pt idx="94">
                  <c:v>0.35049999999999998</c:v>
                </c:pt>
                <c:pt idx="95">
                  <c:v>0.312</c:v>
                </c:pt>
                <c:pt idx="96">
                  <c:v>0.32650000000000007</c:v>
                </c:pt>
                <c:pt idx="97">
                  <c:v>0.317</c:v>
                </c:pt>
                <c:pt idx="98">
                  <c:v>0.32150000000000006</c:v>
                </c:pt>
                <c:pt idx="99">
                  <c:v>0.34100000000000003</c:v>
                </c:pt>
                <c:pt idx="100">
                  <c:v>0.35549999999999998</c:v>
                </c:pt>
                <c:pt idx="101">
                  <c:v>0.3795</c:v>
                </c:pt>
                <c:pt idx="102">
                  <c:v>0.38400000000000006</c:v>
                </c:pt>
                <c:pt idx="103">
                  <c:v>0.3695</c:v>
                </c:pt>
                <c:pt idx="104">
                  <c:v>0.40349999999999997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5BD-4E24-8B4A-2DED6FA31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653741181301E-2"/>
          <c:y val="0.12103185185185185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'面板-景气指数'!$A$55</c:f>
              <c:strCache>
                <c:ptCount val="1"/>
                <c:pt idx="0">
                  <c:v>美容护理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'面板-景气指数'!$F$55:$DF$55</c:f>
              <c:numCache>
                <c:formatCode>0.0%</c:formatCode>
                <c:ptCount val="105"/>
                <c:pt idx="0">
                  <c:v>0.12618481125109635</c:v>
                </c:pt>
                <c:pt idx="1">
                  <c:v>0.12807550569045126</c:v>
                </c:pt>
                <c:pt idx="2">
                  <c:v>9.9082148496141595E-2</c:v>
                </c:pt>
                <c:pt idx="3">
                  <c:v>0.17621759305239071</c:v>
                </c:pt>
                <c:pt idx="4">
                  <c:v>0.19404515215634677</c:v>
                </c:pt>
                <c:pt idx="5">
                  <c:v>0.29301838532209373</c:v>
                </c:pt>
                <c:pt idx="6">
                  <c:v>0.18844744277036612</c:v>
                </c:pt>
                <c:pt idx="7">
                  <c:v>0.21639659396885552</c:v>
                </c:pt>
                <c:pt idx="8">
                  <c:v>0.30101432025459851</c:v>
                </c:pt>
                <c:pt idx="9">
                  <c:v>0.2584841296797144</c:v>
                </c:pt>
                <c:pt idx="10">
                  <c:v>0.19496876901973204</c:v>
                </c:pt>
                <c:pt idx="11">
                  <c:v>0.18502089123824086</c:v>
                </c:pt>
                <c:pt idx="12">
                  <c:v>0.23569750638078876</c:v>
                </c:pt>
                <c:pt idx="13">
                  <c:v>0.19126860928041844</c:v>
                </c:pt>
                <c:pt idx="14">
                  <c:v>0.20868465865082522</c:v>
                </c:pt>
                <c:pt idx="15">
                  <c:v>0.23785411418402128</c:v>
                </c:pt>
                <c:pt idx="16">
                  <c:v>0.51477506823634056</c:v>
                </c:pt>
                <c:pt idx="17">
                  <c:v>0.61061670977068538</c:v>
                </c:pt>
                <c:pt idx="18">
                  <c:v>0.60003072183791173</c:v>
                </c:pt>
                <c:pt idx="19">
                  <c:v>0.43804355864781658</c:v>
                </c:pt>
                <c:pt idx="20">
                  <c:v>0.26698576844390381</c:v>
                </c:pt>
                <c:pt idx="21">
                  <c:v>0.23269307745520126</c:v>
                </c:pt>
                <c:pt idx="22">
                  <c:v>0.27489701352788104</c:v>
                </c:pt>
                <c:pt idx="23">
                  <c:v>0.30776120865284728</c:v>
                </c:pt>
                <c:pt idx="24">
                  <c:v>0.2956690648497412</c:v>
                </c:pt>
                <c:pt idx="25">
                  <c:v>0.25320864374032631</c:v>
                </c:pt>
                <c:pt idx="26">
                  <c:v>0.33091047247901229</c:v>
                </c:pt>
                <c:pt idx="27">
                  <c:v>0.30146986031345369</c:v>
                </c:pt>
                <c:pt idx="28">
                  <c:v>0.26478655492986031</c:v>
                </c:pt>
                <c:pt idx="29">
                  <c:v>0.15614919122719564</c:v>
                </c:pt>
                <c:pt idx="30">
                  <c:v>0.22398221817302383</c:v>
                </c:pt>
                <c:pt idx="31">
                  <c:v>0.32443182397831705</c:v>
                </c:pt>
                <c:pt idx="32">
                  <c:v>0.5214989701693763</c:v>
                </c:pt>
                <c:pt idx="33">
                  <c:v>0.51251208671407311</c:v>
                </c:pt>
                <c:pt idx="34">
                  <c:v>0.46659874282065417</c:v>
                </c:pt>
                <c:pt idx="35">
                  <c:v>0.46476133891663385</c:v>
                </c:pt>
                <c:pt idx="36">
                  <c:v>0.43477844887942674</c:v>
                </c:pt>
                <c:pt idx="37">
                  <c:v>0.44513990326381525</c:v>
                </c:pt>
                <c:pt idx="38">
                  <c:v>0.58635856747472015</c:v>
                </c:pt>
                <c:pt idx="39">
                  <c:v>0.69704676910199881</c:v>
                </c:pt>
                <c:pt idx="40">
                  <c:v>0.73799351193111318</c:v>
                </c:pt>
                <c:pt idx="41">
                  <c:v>0.8529877168327693</c:v>
                </c:pt>
                <c:pt idx="42">
                  <c:v>0.8452980760453046</c:v>
                </c:pt>
                <c:pt idx="43">
                  <c:v>0.9588702209689034</c:v>
                </c:pt>
                <c:pt idx="44">
                  <c:v>0.94421985544690501</c:v>
                </c:pt>
                <c:pt idx="45">
                  <c:v>0.81093837884084385</c:v>
                </c:pt>
                <c:pt idx="46">
                  <c:v>0.71233661207025556</c:v>
                </c:pt>
                <c:pt idx="47">
                  <c:v>0.72882488438009796</c:v>
                </c:pt>
                <c:pt idx="48">
                  <c:v>0.71069482690907904</c:v>
                </c:pt>
                <c:pt idx="49">
                  <c:v>0.6420482925149722</c:v>
                </c:pt>
                <c:pt idx="50">
                  <c:v>0.71845224431598986</c:v>
                </c:pt>
                <c:pt idx="51">
                  <c:v>0.70297229585348886</c:v>
                </c:pt>
                <c:pt idx="52">
                  <c:v>0.65084403993323081</c:v>
                </c:pt>
                <c:pt idx="53">
                  <c:v>0.34462528521100694</c:v>
                </c:pt>
                <c:pt idx="54">
                  <c:v>0.20047478772031144</c:v>
                </c:pt>
                <c:pt idx="55">
                  <c:v>0.15174478937299551</c:v>
                </c:pt>
                <c:pt idx="56">
                  <c:v>0.26238206040622675</c:v>
                </c:pt>
                <c:pt idx="57">
                  <c:v>0.71869093716679988</c:v>
                </c:pt>
                <c:pt idx="58">
                  <c:v>0.63863499288448022</c:v>
                </c:pt>
                <c:pt idx="59">
                  <c:v>0.64861023883722801</c:v>
                </c:pt>
                <c:pt idx="60">
                  <c:v>0.59906704134986022</c:v>
                </c:pt>
                <c:pt idx="61">
                  <c:v>0.61803109614127782</c:v>
                </c:pt>
                <c:pt idx="62">
                  <c:v>0.6962504069232649</c:v>
                </c:pt>
                <c:pt idx="63">
                  <c:v>0.7056981692672154</c:v>
                </c:pt>
                <c:pt idx="64">
                  <c:v>0.6995386349313345</c:v>
                </c:pt>
                <c:pt idx="65">
                  <c:v>0.67307777706272187</c:v>
                </c:pt>
                <c:pt idx="66">
                  <c:v>0.63913402525071494</c:v>
                </c:pt>
                <c:pt idx="67">
                  <c:v>0.66879660859223833</c:v>
                </c:pt>
                <c:pt idx="68">
                  <c:v>0.516328075605481</c:v>
                </c:pt>
                <c:pt idx="69">
                  <c:v>0.47557179340992078</c:v>
                </c:pt>
                <c:pt idx="70">
                  <c:v>0.4793211510363713</c:v>
                </c:pt>
                <c:pt idx="71">
                  <c:v>0.52106158770838107</c:v>
                </c:pt>
                <c:pt idx="72">
                  <c:v>0.53683770103321404</c:v>
                </c:pt>
                <c:pt idx="73">
                  <c:v>0.56664843975017087</c:v>
                </c:pt>
                <c:pt idx="74">
                  <c:v>0.58283735288619476</c:v>
                </c:pt>
                <c:pt idx="75">
                  <c:v>0.5746437269462118</c:v>
                </c:pt>
                <c:pt idx="76">
                  <c:v>0.62849024512856322</c:v>
                </c:pt>
                <c:pt idx="77">
                  <c:v>0.72378284780722324</c:v>
                </c:pt>
                <c:pt idx="78">
                  <c:v>0.73204676478577002</c:v>
                </c:pt>
                <c:pt idx="79">
                  <c:v>0.76365394544537002</c:v>
                </c:pt>
                <c:pt idx="80">
                  <c:v>0.59814123313708678</c:v>
                </c:pt>
                <c:pt idx="81">
                  <c:v>0.69158736968711532</c:v>
                </c:pt>
                <c:pt idx="82">
                  <c:v>0.68906658413173805</c:v>
                </c:pt>
                <c:pt idx="83">
                  <c:v>0.69196166437755402</c:v>
                </c:pt>
                <c:pt idx="84">
                  <c:v>0.64123333054073262</c:v>
                </c:pt>
                <c:pt idx="85">
                  <c:v>0.6095814231754636</c:v>
                </c:pt>
                <c:pt idx="86">
                  <c:v>0.65177717127568624</c:v>
                </c:pt>
                <c:pt idx="87">
                  <c:v>0.62737642686432871</c:v>
                </c:pt>
                <c:pt idx="88">
                  <c:v>0.59349121679800243</c:v>
                </c:pt>
                <c:pt idx="89">
                  <c:v>0.50676771640373652</c:v>
                </c:pt>
                <c:pt idx="90">
                  <c:v>0.49481007008994493</c:v>
                </c:pt>
                <c:pt idx="91">
                  <c:v>0.51589471107876184</c:v>
                </c:pt>
                <c:pt idx="92">
                  <c:v>0.58871155548989085</c:v>
                </c:pt>
                <c:pt idx="93">
                  <c:v>0.55908640382300434</c:v>
                </c:pt>
                <c:pt idx="94">
                  <c:v>0.51251596864397808</c:v>
                </c:pt>
                <c:pt idx="95">
                  <c:v>0.46779582394499553</c:v>
                </c:pt>
                <c:pt idx="96">
                  <c:v>0.44090323834996908</c:v>
                </c:pt>
                <c:pt idx="97">
                  <c:v>0.48829367802391593</c:v>
                </c:pt>
                <c:pt idx="98">
                  <c:v>0.49336723847634822</c:v>
                </c:pt>
                <c:pt idx="99">
                  <c:v>0.51242355192572164</c:v>
                </c:pt>
                <c:pt idx="100">
                  <c:v>0.50359760208453075</c:v>
                </c:pt>
                <c:pt idx="101">
                  <c:v>0.52094805453106219</c:v>
                </c:pt>
                <c:pt idx="102">
                  <c:v>0.55105145898678298</c:v>
                </c:pt>
                <c:pt idx="103">
                  <c:v>0.5729339013576823</c:v>
                </c:pt>
                <c:pt idx="104">
                  <c:v>0.56557578251178831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11-4111-BB21-3D6BB1113F71}"/>
            </c:ext>
          </c:extLst>
        </c:ser>
        <c:ser>
          <c:idx val="1"/>
          <c:order val="1"/>
          <c:tx>
            <c:strRef>
              <c:f>'面板-景气指数'!$A$137</c:f>
              <c:strCache>
                <c:ptCount val="1"/>
                <c:pt idx="0">
                  <c:v>化妆品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'面板-景气指数'!$F$137:$DF$137</c:f>
              <c:numCache>
                <c:formatCode>0.0%</c:formatCode>
                <c:ptCount val="105"/>
                <c:pt idx="0">
                  <c:v>8.5999999999999993E-2</c:v>
                </c:pt>
                <c:pt idx="1">
                  <c:v>8.5999999999999993E-2</c:v>
                </c:pt>
                <c:pt idx="2">
                  <c:v>3.7999999999999999E-2</c:v>
                </c:pt>
                <c:pt idx="3">
                  <c:v>0.153</c:v>
                </c:pt>
                <c:pt idx="4">
                  <c:v>0.182</c:v>
                </c:pt>
                <c:pt idx="5">
                  <c:v>0.37500000000000006</c:v>
                </c:pt>
                <c:pt idx="6">
                  <c:v>0.20100000000000004</c:v>
                </c:pt>
                <c:pt idx="7">
                  <c:v>0.307</c:v>
                </c:pt>
                <c:pt idx="8">
                  <c:v>0.5</c:v>
                </c:pt>
                <c:pt idx="9">
                  <c:v>0.307</c:v>
                </c:pt>
                <c:pt idx="10">
                  <c:v>0.23</c:v>
                </c:pt>
                <c:pt idx="11">
                  <c:v>0.16300000000000001</c:v>
                </c:pt>
                <c:pt idx="12">
                  <c:v>0.26900000000000002</c:v>
                </c:pt>
                <c:pt idx="13">
                  <c:v>0.221</c:v>
                </c:pt>
                <c:pt idx="14">
                  <c:v>0.25900000000000001</c:v>
                </c:pt>
                <c:pt idx="15">
                  <c:v>0.26900000000000002</c:v>
                </c:pt>
                <c:pt idx="16">
                  <c:v>0.74</c:v>
                </c:pt>
                <c:pt idx="17">
                  <c:v>0.82599999999999996</c:v>
                </c:pt>
                <c:pt idx="18">
                  <c:v>0.71099999999999997</c:v>
                </c:pt>
                <c:pt idx="19">
                  <c:v>0.41299999999999998</c:v>
                </c:pt>
                <c:pt idx="20">
                  <c:v>5.7000000000000002E-2</c:v>
                </c:pt>
                <c:pt idx="21">
                  <c:v>1.9E-2</c:v>
                </c:pt>
                <c:pt idx="22">
                  <c:v>2.8000000000000001E-2</c:v>
                </c:pt>
                <c:pt idx="23">
                  <c:v>0.115</c:v>
                </c:pt>
                <c:pt idx="24">
                  <c:v>0.105</c:v>
                </c:pt>
                <c:pt idx="25">
                  <c:v>0.125</c:v>
                </c:pt>
                <c:pt idx="26">
                  <c:v>0.192</c:v>
                </c:pt>
                <c:pt idx="27">
                  <c:v>0.14399999999999999</c:v>
                </c:pt>
                <c:pt idx="28">
                  <c:v>4.8000000000000001E-2</c:v>
                </c:pt>
                <c:pt idx="29">
                  <c:v>0</c:v>
                </c:pt>
                <c:pt idx="30">
                  <c:v>7.5999999999999998E-2</c:v>
                </c:pt>
                <c:pt idx="31">
                  <c:v>0.17299999999999999</c:v>
                </c:pt>
                <c:pt idx="32">
                  <c:v>0.29799999999999999</c:v>
                </c:pt>
                <c:pt idx="33">
                  <c:v>0.32600000000000001</c:v>
                </c:pt>
                <c:pt idx="34">
                  <c:v>0.36499999999999999</c:v>
                </c:pt>
                <c:pt idx="35">
                  <c:v>0.39400000000000002</c:v>
                </c:pt>
                <c:pt idx="36">
                  <c:v>0.34599999999999997</c:v>
                </c:pt>
                <c:pt idx="37">
                  <c:v>0.25</c:v>
                </c:pt>
                <c:pt idx="38">
                  <c:v>0.50900000000000001</c:v>
                </c:pt>
                <c:pt idx="39">
                  <c:v>0.60499999999999998</c:v>
                </c:pt>
                <c:pt idx="40">
                  <c:v>0.83599999999999997</c:v>
                </c:pt>
                <c:pt idx="41">
                  <c:v>0.98</c:v>
                </c:pt>
                <c:pt idx="42">
                  <c:v>0.99</c:v>
                </c:pt>
                <c:pt idx="43">
                  <c:v>1</c:v>
                </c:pt>
                <c:pt idx="44">
                  <c:v>0.97099999999999997</c:v>
                </c:pt>
                <c:pt idx="45">
                  <c:v>0.95099999999999996</c:v>
                </c:pt>
                <c:pt idx="46">
                  <c:v>0.94199999999999995</c:v>
                </c:pt>
                <c:pt idx="47">
                  <c:v>0.96099999999999997</c:v>
                </c:pt>
                <c:pt idx="48">
                  <c:v>0.90300000000000002</c:v>
                </c:pt>
                <c:pt idx="49">
                  <c:v>0.75900000000000001</c:v>
                </c:pt>
                <c:pt idx="50">
                  <c:v>0.875</c:v>
                </c:pt>
                <c:pt idx="51">
                  <c:v>0.76900000000000002</c:v>
                </c:pt>
                <c:pt idx="52">
                  <c:v>0.68200000000000005</c:v>
                </c:pt>
                <c:pt idx="53">
                  <c:v>0.21099999999999999</c:v>
                </c:pt>
                <c:pt idx="54">
                  <c:v>6.7000000000000004E-2</c:v>
                </c:pt>
                <c:pt idx="55">
                  <c:v>8.9999999999999993E-3</c:v>
                </c:pt>
                <c:pt idx="56">
                  <c:v>0.13400000000000001</c:v>
                </c:pt>
                <c:pt idx="57">
                  <c:v>0.78800000000000003</c:v>
                </c:pt>
                <c:pt idx="58">
                  <c:v>0.64400000000000002</c:v>
                </c:pt>
                <c:pt idx="59">
                  <c:v>0.67300000000000004</c:v>
                </c:pt>
                <c:pt idx="60">
                  <c:v>0.63400000000000001</c:v>
                </c:pt>
                <c:pt idx="61">
                  <c:v>0.66300000000000003</c:v>
                </c:pt>
                <c:pt idx="62">
                  <c:v>0.81699999999999995</c:v>
                </c:pt>
                <c:pt idx="63">
                  <c:v>0.86499999999999999</c:v>
                </c:pt>
                <c:pt idx="64">
                  <c:v>0.83599999999999997</c:v>
                </c:pt>
                <c:pt idx="65">
                  <c:v>0.72099999999999997</c:v>
                </c:pt>
                <c:pt idx="66">
                  <c:v>0.59599999999999997</c:v>
                </c:pt>
                <c:pt idx="67">
                  <c:v>0.65300000000000002</c:v>
                </c:pt>
                <c:pt idx="68">
                  <c:v>0.33600000000000002</c:v>
                </c:pt>
                <c:pt idx="69">
                  <c:v>0.24</c:v>
                </c:pt>
                <c:pt idx="70">
                  <c:v>0.28799999999999998</c:v>
                </c:pt>
                <c:pt idx="71">
                  <c:v>0.38400000000000001</c:v>
                </c:pt>
                <c:pt idx="72">
                  <c:v>0.432</c:v>
                </c:pt>
                <c:pt idx="73">
                  <c:v>0.49</c:v>
                </c:pt>
                <c:pt idx="74">
                  <c:v>0.53800000000000003</c:v>
                </c:pt>
                <c:pt idx="75">
                  <c:v>0.58599999999999997</c:v>
                </c:pt>
                <c:pt idx="76">
                  <c:v>0.68200000000000005</c:v>
                </c:pt>
                <c:pt idx="77">
                  <c:v>0.85499999999999998</c:v>
                </c:pt>
                <c:pt idx="78">
                  <c:v>0.88400000000000001</c:v>
                </c:pt>
                <c:pt idx="79">
                  <c:v>0.92300000000000004</c:v>
                </c:pt>
                <c:pt idx="80">
                  <c:v>0.73</c:v>
                </c:pt>
                <c:pt idx="81">
                  <c:v>0.92300000000000004</c:v>
                </c:pt>
                <c:pt idx="82">
                  <c:v>0.91300000000000003</c:v>
                </c:pt>
                <c:pt idx="83">
                  <c:v>0.89400000000000002</c:v>
                </c:pt>
                <c:pt idx="84">
                  <c:v>0.79800000000000004</c:v>
                </c:pt>
                <c:pt idx="85">
                  <c:v>0.74</c:v>
                </c:pt>
                <c:pt idx="86">
                  <c:v>0.80700000000000005</c:v>
                </c:pt>
                <c:pt idx="87">
                  <c:v>0.76900000000000002</c:v>
                </c:pt>
                <c:pt idx="88">
                  <c:v>0.70099999999999996</c:v>
                </c:pt>
                <c:pt idx="89">
                  <c:v>0.57599999999999996</c:v>
                </c:pt>
                <c:pt idx="90">
                  <c:v>0.52799999999999991</c:v>
                </c:pt>
                <c:pt idx="91">
                  <c:v>0.56699999999999995</c:v>
                </c:pt>
                <c:pt idx="92">
                  <c:v>0.625</c:v>
                </c:pt>
                <c:pt idx="93">
                  <c:v>0.55700000000000005</c:v>
                </c:pt>
                <c:pt idx="94">
                  <c:v>0.48</c:v>
                </c:pt>
                <c:pt idx="95">
                  <c:v>0.40300000000000002</c:v>
                </c:pt>
                <c:pt idx="96">
                  <c:v>0.35499999999999998</c:v>
                </c:pt>
                <c:pt idx="97">
                  <c:v>0.442</c:v>
                </c:pt>
                <c:pt idx="98">
                  <c:v>0.46100000000000002</c:v>
                </c:pt>
                <c:pt idx="99">
                  <c:v>0.47099999999999997</c:v>
                </c:pt>
                <c:pt idx="100">
                  <c:v>0.42299999999999999</c:v>
                </c:pt>
                <c:pt idx="101">
                  <c:v>0.45100000000000001</c:v>
                </c:pt>
                <c:pt idx="102">
                  <c:v>0.54800000000000004</c:v>
                </c:pt>
                <c:pt idx="103">
                  <c:v>0.61499999999999999</c:v>
                </c:pt>
                <c:pt idx="104">
                  <c:v>0.51900000000000002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11-4111-BB21-3D6BB1113F71}"/>
            </c:ext>
          </c:extLst>
        </c:ser>
        <c:ser>
          <c:idx val="2"/>
          <c:order val="2"/>
          <c:tx>
            <c:strRef>
              <c:f>'面板-景气指数'!$A$138</c:f>
              <c:strCache>
                <c:ptCount val="1"/>
                <c:pt idx="0">
                  <c:v>个护用品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'面板-景气指数'!$F$138:$DF$138</c:f>
              <c:numCache>
                <c:formatCode>0.0%</c:formatCode>
                <c:ptCount val="105"/>
                <c:pt idx="0">
                  <c:v>0.17500000000000002</c:v>
                </c:pt>
                <c:pt idx="1">
                  <c:v>0.17949999999999999</c:v>
                </c:pt>
                <c:pt idx="2">
                  <c:v>0.16500000000000004</c:v>
                </c:pt>
                <c:pt idx="3">
                  <c:v>0.218</c:v>
                </c:pt>
                <c:pt idx="4">
                  <c:v>0.22749999999999998</c:v>
                </c:pt>
                <c:pt idx="5">
                  <c:v>0.24700000000000003</c:v>
                </c:pt>
                <c:pt idx="6">
                  <c:v>0.19900000000000001</c:v>
                </c:pt>
                <c:pt idx="7">
                  <c:v>0.13150000000000001</c:v>
                </c:pt>
                <c:pt idx="8">
                  <c:v>0.1075</c:v>
                </c:pt>
                <c:pt idx="9">
                  <c:v>0.217</c:v>
                </c:pt>
                <c:pt idx="10">
                  <c:v>0.13350000000000001</c:v>
                </c:pt>
                <c:pt idx="11">
                  <c:v>0.17050000000000001</c:v>
                </c:pt>
                <c:pt idx="12">
                  <c:v>0.14450000000000002</c:v>
                </c:pt>
                <c:pt idx="13">
                  <c:v>8.4500000000000006E-2</c:v>
                </c:pt>
                <c:pt idx="14">
                  <c:v>5.8999999999999997E-2</c:v>
                </c:pt>
                <c:pt idx="15">
                  <c:v>9.5999999999999988E-2</c:v>
                </c:pt>
                <c:pt idx="16">
                  <c:v>0.19600000000000001</c:v>
                </c:pt>
                <c:pt idx="17">
                  <c:v>0.32250000000000001</c:v>
                </c:pt>
                <c:pt idx="18">
                  <c:v>0.43800000000000006</c:v>
                </c:pt>
                <c:pt idx="19">
                  <c:v>0.40099999999999997</c:v>
                </c:pt>
                <c:pt idx="20">
                  <c:v>0.39999999999999997</c:v>
                </c:pt>
                <c:pt idx="21">
                  <c:v>0.35549999999999998</c:v>
                </c:pt>
                <c:pt idx="22">
                  <c:v>0.44849999999999995</c:v>
                </c:pt>
                <c:pt idx="23">
                  <c:v>0.42650000000000005</c:v>
                </c:pt>
                <c:pt idx="24">
                  <c:v>0.43850000000000006</c:v>
                </c:pt>
                <c:pt idx="25">
                  <c:v>0.32500000000000001</c:v>
                </c:pt>
                <c:pt idx="26">
                  <c:v>0.45899999999999996</c:v>
                </c:pt>
                <c:pt idx="27">
                  <c:v>0.44800000000000001</c:v>
                </c:pt>
                <c:pt idx="28">
                  <c:v>0.46949999999999997</c:v>
                </c:pt>
                <c:pt idx="29">
                  <c:v>0.2535</c:v>
                </c:pt>
                <c:pt idx="30">
                  <c:v>0.32399999999999995</c:v>
                </c:pt>
                <c:pt idx="31">
                  <c:v>0.45349999999999996</c:v>
                </c:pt>
                <c:pt idx="32">
                  <c:v>0.77350000000000008</c:v>
                </c:pt>
                <c:pt idx="33">
                  <c:v>0.71949999999999992</c:v>
                </c:pt>
                <c:pt idx="34">
                  <c:v>0.5575</c:v>
                </c:pt>
                <c:pt idx="35">
                  <c:v>0.52149999999999996</c:v>
                </c:pt>
                <c:pt idx="36">
                  <c:v>0.49249999999999999</c:v>
                </c:pt>
                <c:pt idx="37">
                  <c:v>0.62649999999999995</c:v>
                </c:pt>
                <c:pt idx="38">
                  <c:v>0.65749999999999997</c:v>
                </c:pt>
                <c:pt idx="39">
                  <c:v>0.82199999999999995</c:v>
                </c:pt>
                <c:pt idx="40">
                  <c:v>0.65800000000000003</c:v>
                </c:pt>
                <c:pt idx="41">
                  <c:v>0.76300000000000001</c:v>
                </c:pt>
                <c:pt idx="42">
                  <c:v>0.71699999999999997</c:v>
                </c:pt>
                <c:pt idx="43">
                  <c:v>0.96650000000000003</c:v>
                </c:pt>
                <c:pt idx="44">
                  <c:v>0.97850000000000004</c:v>
                </c:pt>
                <c:pt idx="45">
                  <c:v>0.71150000000000002</c:v>
                </c:pt>
                <c:pt idx="46">
                  <c:v>0.5</c:v>
                </c:pt>
                <c:pt idx="47">
                  <c:v>0.51400000000000001</c:v>
                </c:pt>
                <c:pt idx="48">
                  <c:v>0.54800000000000004</c:v>
                </c:pt>
                <c:pt idx="49">
                  <c:v>0.50949999999999995</c:v>
                </c:pt>
                <c:pt idx="50">
                  <c:v>0.56700000000000006</c:v>
                </c:pt>
                <c:pt idx="51">
                  <c:v>0.65349999999999997</c:v>
                </c:pt>
                <c:pt idx="52">
                  <c:v>0.66799999999999993</c:v>
                </c:pt>
                <c:pt idx="53">
                  <c:v>0.48050000000000004</c:v>
                </c:pt>
                <c:pt idx="54">
                  <c:v>0.32200000000000001</c:v>
                </c:pt>
                <c:pt idx="55">
                  <c:v>0.27400000000000002</c:v>
                </c:pt>
                <c:pt idx="56">
                  <c:v>0.38450000000000006</c:v>
                </c:pt>
                <c:pt idx="57">
                  <c:v>0.71599999999999997</c:v>
                </c:pt>
                <c:pt idx="58">
                  <c:v>0.6825</c:v>
                </c:pt>
                <c:pt idx="59">
                  <c:v>0.66300000000000003</c:v>
                </c:pt>
                <c:pt idx="60">
                  <c:v>0.59100000000000008</c:v>
                </c:pt>
                <c:pt idx="61">
                  <c:v>0.61049999999999993</c:v>
                </c:pt>
                <c:pt idx="62">
                  <c:v>0.62</c:v>
                </c:pt>
                <c:pt idx="63">
                  <c:v>0.58150000000000002</c:v>
                </c:pt>
                <c:pt idx="64">
                  <c:v>0.57650000000000001</c:v>
                </c:pt>
                <c:pt idx="65">
                  <c:v>0.64899999999999991</c:v>
                </c:pt>
                <c:pt idx="66">
                  <c:v>0.71150000000000002</c:v>
                </c:pt>
                <c:pt idx="67">
                  <c:v>0.72100000000000009</c:v>
                </c:pt>
                <c:pt idx="68">
                  <c:v>0.72549999999999992</c:v>
                </c:pt>
                <c:pt idx="69">
                  <c:v>0.73050000000000004</c:v>
                </c:pt>
                <c:pt idx="70">
                  <c:v>0.67749999999999988</c:v>
                </c:pt>
                <c:pt idx="71">
                  <c:v>0.69199999999999995</c:v>
                </c:pt>
                <c:pt idx="72">
                  <c:v>0.6825</c:v>
                </c:pt>
                <c:pt idx="73">
                  <c:v>0.70650000000000002</c:v>
                </c:pt>
                <c:pt idx="74">
                  <c:v>0.67300000000000004</c:v>
                </c:pt>
                <c:pt idx="75">
                  <c:v>0.60050000000000003</c:v>
                </c:pt>
                <c:pt idx="76">
                  <c:v>0.6150000000000001</c:v>
                </c:pt>
                <c:pt idx="77">
                  <c:v>0.62949999999999995</c:v>
                </c:pt>
                <c:pt idx="78">
                  <c:v>0.62499999999999989</c:v>
                </c:pt>
                <c:pt idx="79">
                  <c:v>0.64400000000000002</c:v>
                </c:pt>
                <c:pt idx="80">
                  <c:v>0.45150000000000001</c:v>
                </c:pt>
                <c:pt idx="81">
                  <c:v>0.42299999999999999</c:v>
                </c:pt>
                <c:pt idx="82">
                  <c:v>0.42749999999999999</c:v>
                </c:pt>
                <c:pt idx="83">
                  <c:v>0.44700000000000001</c:v>
                </c:pt>
                <c:pt idx="84">
                  <c:v>0.44199999999999995</c:v>
                </c:pt>
                <c:pt idx="85">
                  <c:v>0.43750000000000006</c:v>
                </c:pt>
                <c:pt idx="86">
                  <c:v>0.47549999999999998</c:v>
                </c:pt>
                <c:pt idx="87">
                  <c:v>0.49</c:v>
                </c:pt>
                <c:pt idx="88">
                  <c:v>0.50449999999999995</c:v>
                </c:pt>
                <c:pt idx="89">
                  <c:v>0.45650000000000002</c:v>
                </c:pt>
                <c:pt idx="90">
                  <c:v>0.46599999999999997</c:v>
                </c:pt>
                <c:pt idx="91">
                  <c:v>0.47100000000000003</c:v>
                </c:pt>
                <c:pt idx="92">
                  <c:v>0.5575</c:v>
                </c:pt>
                <c:pt idx="93">
                  <c:v>0.58650000000000002</c:v>
                </c:pt>
                <c:pt idx="94">
                  <c:v>0.55249999999999999</c:v>
                </c:pt>
                <c:pt idx="95">
                  <c:v>0.53349999999999997</c:v>
                </c:pt>
                <c:pt idx="96">
                  <c:v>0.52400000000000002</c:v>
                </c:pt>
                <c:pt idx="97">
                  <c:v>0.53799999999999992</c:v>
                </c:pt>
                <c:pt idx="98">
                  <c:v>0.52849999999999997</c:v>
                </c:pt>
                <c:pt idx="99">
                  <c:v>0.5625</c:v>
                </c:pt>
                <c:pt idx="100">
                  <c:v>0.59599999999999997</c:v>
                </c:pt>
                <c:pt idx="101">
                  <c:v>0.60549999999999993</c:v>
                </c:pt>
                <c:pt idx="102">
                  <c:v>0.56700000000000006</c:v>
                </c:pt>
                <c:pt idx="103">
                  <c:v>0.54300000000000004</c:v>
                </c:pt>
                <c:pt idx="104">
                  <c:v>0.63449999999999995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11-4111-BB21-3D6BB1113F71}"/>
            </c:ext>
          </c:extLst>
        </c:ser>
        <c:ser>
          <c:idx val="3"/>
          <c:order val="3"/>
          <c:tx>
            <c:strRef>
              <c:f>'面板-景气指数'!$A$139</c:f>
              <c:strCache>
                <c:ptCount val="1"/>
                <c:pt idx="0">
                  <c:v>医疗美容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'面板-景气指数'!$F$139:$DF$139</c:f>
              <c:numCache>
                <c:formatCode>0.0%</c:formatCode>
                <c:ptCount val="105"/>
                <c:pt idx="0">
                  <c:v>0.11316666666666667</c:v>
                </c:pt>
                <c:pt idx="1">
                  <c:v>0.11316666666666667</c:v>
                </c:pt>
                <c:pt idx="2">
                  <c:v>0.11316666666666667</c:v>
                </c:pt>
                <c:pt idx="3">
                  <c:v>0.11316666666666667</c:v>
                </c:pt>
                <c:pt idx="4">
                  <c:v>0.11316666666666667</c:v>
                </c:pt>
                <c:pt idx="5">
                  <c:v>0.10050000000000002</c:v>
                </c:pt>
                <c:pt idx="6">
                  <c:v>8.7000000000000008E-2</c:v>
                </c:pt>
                <c:pt idx="7">
                  <c:v>0.14283333333333334</c:v>
                </c:pt>
                <c:pt idx="8">
                  <c:v>0.16833333333333333</c:v>
                </c:pt>
                <c:pt idx="9">
                  <c:v>0.20283333333333334</c:v>
                </c:pt>
                <c:pt idx="10">
                  <c:v>0.28366666666666668</c:v>
                </c:pt>
                <c:pt idx="11">
                  <c:v>0.34666666666666673</c:v>
                </c:pt>
                <c:pt idx="12">
                  <c:v>0.45400000000000007</c:v>
                </c:pt>
                <c:pt idx="13">
                  <c:v>0.48983333333333334</c:v>
                </c:pt>
                <c:pt idx="14">
                  <c:v>0.58716666666666673</c:v>
                </c:pt>
                <c:pt idx="15">
                  <c:v>0.67333333333333334</c:v>
                </c:pt>
                <c:pt idx="16">
                  <c:v>0.77249999999999996</c:v>
                </c:pt>
                <c:pt idx="17">
                  <c:v>0.78866666666666674</c:v>
                </c:pt>
                <c:pt idx="18">
                  <c:v>0.74733333333333329</c:v>
                </c:pt>
                <c:pt idx="19">
                  <c:v>0.70583333333333342</c:v>
                </c:pt>
                <c:pt idx="20">
                  <c:v>0.69816666666666682</c:v>
                </c:pt>
                <c:pt idx="21">
                  <c:v>0.72283333333333344</c:v>
                </c:pt>
                <c:pt idx="22">
                  <c:v>0.71150000000000002</c:v>
                </c:pt>
                <c:pt idx="23">
                  <c:v>0.71733333333333349</c:v>
                </c:pt>
                <c:pt idx="24">
                  <c:v>0.59699999999999998</c:v>
                </c:pt>
                <c:pt idx="25">
                  <c:v>0.55500000000000016</c:v>
                </c:pt>
                <c:pt idx="26">
                  <c:v>0.45216666666666677</c:v>
                </c:pt>
                <c:pt idx="27">
                  <c:v>0.4335</c:v>
                </c:pt>
                <c:pt idx="28">
                  <c:v>0.43433333333333335</c:v>
                </c:pt>
                <c:pt idx="29">
                  <c:v>0.4831666666666668</c:v>
                </c:pt>
                <c:pt idx="30">
                  <c:v>0.50216666666666665</c:v>
                </c:pt>
                <c:pt idx="31">
                  <c:v>0.4998333333333333</c:v>
                </c:pt>
                <c:pt idx="32">
                  <c:v>0.52883333333333338</c:v>
                </c:pt>
                <c:pt idx="33">
                  <c:v>0.53216666666666679</c:v>
                </c:pt>
                <c:pt idx="34">
                  <c:v>0.56666666666666676</c:v>
                </c:pt>
                <c:pt idx="35">
                  <c:v>0.56133333333333346</c:v>
                </c:pt>
                <c:pt idx="36">
                  <c:v>0.6110000000000001</c:v>
                </c:pt>
                <c:pt idx="37">
                  <c:v>0.60966666666666669</c:v>
                </c:pt>
                <c:pt idx="38">
                  <c:v>0.65466666666666673</c:v>
                </c:pt>
                <c:pt idx="39">
                  <c:v>0.61350000000000005</c:v>
                </c:pt>
                <c:pt idx="40">
                  <c:v>0.61</c:v>
                </c:pt>
                <c:pt idx="41">
                  <c:v>0.63116666666666665</c:v>
                </c:pt>
                <c:pt idx="42">
                  <c:v>0.69800000000000006</c:v>
                </c:pt>
                <c:pt idx="43">
                  <c:v>0.7366666666666668</c:v>
                </c:pt>
                <c:pt idx="44">
                  <c:v>0.67966666666666675</c:v>
                </c:pt>
                <c:pt idx="45">
                  <c:v>0.56716666666666671</c:v>
                </c:pt>
                <c:pt idx="46">
                  <c:v>0.51416666666666677</c:v>
                </c:pt>
                <c:pt idx="47">
                  <c:v>0.52916666666666667</c:v>
                </c:pt>
                <c:pt idx="48">
                  <c:v>0.48300000000000004</c:v>
                </c:pt>
                <c:pt idx="49">
                  <c:v>0.64100000000000013</c:v>
                </c:pt>
                <c:pt idx="50">
                  <c:v>0.61083333333333334</c:v>
                </c:pt>
                <c:pt idx="51">
                  <c:v>0.59866666666666668</c:v>
                </c:pt>
                <c:pt idx="52">
                  <c:v>0.43600000000000005</c:v>
                </c:pt>
                <c:pt idx="53">
                  <c:v>0.40950000000000009</c:v>
                </c:pt>
                <c:pt idx="54">
                  <c:v>0.32333333333333331</c:v>
                </c:pt>
                <c:pt idx="55">
                  <c:v>0.31466666666666665</c:v>
                </c:pt>
                <c:pt idx="56">
                  <c:v>0.35916666666666669</c:v>
                </c:pt>
                <c:pt idx="57">
                  <c:v>0.40783333333333338</c:v>
                </c:pt>
                <c:pt idx="58">
                  <c:v>0.43433333333333335</c:v>
                </c:pt>
                <c:pt idx="59">
                  <c:v>0.47650000000000003</c:v>
                </c:pt>
                <c:pt idx="60">
                  <c:v>0.46983333333333338</c:v>
                </c:pt>
                <c:pt idx="61">
                  <c:v>0.44000000000000006</c:v>
                </c:pt>
                <c:pt idx="62">
                  <c:v>0.44733333333333336</c:v>
                </c:pt>
                <c:pt idx="63">
                  <c:v>0.47383333333333344</c:v>
                </c:pt>
                <c:pt idx="64">
                  <c:v>0.56900000000000006</c:v>
                </c:pt>
                <c:pt idx="65">
                  <c:v>0.54900000000000004</c:v>
                </c:pt>
                <c:pt idx="66">
                  <c:v>0.54350000000000009</c:v>
                </c:pt>
                <c:pt idx="67">
                  <c:v>0.52866666666666673</c:v>
                </c:pt>
                <c:pt idx="68">
                  <c:v>0.49833333333333335</c:v>
                </c:pt>
                <c:pt idx="69">
                  <c:v>0.52700000000000002</c:v>
                </c:pt>
                <c:pt idx="70">
                  <c:v>0.55733333333333346</c:v>
                </c:pt>
                <c:pt idx="71">
                  <c:v>0.45850000000000002</c:v>
                </c:pt>
                <c:pt idx="72">
                  <c:v>0.42800000000000005</c:v>
                </c:pt>
                <c:pt idx="73">
                  <c:v>0.35066666666666668</c:v>
                </c:pt>
                <c:pt idx="74">
                  <c:v>0.42233333333333339</c:v>
                </c:pt>
                <c:pt idx="75">
                  <c:v>0.41616666666666668</c:v>
                </c:pt>
                <c:pt idx="76">
                  <c:v>0.43516666666666665</c:v>
                </c:pt>
                <c:pt idx="77">
                  <c:v>0.50000000000000011</c:v>
                </c:pt>
                <c:pt idx="78">
                  <c:v>0.46416666666666673</c:v>
                </c:pt>
                <c:pt idx="79">
                  <c:v>0.51300000000000012</c:v>
                </c:pt>
                <c:pt idx="80">
                  <c:v>0.58550000000000002</c:v>
                </c:pt>
                <c:pt idx="81">
                  <c:v>0.71533333333333338</c:v>
                </c:pt>
                <c:pt idx="82">
                  <c:v>0.71883333333333332</c:v>
                </c:pt>
                <c:pt idx="83">
                  <c:v>0.75550000000000006</c:v>
                </c:pt>
                <c:pt idx="84">
                  <c:v>0.72800000000000009</c:v>
                </c:pt>
                <c:pt idx="85">
                  <c:v>0.70766666666666689</c:v>
                </c:pt>
                <c:pt idx="86">
                  <c:v>0.65183333333333338</c:v>
                </c:pt>
                <c:pt idx="87">
                  <c:v>0.53150000000000008</c:v>
                </c:pt>
                <c:pt idx="88">
                  <c:v>0.45816666666666678</c:v>
                </c:pt>
                <c:pt idx="89">
                  <c:v>0.39083333333333342</c:v>
                </c:pt>
                <c:pt idx="90">
                  <c:v>0.45850000000000002</c:v>
                </c:pt>
                <c:pt idx="91">
                  <c:v>0.46216666666666667</c:v>
                </c:pt>
                <c:pt idx="92">
                  <c:v>0.54783333333333328</c:v>
                </c:pt>
                <c:pt idx="93">
                  <c:v>0.45666666666666672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11-4111-BB21-3D6BB1113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'面板-景气指数'!$A$46</c:f>
              <c:strCache>
                <c:ptCount val="1"/>
                <c:pt idx="0">
                  <c:v>农林牧渔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'面板-景气指数'!$F$46:$DF$46</c:f>
              <c:numCache>
                <c:formatCode>0.0%</c:formatCode>
                <c:ptCount val="105"/>
                <c:pt idx="0">
                  <c:v>0.26707845633322025</c:v>
                </c:pt>
                <c:pt idx="1">
                  <c:v>0.27309771438656205</c:v>
                </c:pt>
                <c:pt idx="2">
                  <c:v>0.29211784394202345</c:v>
                </c:pt>
                <c:pt idx="3">
                  <c:v>0.26388230748788238</c:v>
                </c:pt>
                <c:pt idx="4">
                  <c:v>0.22319502651647083</c:v>
                </c:pt>
                <c:pt idx="5">
                  <c:v>0.19502475295973173</c:v>
                </c:pt>
                <c:pt idx="6">
                  <c:v>0.17258462002089237</c:v>
                </c:pt>
                <c:pt idx="7">
                  <c:v>0.17570142197537578</c:v>
                </c:pt>
                <c:pt idx="8">
                  <c:v>0.13544071943325989</c:v>
                </c:pt>
                <c:pt idx="9">
                  <c:v>0.1364375051384796</c:v>
                </c:pt>
                <c:pt idx="10">
                  <c:v>0.13632548318285972</c:v>
                </c:pt>
                <c:pt idx="11">
                  <c:v>0.15816532341767833</c:v>
                </c:pt>
                <c:pt idx="12">
                  <c:v>0.20829772153676837</c:v>
                </c:pt>
                <c:pt idx="13">
                  <c:v>0.23952051377959002</c:v>
                </c:pt>
                <c:pt idx="14">
                  <c:v>0.23214357806572944</c:v>
                </c:pt>
                <c:pt idx="15">
                  <c:v>0.18820704666893567</c:v>
                </c:pt>
                <c:pt idx="16">
                  <c:v>0.20454786985723084</c:v>
                </c:pt>
                <c:pt idx="17">
                  <c:v>0.24461836283032445</c:v>
                </c:pt>
                <c:pt idx="18">
                  <c:v>0.31972180042472748</c:v>
                </c:pt>
                <c:pt idx="19">
                  <c:v>0.37614501637677183</c:v>
                </c:pt>
                <c:pt idx="20">
                  <c:v>0.44438632319578986</c:v>
                </c:pt>
                <c:pt idx="21">
                  <c:v>0.55355287246624707</c:v>
                </c:pt>
                <c:pt idx="22">
                  <c:v>0.67256510139069903</c:v>
                </c:pt>
                <c:pt idx="23">
                  <c:v>0.74427304291694996</c:v>
                </c:pt>
                <c:pt idx="24">
                  <c:v>0.74317721512778168</c:v>
                </c:pt>
                <c:pt idx="25">
                  <c:v>0.69708309901535204</c:v>
                </c:pt>
                <c:pt idx="26">
                  <c:v>0.65349152044118952</c:v>
                </c:pt>
                <c:pt idx="27">
                  <c:v>0.61733679671314434</c:v>
                </c:pt>
                <c:pt idx="28">
                  <c:v>0.54782328337580022</c:v>
                </c:pt>
                <c:pt idx="29">
                  <c:v>0.52151661387830706</c:v>
                </c:pt>
                <c:pt idx="30">
                  <c:v>0.50532145797742611</c:v>
                </c:pt>
                <c:pt idx="31">
                  <c:v>0.50726927481468587</c:v>
                </c:pt>
                <c:pt idx="32">
                  <c:v>0.54443871630076335</c:v>
                </c:pt>
                <c:pt idx="33">
                  <c:v>0.62032243649079222</c:v>
                </c:pt>
                <c:pt idx="34">
                  <c:v>0.63187412766139794</c:v>
                </c:pt>
                <c:pt idx="35">
                  <c:v>0.59896637024613786</c:v>
                </c:pt>
                <c:pt idx="36">
                  <c:v>0.58902347257346277</c:v>
                </c:pt>
                <c:pt idx="37">
                  <c:v>0.59263245513642815</c:v>
                </c:pt>
                <c:pt idx="38">
                  <c:v>0.64108505407606975</c:v>
                </c:pt>
                <c:pt idx="39">
                  <c:v>0.6959616999461874</c:v>
                </c:pt>
                <c:pt idx="40">
                  <c:v>0.74405616065917202</c:v>
                </c:pt>
                <c:pt idx="41">
                  <c:v>0.79618281790359868</c:v>
                </c:pt>
                <c:pt idx="42">
                  <c:v>0.82315275204592542</c:v>
                </c:pt>
                <c:pt idx="43">
                  <c:v>0.88607972777490451</c:v>
                </c:pt>
                <c:pt idx="44">
                  <c:v>0.84343329912800213</c:v>
                </c:pt>
                <c:pt idx="45">
                  <c:v>0.80570179182595125</c:v>
                </c:pt>
                <c:pt idx="46">
                  <c:v>0.77297298664076819</c:v>
                </c:pt>
                <c:pt idx="47">
                  <c:v>0.7690769564008948</c:v>
                </c:pt>
                <c:pt idx="48">
                  <c:v>0.75855708341711625</c:v>
                </c:pt>
                <c:pt idx="49">
                  <c:v>0.75491424990613465</c:v>
                </c:pt>
                <c:pt idx="50">
                  <c:v>0.72039042316047508</c:v>
                </c:pt>
                <c:pt idx="51">
                  <c:v>0.6955232471947026</c:v>
                </c:pt>
                <c:pt idx="52">
                  <c:v>0.69332316825962159</c:v>
                </c:pt>
                <c:pt idx="53">
                  <c:v>0.67868927840285742</c:v>
                </c:pt>
                <c:pt idx="54">
                  <c:v>0.68912875909697335</c:v>
                </c:pt>
                <c:pt idx="55">
                  <c:v>0.6222255390241006</c:v>
                </c:pt>
                <c:pt idx="56">
                  <c:v>0.59500759683305204</c:v>
                </c:pt>
                <c:pt idx="57">
                  <c:v>0.55269945039272717</c:v>
                </c:pt>
                <c:pt idx="58">
                  <c:v>0.5424911078688136</c:v>
                </c:pt>
                <c:pt idx="59">
                  <c:v>0.57882300582257229</c:v>
                </c:pt>
                <c:pt idx="60">
                  <c:v>0.59656874923647563</c:v>
                </c:pt>
                <c:pt idx="61">
                  <c:v>0.59716070919594322</c:v>
                </c:pt>
                <c:pt idx="62">
                  <c:v>0.57048052368884816</c:v>
                </c:pt>
                <c:pt idx="63">
                  <c:v>0.53806929711178419</c:v>
                </c:pt>
                <c:pt idx="64">
                  <c:v>0.50553909417825482</c:v>
                </c:pt>
                <c:pt idx="65">
                  <c:v>0.44762857947485274</c:v>
                </c:pt>
                <c:pt idx="66">
                  <c:v>0.40281086981569703</c:v>
                </c:pt>
                <c:pt idx="67">
                  <c:v>0.39249029436996447</c:v>
                </c:pt>
                <c:pt idx="68">
                  <c:v>0.41508795250374908</c:v>
                </c:pt>
                <c:pt idx="69">
                  <c:v>0.43806010182724958</c:v>
                </c:pt>
                <c:pt idx="70">
                  <c:v>0.4507640997981201</c:v>
                </c:pt>
                <c:pt idx="71">
                  <c:v>0.47958733210631066</c:v>
                </c:pt>
                <c:pt idx="72">
                  <c:v>0.48068216374844758</c:v>
                </c:pt>
                <c:pt idx="73">
                  <c:v>0.44664551385151158</c:v>
                </c:pt>
                <c:pt idx="74">
                  <c:v>0.43635293944140824</c:v>
                </c:pt>
                <c:pt idx="75">
                  <c:v>0.41403585446279351</c:v>
                </c:pt>
                <c:pt idx="76">
                  <c:v>0.40352619000203177</c:v>
                </c:pt>
                <c:pt idx="77">
                  <c:v>0.41015078767199481</c:v>
                </c:pt>
                <c:pt idx="78">
                  <c:v>0.45754324750228204</c:v>
                </c:pt>
                <c:pt idx="79">
                  <c:v>0.49837830224392954</c:v>
                </c:pt>
                <c:pt idx="80">
                  <c:v>0.52350903453069009</c:v>
                </c:pt>
                <c:pt idx="81">
                  <c:v>0.48805657237531797</c:v>
                </c:pt>
                <c:pt idx="82">
                  <c:v>0.46218528992073593</c:v>
                </c:pt>
                <c:pt idx="83">
                  <c:v>0.42527889317065881</c:v>
                </c:pt>
                <c:pt idx="84">
                  <c:v>0.39987032008671791</c:v>
                </c:pt>
                <c:pt idx="85">
                  <c:v>0.37618127854761663</c:v>
                </c:pt>
                <c:pt idx="86">
                  <c:v>0.37034473497148179</c:v>
                </c:pt>
                <c:pt idx="87">
                  <c:v>0.39549197397804653</c:v>
                </c:pt>
                <c:pt idx="88">
                  <c:v>0.45790636750951663</c:v>
                </c:pt>
                <c:pt idx="89">
                  <c:v>0.54423591878539601</c:v>
                </c:pt>
                <c:pt idx="90">
                  <c:v>0.57864137258102399</c:v>
                </c:pt>
                <c:pt idx="91">
                  <c:v>0.57622118776651976</c:v>
                </c:pt>
                <c:pt idx="92">
                  <c:v>0.56566944146169773</c:v>
                </c:pt>
                <c:pt idx="93">
                  <c:v>0.60025988234945737</c:v>
                </c:pt>
                <c:pt idx="94">
                  <c:v>0.57712245516597738</c:v>
                </c:pt>
                <c:pt idx="95">
                  <c:v>0.56825336326277975</c:v>
                </c:pt>
                <c:pt idx="96">
                  <c:v>0.53775235269343458</c:v>
                </c:pt>
                <c:pt idx="97">
                  <c:v>0.5170013811425479</c:v>
                </c:pt>
                <c:pt idx="98">
                  <c:v>0.52684237050878069</c:v>
                </c:pt>
                <c:pt idx="99">
                  <c:v>0.53351383011138664</c:v>
                </c:pt>
                <c:pt idx="100">
                  <c:v>0.53230933241110157</c:v>
                </c:pt>
                <c:pt idx="101">
                  <c:v>0.48049980222540573</c:v>
                </c:pt>
                <c:pt idx="102">
                  <c:v>0.43344036170058842</c:v>
                </c:pt>
                <c:pt idx="103">
                  <c:v>0.3694503194105106</c:v>
                </c:pt>
                <c:pt idx="104">
                  <c:v>0.32737418336610996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0A-404F-AD61-B3A3FC1E8676}"/>
            </c:ext>
          </c:extLst>
        </c:ser>
        <c:ser>
          <c:idx val="1"/>
          <c:order val="1"/>
          <c:tx>
            <c:strRef>
              <c:f>'面板-景气指数'!$A$140</c:f>
              <c:strCache>
                <c:ptCount val="1"/>
                <c:pt idx="0">
                  <c:v>养殖业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'面板-景气指数'!$F$140:$DF$140</c:f>
              <c:numCache>
                <c:formatCode>0.0%</c:formatCode>
                <c:ptCount val="105"/>
                <c:pt idx="0">
                  <c:v>0.57450000000000012</c:v>
                </c:pt>
                <c:pt idx="1">
                  <c:v>0.54290000000000016</c:v>
                </c:pt>
                <c:pt idx="2">
                  <c:v>0.51380000000000003</c:v>
                </c:pt>
                <c:pt idx="3">
                  <c:v>0.43869999999999998</c:v>
                </c:pt>
                <c:pt idx="4">
                  <c:v>0.35060000000000002</c:v>
                </c:pt>
                <c:pt idx="5">
                  <c:v>0.29260000000000003</c:v>
                </c:pt>
                <c:pt idx="6">
                  <c:v>0.27270000000000005</c:v>
                </c:pt>
                <c:pt idx="7">
                  <c:v>0.27150000000000007</c:v>
                </c:pt>
                <c:pt idx="8">
                  <c:v>0.25619999999999998</c:v>
                </c:pt>
                <c:pt idx="9">
                  <c:v>0.21779999999999991</c:v>
                </c:pt>
                <c:pt idx="10">
                  <c:v>0.20999999999999996</c:v>
                </c:pt>
                <c:pt idx="11">
                  <c:v>0.23619999999999999</c:v>
                </c:pt>
                <c:pt idx="12">
                  <c:v>0.28879999999999995</c:v>
                </c:pt>
                <c:pt idx="13">
                  <c:v>0.27179999999999982</c:v>
                </c:pt>
                <c:pt idx="14">
                  <c:v>0.24089999999999986</c:v>
                </c:pt>
                <c:pt idx="15">
                  <c:v>0.1897999999999998</c:v>
                </c:pt>
                <c:pt idx="16">
                  <c:v>0.21899999999999978</c:v>
                </c:pt>
                <c:pt idx="17">
                  <c:v>0.2985999999999997</c:v>
                </c:pt>
                <c:pt idx="18">
                  <c:v>0.33399999999999969</c:v>
                </c:pt>
                <c:pt idx="19">
                  <c:v>0.31389999999999968</c:v>
                </c:pt>
                <c:pt idx="20">
                  <c:v>0.35929999999999984</c:v>
                </c:pt>
                <c:pt idx="21">
                  <c:v>0.5099999999999999</c:v>
                </c:pt>
                <c:pt idx="22">
                  <c:v>0.68819999999999981</c:v>
                </c:pt>
                <c:pt idx="23">
                  <c:v>0.73519999999999996</c:v>
                </c:pt>
                <c:pt idx="24">
                  <c:v>0.68899999999999983</c:v>
                </c:pt>
                <c:pt idx="25">
                  <c:v>0.58409999999999995</c:v>
                </c:pt>
                <c:pt idx="26">
                  <c:v>0.48869999999999991</c:v>
                </c:pt>
                <c:pt idx="27">
                  <c:v>0.38429999999999992</c:v>
                </c:pt>
                <c:pt idx="28">
                  <c:v>0.19789999999999985</c:v>
                </c:pt>
                <c:pt idx="29">
                  <c:v>0.14749999999999983</c:v>
                </c:pt>
                <c:pt idx="30">
                  <c:v>0.12669999999999981</c:v>
                </c:pt>
                <c:pt idx="31">
                  <c:v>0.14289999999999983</c:v>
                </c:pt>
                <c:pt idx="32">
                  <c:v>0.25509999999999983</c:v>
                </c:pt>
                <c:pt idx="33">
                  <c:v>0.34879999999999983</c:v>
                </c:pt>
                <c:pt idx="34">
                  <c:v>0.31279999999999986</c:v>
                </c:pt>
                <c:pt idx="35">
                  <c:v>0.23409999999999975</c:v>
                </c:pt>
                <c:pt idx="36">
                  <c:v>0.22909999999999972</c:v>
                </c:pt>
                <c:pt idx="37">
                  <c:v>0.23769999999999974</c:v>
                </c:pt>
                <c:pt idx="38">
                  <c:v>0.26799999999999985</c:v>
                </c:pt>
                <c:pt idx="39">
                  <c:v>0.36099999999999988</c:v>
                </c:pt>
                <c:pt idx="40">
                  <c:v>0.4449999999999999</c:v>
                </c:pt>
                <c:pt idx="41">
                  <c:v>0.59179999999999999</c:v>
                </c:pt>
                <c:pt idx="42">
                  <c:v>0.69780000000000009</c:v>
                </c:pt>
                <c:pt idx="43">
                  <c:v>0.79839999999999989</c:v>
                </c:pt>
                <c:pt idx="44">
                  <c:v>0.82090000000000007</c:v>
                </c:pt>
                <c:pt idx="45">
                  <c:v>0.75420000000000031</c:v>
                </c:pt>
                <c:pt idx="46">
                  <c:v>0.69290000000000018</c:v>
                </c:pt>
                <c:pt idx="47">
                  <c:v>0.69310000000000027</c:v>
                </c:pt>
                <c:pt idx="48">
                  <c:v>0.72270000000000023</c:v>
                </c:pt>
                <c:pt idx="49">
                  <c:v>0.76030000000000031</c:v>
                </c:pt>
                <c:pt idx="50">
                  <c:v>0.78410000000000024</c:v>
                </c:pt>
                <c:pt idx="51">
                  <c:v>0.76390000000000013</c:v>
                </c:pt>
                <c:pt idx="52">
                  <c:v>0.74550000000000038</c:v>
                </c:pt>
                <c:pt idx="53">
                  <c:v>0.69490000000000041</c:v>
                </c:pt>
                <c:pt idx="54">
                  <c:v>0.72340000000000038</c:v>
                </c:pt>
                <c:pt idx="55">
                  <c:v>0.72190000000000043</c:v>
                </c:pt>
                <c:pt idx="56">
                  <c:v>0.72160000000000046</c:v>
                </c:pt>
                <c:pt idx="57">
                  <c:v>0.7525000000000005</c:v>
                </c:pt>
                <c:pt idx="58">
                  <c:v>0.79660000000000042</c:v>
                </c:pt>
                <c:pt idx="59">
                  <c:v>0.80790000000000028</c:v>
                </c:pt>
                <c:pt idx="60">
                  <c:v>0.76880000000000026</c:v>
                </c:pt>
                <c:pt idx="61">
                  <c:v>0.70630000000000015</c:v>
                </c:pt>
                <c:pt idx="62">
                  <c:v>0.64750000000000019</c:v>
                </c:pt>
                <c:pt idx="63">
                  <c:v>0.60080000000000011</c:v>
                </c:pt>
                <c:pt idx="64">
                  <c:v>0.60349999999999993</c:v>
                </c:pt>
                <c:pt idx="65">
                  <c:v>0.56869999999999998</c:v>
                </c:pt>
                <c:pt idx="66">
                  <c:v>0.50919999999999987</c:v>
                </c:pt>
                <c:pt idx="67">
                  <c:v>0.41599999999999993</c:v>
                </c:pt>
                <c:pt idx="68">
                  <c:v>0.39199999999999996</c:v>
                </c:pt>
                <c:pt idx="69">
                  <c:v>0.4486</c:v>
                </c:pt>
                <c:pt idx="70">
                  <c:v>0.48109999999999986</c:v>
                </c:pt>
                <c:pt idx="71">
                  <c:v>0.52469999999999983</c:v>
                </c:pt>
                <c:pt idx="72">
                  <c:v>0.50419999999999998</c:v>
                </c:pt>
                <c:pt idx="73">
                  <c:v>0.44579999999999992</c:v>
                </c:pt>
                <c:pt idx="74">
                  <c:v>0.40009999999999996</c:v>
                </c:pt>
                <c:pt idx="75">
                  <c:v>0.36199999999999982</c:v>
                </c:pt>
                <c:pt idx="76">
                  <c:v>0.29929999999999979</c:v>
                </c:pt>
                <c:pt idx="77">
                  <c:v>0.26039999999999985</c:v>
                </c:pt>
                <c:pt idx="78">
                  <c:v>0.37559999999999988</c:v>
                </c:pt>
                <c:pt idx="79">
                  <c:v>0.48410000000000003</c:v>
                </c:pt>
                <c:pt idx="80">
                  <c:v>0.56089999999999995</c:v>
                </c:pt>
                <c:pt idx="81">
                  <c:v>0.52270000000000005</c:v>
                </c:pt>
                <c:pt idx="82">
                  <c:v>0.47270000000000018</c:v>
                </c:pt>
                <c:pt idx="83">
                  <c:v>0.42850000000000016</c:v>
                </c:pt>
                <c:pt idx="84">
                  <c:v>0.42870000000000014</c:v>
                </c:pt>
                <c:pt idx="85">
                  <c:v>0.41960000000000014</c:v>
                </c:pt>
                <c:pt idx="86">
                  <c:v>0.39270000000000022</c:v>
                </c:pt>
                <c:pt idx="87">
                  <c:v>0.3766000000000001</c:v>
                </c:pt>
                <c:pt idx="88">
                  <c:v>0.44550000000000017</c:v>
                </c:pt>
                <c:pt idx="89">
                  <c:v>0.5042000000000002</c:v>
                </c:pt>
                <c:pt idx="90">
                  <c:v>0.55120000000000025</c:v>
                </c:pt>
                <c:pt idx="91">
                  <c:v>0.59950000000000025</c:v>
                </c:pt>
                <c:pt idx="92">
                  <c:v>0.62470000000000037</c:v>
                </c:pt>
                <c:pt idx="93">
                  <c:v>0.65150000000000019</c:v>
                </c:pt>
                <c:pt idx="94">
                  <c:v>0.64950000000000019</c:v>
                </c:pt>
                <c:pt idx="95">
                  <c:v>0.67280000000000018</c:v>
                </c:pt>
                <c:pt idx="96">
                  <c:v>0.69389999999999996</c:v>
                </c:pt>
                <c:pt idx="97">
                  <c:v>0.68589999999999995</c:v>
                </c:pt>
                <c:pt idx="98">
                  <c:v>0.71900000000000008</c:v>
                </c:pt>
                <c:pt idx="99">
                  <c:v>0.75830000000000009</c:v>
                </c:pt>
                <c:pt idx="100">
                  <c:v>0.77080000000000015</c:v>
                </c:pt>
                <c:pt idx="101">
                  <c:v>0.7321000000000002</c:v>
                </c:pt>
                <c:pt idx="102">
                  <c:v>0.67530000000000012</c:v>
                </c:pt>
                <c:pt idx="103">
                  <c:v>0.62450000000000017</c:v>
                </c:pt>
                <c:pt idx="104">
                  <c:v>0.55160000000000009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0A-404F-AD61-B3A3FC1E8676}"/>
            </c:ext>
          </c:extLst>
        </c:ser>
        <c:ser>
          <c:idx val="2"/>
          <c:order val="2"/>
          <c:tx>
            <c:strRef>
              <c:f>'面板-景气指数'!$A$142</c:f>
              <c:strCache>
                <c:ptCount val="1"/>
                <c:pt idx="0">
                  <c:v>饲料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'面板-景气指数'!$F$142:$DF$142</c:f>
              <c:numCache>
                <c:formatCode>0.0%</c:formatCode>
                <c:ptCount val="105"/>
                <c:pt idx="0">
                  <c:v>0</c:v>
                </c:pt>
                <c:pt idx="1">
                  <c:v>8.9999999999999993E-3</c:v>
                </c:pt>
                <c:pt idx="2">
                  <c:v>3.7999999999999999E-2</c:v>
                </c:pt>
                <c:pt idx="3">
                  <c:v>8.5999999999999993E-2</c:v>
                </c:pt>
                <c:pt idx="4">
                  <c:v>0.105</c:v>
                </c:pt>
                <c:pt idx="5">
                  <c:v>0.125</c:v>
                </c:pt>
                <c:pt idx="6">
                  <c:v>7.5999999999999998E-2</c:v>
                </c:pt>
                <c:pt idx="7">
                  <c:v>4.8000000000000001E-2</c:v>
                </c:pt>
                <c:pt idx="8">
                  <c:v>1.9E-2</c:v>
                </c:pt>
                <c:pt idx="9">
                  <c:v>2.8000000000000001E-2</c:v>
                </c:pt>
                <c:pt idx="10">
                  <c:v>5.7000000000000002E-2</c:v>
                </c:pt>
                <c:pt idx="11">
                  <c:v>0.115</c:v>
                </c:pt>
                <c:pt idx="12">
                  <c:v>0.307</c:v>
                </c:pt>
                <c:pt idx="13">
                  <c:v>0.48</c:v>
                </c:pt>
                <c:pt idx="14">
                  <c:v>0.51900000000000002</c:v>
                </c:pt>
                <c:pt idx="15">
                  <c:v>0.38400000000000001</c:v>
                </c:pt>
                <c:pt idx="16">
                  <c:v>0.25900000000000001</c:v>
                </c:pt>
                <c:pt idx="17">
                  <c:v>0.15300000000000002</c:v>
                </c:pt>
                <c:pt idx="18">
                  <c:v>0.25</c:v>
                </c:pt>
                <c:pt idx="19">
                  <c:v>0.47099999999999997</c:v>
                </c:pt>
                <c:pt idx="20">
                  <c:v>0.65300000000000002</c:v>
                </c:pt>
                <c:pt idx="21">
                  <c:v>0.84599999999999997</c:v>
                </c:pt>
                <c:pt idx="22">
                  <c:v>0.875</c:v>
                </c:pt>
                <c:pt idx="23">
                  <c:v>0.90300000000000002</c:v>
                </c:pt>
                <c:pt idx="24">
                  <c:v>0.8650000000000001</c:v>
                </c:pt>
                <c:pt idx="25">
                  <c:v>0.81699999999999995</c:v>
                </c:pt>
                <c:pt idx="26">
                  <c:v>0.75900000000000001</c:v>
                </c:pt>
                <c:pt idx="27">
                  <c:v>0.76900000000000002</c:v>
                </c:pt>
                <c:pt idx="28">
                  <c:v>0.77800000000000002</c:v>
                </c:pt>
                <c:pt idx="29">
                  <c:v>0.82599999999999996</c:v>
                </c:pt>
                <c:pt idx="30">
                  <c:v>0.74</c:v>
                </c:pt>
                <c:pt idx="31">
                  <c:v>0.58599999999999997</c:v>
                </c:pt>
                <c:pt idx="32">
                  <c:v>0.52800000000000002</c:v>
                </c:pt>
                <c:pt idx="33">
                  <c:v>0.59599999999999997</c:v>
                </c:pt>
                <c:pt idx="34">
                  <c:v>0.79800000000000004</c:v>
                </c:pt>
                <c:pt idx="35">
                  <c:v>0.85499999999999998</c:v>
                </c:pt>
                <c:pt idx="36">
                  <c:v>0.88400000000000001</c:v>
                </c:pt>
                <c:pt idx="37">
                  <c:v>0.91300000000000003</c:v>
                </c:pt>
                <c:pt idx="38">
                  <c:v>0.93200000000000005</c:v>
                </c:pt>
                <c:pt idx="39">
                  <c:v>0.94199999999999995</c:v>
                </c:pt>
                <c:pt idx="40">
                  <c:v>0.96099999999999997</c:v>
                </c:pt>
                <c:pt idx="41">
                  <c:v>0.97099999999999997</c:v>
                </c:pt>
                <c:pt idx="42">
                  <c:v>0.98000000000000009</c:v>
                </c:pt>
                <c:pt idx="43">
                  <c:v>1</c:v>
                </c:pt>
                <c:pt idx="44">
                  <c:v>0.99</c:v>
                </c:pt>
                <c:pt idx="45">
                  <c:v>0.95099999999999996</c:v>
                </c:pt>
                <c:pt idx="46">
                  <c:v>0.92300000000000004</c:v>
                </c:pt>
                <c:pt idx="47">
                  <c:v>0.89400000000000002</c:v>
                </c:pt>
                <c:pt idx="48">
                  <c:v>0.83599999999999997</c:v>
                </c:pt>
                <c:pt idx="49">
                  <c:v>0.80700000000000016</c:v>
                </c:pt>
                <c:pt idx="50">
                  <c:v>0.66300000000000003</c:v>
                </c:pt>
                <c:pt idx="51">
                  <c:v>0.60499999999999998</c:v>
                </c:pt>
                <c:pt idx="52">
                  <c:v>0.61499999999999999</c:v>
                </c:pt>
                <c:pt idx="53">
                  <c:v>0.68200000000000005</c:v>
                </c:pt>
                <c:pt idx="54">
                  <c:v>0.72099999999999997</c:v>
                </c:pt>
                <c:pt idx="55">
                  <c:v>0.57599999999999996</c:v>
                </c:pt>
                <c:pt idx="56">
                  <c:v>0.45100000000000001</c:v>
                </c:pt>
                <c:pt idx="57">
                  <c:v>0.36499999999999999</c:v>
                </c:pt>
                <c:pt idx="58">
                  <c:v>0.28799999999999998</c:v>
                </c:pt>
                <c:pt idx="59">
                  <c:v>0.32600000000000007</c:v>
                </c:pt>
                <c:pt idx="60">
                  <c:v>0.37500000000000006</c:v>
                </c:pt>
                <c:pt idx="61">
                  <c:v>0.40300000000000002</c:v>
                </c:pt>
                <c:pt idx="62">
                  <c:v>0.432</c:v>
                </c:pt>
                <c:pt idx="63">
                  <c:v>0.46100000000000008</c:v>
                </c:pt>
                <c:pt idx="64">
                  <c:v>0.34599999999999997</c:v>
                </c:pt>
                <c:pt idx="65">
                  <c:v>0.182</c:v>
                </c:pt>
                <c:pt idx="66">
                  <c:v>0.13400000000000001</c:v>
                </c:pt>
                <c:pt idx="67">
                  <c:v>0.221</c:v>
                </c:pt>
                <c:pt idx="68">
                  <c:v>0.41299999999999998</c:v>
                </c:pt>
                <c:pt idx="69">
                  <c:v>0.54800000000000004</c:v>
                </c:pt>
                <c:pt idx="70">
                  <c:v>0.63400000000000001</c:v>
                </c:pt>
                <c:pt idx="71">
                  <c:v>0.75000000000000011</c:v>
                </c:pt>
                <c:pt idx="72">
                  <c:v>0.78800000000000003</c:v>
                </c:pt>
                <c:pt idx="73">
                  <c:v>0.70099999999999996</c:v>
                </c:pt>
                <c:pt idx="74">
                  <c:v>0.67300000000000004</c:v>
                </c:pt>
                <c:pt idx="75">
                  <c:v>0.64400000000000002</c:v>
                </c:pt>
                <c:pt idx="76">
                  <c:v>0.69199999999999995</c:v>
                </c:pt>
                <c:pt idx="77">
                  <c:v>0.73</c:v>
                </c:pt>
                <c:pt idx="78">
                  <c:v>0.71099999999999997</c:v>
                </c:pt>
                <c:pt idx="79">
                  <c:v>0.625</c:v>
                </c:pt>
                <c:pt idx="80">
                  <c:v>0.50900000000000001</c:v>
                </c:pt>
                <c:pt idx="81">
                  <c:v>0.35500000000000004</c:v>
                </c:pt>
                <c:pt idx="82">
                  <c:v>0.26900000000000002</c:v>
                </c:pt>
                <c:pt idx="83">
                  <c:v>0.24</c:v>
                </c:pt>
                <c:pt idx="84">
                  <c:v>0.192</c:v>
                </c:pt>
                <c:pt idx="85">
                  <c:v>0.14399999999999999</c:v>
                </c:pt>
                <c:pt idx="86">
                  <c:v>6.7000000000000004E-2</c:v>
                </c:pt>
                <c:pt idx="87">
                  <c:v>9.6000000000000002E-2</c:v>
                </c:pt>
                <c:pt idx="88">
                  <c:v>0.17299999999999999</c:v>
                </c:pt>
                <c:pt idx="89">
                  <c:v>0.42299999999999999</c:v>
                </c:pt>
                <c:pt idx="90">
                  <c:v>0.5</c:v>
                </c:pt>
                <c:pt idx="91">
                  <c:v>0.442</c:v>
                </c:pt>
                <c:pt idx="92">
                  <c:v>0.49000000000000005</c:v>
                </c:pt>
                <c:pt idx="93">
                  <c:v>0.55700000000000005</c:v>
                </c:pt>
                <c:pt idx="94">
                  <c:v>0.56699999999999995</c:v>
                </c:pt>
                <c:pt idx="95">
                  <c:v>0.53800000000000003</c:v>
                </c:pt>
                <c:pt idx="96">
                  <c:v>0.39400000000000002</c:v>
                </c:pt>
                <c:pt idx="97">
                  <c:v>0.27800000000000002</c:v>
                </c:pt>
                <c:pt idx="98">
                  <c:v>0.29799999999999999</c:v>
                </c:pt>
                <c:pt idx="99">
                  <c:v>0.317</c:v>
                </c:pt>
                <c:pt idx="100">
                  <c:v>0.33600000000000002</c:v>
                </c:pt>
                <c:pt idx="101">
                  <c:v>0.23</c:v>
                </c:pt>
                <c:pt idx="102">
                  <c:v>0.20100000000000001</c:v>
                </c:pt>
                <c:pt idx="103">
                  <c:v>0.16300000000000003</c:v>
                </c:pt>
                <c:pt idx="104">
                  <c:v>0.21099999999999999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0A-404F-AD61-B3A3FC1E8676}"/>
            </c:ext>
          </c:extLst>
        </c:ser>
        <c:ser>
          <c:idx val="3"/>
          <c:order val="3"/>
          <c:tx>
            <c:strRef>
              <c:f>'面板-景气指数'!$A$143</c:f>
              <c:strCache>
                <c:ptCount val="1"/>
                <c:pt idx="0">
                  <c:v>农产品加工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'面板-景气指数'!$F$143:$DF$143</c:f>
              <c:numCache>
                <c:formatCode>0.0%</c:formatCode>
                <c:ptCount val="105"/>
                <c:pt idx="0">
                  <c:v>0.10915691276071193</c:v>
                </c:pt>
                <c:pt idx="1">
                  <c:v>0.14819361685107721</c:v>
                </c:pt>
                <c:pt idx="2">
                  <c:v>0.20647184512124891</c:v>
                </c:pt>
                <c:pt idx="3">
                  <c:v>0.19361165945873252</c:v>
                </c:pt>
                <c:pt idx="4">
                  <c:v>0.1643278295693788</c:v>
                </c:pt>
                <c:pt idx="5">
                  <c:v>0.13803979846563866</c:v>
                </c:pt>
                <c:pt idx="6">
                  <c:v>0.12747774030611325</c:v>
                </c:pt>
                <c:pt idx="7">
                  <c:v>0.15160495100043739</c:v>
                </c:pt>
                <c:pt idx="8">
                  <c:v>8.5888487324108698E-2</c:v>
                </c:pt>
                <c:pt idx="9">
                  <c:v>0.11902690125679681</c:v>
                </c:pt>
                <c:pt idx="10">
                  <c:v>0.11174447177223862</c:v>
                </c:pt>
                <c:pt idx="11">
                  <c:v>0.10818101320791775</c:v>
                </c:pt>
                <c:pt idx="12">
                  <c:v>8.2863280037789783E-2</c:v>
                </c:pt>
                <c:pt idx="13">
                  <c:v>8.5859078823403295E-2</c:v>
                </c:pt>
                <c:pt idx="14">
                  <c:v>7.7304022687855384E-2</c:v>
                </c:pt>
                <c:pt idx="15">
                  <c:v>8.9867481252176279E-2</c:v>
                </c:pt>
                <c:pt idx="16">
                  <c:v>0.16961446026832347</c:v>
                </c:pt>
                <c:pt idx="17">
                  <c:v>0.25123282818535109</c:v>
                </c:pt>
                <c:pt idx="18">
                  <c:v>0.3529700043679298</c:v>
                </c:pt>
                <c:pt idx="19">
                  <c:v>0.39356316499863853</c:v>
                </c:pt>
                <c:pt idx="20">
                  <c:v>0.42083439124483268</c:v>
                </c:pt>
                <c:pt idx="21">
                  <c:v>0.44025383425728359</c:v>
                </c:pt>
                <c:pt idx="22">
                  <c:v>0.550885099383153</c:v>
                </c:pt>
                <c:pt idx="23">
                  <c:v>0.66806441862059285</c:v>
                </c:pt>
                <c:pt idx="24">
                  <c:v>0.72720703376766738</c:v>
                </c:pt>
                <c:pt idx="25">
                  <c:v>0.73737374936194777</c:v>
                </c:pt>
                <c:pt idx="26">
                  <c:v>0.74965897965609696</c:v>
                </c:pt>
                <c:pt idx="27">
                  <c:v>0.75822693300048671</c:v>
                </c:pt>
                <c:pt idx="28">
                  <c:v>0.75736254612358389</c:v>
                </c:pt>
                <c:pt idx="29">
                  <c:v>0.7162073273333498</c:v>
                </c:pt>
                <c:pt idx="30">
                  <c:v>0.74106891340066172</c:v>
                </c:pt>
                <c:pt idx="31">
                  <c:v>0.81107760939511697</c:v>
                </c:pt>
                <c:pt idx="32">
                  <c:v>0.82708741222868565</c:v>
                </c:pt>
                <c:pt idx="33">
                  <c:v>0.88955925734993435</c:v>
                </c:pt>
                <c:pt idx="34">
                  <c:v>0.84764947038821092</c:v>
                </c:pt>
                <c:pt idx="35">
                  <c:v>0.81237964454681222</c:v>
                </c:pt>
                <c:pt idx="36">
                  <c:v>0.77964947038821086</c:v>
                </c:pt>
                <c:pt idx="37">
                  <c:v>0.76450405443154534</c:v>
                </c:pt>
                <c:pt idx="38">
                  <c:v>0.84295629388565729</c:v>
                </c:pt>
                <c:pt idx="39">
                  <c:v>0.88440823977408678</c:v>
                </c:pt>
                <c:pt idx="40">
                  <c:v>0.9078304835961285</c:v>
                </c:pt>
                <c:pt idx="41">
                  <c:v>0.88824992660857949</c:v>
                </c:pt>
                <c:pt idx="42">
                  <c:v>0.85367217043062116</c:v>
                </c:pt>
                <c:pt idx="43">
                  <c:v>0.90640403855970053</c:v>
                </c:pt>
                <c:pt idx="44">
                  <c:v>0.78567047646014332</c:v>
                </c:pt>
                <c:pt idx="45">
                  <c:v>0.77252646090827326</c:v>
                </c:pt>
                <c:pt idx="46">
                  <c:v>0.76265647241218848</c:v>
                </c:pt>
                <c:pt idx="47">
                  <c:v>0.76765367160259745</c:v>
                </c:pt>
                <c:pt idx="48">
                  <c:v>0.7433541436948109</c:v>
                </c:pt>
                <c:pt idx="49">
                  <c:v>0.71406301821579732</c:v>
                </c:pt>
                <c:pt idx="50">
                  <c:v>0.68448806284743025</c:v>
                </c:pt>
                <c:pt idx="51">
                  <c:v>0.67334544770035554</c:v>
                </c:pt>
                <c:pt idx="52">
                  <c:v>0.67949815924668111</c:v>
                </c:pt>
                <c:pt idx="53">
                  <c:v>0.65291900266392711</c:v>
                </c:pt>
                <c:pt idx="54">
                  <c:v>0.62960827151777676</c:v>
                </c:pt>
                <c:pt idx="55">
                  <c:v>0.54202771453022747</c:v>
                </c:pt>
                <c:pt idx="56">
                  <c:v>0.54159006625543527</c:v>
                </c:pt>
                <c:pt idx="57">
                  <c:v>0.45627093268051183</c:v>
                </c:pt>
                <c:pt idx="58">
                  <c:v>0.43169317650255362</c:v>
                </c:pt>
                <c:pt idx="59">
                  <c:v>0.49215072401016513</c:v>
                </c:pt>
                <c:pt idx="60">
                  <c:v>0.54932864284280947</c:v>
                </c:pt>
                <c:pt idx="61">
                  <c:v>0.59345025191795175</c:v>
                </c:pt>
                <c:pt idx="62">
                  <c:v>0.5691636212190071</c:v>
                </c:pt>
                <c:pt idx="63">
                  <c:v>0.52042364422683729</c:v>
                </c:pt>
                <c:pt idx="64">
                  <c:v>0.49900280080959103</c:v>
                </c:pt>
                <c:pt idx="65">
                  <c:v>0.47513001150391515</c:v>
                </c:pt>
                <c:pt idx="66">
                  <c:v>0.44912581028952869</c:v>
                </c:pt>
                <c:pt idx="67">
                  <c:v>0.46497619311847666</c:v>
                </c:pt>
                <c:pt idx="68">
                  <c:v>0.4419677906897036</c:v>
                </c:pt>
                <c:pt idx="69">
                  <c:v>0.3753998373453139</c:v>
                </c:pt>
                <c:pt idx="70">
                  <c:v>0.33108210417518591</c:v>
                </c:pt>
                <c:pt idx="71">
                  <c:v>0.30121771729828306</c:v>
                </c:pt>
                <c:pt idx="72">
                  <c:v>0.30192828578974734</c:v>
                </c:pt>
                <c:pt idx="73">
                  <c:v>0.31863745387641618</c:v>
                </c:pt>
                <c:pt idx="74">
                  <c:v>0.35153434362929786</c:v>
                </c:pt>
                <c:pt idx="75">
                  <c:v>0.34979827428583227</c:v>
                </c:pt>
                <c:pt idx="76">
                  <c:v>0.35680247550021871</c:v>
                </c:pt>
                <c:pt idx="77">
                  <c:v>0.38909500138402769</c:v>
                </c:pt>
                <c:pt idx="78">
                  <c:v>0.40711350021205156</c:v>
                </c:pt>
                <c:pt idx="79">
                  <c:v>0.45041862973902008</c:v>
                </c:pt>
                <c:pt idx="80">
                  <c:v>0.49870245962837373</c:v>
                </c:pt>
                <c:pt idx="81">
                  <c:v>0.52540433212538273</c:v>
                </c:pt>
                <c:pt idx="82">
                  <c:v>0.55300169397047794</c:v>
                </c:pt>
                <c:pt idx="83">
                  <c:v>0.51773746974826118</c:v>
                </c:pt>
                <c:pt idx="84">
                  <c:v>0.47984338080497047</c:v>
                </c:pt>
                <c:pt idx="85">
                  <c:v>0.45569236322912288</c:v>
                </c:pt>
                <c:pt idx="86">
                  <c:v>0.5067248661051017</c:v>
                </c:pt>
                <c:pt idx="87">
                  <c:v>0.56730682349744632</c:v>
                </c:pt>
                <c:pt idx="88">
                  <c:v>0.6157206648907152</c:v>
                </c:pt>
                <c:pt idx="89">
                  <c:v>0.64275596857628492</c:v>
                </c:pt>
                <c:pt idx="90">
                  <c:v>0.64430682349744628</c:v>
                </c:pt>
                <c:pt idx="91">
                  <c:v>0.62358365136282268</c:v>
                </c:pt>
                <c:pt idx="92">
                  <c:v>0.54857215455877628</c:v>
                </c:pt>
                <c:pt idx="93">
                  <c:v>0.57500309437527342</c:v>
                </c:pt>
                <c:pt idx="94">
                  <c:v>0.51671926448591965</c:v>
                </c:pt>
                <c:pt idx="95">
                  <c:v>0.48812750426000662</c:v>
                </c:pt>
                <c:pt idx="96">
                  <c:v>0.4676881620147364</c:v>
                </c:pt>
                <c:pt idx="97">
                  <c:v>0.48328972507421808</c:v>
                </c:pt>
                <c:pt idx="98">
                  <c:v>0.46670496687228241</c:v>
                </c:pt>
                <c:pt idx="99">
                  <c:v>0.43769936525310038</c:v>
                </c:pt>
                <c:pt idx="100">
                  <c:v>0.41325891616871724</c:v>
                </c:pt>
                <c:pt idx="101">
                  <c:v>0.3779523862369531</c:v>
                </c:pt>
                <c:pt idx="102">
                  <c:v>0.329366227630222</c:v>
                </c:pt>
                <c:pt idx="103">
                  <c:v>0.23978987185705927</c:v>
                </c:pt>
                <c:pt idx="104">
                  <c:v>0.17720371325032805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0A-404F-AD61-B3A3FC1E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'面板-景气指数'!$A$47</c:f>
              <c:strCache>
                <c:ptCount val="1"/>
                <c:pt idx="0">
                  <c:v>食品饮料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'面板-景气指数'!$F$47:$DF$47</c:f>
              <c:numCache>
                <c:formatCode>0.0%</c:formatCode>
                <c:ptCount val="105"/>
                <c:pt idx="0">
                  <c:v>0.25307410562242272</c:v>
                </c:pt>
                <c:pt idx="1">
                  <c:v>0.24635204113793271</c:v>
                </c:pt>
                <c:pt idx="2">
                  <c:v>0.26158121239198073</c:v>
                </c:pt>
                <c:pt idx="3">
                  <c:v>0.28536582101868502</c:v>
                </c:pt>
                <c:pt idx="4">
                  <c:v>0.29756063195272137</c:v>
                </c:pt>
                <c:pt idx="5">
                  <c:v>0.289294810434922</c:v>
                </c:pt>
                <c:pt idx="6">
                  <c:v>0.28958418055847396</c:v>
                </c:pt>
                <c:pt idx="7">
                  <c:v>0.31083860054814294</c:v>
                </c:pt>
                <c:pt idx="8">
                  <c:v>0.3798516170340937</c:v>
                </c:pt>
                <c:pt idx="9">
                  <c:v>0.38341736423544182</c:v>
                </c:pt>
                <c:pt idx="10">
                  <c:v>0.37611402948244282</c:v>
                </c:pt>
                <c:pt idx="11">
                  <c:v>0.34685360850051888</c:v>
                </c:pt>
                <c:pt idx="12">
                  <c:v>0.30511594302819789</c:v>
                </c:pt>
                <c:pt idx="13">
                  <c:v>0.30429235366141089</c:v>
                </c:pt>
                <c:pt idx="14">
                  <c:v>0.30677615762237265</c:v>
                </c:pt>
                <c:pt idx="15">
                  <c:v>0.37654503788789395</c:v>
                </c:pt>
                <c:pt idx="16">
                  <c:v>0.40124220241074471</c:v>
                </c:pt>
                <c:pt idx="17">
                  <c:v>0.41481707204498308</c:v>
                </c:pt>
                <c:pt idx="18">
                  <c:v>0.41565609773976464</c:v>
                </c:pt>
                <c:pt idx="19">
                  <c:v>0.38778904257443819</c:v>
                </c:pt>
                <c:pt idx="20">
                  <c:v>0.30898353717275001</c:v>
                </c:pt>
                <c:pt idx="21">
                  <c:v>0.334436648302396</c:v>
                </c:pt>
                <c:pt idx="22">
                  <c:v>0.36243052361999512</c:v>
                </c:pt>
                <c:pt idx="23">
                  <c:v>0.41888486101506839</c:v>
                </c:pt>
                <c:pt idx="24">
                  <c:v>0.44987876105220503</c:v>
                </c:pt>
                <c:pt idx="25">
                  <c:v>0.48017511982889799</c:v>
                </c:pt>
                <c:pt idx="26">
                  <c:v>0.49868759552919489</c:v>
                </c:pt>
                <c:pt idx="27">
                  <c:v>0.52924441820973256</c:v>
                </c:pt>
                <c:pt idx="28">
                  <c:v>0.54082993403811064</c:v>
                </c:pt>
                <c:pt idx="29">
                  <c:v>0.5387199327592691</c:v>
                </c:pt>
                <c:pt idx="30">
                  <c:v>0.56004682733467093</c:v>
                </c:pt>
                <c:pt idx="31">
                  <c:v>0.58358346042182863</c:v>
                </c:pt>
                <c:pt idx="32">
                  <c:v>0.66255872914257385</c:v>
                </c:pt>
                <c:pt idx="33">
                  <c:v>0.65057473849997483</c:v>
                </c:pt>
                <c:pt idx="34">
                  <c:v>0.65031281158470988</c:v>
                </c:pt>
                <c:pt idx="35">
                  <c:v>0.67765709688860787</c:v>
                </c:pt>
                <c:pt idx="36">
                  <c:v>0.7012539177959991</c:v>
                </c:pt>
                <c:pt idx="37">
                  <c:v>0.70571979247798577</c:v>
                </c:pt>
                <c:pt idx="38">
                  <c:v>0.69366541306833751</c:v>
                </c:pt>
                <c:pt idx="39">
                  <c:v>0.67432933755333024</c:v>
                </c:pt>
                <c:pt idx="40">
                  <c:v>0.63827116145322571</c:v>
                </c:pt>
                <c:pt idx="41">
                  <c:v>0.64551053854857821</c:v>
                </c:pt>
                <c:pt idx="42">
                  <c:v>0.66059966191584119</c:v>
                </c:pt>
                <c:pt idx="43">
                  <c:v>0.63942471463372874</c:v>
                </c:pt>
                <c:pt idx="44">
                  <c:v>0.57820404889914256</c:v>
                </c:pt>
                <c:pt idx="45">
                  <c:v>0.43160021398023918</c:v>
                </c:pt>
                <c:pt idx="46">
                  <c:v>0.42132900073948676</c:v>
                </c:pt>
                <c:pt idx="47">
                  <c:v>0.39388314541381653</c:v>
                </c:pt>
                <c:pt idx="48">
                  <c:v>0.37779147272384261</c:v>
                </c:pt>
                <c:pt idx="49">
                  <c:v>0.35832073100399248</c:v>
                </c:pt>
                <c:pt idx="50">
                  <c:v>0.3796010672006756</c:v>
                </c:pt>
                <c:pt idx="51">
                  <c:v>0.38391137362839123</c:v>
                </c:pt>
                <c:pt idx="52">
                  <c:v>0.41128188438677393</c:v>
                </c:pt>
                <c:pt idx="53">
                  <c:v>0.41932965598437494</c:v>
                </c:pt>
                <c:pt idx="54">
                  <c:v>0.43320159284732307</c:v>
                </c:pt>
                <c:pt idx="55">
                  <c:v>0.49244470027057391</c:v>
                </c:pt>
                <c:pt idx="56">
                  <c:v>0.58186069622708847</c:v>
                </c:pt>
                <c:pt idx="57">
                  <c:v>0.63927434520424631</c:v>
                </c:pt>
                <c:pt idx="58">
                  <c:v>0.62024436985529519</c:v>
                </c:pt>
                <c:pt idx="59">
                  <c:v>0.63733900106308072</c:v>
                </c:pt>
                <c:pt idx="60">
                  <c:v>0.61935808369737411</c:v>
                </c:pt>
                <c:pt idx="61">
                  <c:v>0.61068513971867477</c:v>
                </c:pt>
                <c:pt idx="62">
                  <c:v>0.58721830776295147</c:v>
                </c:pt>
                <c:pt idx="63">
                  <c:v>0.59496920395121144</c:v>
                </c:pt>
                <c:pt idx="64">
                  <c:v>0.59158152569299216</c:v>
                </c:pt>
                <c:pt idx="65">
                  <c:v>0.57323003556782937</c:v>
                </c:pt>
                <c:pt idx="66">
                  <c:v>0.54573590386692461</c:v>
                </c:pt>
                <c:pt idx="67">
                  <c:v>0.51576923228065819</c:v>
                </c:pt>
                <c:pt idx="68">
                  <c:v>0.47243270274039623</c:v>
                </c:pt>
                <c:pt idx="69">
                  <c:v>0.44013933275724282</c:v>
                </c:pt>
                <c:pt idx="70">
                  <c:v>0.49324330497180913</c:v>
                </c:pt>
                <c:pt idx="71">
                  <c:v>0.50942661090336971</c:v>
                </c:pt>
                <c:pt idx="72">
                  <c:v>0.52544555444249774</c:v>
                </c:pt>
                <c:pt idx="73">
                  <c:v>0.53609354048329716</c:v>
                </c:pt>
                <c:pt idx="74">
                  <c:v>0.53452710622859056</c:v>
                </c:pt>
                <c:pt idx="75">
                  <c:v>0.53276708879077472</c:v>
                </c:pt>
                <c:pt idx="76">
                  <c:v>0.5331167991518817</c:v>
                </c:pt>
                <c:pt idx="77">
                  <c:v>0.52415944547104132</c:v>
                </c:pt>
                <c:pt idx="78">
                  <c:v>0.5573836777298119</c:v>
                </c:pt>
                <c:pt idx="79">
                  <c:v>0.56961043780083609</c:v>
                </c:pt>
                <c:pt idx="80">
                  <c:v>0.56710978355616759</c:v>
                </c:pt>
                <c:pt idx="81">
                  <c:v>0.59233441430218781</c:v>
                </c:pt>
                <c:pt idx="82">
                  <c:v>0.62222707041519409</c:v>
                </c:pt>
                <c:pt idx="83">
                  <c:v>0.63992443846338642</c:v>
                </c:pt>
                <c:pt idx="84">
                  <c:v>0.65003866877258276</c:v>
                </c:pt>
                <c:pt idx="85">
                  <c:v>0.63881972643114704</c:v>
                </c:pt>
                <c:pt idx="86">
                  <c:v>0.64736771929265347</c:v>
                </c:pt>
                <c:pt idx="87">
                  <c:v>0.6574585786848911</c:v>
                </c:pt>
                <c:pt idx="88">
                  <c:v>0.66214892872587139</c:v>
                </c:pt>
                <c:pt idx="89">
                  <c:v>0.66605251345581618</c:v>
                </c:pt>
                <c:pt idx="90">
                  <c:v>0.65015948191586737</c:v>
                </c:pt>
                <c:pt idx="91">
                  <c:v>0.6339308549590601</c:v>
                </c:pt>
                <c:pt idx="92">
                  <c:v>0.61794928381218117</c:v>
                </c:pt>
                <c:pt idx="93">
                  <c:v>0.58866172545774031</c:v>
                </c:pt>
                <c:pt idx="94">
                  <c:v>0.55003638415419531</c:v>
                </c:pt>
                <c:pt idx="95">
                  <c:v>0.50720532756935655</c:v>
                </c:pt>
                <c:pt idx="96">
                  <c:v>0.47738885623692878</c:v>
                </c:pt>
                <c:pt idx="97">
                  <c:v>0.44152703173271673</c:v>
                </c:pt>
                <c:pt idx="98">
                  <c:v>0.42598018956990513</c:v>
                </c:pt>
                <c:pt idx="99">
                  <c:v>0.40114633407259986</c:v>
                </c:pt>
                <c:pt idx="100">
                  <c:v>0.37773379768859638</c:v>
                </c:pt>
                <c:pt idx="101">
                  <c:v>0.35590128028838436</c:v>
                </c:pt>
                <c:pt idx="102">
                  <c:v>0.36451169892379942</c:v>
                </c:pt>
                <c:pt idx="103">
                  <c:v>0.38434992959226155</c:v>
                </c:pt>
                <c:pt idx="104">
                  <c:v>0.41096364332842383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E2-4BC4-8191-C2AE44D93A8F}"/>
            </c:ext>
          </c:extLst>
        </c:ser>
        <c:ser>
          <c:idx val="1"/>
          <c:order val="1"/>
          <c:tx>
            <c:strRef>
              <c:f>'面板-景气指数'!$A$144</c:f>
              <c:strCache>
                <c:ptCount val="1"/>
                <c:pt idx="0">
                  <c:v>白酒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'面板-景气指数'!$F$144:$DF$144</c:f>
              <c:numCache>
                <c:formatCode>0.0%</c:formatCode>
                <c:ptCount val="105"/>
                <c:pt idx="0">
                  <c:v>4.2522727272727281E-2</c:v>
                </c:pt>
                <c:pt idx="1">
                  <c:v>4.68409090909091E-2</c:v>
                </c:pt>
                <c:pt idx="2">
                  <c:v>6.3920454545454558E-2</c:v>
                </c:pt>
                <c:pt idx="3">
                  <c:v>0.15072727272727277</c:v>
                </c:pt>
                <c:pt idx="4">
                  <c:v>0.19964772727272731</c:v>
                </c:pt>
                <c:pt idx="5">
                  <c:v>0.20425000000000001</c:v>
                </c:pt>
                <c:pt idx="6">
                  <c:v>0.20501136363636363</c:v>
                </c:pt>
                <c:pt idx="7">
                  <c:v>0.23293181818181818</c:v>
                </c:pt>
                <c:pt idx="8">
                  <c:v>0.27089772727272726</c:v>
                </c:pt>
                <c:pt idx="9">
                  <c:v>0.28881818181818186</c:v>
                </c:pt>
                <c:pt idx="10">
                  <c:v>0.27981818181818185</c:v>
                </c:pt>
                <c:pt idx="11">
                  <c:v>0.24769318181818184</c:v>
                </c:pt>
                <c:pt idx="12">
                  <c:v>0.2172159090909091</c:v>
                </c:pt>
                <c:pt idx="13">
                  <c:v>0.22437500000000005</c:v>
                </c:pt>
                <c:pt idx="14">
                  <c:v>0.21669318181818187</c:v>
                </c:pt>
                <c:pt idx="15">
                  <c:v>0.24573863636363635</c:v>
                </c:pt>
                <c:pt idx="16">
                  <c:v>0.28086363636363643</c:v>
                </c:pt>
                <c:pt idx="17">
                  <c:v>0.30054545454545456</c:v>
                </c:pt>
                <c:pt idx="18">
                  <c:v>0.27694318181818184</c:v>
                </c:pt>
                <c:pt idx="19">
                  <c:v>0.22973863636363639</c:v>
                </c:pt>
                <c:pt idx="20">
                  <c:v>0.13485227272727274</c:v>
                </c:pt>
                <c:pt idx="21">
                  <c:v>0.205375</c:v>
                </c:pt>
                <c:pt idx="22">
                  <c:v>0.22034090909090912</c:v>
                </c:pt>
                <c:pt idx="23">
                  <c:v>0.24397727272727274</c:v>
                </c:pt>
                <c:pt idx="24">
                  <c:v>0.21185227272727275</c:v>
                </c:pt>
                <c:pt idx="25">
                  <c:v>0.2317727272727273</c:v>
                </c:pt>
                <c:pt idx="26">
                  <c:v>0.26861363636363639</c:v>
                </c:pt>
                <c:pt idx="27">
                  <c:v>0.36378409090909092</c:v>
                </c:pt>
                <c:pt idx="28">
                  <c:v>0.41782954545454543</c:v>
                </c:pt>
                <c:pt idx="29">
                  <c:v>0.52547727272727285</c:v>
                </c:pt>
                <c:pt idx="30">
                  <c:v>0.54339772727272728</c:v>
                </c:pt>
                <c:pt idx="31">
                  <c:v>0.60356818181818195</c:v>
                </c:pt>
                <c:pt idx="32">
                  <c:v>0.60620454545454538</c:v>
                </c:pt>
                <c:pt idx="33">
                  <c:v>0.52923863636363644</c:v>
                </c:pt>
                <c:pt idx="34">
                  <c:v>0.53379545454545463</c:v>
                </c:pt>
                <c:pt idx="35">
                  <c:v>0.62036363636363645</c:v>
                </c:pt>
                <c:pt idx="36">
                  <c:v>0.70625000000000004</c:v>
                </c:pt>
                <c:pt idx="37">
                  <c:v>0.75526136363636365</c:v>
                </c:pt>
                <c:pt idx="38">
                  <c:v>0.71413636363636368</c:v>
                </c:pt>
                <c:pt idx="39">
                  <c:v>0.66332954545454548</c:v>
                </c:pt>
                <c:pt idx="40">
                  <c:v>0.59176136363636367</c:v>
                </c:pt>
                <c:pt idx="41">
                  <c:v>0.60188636363636361</c:v>
                </c:pt>
                <c:pt idx="42">
                  <c:v>0.6462500000000001</c:v>
                </c:pt>
                <c:pt idx="43">
                  <c:v>0.60112500000000002</c:v>
                </c:pt>
                <c:pt idx="44">
                  <c:v>0.5047954545454546</c:v>
                </c:pt>
                <c:pt idx="45">
                  <c:v>0.45759090909090916</c:v>
                </c:pt>
                <c:pt idx="46">
                  <c:v>0.44903409090909097</c:v>
                </c:pt>
                <c:pt idx="47">
                  <c:v>0.4115113636363637</c:v>
                </c:pt>
                <c:pt idx="48">
                  <c:v>0.40875000000000006</c:v>
                </c:pt>
                <c:pt idx="49">
                  <c:v>0.3798295454545455</c:v>
                </c:pt>
                <c:pt idx="50">
                  <c:v>0.42211363636363636</c:v>
                </c:pt>
                <c:pt idx="51">
                  <c:v>0.40071590909090915</c:v>
                </c:pt>
                <c:pt idx="52">
                  <c:v>0.44939772727272737</c:v>
                </c:pt>
                <c:pt idx="53">
                  <c:v>0.43687500000000001</c:v>
                </c:pt>
                <c:pt idx="54">
                  <c:v>0.46300000000000008</c:v>
                </c:pt>
                <c:pt idx="55">
                  <c:v>0.60701136363636365</c:v>
                </c:pt>
                <c:pt idx="56">
                  <c:v>0.72434090909090909</c:v>
                </c:pt>
                <c:pt idx="57">
                  <c:v>0.80982954545454544</c:v>
                </c:pt>
                <c:pt idx="58">
                  <c:v>0.81278409090909098</c:v>
                </c:pt>
                <c:pt idx="59">
                  <c:v>0.88851136363636374</c:v>
                </c:pt>
                <c:pt idx="60">
                  <c:v>0.88375000000000015</c:v>
                </c:pt>
                <c:pt idx="61">
                  <c:v>0.87298863636363644</c:v>
                </c:pt>
                <c:pt idx="62">
                  <c:v>0.83686363636363648</c:v>
                </c:pt>
                <c:pt idx="63">
                  <c:v>0.85330681818181831</c:v>
                </c:pt>
                <c:pt idx="64">
                  <c:v>0.85254545454545472</c:v>
                </c:pt>
                <c:pt idx="65">
                  <c:v>0.8210227272727274</c:v>
                </c:pt>
                <c:pt idx="66">
                  <c:v>0.7666590909090909</c:v>
                </c:pt>
                <c:pt idx="67">
                  <c:v>0.70301136363636363</c:v>
                </c:pt>
                <c:pt idx="68">
                  <c:v>0.60528409090909097</c:v>
                </c:pt>
                <c:pt idx="69">
                  <c:v>0.53739772727272728</c:v>
                </c:pt>
                <c:pt idx="70">
                  <c:v>0.65725</c:v>
                </c:pt>
                <c:pt idx="71">
                  <c:v>0.65669318181818193</c:v>
                </c:pt>
                <c:pt idx="72">
                  <c:v>0.65709090909090917</c:v>
                </c:pt>
                <c:pt idx="73">
                  <c:v>0.63429545454545455</c:v>
                </c:pt>
                <c:pt idx="74">
                  <c:v>0.62069318181818178</c:v>
                </c:pt>
                <c:pt idx="75">
                  <c:v>0.62545454545454549</c:v>
                </c:pt>
                <c:pt idx="76">
                  <c:v>0.63829545454545467</c:v>
                </c:pt>
                <c:pt idx="77">
                  <c:v>0.6394545454545455</c:v>
                </c:pt>
                <c:pt idx="78">
                  <c:v>0.73202272727272732</c:v>
                </c:pt>
                <c:pt idx="79">
                  <c:v>0.75394318181818187</c:v>
                </c:pt>
                <c:pt idx="80">
                  <c:v>0.77038636363636359</c:v>
                </c:pt>
                <c:pt idx="81">
                  <c:v>0.7911477272727272</c:v>
                </c:pt>
                <c:pt idx="82">
                  <c:v>0.80359090909090913</c:v>
                </c:pt>
                <c:pt idx="83">
                  <c:v>0.79714772727272731</c:v>
                </c:pt>
                <c:pt idx="84">
                  <c:v>0.80474999999999997</c:v>
                </c:pt>
                <c:pt idx="85">
                  <c:v>0.79335227272727282</c:v>
                </c:pt>
                <c:pt idx="86">
                  <c:v>0.80767045454545461</c:v>
                </c:pt>
                <c:pt idx="87">
                  <c:v>0.80051136363636377</c:v>
                </c:pt>
                <c:pt idx="88">
                  <c:v>0.77014772727272729</c:v>
                </c:pt>
                <c:pt idx="89">
                  <c:v>0.73906818181818179</c:v>
                </c:pt>
                <c:pt idx="90">
                  <c:v>0.66326136363636368</c:v>
                </c:pt>
                <c:pt idx="91">
                  <c:v>0.60526136363636363</c:v>
                </c:pt>
                <c:pt idx="92">
                  <c:v>0.59029545454545462</c:v>
                </c:pt>
                <c:pt idx="93">
                  <c:v>0.56237500000000007</c:v>
                </c:pt>
                <c:pt idx="94">
                  <c:v>0.51617045454545452</c:v>
                </c:pt>
                <c:pt idx="95">
                  <c:v>0.46104545454545459</c:v>
                </c:pt>
                <c:pt idx="96">
                  <c:v>0.42492045454545457</c:v>
                </c:pt>
                <c:pt idx="97">
                  <c:v>0.3465113636363637</c:v>
                </c:pt>
                <c:pt idx="98">
                  <c:v>0.30498863636363638</c:v>
                </c:pt>
                <c:pt idx="99">
                  <c:v>0.22981818181818181</c:v>
                </c:pt>
                <c:pt idx="100">
                  <c:v>0.16753409090909091</c:v>
                </c:pt>
                <c:pt idx="101">
                  <c:v>0.1059659090909091</c:v>
                </c:pt>
                <c:pt idx="102">
                  <c:v>0.17921590909090909</c:v>
                </c:pt>
                <c:pt idx="103">
                  <c:v>0.26218181818181824</c:v>
                </c:pt>
                <c:pt idx="104">
                  <c:v>0.34106818181818188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E2-4BC4-8191-C2AE44D93A8F}"/>
            </c:ext>
          </c:extLst>
        </c:ser>
        <c:ser>
          <c:idx val="2"/>
          <c:order val="2"/>
          <c:tx>
            <c:strRef>
              <c:f>'面板-景气指数'!$A$146</c:f>
              <c:strCache>
                <c:ptCount val="1"/>
                <c:pt idx="0">
                  <c:v>饮料乳品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'面板-景气指数'!$F$146:$DF$146</c:f>
              <c:numCache>
                <c:formatCode>0.0%</c:formatCode>
                <c:ptCount val="105"/>
                <c:pt idx="0">
                  <c:v>0.33385423095592903</c:v>
                </c:pt>
                <c:pt idx="1">
                  <c:v>0.33295923082298706</c:v>
                </c:pt>
                <c:pt idx="2">
                  <c:v>0.3602056168733217</c:v>
                </c:pt>
                <c:pt idx="3">
                  <c:v>0.35394361977128969</c:v>
                </c:pt>
                <c:pt idx="4">
                  <c:v>0.3299343884362923</c:v>
                </c:pt>
                <c:pt idx="5">
                  <c:v>0.30176011145079068</c:v>
                </c:pt>
                <c:pt idx="6">
                  <c:v>0.29088786217195961</c:v>
                </c:pt>
                <c:pt idx="7">
                  <c:v>0.29117566412452695</c:v>
                </c:pt>
                <c:pt idx="8">
                  <c:v>0.3230688770331443</c:v>
                </c:pt>
                <c:pt idx="9">
                  <c:v>0.31402587394923676</c:v>
                </c:pt>
                <c:pt idx="10">
                  <c:v>0.29869833512326704</c:v>
                </c:pt>
                <c:pt idx="11">
                  <c:v>0.2744852544673646</c:v>
                </c:pt>
                <c:pt idx="12">
                  <c:v>0.2586226141073994</c:v>
                </c:pt>
                <c:pt idx="13">
                  <c:v>0.26016874170119408</c:v>
                </c:pt>
                <c:pt idx="14">
                  <c:v>0.27524897344525862</c:v>
                </c:pt>
                <c:pt idx="15">
                  <c:v>0.31427750155264311</c:v>
                </c:pt>
                <c:pt idx="16">
                  <c:v>0.33324409988712439</c:v>
                </c:pt>
                <c:pt idx="17">
                  <c:v>0.34492195323008273</c:v>
                </c:pt>
                <c:pt idx="18">
                  <c:v>0.33825637538259212</c:v>
                </c:pt>
                <c:pt idx="19">
                  <c:v>0.33870260154702087</c:v>
                </c:pt>
                <c:pt idx="20">
                  <c:v>0.30859234795546031</c:v>
                </c:pt>
                <c:pt idx="21">
                  <c:v>0.27487943875506105</c:v>
                </c:pt>
                <c:pt idx="22">
                  <c:v>0.32840642511030221</c:v>
                </c:pt>
                <c:pt idx="23">
                  <c:v>0.41884079320099371</c:v>
                </c:pt>
                <c:pt idx="24">
                  <c:v>0.49820391633115224</c:v>
                </c:pt>
                <c:pt idx="25">
                  <c:v>0.51622711903283292</c:v>
                </c:pt>
                <c:pt idx="26">
                  <c:v>0.528687378409192</c:v>
                </c:pt>
                <c:pt idx="27">
                  <c:v>0.5177126475595254</c:v>
                </c:pt>
                <c:pt idx="28">
                  <c:v>0.53344372778713756</c:v>
                </c:pt>
                <c:pt idx="29">
                  <c:v>0.54089877278281029</c:v>
                </c:pt>
                <c:pt idx="30">
                  <c:v>0.60439221152763012</c:v>
                </c:pt>
                <c:pt idx="31">
                  <c:v>0.6414990159554439</c:v>
                </c:pt>
                <c:pt idx="32">
                  <c:v>0.74884539011729989</c:v>
                </c:pt>
                <c:pt idx="33">
                  <c:v>0.79395517710735963</c:v>
                </c:pt>
                <c:pt idx="34">
                  <c:v>0.78996626734788322</c:v>
                </c:pt>
                <c:pt idx="35">
                  <c:v>0.78542419113423834</c:v>
                </c:pt>
                <c:pt idx="36">
                  <c:v>0.75818492521440961</c:v>
                </c:pt>
                <c:pt idx="37">
                  <c:v>0.73041464873157369</c:v>
                </c:pt>
                <c:pt idx="38">
                  <c:v>0.73818341672036669</c:v>
                </c:pt>
                <c:pt idx="39">
                  <c:v>0.76700501667351362</c:v>
                </c:pt>
                <c:pt idx="40">
                  <c:v>0.77141880154781051</c:v>
                </c:pt>
                <c:pt idx="41">
                  <c:v>0.7982711565088052</c:v>
                </c:pt>
                <c:pt idx="42">
                  <c:v>0.80727516104466202</c:v>
                </c:pt>
                <c:pt idx="43">
                  <c:v>0.76320124717205018</c:v>
                </c:pt>
                <c:pt idx="44">
                  <c:v>0.67075051777990169</c:v>
                </c:pt>
                <c:pt idx="45">
                  <c:v>0.40037589239951205</c:v>
                </c:pt>
                <c:pt idx="46">
                  <c:v>0.35245169493253503</c:v>
                </c:pt>
                <c:pt idx="47">
                  <c:v>0.29788531486192082</c:v>
                </c:pt>
                <c:pt idx="48">
                  <c:v>0.27089737297830785</c:v>
                </c:pt>
                <c:pt idx="49">
                  <c:v>0.27439430047771385</c:v>
                </c:pt>
                <c:pt idx="50">
                  <c:v>0.30144868544492676</c:v>
                </c:pt>
                <c:pt idx="51">
                  <c:v>0.29338766170264008</c:v>
                </c:pt>
                <c:pt idx="52">
                  <c:v>0.25292005239824056</c:v>
                </c:pt>
                <c:pt idx="53">
                  <c:v>0.28481171722197607</c:v>
                </c:pt>
                <c:pt idx="54">
                  <c:v>0.32857164904309399</c:v>
                </c:pt>
                <c:pt idx="55">
                  <c:v>0.41076325287043908</c:v>
                </c:pt>
                <c:pt idx="56">
                  <c:v>0.66888948501458834</c:v>
                </c:pt>
                <c:pt idx="57">
                  <c:v>0.67328666661846193</c:v>
                </c:pt>
                <c:pt idx="58">
                  <c:v>0.6588039527017282</c:v>
                </c:pt>
                <c:pt idx="59">
                  <c:v>0.63836365932440642</c:v>
                </c:pt>
                <c:pt idx="60">
                  <c:v>0.60579262541021572</c:v>
                </c:pt>
                <c:pt idx="61">
                  <c:v>0.56861081320795503</c:v>
                </c:pt>
                <c:pt idx="62">
                  <c:v>0.54253710171346992</c:v>
                </c:pt>
                <c:pt idx="63">
                  <c:v>0.52296142612713392</c:v>
                </c:pt>
                <c:pt idx="64">
                  <c:v>0.51574288162110216</c:v>
                </c:pt>
                <c:pt idx="65">
                  <c:v>0.4821514692041205</c:v>
                </c:pt>
                <c:pt idx="66">
                  <c:v>0.46652416658028267</c:v>
                </c:pt>
                <c:pt idx="67">
                  <c:v>0.44528587837227129</c:v>
                </c:pt>
                <c:pt idx="68">
                  <c:v>0.455822656352597</c:v>
                </c:pt>
                <c:pt idx="69">
                  <c:v>0.48022081800376537</c:v>
                </c:pt>
                <c:pt idx="70">
                  <c:v>0.46840822450605807</c:v>
                </c:pt>
                <c:pt idx="71">
                  <c:v>0.46558063250305665</c:v>
                </c:pt>
                <c:pt idx="72">
                  <c:v>0.48514817532718435</c:v>
                </c:pt>
                <c:pt idx="73">
                  <c:v>0.54491224262810745</c:v>
                </c:pt>
                <c:pt idx="74">
                  <c:v>0.55905522657008222</c:v>
                </c:pt>
                <c:pt idx="75">
                  <c:v>0.57475470502197734</c:v>
                </c:pt>
                <c:pt idx="76">
                  <c:v>0.5685953672790226</c:v>
                </c:pt>
                <c:pt idx="77">
                  <c:v>0.56659173799155704</c:v>
                </c:pt>
                <c:pt idx="78">
                  <c:v>0.5408453826168228</c:v>
                </c:pt>
                <c:pt idx="79">
                  <c:v>0.48054796424491264</c:v>
                </c:pt>
                <c:pt idx="80">
                  <c:v>0.43237078363182035</c:v>
                </c:pt>
                <c:pt idx="81">
                  <c:v>0.45036065376668349</c:v>
                </c:pt>
                <c:pt idx="82">
                  <c:v>0.51466266180144582</c:v>
                </c:pt>
                <c:pt idx="83">
                  <c:v>0.58016191997287847</c:v>
                </c:pt>
                <c:pt idx="84">
                  <c:v>0.59080644566699647</c:v>
                </c:pt>
                <c:pt idx="85">
                  <c:v>0.58003449298485366</c:v>
                </c:pt>
                <c:pt idx="86">
                  <c:v>0.56599625476954007</c:v>
                </c:pt>
                <c:pt idx="87">
                  <c:v>0.58760390504450732</c:v>
                </c:pt>
                <c:pt idx="88">
                  <c:v>0.5916865613962079</c:v>
                </c:pt>
                <c:pt idx="89">
                  <c:v>0.6503978930038633</c:v>
                </c:pt>
                <c:pt idx="90">
                  <c:v>0.64866364517230912</c:v>
                </c:pt>
                <c:pt idx="91">
                  <c:v>0.67762705856641769</c:v>
                </c:pt>
                <c:pt idx="92">
                  <c:v>0.67643781750146137</c:v>
                </c:pt>
                <c:pt idx="93">
                  <c:v>0.66817359608146598</c:v>
                </c:pt>
                <c:pt idx="94">
                  <c:v>0.63016903850897599</c:v>
                </c:pt>
                <c:pt idx="95">
                  <c:v>0.60401035499171751</c:v>
                </c:pt>
                <c:pt idx="96">
                  <c:v>0.56752448305997305</c:v>
                </c:pt>
                <c:pt idx="97">
                  <c:v>0.52871382014899271</c:v>
                </c:pt>
                <c:pt idx="98">
                  <c:v>0.51046501932697597</c:v>
                </c:pt>
                <c:pt idx="99">
                  <c:v>0.48557442615066737</c:v>
                </c:pt>
                <c:pt idx="100">
                  <c:v>0.51845912379523096</c:v>
                </c:pt>
                <c:pt idx="101">
                  <c:v>0.51739781123968498</c:v>
                </c:pt>
                <c:pt idx="102">
                  <c:v>0.50324308541399043</c:v>
                </c:pt>
                <c:pt idx="103">
                  <c:v>0.50641328126445684</c:v>
                </c:pt>
                <c:pt idx="104">
                  <c:v>0.49564768087960581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2E2-4BC4-8191-C2AE44D93A8F}"/>
            </c:ext>
          </c:extLst>
        </c:ser>
        <c:ser>
          <c:idx val="3"/>
          <c:order val="3"/>
          <c:tx>
            <c:strRef>
              <c:f>'面板-景气指数'!$A$149</c:f>
              <c:strCache>
                <c:ptCount val="1"/>
                <c:pt idx="0">
                  <c:v>调味发酵品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'面板-景气指数'!$F$149:$DF$149</c:f>
              <c:numCache>
                <c:formatCode>0.0%</c:formatCode>
                <c:ptCount val="105"/>
                <c:pt idx="0">
                  <c:v>0.55983333333333374</c:v>
                </c:pt>
                <c:pt idx="1">
                  <c:v>0.53966666666666707</c:v>
                </c:pt>
                <c:pt idx="2">
                  <c:v>0.5148333333333337</c:v>
                </c:pt>
                <c:pt idx="3">
                  <c:v>0.43816666666666682</c:v>
                </c:pt>
                <c:pt idx="4">
                  <c:v>0.44066666666666687</c:v>
                </c:pt>
                <c:pt idx="5">
                  <c:v>0.50550000000000028</c:v>
                </c:pt>
                <c:pt idx="6">
                  <c:v>0.55450000000000021</c:v>
                </c:pt>
                <c:pt idx="7">
                  <c:v>0.61033333333333351</c:v>
                </c:pt>
                <c:pt idx="8">
                  <c:v>0.78916666666666657</c:v>
                </c:pt>
                <c:pt idx="9">
                  <c:v>0.75733333333333319</c:v>
                </c:pt>
                <c:pt idx="10">
                  <c:v>0.71916666666666651</c:v>
                </c:pt>
                <c:pt idx="11">
                  <c:v>0.71166666666666656</c:v>
                </c:pt>
                <c:pt idx="12">
                  <c:v>0.70266666666666655</c:v>
                </c:pt>
                <c:pt idx="13">
                  <c:v>0.72383333333333333</c:v>
                </c:pt>
                <c:pt idx="14">
                  <c:v>0.76916666666666678</c:v>
                </c:pt>
                <c:pt idx="15">
                  <c:v>0.84483333333333321</c:v>
                </c:pt>
                <c:pt idx="16">
                  <c:v>0.90883333333333349</c:v>
                </c:pt>
                <c:pt idx="17">
                  <c:v>0.91300000000000003</c:v>
                </c:pt>
                <c:pt idx="18">
                  <c:v>0.86433333333333318</c:v>
                </c:pt>
                <c:pt idx="19">
                  <c:v>0.79049999999999998</c:v>
                </c:pt>
                <c:pt idx="20">
                  <c:v>0.46933333333333366</c:v>
                </c:pt>
                <c:pt idx="21">
                  <c:v>0.44983333333333364</c:v>
                </c:pt>
                <c:pt idx="22">
                  <c:v>0.461666666666667</c:v>
                </c:pt>
                <c:pt idx="23">
                  <c:v>0.47883333333333367</c:v>
                </c:pt>
                <c:pt idx="24">
                  <c:v>0.46766666666666695</c:v>
                </c:pt>
                <c:pt idx="25">
                  <c:v>0.44116666666666698</c:v>
                </c:pt>
                <c:pt idx="26">
                  <c:v>0.41750000000000037</c:v>
                </c:pt>
                <c:pt idx="27">
                  <c:v>0.39583333333333365</c:v>
                </c:pt>
                <c:pt idx="28">
                  <c:v>0.37583333333333363</c:v>
                </c:pt>
                <c:pt idx="29">
                  <c:v>0.36600000000000021</c:v>
                </c:pt>
                <c:pt idx="30">
                  <c:v>0.37233333333333352</c:v>
                </c:pt>
                <c:pt idx="31">
                  <c:v>0.32083333333333341</c:v>
                </c:pt>
                <c:pt idx="32">
                  <c:v>0.56966666666666643</c:v>
                </c:pt>
                <c:pt idx="33">
                  <c:v>0.57083333333333297</c:v>
                </c:pt>
                <c:pt idx="34">
                  <c:v>0.58683333333333298</c:v>
                </c:pt>
                <c:pt idx="35">
                  <c:v>0.5489999999999996</c:v>
                </c:pt>
                <c:pt idx="36">
                  <c:v>0.52283333333333293</c:v>
                </c:pt>
                <c:pt idx="37">
                  <c:v>0.51233333333333297</c:v>
                </c:pt>
                <c:pt idx="38">
                  <c:v>0.51466666666666616</c:v>
                </c:pt>
                <c:pt idx="39">
                  <c:v>0.50466666666666604</c:v>
                </c:pt>
                <c:pt idx="40">
                  <c:v>0.50233333333333274</c:v>
                </c:pt>
                <c:pt idx="41">
                  <c:v>0.5081666666666661</c:v>
                </c:pt>
                <c:pt idx="42">
                  <c:v>0.51133333333333297</c:v>
                </c:pt>
                <c:pt idx="43">
                  <c:v>0.52166666666666617</c:v>
                </c:pt>
                <c:pt idx="44">
                  <c:v>0.46899999999999958</c:v>
                </c:pt>
                <c:pt idx="45">
                  <c:v>0.12816666666666668</c:v>
                </c:pt>
                <c:pt idx="46">
                  <c:v>0.13950000000000007</c:v>
                </c:pt>
                <c:pt idx="47">
                  <c:v>0.14350000000000007</c:v>
                </c:pt>
                <c:pt idx="48">
                  <c:v>0.15283333333333343</c:v>
                </c:pt>
                <c:pt idx="49">
                  <c:v>0.17133333333333345</c:v>
                </c:pt>
                <c:pt idx="50">
                  <c:v>0.20750000000000021</c:v>
                </c:pt>
                <c:pt idx="51">
                  <c:v>0.2483333333333336</c:v>
                </c:pt>
                <c:pt idx="52">
                  <c:v>0.29583333333333367</c:v>
                </c:pt>
                <c:pt idx="53">
                  <c:v>0.29766666666666697</c:v>
                </c:pt>
                <c:pt idx="54">
                  <c:v>0.30016666666666703</c:v>
                </c:pt>
                <c:pt idx="55">
                  <c:v>0.26950000000000029</c:v>
                </c:pt>
                <c:pt idx="56">
                  <c:v>0.26700000000000018</c:v>
                </c:pt>
                <c:pt idx="57">
                  <c:v>0.47466666666666663</c:v>
                </c:pt>
                <c:pt idx="58">
                  <c:v>0.46316666666666662</c:v>
                </c:pt>
                <c:pt idx="59">
                  <c:v>0.49699999999999994</c:v>
                </c:pt>
                <c:pt idx="60">
                  <c:v>0.54316666666666669</c:v>
                </c:pt>
                <c:pt idx="61">
                  <c:v>0.58899999999999997</c:v>
                </c:pt>
                <c:pt idx="62">
                  <c:v>0.58700000000000008</c:v>
                </c:pt>
                <c:pt idx="63">
                  <c:v>0.57166666666666666</c:v>
                </c:pt>
                <c:pt idx="64">
                  <c:v>0.55216666666666669</c:v>
                </c:pt>
                <c:pt idx="65">
                  <c:v>0.60483333333333333</c:v>
                </c:pt>
                <c:pt idx="66">
                  <c:v>0.6319999999999999</c:v>
                </c:pt>
                <c:pt idx="67">
                  <c:v>0.65083333333333326</c:v>
                </c:pt>
                <c:pt idx="68">
                  <c:v>0.59416666666666673</c:v>
                </c:pt>
                <c:pt idx="69">
                  <c:v>0.46166666666666678</c:v>
                </c:pt>
                <c:pt idx="70">
                  <c:v>0.46416666666666678</c:v>
                </c:pt>
                <c:pt idx="71">
                  <c:v>0.49533333333333335</c:v>
                </c:pt>
                <c:pt idx="72">
                  <c:v>0.53033333333333343</c:v>
                </c:pt>
                <c:pt idx="73">
                  <c:v>0.53500000000000003</c:v>
                </c:pt>
                <c:pt idx="74">
                  <c:v>0.51733333333333331</c:v>
                </c:pt>
                <c:pt idx="75">
                  <c:v>0.48000000000000004</c:v>
                </c:pt>
                <c:pt idx="76">
                  <c:v>0.53633333333333333</c:v>
                </c:pt>
                <c:pt idx="77">
                  <c:v>0.56583333333333319</c:v>
                </c:pt>
                <c:pt idx="78">
                  <c:v>0.55999999999999994</c:v>
                </c:pt>
                <c:pt idx="79">
                  <c:v>0.61683333333333334</c:v>
                </c:pt>
                <c:pt idx="80">
                  <c:v>0.56866666666666665</c:v>
                </c:pt>
                <c:pt idx="81">
                  <c:v>0.58316666666666661</c:v>
                </c:pt>
                <c:pt idx="82">
                  <c:v>0.58833333333333326</c:v>
                </c:pt>
                <c:pt idx="83">
                  <c:v>0.59116666666666651</c:v>
                </c:pt>
                <c:pt idx="84">
                  <c:v>0.59916666666666651</c:v>
                </c:pt>
                <c:pt idx="85">
                  <c:v>0.60266666666666657</c:v>
                </c:pt>
                <c:pt idx="86">
                  <c:v>0.59766666666666657</c:v>
                </c:pt>
                <c:pt idx="87">
                  <c:v>0.56566666666666643</c:v>
                </c:pt>
                <c:pt idx="88">
                  <c:v>0.53999999999999981</c:v>
                </c:pt>
                <c:pt idx="89">
                  <c:v>0.48716666666666653</c:v>
                </c:pt>
                <c:pt idx="90">
                  <c:v>0.43883333333333313</c:v>
                </c:pt>
                <c:pt idx="91">
                  <c:v>0.38933333333333325</c:v>
                </c:pt>
                <c:pt idx="92">
                  <c:v>0.31549999999999995</c:v>
                </c:pt>
                <c:pt idx="93">
                  <c:v>0.29666666666666663</c:v>
                </c:pt>
                <c:pt idx="94">
                  <c:v>0.31233333333333335</c:v>
                </c:pt>
                <c:pt idx="95">
                  <c:v>0.32533333333333336</c:v>
                </c:pt>
                <c:pt idx="96">
                  <c:v>0.33466666666666667</c:v>
                </c:pt>
                <c:pt idx="97">
                  <c:v>0.33483333333333337</c:v>
                </c:pt>
                <c:pt idx="98">
                  <c:v>0.34616666666666668</c:v>
                </c:pt>
                <c:pt idx="99">
                  <c:v>0.40383333333333332</c:v>
                </c:pt>
                <c:pt idx="100">
                  <c:v>0.44250000000000006</c:v>
                </c:pt>
                <c:pt idx="101">
                  <c:v>0.52566666666666673</c:v>
                </c:pt>
                <c:pt idx="102">
                  <c:v>0.5301666666666669</c:v>
                </c:pt>
                <c:pt idx="103">
                  <c:v>0.53700000000000014</c:v>
                </c:pt>
                <c:pt idx="104">
                  <c:v>0.55583333333333351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2E2-4BC4-8191-C2AE44D9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'面板-景气指数'!$A$61</c:f>
              <c:strCache>
                <c:ptCount val="1"/>
                <c:pt idx="0">
                  <c:v>银行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'面板-景气指数'!$F$61:$DF$61</c:f>
              <c:numCache>
                <c:formatCode>0.0%</c:formatCode>
                <c:ptCount val="105"/>
                <c:pt idx="0">
                  <c:v>0.47096018869272938</c:v>
                </c:pt>
                <c:pt idx="1">
                  <c:v>0.47096018869272938</c:v>
                </c:pt>
                <c:pt idx="2">
                  <c:v>0.47096018869272938</c:v>
                </c:pt>
                <c:pt idx="3">
                  <c:v>0.47096018869272938</c:v>
                </c:pt>
                <c:pt idx="4">
                  <c:v>0.48472800604133981</c:v>
                </c:pt>
                <c:pt idx="5">
                  <c:v>0.49437136423167921</c:v>
                </c:pt>
                <c:pt idx="6">
                  <c:v>0.51244444862991201</c:v>
                </c:pt>
                <c:pt idx="7">
                  <c:v>0.52693665150754831</c:v>
                </c:pt>
                <c:pt idx="8">
                  <c:v>0.49116742065455504</c:v>
                </c:pt>
                <c:pt idx="9">
                  <c:v>0.4852133988547575</c:v>
                </c:pt>
                <c:pt idx="10">
                  <c:v>0.48503628138508098</c:v>
                </c:pt>
                <c:pt idx="11">
                  <c:v>0.48349429942274702</c:v>
                </c:pt>
                <c:pt idx="12">
                  <c:v>0.48560681272964706</c:v>
                </c:pt>
                <c:pt idx="13">
                  <c:v>0.46612560780481649</c:v>
                </c:pt>
                <c:pt idx="14">
                  <c:v>0.4617412472601814</c:v>
                </c:pt>
                <c:pt idx="15">
                  <c:v>0.46745860988695243</c:v>
                </c:pt>
                <c:pt idx="16">
                  <c:v>0.48472800604133981</c:v>
                </c:pt>
                <c:pt idx="17">
                  <c:v>0.49437136423167921</c:v>
                </c:pt>
                <c:pt idx="18">
                  <c:v>0.51244444862991201</c:v>
                </c:pt>
                <c:pt idx="19">
                  <c:v>0.52693665150754831</c:v>
                </c:pt>
                <c:pt idx="20">
                  <c:v>0.51821513679543141</c:v>
                </c:pt>
                <c:pt idx="21">
                  <c:v>0.52066750340690682</c:v>
                </c:pt>
                <c:pt idx="22">
                  <c:v>0.52415290856710173</c:v>
                </c:pt>
                <c:pt idx="23">
                  <c:v>0.51688251242026095</c:v>
                </c:pt>
                <c:pt idx="24">
                  <c:v>0.52035324364098701</c:v>
                </c:pt>
                <c:pt idx="25">
                  <c:v>0.52219233667286646</c:v>
                </c:pt>
                <c:pt idx="26">
                  <c:v>0.51952971814268722</c:v>
                </c:pt>
                <c:pt idx="27">
                  <c:v>0.51588182664001614</c:v>
                </c:pt>
                <c:pt idx="28">
                  <c:v>0.51325671448610455</c:v>
                </c:pt>
                <c:pt idx="29">
                  <c:v>0.50851725361813405</c:v>
                </c:pt>
                <c:pt idx="30">
                  <c:v>0.50729908019784697</c:v>
                </c:pt>
                <c:pt idx="31">
                  <c:v>0.50753618703544245</c:v>
                </c:pt>
                <c:pt idx="32">
                  <c:v>0.5199202635507939</c:v>
                </c:pt>
                <c:pt idx="33">
                  <c:v>0.5498918683792211</c:v>
                </c:pt>
                <c:pt idx="34">
                  <c:v>0.62704945604573148</c:v>
                </c:pt>
                <c:pt idx="35">
                  <c:v>0.60446874923909444</c:v>
                </c:pt>
                <c:pt idx="36">
                  <c:v>0.56866528906775349</c:v>
                </c:pt>
                <c:pt idx="37">
                  <c:v>0.55254744732193928</c:v>
                </c:pt>
                <c:pt idx="38">
                  <c:v>0.54327413692909921</c:v>
                </c:pt>
                <c:pt idx="39">
                  <c:v>0.53868850028148041</c:v>
                </c:pt>
                <c:pt idx="40">
                  <c:v>0.52910060883945786</c:v>
                </c:pt>
                <c:pt idx="41">
                  <c:v>0.52885859678551628</c:v>
                </c:pt>
                <c:pt idx="42">
                  <c:v>0.52809533101957262</c:v>
                </c:pt>
                <c:pt idx="43">
                  <c:v>0.5269987431873473</c:v>
                </c:pt>
                <c:pt idx="44">
                  <c:v>0.53669576445071654</c:v>
                </c:pt>
                <c:pt idx="45">
                  <c:v>0.53549975248726511</c:v>
                </c:pt>
                <c:pt idx="46">
                  <c:v>0.51054726168092757</c:v>
                </c:pt>
                <c:pt idx="47">
                  <c:v>0.49174125391255452</c:v>
                </c:pt>
                <c:pt idx="48">
                  <c:v>0.48108412675705048</c:v>
                </c:pt>
                <c:pt idx="49">
                  <c:v>0.46291573822785764</c:v>
                </c:pt>
                <c:pt idx="50">
                  <c:v>0.47293218848018426</c:v>
                </c:pt>
                <c:pt idx="51">
                  <c:v>0.48149365454916992</c:v>
                </c:pt>
                <c:pt idx="52">
                  <c:v>0.48861889366847361</c:v>
                </c:pt>
                <c:pt idx="53">
                  <c:v>0.52432227456096259</c:v>
                </c:pt>
                <c:pt idx="54">
                  <c:v>0.54174948712287607</c:v>
                </c:pt>
                <c:pt idx="55">
                  <c:v>0.56660708697937356</c:v>
                </c:pt>
                <c:pt idx="56">
                  <c:v>0.59960276460292317</c:v>
                </c:pt>
                <c:pt idx="57">
                  <c:v>0.62146275022339037</c:v>
                </c:pt>
                <c:pt idx="58">
                  <c:v>0.68679349392735256</c:v>
                </c:pt>
                <c:pt idx="59">
                  <c:v>0.69031971360232602</c:v>
                </c:pt>
                <c:pt idx="60">
                  <c:v>0.70345987697020684</c:v>
                </c:pt>
                <c:pt idx="61">
                  <c:v>0.72112159429593281</c:v>
                </c:pt>
                <c:pt idx="62">
                  <c:v>0.70651003983877225</c:v>
                </c:pt>
                <c:pt idx="63">
                  <c:v>0.73531920557535291</c:v>
                </c:pt>
                <c:pt idx="64">
                  <c:v>0.76388870451329915</c:v>
                </c:pt>
                <c:pt idx="65">
                  <c:v>0.73806391870472532</c:v>
                </c:pt>
                <c:pt idx="66">
                  <c:v>0.70389082204758702</c:v>
                </c:pt>
                <c:pt idx="67">
                  <c:v>0.69482016809328773</c:v>
                </c:pt>
                <c:pt idx="68">
                  <c:v>0.66856063769432006</c:v>
                </c:pt>
                <c:pt idx="69">
                  <c:v>0.64354958370375603</c:v>
                </c:pt>
                <c:pt idx="70">
                  <c:v>0.63251712249005509</c:v>
                </c:pt>
                <c:pt idx="71">
                  <c:v>0.61424293550189024</c:v>
                </c:pt>
                <c:pt idx="72">
                  <c:v>0.5869072491105094</c:v>
                </c:pt>
                <c:pt idx="73">
                  <c:v>0.561799406426023</c:v>
                </c:pt>
                <c:pt idx="74">
                  <c:v>0.54559134354987993</c:v>
                </c:pt>
                <c:pt idx="75">
                  <c:v>0.52278541504657516</c:v>
                </c:pt>
                <c:pt idx="76">
                  <c:v>0.47456658898213261</c:v>
                </c:pt>
                <c:pt idx="77">
                  <c:v>0.45749658091796075</c:v>
                </c:pt>
                <c:pt idx="78">
                  <c:v>0.43823059277210735</c:v>
                </c:pt>
                <c:pt idx="79">
                  <c:v>0.42408596711601471</c:v>
                </c:pt>
                <c:pt idx="80">
                  <c:v>0.41339466591664742</c:v>
                </c:pt>
                <c:pt idx="81">
                  <c:v>0.40655139856109518</c:v>
                </c:pt>
                <c:pt idx="82">
                  <c:v>0.4262931491583356</c:v>
                </c:pt>
                <c:pt idx="83">
                  <c:v>0.4103983220995347</c:v>
                </c:pt>
                <c:pt idx="84">
                  <c:v>0.39454996752208338</c:v>
                </c:pt>
                <c:pt idx="85">
                  <c:v>0.39183559176606736</c:v>
                </c:pt>
                <c:pt idx="86">
                  <c:v>0.36806108386163178</c:v>
                </c:pt>
                <c:pt idx="87">
                  <c:v>0.32394956508882783</c:v>
                </c:pt>
                <c:pt idx="88">
                  <c:v>0.30021904746734429</c:v>
                </c:pt>
                <c:pt idx="89">
                  <c:v>0.29655519547070713</c:v>
                </c:pt>
                <c:pt idx="90">
                  <c:v>0.29383471545158635</c:v>
                </c:pt>
                <c:pt idx="91">
                  <c:v>0.28550147630478406</c:v>
                </c:pt>
                <c:pt idx="92">
                  <c:v>0.28355947031396112</c:v>
                </c:pt>
                <c:pt idx="93">
                  <c:v>0.33704178861449319</c:v>
                </c:pt>
                <c:pt idx="94">
                  <c:v>0.32265013600579634</c:v>
                </c:pt>
                <c:pt idx="95">
                  <c:v>0.33367871087931589</c:v>
                </c:pt>
                <c:pt idx="96">
                  <c:v>0.35729755057759138</c:v>
                </c:pt>
                <c:pt idx="97">
                  <c:v>0.36367507734999055</c:v>
                </c:pt>
                <c:pt idx="98">
                  <c:v>0.36118546516594419</c:v>
                </c:pt>
                <c:pt idx="99">
                  <c:v>0.35608405069842308</c:v>
                </c:pt>
                <c:pt idx="100">
                  <c:v>0.37273102324491808</c:v>
                </c:pt>
                <c:pt idx="101">
                  <c:v>0.37196789527148738</c:v>
                </c:pt>
                <c:pt idx="102">
                  <c:v>0.36772655933711801</c:v>
                </c:pt>
                <c:pt idx="103">
                  <c:v>0.36646010956032998</c:v>
                </c:pt>
                <c:pt idx="104">
                  <c:v>0.37876274023535472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55-4C5D-B9A1-D2BAECAF0D4D}"/>
            </c:ext>
          </c:extLst>
        </c:ser>
        <c:ser>
          <c:idx val="1"/>
          <c:order val="1"/>
          <c:tx>
            <c:strRef>
              <c:f>'面板-景气指数'!$A$155</c:f>
              <c:strCache>
                <c:ptCount val="1"/>
                <c:pt idx="0">
                  <c:v>国有大型银行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'面板-景气指数'!$F$155:$DF$155</c:f>
              <c:numCache>
                <c:formatCode>0.0%</c:formatCode>
                <c:ptCount val="105"/>
                <c:pt idx="0">
                  <c:v>0.46149999999999991</c:v>
                </c:pt>
                <c:pt idx="1">
                  <c:v>0.46149999999999991</c:v>
                </c:pt>
                <c:pt idx="2">
                  <c:v>0.46149999999999991</c:v>
                </c:pt>
                <c:pt idx="3">
                  <c:v>0.46149999999999991</c:v>
                </c:pt>
                <c:pt idx="4">
                  <c:v>0.48349999999999999</c:v>
                </c:pt>
                <c:pt idx="5">
                  <c:v>0.504</c:v>
                </c:pt>
                <c:pt idx="6">
                  <c:v>0.53849999999999998</c:v>
                </c:pt>
                <c:pt idx="7">
                  <c:v>0.56400000000000006</c:v>
                </c:pt>
                <c:pt idx="8">
                  <c:v>0.504</c:v>
                </c:pt>
                <c:pt idx="9">
                  <c:v>0.4965</c:v>
                </c:pt>
                <c:pt idx="10">
                  <c:v>0.5</c:v>
                </c:pt>
                <c:pt idx="11">
                  <c:v>0.4955</c:v>
                </c:pt>
                <c:pt idx="12">
                  <c:v>0.497</c:v>
                </c:pt>
                <c:pt idx="13">
                  <c:v>0.4975</c:v>
                </c:pt>
                <c:pt idx="14">
                  <c:v>0.48400000000000004</c:v>
                </c:pt>
                <c:pt idx="15">
                  <c:v>0.48049999999999998</c:v>
                </c:pt>
                <c:pt idx="16">
                  <c:v>0.48349999999999999</c:v>
                </c:pt>
                <c:pt idx="17">
                  <c:v>0.504</c:v>
                </c:pt>
                <c:pt idx="18">
                  <c:v>0.53849999999999998</c:v>
                </c:pt>
                <c:pt idx="19">
                  <c:v>0.56400000000000006</c:v>
                </c:pt>
                <c:pt idx="20">
                  <c:v>0.498</c:v>
                </c:pt>
                <c:pt idx="21">
                  <c:v>0.48899999999999999</c:v>
                </c:pt>
                <c:pt idx="22">
                  <c:v>0.49</c:v>
                </c:pt>
                <c:pt idx="23">
                  <c:v>0.48099999999999993</c:v>
                </c:pt>
                <c:pt idx="24">
                  <c:v>0.48100000000000004</c:v>
                </c:pt>
                <c:pt idx="25">
                  <c:v>0.48200000000000004</c:v>
                </c:pt>
                <c:pt idx="26">
                  <c:v>0.48249999999999998</c:v>
                </c:pt>
                <c:pt idx="27">
                  <c:v>0.48349999999999993</c:v>
                </c:pt>
                <c:pt idx="28">
                  <c:v>0.48399999999999999</c:v>
                </c:pt>
                <c:pt idx="29">
                  <c:v>0.48000000000000004</c:v>
                </c:pt>
                <c:pt idx="30">
                  <c:v>0.48049999999999998</c:v>
                </c:pt>
                <c:pt idx="31">
                  <c:v>0.48049999999999998</c:v>
                </c:pt>
                <c:pt idx="32">
                  <c:v>0.49300000000000005</c:v>
                </c:pt>
                <c:pt idx="33">
                  <c:v>0.505</c:v>
                </c:pt>
                <c:pt idx="34">
                  <c:v>0.59799999999999998</c:v>
                </c:pt>
                <c:pt idx="35">
                  <c:v>0.54800000000000004</c:v>
                </c:pt>
                <c:pt idx="36">
                  <c:v>0.49</c:v>
                </c:pt>
                <c:pt idx="37">
                  <c:v>0.46450000000000002</c:v>
                </c:pt>
                <c:pt idx="38">
                  <c:v>0.44850000000000001</c:v>
                </c:pt>
                <c:pt idx="39">
                  <c:v>0.43850000000000006</c:v>
                </c:pt>
                <c:pt idx="40">
                  <c:v>0.41750000000000004</c:v>
                </c:pt>
                <c:pt idx="41">
                  <c:v>0.42449999999999999</c:v>
                </c:pt>
                <c:pt idx="42">
                  <c:v>0.4365</c:v>
                </c:pt>
                <c:pt idx="43">
                  <c:v>0.44350000000000001</c:v>
                </c:pt>
                <c:pt idx="44">
                  <c:v>0.4519999999999999</c:v>
                </c:pt>
                <c:pt idx="45">
                  <c:v>0.46100000000000008</c:v>
                </c:pt>
                <c:pt idx="46">
                  <c:v>0.45200000000000001</c:v>
                </c:pt>
                <c:pt idx="47">
                  <c:v>0.45200000000000001</c:v>
                </c:pt>
                <c:pt idx="48">
                  <c:v>0.43400000000000005</c:v>
                </c:pt>
                <c:pt idx="49">
                  <c:v>0.41650000000000004</c:v>
                </c:pt>
                <c:pt idx="50">
                  <c:v>0.43499999999999994</c:v>
                </c:pt>
                <c:pt idx="51">
                  <c:v>0.45300000000000001</c:v>
                </c:pt>
                <c:pt idx="52">
                  <c:v>0.46200000000000008</c:v>
                </c:pt>
                <c:pt idx="53">
                  <c:v>0.51849999999999996</c:v>
                </c:pt>
                <c:pt idx="54">
                  <c:v>0.54849999999999999</c:v>
                </c:pt>
                <c:pt idx="55">
                  <c:v>0.58499999999999996</c:v>
                </c:pt>
                <c:pt idx="56">
                  <c:v>0.62799999999999989</c:v>
                </c:pt>
                <c:pt idx="57">
                  <c:v>0.65449999999999997</c:v>
                </c:pt>
                <c:pt idx="58">
                  <c:v>0.74550000000000005</c:v>
                </c:pt>
                <c:pt idx="59">
                  <c:v>0.74399999999999999</c:v>
                </c:pt>
                <c:pt idx="60">
                  <c:v>0.75600000000000001</c:v>
                </c:pt>
                <c:pt idx="61">
                  <c:v>0.76750000000000007</c:v>
                </c:pt>
                <c:pt idx="62">
                  <c:v>0.78700000000000014</c:v>
                </c:pt>
                <c:pt idx="63">
                  <c:v>0.83950000000000014</c:v>
                </c:pt>
                <c:pt idx="64">
                  <c:v>0.89749999999999996</c:v>
                </c:pt>
                <c:pt idx="65">
                  <c:v>0.86650000000000005</c:v>
                </c:pt>
                <c:pt idx="66">
                  <c:v>0.83050000000000013</c:v>
                </c:pt>
                <c:pt idx="67">
                  <c:v>0.82700000000000007</c:v>
                </c:pt>
                <c:pt idx="68">
                  <c:v>0.79150000000000009</c:v>
                </c:pt>
                <c:pt idx="69">
                  <c:v>0.77300000000000002</c:v>
                </c:pt>
                <c:pt idx="70">
                  <c:v>0.755</c:v>
                </c:pt>
                <c:pt idx="71">
                  <c:v>0.72949999999999993</c:v>
                </c:pt>
                <c:pt idx="72">
                  <c:v>0.69</c:v>
                </c:pt>
                <c:pt idx="73">
                  <c:v>0.64900000000000002</c:v>
                </c:pt>
                <c:pt idx="74">
                  <c:v>0.62349999999999994</c:v>
                </c:pt>
                <c:pt idx="75">
                  <c:v>0.60250000000000004</c:v>
                </c:pt>
                <c:pt idx="76">
                  <c:v>0.57050000000000001</c:v>
                </c:pt>
                <c:pt idx="77">
                  <c:v>0.55549999999999988</c:v>
                </c:pt>
                <c:pt idx="78">
                  <c:v>0.54050000000000009</c:v>
                </c:pt>
                <c:pt idx="79">
                  <c:v>0.53</c:v>
                </c:pt>
                <c:pt idx="80">
                  <c:v>0.5</c:v>
                </c:pt>
                <c:pt idx="81">
                  <c:v>0.48049999999999998</c:v>
                </c:pt>
                <c:pt idx="82">
                  <c:v>0.47</c:v>
                </c:pt>
                <c:pt idx="83">
                  <c:v>0.4539999999999999</c:v>
                </c:pt>
                <c:pt idx="84">
                  <c:v>0.44399999999999995</c:v>
                </c:pt>
                <c:pt idx="85">
                  <c:v>0.43350000000000011</c:v>
                </c:pt>
                <c:pt idx="86">
                  <c:v>0.40199999999999997</c:v>
                </c:pt>
                <c:pt idx="87">
                  <c:v>0.33200000000000002</c:v>
                </c:pt>
                <c:pt idx="88">
                  <c:v>0.28349999999999997</c:v>
                </c:pt>
                <c:pt idx="89">
                  <c:v>0.26800000000000007</c:v>
                </c:pt>
                <c:pt idx="90">
                  <c:v>0.252</c:v>
                </c:pt>
                <c:pt idx="91">
                  <c:v>0.23599999999999999</c:v>
                </c:pt>
                <c:pt idx="92">
                  <c:v>0.23149999999999998</c:v>
                </c:pt>
                <c:pt idx="93">
                  <c:v>0.30299999999999999</c:v>
                </c:pt>
                <c:pt idx="94">
                  <c:v>0.27900000000000003</c:v>
                </c:pt>
                <c:pt idx="95">
                  <c:v>0.28849999999999998</c:v>
                </c:pt>
                <c:pt idx="96">
                  <c:v>0.29349999999999998</c:v>
                </c:pt>
                <c:pt idx="97">
                  <c:v>0.29849999999999999</c:v>
                </c:pt>
                <c:pt idx="98">
                  <c:v>0.28849999999999998</c:v>
                </c:pt>
                <c:pt idx="99">
                  <c:v>0.27450000000000002</c:v>
                </c:pt>
                <c:pt idx="100">
                  <c:v>0.26950000000000002</c:v>
                </c:pt>
                <c:pt idx="101">
                  <c:v>0.26450000000000001</c:v>
                </c:pt>
                <c:pt idx="102">
                  <c:v>0.255</c:v>
                </c:pt>
                <c:pt idx="103">
                  <c:v>0.25</c:v>
                </c:pt>
                <c:pt idx="104">
                  <c:v>0.26450000000000001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55-4C5D-B9A1-D2BAECAF0D4D}"/>
            </c:ext>
          </c:extLst>
        </c:ser>
        <c:ser>
          <c:idx val="2"/>
          <c:order val="2"/>
          <c:tx>
            <c:strRef>
              <c:f>'面板-景气指数'!$A$156</c:f>
              <c:strCache>
                <c:ptCount val="1"/>
                <c:pt idx="0">
                  <c:v>股份制银行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'面板-景气指数'!$F$156:$DF$156</c:f>
              <c:numCache>
                <c:formatCode>0.0%</c:formatCode>
                <c:ptCount val="105"/>
                <c:pt idx="0">
                  <c:v>0.55200000000000005</c:v>
                </c:pt>
                <c:pt idx="1">
                  <c:v>0.55200000000000005</c:v>
                </c:pt>
                <c:pt idx="2">
                  <c:v>0.55200000000000005</c:v>
                </c:pt>
                <c:pt idx="3">
                  <c:v>0.55200000000000005</c:v>
                </c:pt>
                <c:pt idx="4">
                  <c:v>0.55200000000000005</c:v>
                </c:pt>
                <c:pt idx="5">
                  <c:v>0.55100000000000005</c:v>
                </c:pt>
                <c:pt idx="6">
                  <c:v>0.54300000000000004</c:v>
                </c:pt>
                <c:pt idx="7">
                  <c:v>0.54349999999999998</c:v>
                </c:pt>
                <c:pt idx="8">
                  <c:v>0.52400000000000002</c:v>
                </c:pt>
                <c:pt idx="9">
                  <c:v>0.51200000000000001</c:v>
                </c:pt>
                <c:pt idx="10">
                  <c:v>0.5</c:v>
                </c:pt>
                <c:pt idx="11">
                  <c:v>0.50600000000000001</c:v>
                </c:pt>
                <c:pt idx="12">
                  <c:v>0.51849999999999996</c:v>
                </c:pt>
                <c:pt idx="13">
                  <c:v>0.48199999999999993</c:v>
                </c:pt>
                <c:pt idx="14">
                  <c:v>0.49249999999999999</c:v>
                </c:pt>
                <c:pt idx="15">
                  <c:v>0.51800000000000002</c:v>
                </c:pt>
                <c:pt idx="16">
                  <c:v>0.55200000000000005</c:v>
                </c:pt>
                <c:pt idx="17">
                  <c:v>0.55100000000000005</c:v>
                </c:pt>
                <c:pt idx="18">
                  <c:v>0.54300000000000004</c:v>
                </c:pt>
                <c:pt idx="19">
                  <c:v>0.54349999999999998</c:v>
                </c:pt>
                <c:pt idx="20">
                  <c:v>0.61550000000000005</c:v>
                </c:pt>
                <c:pt idx="21">
                  <c:v>0.63849999999999985</c:v>
                </c:pt>
                <c:pt idx="22">
                  <c:v>0.64450000000000007</c:v>
                </c:pt>
                <c:pt idx="23">
                  <c:v>0.64449999999999996</c:v>
                </c:pt>
                <c:pt idx="24">
                  <c:v>0.65649999999999997</c:v>
                </c:pt>
                <c:pt idx="25">
                  <c:v>0.66249999999999998</c:v>
                </c:pt>
                <c:pt idx="26">
                  <c:v>0.65200000000000002</c:v>
                </c:pt>
                <c:pt idx="27">
                  <c:v>0.63650000000000007</c:v>
                </c:pt>
                <c:pt idx="28">
                  <c:v>0.626</c:v>
                </c:pt>
                <c:pt idx="29">
                  <c:v>0.64899999999999991</c:v>
                </c:pt>
                <c:pt idx="30">
                  <c:v>0.64900000000000002</c:v>
                </c:pt>
                <c:pt idx="31">
                  <c:v>0.65499999999999992</c:v>
                </c:pt>
                <c:pt idx="32">
                  <c:v>0.65600000000000003</c:v>
                </c:pt>
                <c:pt idx="33">
                  <c:v>0.73250000000000004</c:v>
                </c:pt>
                <c:pt idx="34">
                  <c:v>0.77700000000000002</c:v>
                </c:pt>
                <c:pt idx="35">
                  <c:v>0.78300000000000003</c:v>
                </c:pt>
                <c:pt idx="36">
                  <c:v>0.78349999999999997</c:v>
                </c:pt>
                <c:pt idx="37">
                  <c:v>0.78399999999999992</c:v>
                </c:pt>
                <c:pt idx="38">
                  <c:v>0.78450000000000009</c:v>
                </c:pt>
                <c:pt idx="39">
                  <c:v>0.78499999999999992</c:v>
                </c:pt>
                <c:pt idx="40">
                  <c:v>0.79149999999999987</c:v>
                </c:pt>
                <c:pt idx="41">
                  <c:v>0.79199999999999993</c:v>
                </c:pt>
                <c:pt idx="42">
                  <c:v>0.79300000000000004</c:v>
                </c:pt>
                <c:pt idx="43">
                  <c:v>0.79349999999999998</c:v>
                </c:pt>
                <c:pt idx="44">
                  <c:v>0.7609999999999999</c:v>
                </c:pt>
                <c:pt idx="45">
                  <c:v>0.69700000000000006</c:v>
                </c:pt>
                <c:pt idx="46">
                  <c:v>0.59400000000000008</c:v>
                </c:pt>
                <c:pt idx="47">
                  <c:v>0.59500000000000008</c:v>
                </c:pt>
                <c:pt idx="48">
                  <c:v>0.60650000000000004</c:v>
                </c:pt>
                <c:pt idx="49">
                  <c:v>0.58700000000000008</c:v>
                </c:pt>
                <c:pt idx="50">
                  <c:v>0.57999999999999996</c:v>
                </c:pt>
                <c:pt idx="51">
                  <c:v>0.5675</c:v>
                </c:pt>
                <c:pt idx="52">
                  <c:v>0.57150000000000001</c:v>
                </c:pt>
                <c:pt idx="53">
                  <c:v>0.57350000000000001</c:v>
                </c:pt>
                <c:pt idx="54">
                  <c:v>0.57100000000000006</c:v>
                </c:pt>
                <c:pt idx="55">
                  <c:v>0.58200000000000007</c:v>
                </c:pt>
                <c:pt idx="56">
                  <c:v>0.58899999999999997</c:v>
                </c:pt>
                <c:pt idx="57">
                  <c:v>0.59499999999999997</c:v>
                </c:pt>
                <c:pt idx="58">
                  <c:v>0.60650000000000004</c:v>
                </c:pt>
                <c:pt idx="59">
                  <c:v>0.62650000000000006</c:v>
                </c:pt>
                <c:pt idx="60">
                  <c:v>0.65100000000000002</c:v>
                </c:pt>
                <c:pt idx="61">
                  <c:v>0.69100000000000006</c:v>
                </c:pt>
                <c:pt idx="62">
                  <c:v>0.59099999999999997</c:v>
                </c:pt>
                <c:pt idx="63">
                  <c:v>0.57050000000000001</c:v>
                </c:pt>
                <c:pt idx="64">
                  <c:v>0.53899999999999992</c:v>
                </c:pt>
                <c:pt idx="65">
                  <c:v>0.51349999999999996</c:v>
                </c:pt>
                <c:pt idx="66">
                  <c:v>0.47249999999999992</c:v>
                </c:pt>
                <c:pt idx="67">
                  <c:v>0.40800000000000003</c:v>
                </c:pt>
                <c:pt idx="68">
                  <c:v>0.3805</c:v>
                </c:pt>
                <c:pt idx="69">
                  <c:v>0.32650000000000001</c:v>
                </c:pt>
                <c:pt idx="70">
                  <c:v>0.31550000000000006</c:v>
                </c:pt>
                <c:pt idx="71">
                  <c:v>0.31950000000000006</c:v>
                </c:pt>
                <c:pt idx="72">
                  <c:v>0.31899999999999995</c:v>
                </c:pt>
                <c:pt idx="73">
                  <c:v>0.32800000000000001</c:v>
                </c:pt>
                <c:pt idx="74">
                  <c:v>0.33149999999999996</c:v>
                </c:pt>
                <c:pt idx="75">
                  <c:v>0.30249999999999999</c:v>
                </c:pt>
                <c:pt idx="76">
                  <c:v>0.20950000000000005</c:v>
                </c:pt>
                <c:pt idx="77">
                  <c:v>0.17749999999999999</c:v>
                </c:pt>
                <c:pt idx="78">
                  <c:v>0.14099999999999999</c:v>
                </c:pt>
                <c:pt idx="79">
                  <c:v>0.11099999999999999</c:v>
                </c:pt>
                <c:pt idx="80">
                  <c:v>0.12799999999999997</c:v>
                </c:pt>
                <c:pt idx="81">
                  <c:v>0.14000000000000004</c:v>
                </c:pt>
                <c:pt idx="82">
                  <c:v>0.223</c:v>
                </c:pt>
                <c:pt idx="83">
                  <c:v>0.20499999999999999</c:v>
                </c:pt>
                <c:pt idx="84">
                  <c:v>0.17300000000000004</c:v>
                </c:pt>
                <c:pt idx="85">
                  <c:v>0.1845</c:v>
                </c:pt>
                <c:pt idx="86">
                  <c:v>0.16800000000000004</c:v>
                </c:pt>
                <c:pt idx="87">
                  <c:v>0.16650000000000001</c:v>
                </c:pt>
                <c:pt idx="88">
                  <c:v>0.18949999999999997</c:v>
                </c:pt>
                <c:pt idx="89">
                  <c:v>0.20649999999999999</c:v>
                </c:pt>
                <c:pt idx="90">
                  <c:v>0.22849999999999995</c:v>
                </c:pt>
                <c:pt idx="91">
                  <c:v>0.22949999999999998</c:v>
                </c:pt>
                <c:pt idx="92">
                  <c:v>0.22949999999999998</c:v>
                </c:pt>
                <c:pt idx="93">
                  <c:v>0.28399999999999997</c:v>
                </c:pt>
                <c:pt idx="94">
                  <c:v>0.28399999999999997</c:v>
                </c:pt>
                <c:pt idx="95">
                  <c:v>0.308</c:v>
                </c:pt>
                <c:pt idx="96">
                  <c:v>0.38950000000000001</c:v>
                </c:pt>
                <c:pt idx="97">
                  <c:v>0.40899999999999997</c:v>
                </c:pt>
                <c:pt idx="98">
                  <c:v>0.41850000000000004</c:v>
                </c:pt>
                <c:pt idx="99">
                  <c:v>0.42800000000000005</c:v>
                </c:pt>
                <c:pt idx="100">
                  <c:v>0.4955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0.51949999999999996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55-4C5D-B9A1-D2BAECAF0D4D}"/>
            </c:ext>
          </c:extLst>
        </c:ser>
        <c:ser>
          <c:idx val="3"/>
          <c:order val="3"/>
          <c:tx>
            <c:strRef>
              <c:f>'面板-景气指数'!$A$157</c:f>
              <c:strCache>
                <c:ptCount val="1"/>
                <c:pt idx="0">
                  <c:v>城商行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'面板-景气指数'!$F$157:$DF$157</c:f>
              <c:numCache>
                <c:formatCode>0.0%</c:formatCode>
                <c:ptCount val="105"/>
                <c:pt idx="0">
                  <c:v>0.27799999999999997</c:v>
                </c:pt>
                <c:pt idx="1">
                  <c:v>0.27799999999999997</c:v>
                </c:pt>
                <c:pt idx="2">
                  <c:v>0.27799999999999997</c:v>
                </c:pt>
                <c:pt idx="3">
                  <c:v>0.27799999999999997</c:v>
                </c:pt>
                <c:pt idx="4">
                  <c:v>0.27799999999999997</c:v>
                </c:pt>
                <c:pt idx="5">
                  <c:v>0.23850000000000002</c:v>
                </c:pt>
                <c:pt idx="6">
                  <c:v>0.21749999999999997</c:v>
                </c:pt>
                <c:pt idx="7">
                  <c:v>0.1925</c:v>
                </c:pt>
                <c:pt idx="8">
                  <c:v>0.30599999999999999</c:v>
                </c:pt>
                <c:pt idx="9">
                  <c:v>0.33750000000000002</c:v>
                </c:pt>
                <c:pt idx="10">
                  <c:v>0.33699999999999997</c:v>
                </c:pt>
                <c:pt idx="11">
                  <c:v>0.32750000000000001</c:v>
                </c:pt>
                <c:pt idx="12">
                  <c:v>0.28049999999999997</c:v>
                </c:pt>
                <c:pt idx="13">
                  <c:v>0.14200000000000002</c:v>
                </c:pt>
                <c:pt idx="14">
                  <c:v>0.16250000000000001</c:v>
                </c:pt>
                <c:pt idx="15">
                  <c:v>0.17749999999999999</c:v>
                </c:pt>
                <c:pt idx="16">
                  <c:v>0.27799999999999997</c:v>
                </c:pt>
                <c:pt idx="17">
                  <c:v>0.23850000000000002</c:v>
                </c:pt>
                <c:pt idx="18">
                  <c:v>0.21749999999999997</c:v>
                </c:pt>
                <c:pt idx="19">
                  <c:v>0.1925</c:v>
                </c:pt>
                <c:pt idx="20">
                  <c:v>0.34449999999999997</c:v>
                </c:pt>
                <c:pt idx="21">
                  <c:v>0.36899999999999999</c:v>
                </c:pt>
                <c:pt idx="22">
                  <c:v>0.3795</c:v>
                </c:pt>
                <c:pt idx="23">
                  <c:v>0.3705</c:v>
                </c:pt>
                <c:pt idx="24">
                  <c:v>0.3775</c:v>
                </c:pt>
                <c:pt idx="25">
                  <c:v>0.38</c:v>
                </c:pt>
                <c:pt idx="26">
                  <c:v>0.3795</c:v>
                </c:pt>
                <c:pt idx="27">
                  <c:v>0.379</c:v>
                </c:pt>
                <c:pt idx="28">
                  <c:v>0.378</c:v>
                </c:pt>
                <c:pt idx="29">
                  <c:v>0.26599999999999996</c:v>
                </c:pt>
                <c:pt idx="30">
                  <c:v>0.2465</c:v>
                </c:pt>
                <c:pt idx="31">
                  <c:v>0.22649999999999998</c:v>
                </c:pt>
                <c:pt idx="32">
                  <c:v>0.27950000000000003</c:v>
                </c:pt>
                <c:pt idx="33">
                  <c:v>0.29449999999999998</c:v>
                </c:pt>
                <c:pt idx="34">
                  <c:v>0.37400000000000005</c:v>
                </c:pt>
                <c:pt idx="35">
                  <c:v>0.47249999999999992</c:v>
                </c:pt>
                <c:pt idx="36">
                  <c:v>0.48399999999999999</c:v>
                </c:pt>
                <c:pt idx="37">
                  <c:v>0.48299999999999993</c:v>
                </c:pt>
                <c:pt idx="38">
                  <c:v>0.49299999999999999</c:v>
                </c:pt>
                <c:pt idx="39">
                  <c:v>0.51449999999999996</c:v>
                </c:pt>
                <c:pt idx="40">
                  <c:v>0.54050000000000009</c:v>
                </c:pt>
                <c:pt idx="41">
                  <c:v>0.48649999999999999</c:v>
                </c:pt>
                <c:pt idx="42">
                  <c:v>0.375</c:v>
                </c:pt>
                <c:pt idx="43">
                  <c:v>0.30199999999999999</c:v>
                </c:pt>
                <c:pt idx="44">
                  <c:v>0.46750000000000008</c:v>
                </c:pt>
                <c:pt idx="45">
                  <c:v>0.60599999999999998</c:v>
                </c:pt>
                <c:pt idx="46">
                  <c:v>0.71399999999999997</c:v>
                </c:pt>
                <c:pt idx="47">
                  <c:v>0.47149999999999997</c:v>
                </c:pt>
                <c:pt idx="48">
                  <c:v>0.45149999999999996</c:v>
                </c:pt>
                <c:pt idx="49">
                  <c:v>0.4365</c:v>
                </c:pt>
                <c:pt idx="50">
                  <c:v>0.44249999999999995</c:v>
                </c:pt>
                <c:pt idx="51">
                  <c:v>0.45349999999999996</c:v>
                </c:pt>
                <c:pt idx="52">
                  <c:v>0.45999999999999996</c:v>
                </c:pt>
                <c:pt idx="53">
                  <c:v>0.44550000000000001</c:v>
                </c:pt>
                <c:pt idx="54">
                  <c:v>0.42650000000000005</c:v>
                </c:pt>
                <c:pt idx="55">
                  <c:v>0.40700000000000003</c:v>
                </c:pt>
                <c:pt idx="56">
                  <c:v>0.44849999999999995</c:v>
                </c:pt>
                <c:pt idx="57">
                  <c:v>0.47949999999999998</c:v>
                </c:pt>
                <c:pt idx="58">
                  <c:v>0.51549999999999996</c:v>
                </c:pt>
                <c:pt idx="59">
                  <c:v>0.50700000000000001</c:v>
                </c:pt>
                <c:pt idx="60">
                  <c:v>0.49900000000000005</c:v>
                </c:pt>
                <c:pt idx="61">
                  <c:v>0.5</c:v>
                </c:pt>
                <c:pt idx="62">
                  <c:v>0.50349999999999995</c:v>
                </c:pt>
                <c:pt idx="63">
                  <c:v>0.51649999999999996</c:v>
                </c:pt>
                <c:pt idx="64">
                  <c:v>0.52</c:v>
                </c:pt>
                <c:pt idx="65">
                  <c:v>0.53850000000000009</c:v>
                </c:pt>
                <c:pt idx="66">
                  <c:v>0.54349999999999998</c:v>
                </c:pt>
                <c:pt idx="67">
                  <c:v>0.69150000000000011</c:v>
                </c:pt>
                <c:pt idx="68">
                  <c:v>0.7240000000000002</c:v>
                </c:pt>
                <c:pt idx="69">
                  <c:v>0.72749999999999992</c:v>
                </c:pt>
                <c:pt idx="70">
                  <c:v>0.75549999999999995</c:v>
                </c:pt>
                <c:pt idx="71">
                  <c:v>0.72700000000000009</c:v>
                </c:pt>
                <c:pt idx="72">
                  <c:v>0.70499999999999996</c:v>
                </c:pt>
                <c:pt idx="73">
                  <c:v>0.69299999999999995</c:v>
                </c:pt>
                <c:pt idx="74">
                  <c:v>0.68200000000000005</c:v>
                </c:pt>
                <c:pt idx="75">
                  <c:v>0.66499999999999992</c:v>
                </c:pt>
                <c:pt idx="76">
                  <c:v>0.63700000000000001</c:v>
                </c:pt>
                <c:pt idx="77">
                  <c:v>0.62550000000000006</c:v>
                </c:pt>
                <c:pt idx="78">
                  <c:v>0.61949999999999994</c:v>
                </c:pt>
                <c:pt idx="79">
                  <c:v>0.6080000000000001</c:v>
                </c:pt>
                <c:pt idx="80">
                  <c:v>0.63500000000000012</c:v>
                </c:pt>
                <c:pt idx="81">
                  <c:v>0.65549999999999997</c:v>
                </c:pt>
                <c:pt idx="82">
                  <c:v>0.69850000000000001</c:v>
                </c:pt>
                <c:pt idx="83">
                  <c:v>0.69249999999999989</c:v>
                </c:pt>
                <c:pt idx="84">
                  <c:v>0.6865</c:v>
                </c:pt>
                <c:pt idx="85">
                  <c:v>0.69950000000000001</c:v>
                </c:pt>
                <c:pt idx="86">
                  <c:v>0.71050000000000002</c:v>
                </c:pt>
                <c:pt idx="87">
                  <c:v>0.72099999999999997</c:v>
                </c:pt>
                <c:pt idx="88">
                  <c:v>0.73199999999999998</c:v>
                </c:pt>
                <c:pt idx="89">
                  <c:v>0.75350000000000006</c:v>
                </c:pt>
                <c:pt idx="90">
                  <c:v>0.77400000000000002</c:v>
                </c:pt>
                <c:pt idx="91">
                  <c:v>0.79399999999999993</c:v>
                </c:pt>
                <c:pt idx="92">
                  <c:v>0.80400000000000005</c:v>
                </c:pt>
                <c:pt idx="93">
                  <c:v>0.72600000000000009</c:v>
                </c:pt>
                <c:pt idx="94">
                  <c:v>0.73599999999999988</c:v>
                </c:pt>
                <c:pt idx="95">
                  <c:v>0.72149999999999992</c:v>
                </c:pt>
                <c:pt idx="96">
                  <c:v>0.70199999999999996</c:v>
                </c:pt>
                <c:pt idx="97">
                  <c:v>0.67800000000000005</c:v>
                </c:pt>
                <c:pt idx="98">
                  <c:v>0.6925</c:v>
                </c:pt>
                <c:pt idx="99">
                  <c:v>0.70699999999999996</c:v>
                </c:pt>
                <c:pt idx="100">
                  <c:v>0.72149999999999992</c:v>
                </c:pt>
                <c:pt idx="101">
                  <c:v>0.73599999999999988</c:v>
                </c:pt>
                <c:pt idx="102">
                  <c:v>0.74050000000000005</c:v>
                </c:pt>
                <c:pt idx="103">
                  <c:v>0.74550000000000005</c:v>
                </c:pt>
                <c:pt idx="104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55-4C5D-B9A1-D2BAECAF0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'面板-景气指数'!$A$62</c:f>
              <c:strCache>
                <c:ptCount val="1"/>
                <c:pt idx="0">
                  <c:v>非银金融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'面板-景气指数'!$F$62:$DF$62</c:f>
              <c:numCache>
                <c:formatCode>0.0%</c:formatCode>
                <c:ptCount val="105"/>
                <c:pt idx="0">
                  <c:v>0.62215357525979109</c:v>
                </c:pt>
                <c:pt idx="1">
                  <c:v>0.53308482809858004</c:v>
                </c:pt>
                <c:pt idx="2">
                  <c:v>0.48276725096888534</c:v>
                </c:pt>
                <c:pt idx="3">
                  <c:v>0.45162576109575137</c:v>
                </c:pt>
                <c:pt idx="4">
                  <c:v>0.47824042417292456</c:v>
                </c:pt>
                <c:pt idx="5">
                  <c:v>0.49332689130342972</c:v>
                </c:pt>
                <c:pt idx="6">
                  <c:v>0.48409832871434083</c:v>
                </c:pt>
                <c:pt idx="7">
                  <c:v>0.47130856574868574</c:v>
                </c:pt>
                <c:pt idx="8">
                  <c:v>0.45725989507555509</c:v>
                </c:pt>
                <c:pt idx="9">
                  <c:v>0.44301851644605894</c:v>
                </c:pt>
                <c:pt idx="10">
                  <c:v>0.46124255688888982</c:v>
                </c:pt>
                <c:pt idx="11">
                  <c:v>0.4951266201066663</c:v>
                </c:pt>
                <c:pt idx="12">
                  <c:v>0.52589239002343291</c:v>
                </c:pt>
                <c:pt idx="13">
                  <c:v>0.58468352213979569</c:v>
                </c:pt>
                <c:pt idx="14">
                  <c:v>0.60080299370019852</c:v>
                </c:pt>
                <c:pt idx="15">
                  <c:v>0.61302634956767565</c:v>
                </c:pt>
                <c:pt idx="16">
                  <c:v>0.58765070860121205</c:v>
                </c:pt>
                <c:pt idx="17">
                  <c:v>0.5359909886189913</c:v>
                </c:pt>
                <c:pt idx="18">
                  <c:v>0.49394398988929311</c:v>
                </c:pt>
                <c:pt idx="19">
                  <c:v>0.41142009228606169</c:v>
                </c:pt>
                <c:pt idx="20">
                  <c:v>0.36186026106020291</c:v>
                </c:pt>
                <c:pt idx="21">
                  <c:v>0.3849593533398008</c:v>
                </c:pt>
                <c:pt idx="22">
                  <c:v>0.36114141088323076</c:v>
                </c:pt>
                <c:pt idx="23">
                  <c:v>0.33459393492524647</c:v>
                </c:pt>
                <c:pt idx="24">
                  <c:v>0.282638386244844</c:v>
                </c:pt>
                <c:pt idx="25">
                  <c:v>0.28844978574060126</c:v>
                </c:pt>
                <c:pt idx="26">
                  <c:v>0.34407627749010294</c:v>
                </c:pt>
                <c:pt idx="27">
                  <c:v>0.28168250186020977</c:v>
                </c:pt>
                <c:pt idx="28">
                  <c:v>0.25902571107071848</c:v>
                </c:pt>
                <c:pt idx="29">
                  <c:v>0.19014156886303812</c:v>
                </c:pt>
                <c:pt idx="30">
                  <c:v>0.21837070412607024</c:v>
                </c:pt>
                <c:pt idx="31">
                  <c:v>0.23397646772364467</c:v>
                </c:pt>
                <c:pt idx="32">
                  <c:v>0.22381821233778865</c:v>
                </c:pt>
                <c:pt idx="33">
                  <c:v>0.19526610233213568</c:v>
                </c:pt>
                <c:pt idx="34">
                  <c:v>0.23681681027557433</c:v>
                </c:pt>
                <c:pt idx="35">
                  <c:v>0.21634374897294562</c:v>
                </c:pt>
                <c:pt idx="36">
                  <c:v>0.25431712952405272</c:v>
                </c:pt>
                <c:pt idx="37">
                  <c:v>0.21018423633779257</c:v>
                </c:pt>
                <c:pt idx="38">
                  <c:v>0.21904811116607817</c:v>
                </c:pt>
                <c:pt idx="39">
                  <c:v>0.25511724010991799</c:v>
                </c:pt>
                <c:pt idx="40">
                  <c:v>0.33630104858668453</c:v>
                </c:pt>
                <c:pt idx="41">
                  <c:v>0.44542622055273884</c:v>
                </c:pt>
                <c:pt idx="42">
                  <c:v>0.46734252463515574</c:v>
                </c:pt>
                <c:pt idx="43">
                  <c:v>0.57995905054707597</c:v>
                </c:pt>
                <c:pt idx="44">
                  <c:v>0.55572782864647585</c:v>
                </c:pt>
                <c:pt idx="45">
                  <c:v>0.54514271421092508</c:v>
                </c:pt>
                <c:pt idx="46">
                  <c:v>0.50621252773011849</c:v>
                </c:pt>
                <c:pt idx="47">
                  <c:v>0.4810598937600099</c:v>
                </c:pt>
                <c:pt idx="48">
                  <c:v>0.46569542980202772</c:v>
                </c:pt>
                <c:pt idx="49">
                  <c:v>0.46302023446788865</c:v>
                </c:pt>
                <c:pt idx="50">
                  <c:v>0.48133112382385329</c:v>
                </c:pt>
                <c:pt idx="51">
                  <c:v>0.39240926414870225</c:v>
                </c:pt>
                <c:pt idx="52">
                  <c:v>0.38526051382789517</c:v>
                </c:pt>
                <c:pt idx="53">
                  <c:v>0.29946166049132661</c:v>
                </c:pt>
                <c:pt idx="54">
                  <c:v>0.27675502076931152</c:v>
                </c:pt>
                <c:pt idx="55">
                  <c:v>0.2646534929810237</c:v>
                </c:pt>
                <c:pt idx="56">
                  <c:v>0.41334884379314707</c:v>
                </c:pt>
                <c:pt idx="57">
                  <c:v>0.52932263903838983</c:v>
                </c:pt>
                <c:pt idx="58">
                  <c:v>0.65180052528000187</c:v>
                </c:pt>
                <c:pt idx="59">
                  <c:v>0.62877626234989514</c:v>
                </c:pt>
                <c:pt idx="60">
                  <c:v>0.64350382111515192</c:v>
                </c:pt>
                <c:pt idx="61">
                  <c:v>0.62940511061818294</c:v>
                </c:pt>
                <c:pt idx="62">
                  <c:v>0.65171660555959754</c:v>
                </c:pt>
                <c:pt idx="63">
                  <c:v>0.62973367386504453</c:v>
                </c:pt>
                <c:pt idx="64">
                  <c:v>0.62233103166705916</c:v>
                </c:pt>
                <c:pt idx="65">
                  <c:v>0.62884903797332481</c:v>
                </c:pt>
                <c:pt idx="66">
                  <c:v>0.7063578420072667</c:v>
                </c:pt>
                <c:pt idx="67">
                  <c:v>0.76951647917575161</c:v>
                </c:pt>
                <c:pt idx="68">
                  <c:v>0.69644844950140106</c:v>
                </c:pt>
                <c:pt idx="69">
                  <c:v>0.51447438437493986</c:v>
                </c:pt>
                <c:pt idx="70">
                  <c:v>0.24487634199757108</c:v>
                </c:pt>
                <c:pt idx="71">
                  <c:v>0.30720369407353287</c:v>
                </c:pt>
                <c:pt idx="72">
                  <c:v>0.29083394440403498</c:v>
                </c:pt>
                <c:pt idx="73">
                  <c:v>0.30352184387717057</c:v>
                </c:pt>
                <c:pt idx="74">
                  <c:v>0.22902095195474895</c:v>
                </c:pt>
                <c:pt idx="75">
                  <c:v>0.25800525280000958</c:v>
                </c:pt>
                <c:pt idx="76">
                  <c:v>0.22074995886061705</c:v>
                </c:pt>
                <c:pt idx="77">
                  <c:v>0.23733671232809372</c:v>
                </c:pt>
                <c:pt idx="78">
                  <c:v>0.21030401069092064</c:v>
                </c:pt>
                <c:pt idx="79">
                  <c:v>0.29496038678627656</c:v>
                </c:pt>
                <c:pt idx="80">
                  <c:v>0.34485217122425887</c:v>
                </c:pt>
                <c:pt idx="81">
                  <c:v>0.54376094497778449</c:v>
                </c:pt>
                <c:pt idx="82">
                  <c:v>0.7610095379765569</c:v>
                </c:pt>
                <c:pt idx="83">
                  <c:v>0.76676355821089892</c:v>
                </c:pt>
                <c:pt idx="84">
                  <c:v>0.7828226884056505</c:v>
                </c:pt>
                <c:pt idx="85">
                  <c:v>0.8178075948363609</c:v>
                </c:pt>
                <c:pt idx="86">
                  <c:v>0.81386166312241781</c:v>
                </c:pt>
                <c:pt idx="87">
                  <c:v>0.80477717072807053</c:v>
                </c:pt>
                <c:pt idx="88">
                  <c:v>0.77187481486705656</c:v>
                </c:pt>
                <c:pt idx="89">
                  <c:v>0.76008672384483389</c:v>
                </c:pt>
                <c:pt idx="90">
                  <c:v>0.7706692579587775</c:v>
                </c:pt>
                <c:pt idx="91">
                  <c:v>0.79269100639029022</c:v>
                </c:pt>
                <c:pt idx="92">
                  <c:v>0.74944061637978465</c:v>
                </c:pt>
                <c:pt idx="93">
                  <c:v>0.71175340148200283</c:v>
                </c:pt>
                <c:pt idx="94">
                  <c:v>0.70464891158947884</c:v>
                </c:pt>
                <c:pt idx="95">
                  <c:v>0.7561761991579723</c:v>
                </c:pt>
                <c:pt idx="96">
                  <c:v>0.77190337614060023</c:v>
                </c:pt>
                <c:pt idx="97">
                  <c:v>0.74955841599675521</c:v>
                </c:pt>
                <c:pt idx="98">
                  <c:v>0.75352453610018899</c:v>
                </c:pt>
                <c:pt idx="99">
                  <c:v>0.73713881739473341</c:v>
                </c:pt>
                <c:pt idx="100">
                  <c:v>0.7707177377405936</c:v>
                </c:pt>
                <c:pt idx="101">
                  <c:v>0.84701904304160558</c:v>
                </c:pt>
                <c:pt idx="102">
                  <c:v>0.82774389641695401</c:v>
                </c:pt>
                <c:pt idx="103">
                  <c:v>0.75133448745533482</c:v>
                </c:pt>
                <c:pt idx="104">
                  <c:v>0.74765674471109511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DD-40D8-B830-ED80C8F32A9B}"/>
            </c:ext>
          </c:extLst>
        </c:ser>
        <c:ser>
          <c:idx val="1"/>
          <c:order val="1"/>
          <c:tx>
            <c:strRef>
              <c:f>'面板-景气指数'!$A$159</c:f>
              <c:strCache>
                <c:ptCount val="1"/>
                <c:pt idx="0">
                  <c:v>证券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'面板-景气指数'!$F$159:$DF$159</c:f>
              <c:numCache>
                <c:formatCode>0.0%</c:formatCode>
                <c:ptCount val="105"/>
                <c:pt idx="0">
                  <c:v>0.42459999999999998</c:v>
                </c:pt>
                <c:pt idx="1">
                  <c:v>0.36480000000000001</c:v>
                </c:pt>
                <c:pt idx="2">
                  <c:v>0.37659999999999993</c:v>
                </c:pt>
                <c:pt idx="3">
                  <c:v>0.27839999999999998</c:v>
                </c:pt>
                <c:pt idx="4">
                  <c:v>0.34359999999999996</c:v>
                </c:pt>
                <c:pt idx="5">
                  <c:v>0.35719999999999996</c:v>
                </c:pt>
                <c:pt idx="6">
                  <c:v>0.39960000000000001</c:v>
                </c:pt>
                <c:pt idx="7">
                  <c:v>0.42459999999999998</c:v>
                </c:pt>
                <c:pt idx="8">
                  <c:v>0.42639999999999995</c:v>
                </c:pt>
                <c:pt idx="9">
                  <c:v>0.38579999999999998</c:v>
                </c:pt>
                <c:pt idx="10">
                  <c:v>0.46700000000000003</c:v>
                </c:pt>
                <c:pt idx="11">
                  <c:v>0.46679999999999994</c:v>
                </c:pt>
                <c:pt idx="12">
                  <c:v>0.47060000000000007</c:v>
                </c:pt>
                <c:pt idx="13">
                  <c:v>0.50319999999999998</c:v>
                </c:pt>
                <c:pt idx="14">
                  <c:v>0.49159999999999998</c:v>
                </c:pt>
                <c:pt idx="15">
                  <c:v>0.56099999999999994</c:v>
                </c:pt>
                <c:pt idx="16">
                  <c:v>0.56459999999999999</c:v>
                </c:pt>
                <c:pt idx="17">
                  <c:v>0.5514</c:v>
                </c:pt>
                <c:pt idx="18">
                  <c:v>0.4781999999999999</c:v>
                </c:pt>
                <c:pt idx="19">
                  <c:v>0.42260000000000003</c:v>
                </c:pt>
                <c:pt idx="20">
                  <c:v>0.37079999999999996</c:v>
                </c:pt>
                <c:pt idx="21">
                  <c:v>0.43819999999999998</c:v>
                </c:pt>
                <c:pt idx="22">
                  <c:v>0.30519999999999997</c:v>
                </c:pt>
                <c:pt idx="23">
                  <c:v>0.16700000000000001</c:v>
                </c:pt>
                <c:pt idx="24">
                  <c:v>0.1552</c:v>
                </c:pt>
                <c:pt idx="25">
                  <c:v>0.15360000000000001</c:v>
                </c:pt>
                <c:pt idx="26">
                  <c:v>0.37859999999999999</c:v>
                </c:pt>
                <c:pt idx="27">
                  <c:v>0.46679999999999999</c:v>
                </c:pt>
                <c:pt idx="28">
                  <c:v>0.53799999999999992</c:v>
                </c:pt>
                <c:pt idx="29">
                  <c:v>0.38019999999999998</c:v>
                </c:pt>
                <c:pt idx="30">
                  <c:v>0.45339999999999997</c:v>
                </c:pt>
                <c:pt idx="31">
                  <c:v>0.43220000000000003</c:v>
                </c:pt>
                <c:pt idx="32">
                  <c:v>0.48819999999999997</c:v>
                </c:pt>
                <c:pt idx="33">
                  <c:v>0.5534</c:v>
                </c:pt>
                <c:pt idx="34">
                  <c:v>0.70340000000000003</c:v>
                </c:pt>
                <c:pt idx="35">
                  <c:v>0.62059999999999993</c:v>
                </c:pt>
                <c:pt idx="36">
                  <c:v>0.5554</c:v>
                </c:pt>
                <c:pt idx="37">
                  <c:v>0.57820000000000005</c:v>
                </c:pt>
                <c:pt idx="38">
                  <c:v>0.6571999999999999</c:v>
                </c:pt>
                <c:pt idx="39">
                  <c:v>0.72840000000000005</c:v>
                </c:pt>
                <c:pt idx="40">
                  <c:v>0.77639999999999987</c:v>
                </c:pt>
                <c:pt idx="41">
                  <c:v>0.72260000000000002</c:v>
                </c:pt>
                <c:pt idx="42">
                  <c:v>0.5554</c:v>
                </c:pt>
                <c:pt idx="43">
                  <c:v>0.69179999999999986</c:v>
                </c:pt>
                <c:pt idx="44">
                  <c:v>0.81899999999999984</c:v>
                </c:pt>
                <c:pt idx="45">
                  <c:v>0.92839999999999989</c:v>
                </c:pt>
                <c:pt idx="46">
                  <c:v>0.9304</c:v>
                </c:pt>
                <c:pt idx="47">
                  <c:v>0.71319999999999995</c:v>
                </c:pt>
                <c:pt idx="48">
                  <c:v>0.63800000000000001</c:v>
                </c:pt>
                <c:pt idx="49">
                  <c:v>0.6956</c:v>
                </c:pt>
                <c:pt idx="50">
                  <c:v>0.83979999999999988</c:v>
                </c:pt>
                <c:pt idx="51">
                  <c:v>0.77059999999999995</c:v>
                </c:pt>
                <c:pt idx="52">
                  <c:v>0.78780000000000006</c:v>
                </c:pt>
                <c:pt idx="53">
                  <c:v>0.6322000000000001</c:v>
                </c:pt>
                <c:pt idx="54">
                  <c:v>0.73980000000000001</c:v>
                </c:pt>
                <c:pt idx="55">
                  <c:v>0.60159999999999991</c:v>
                </c:pt>
                <c:pt idx="56">
                  <c:v>0.79959999999999987</c:v>
                </c:pt>
                <c:pt idx="57">
                  <c:v>0.66300000000000003</c:v>
                </c:pt>
                <c:pt idx="58">
                  <c:v>0.67459999999999998</c:v>
                </c:pt>
                <c:pt idx="59">
                  <c:v>0.5072000000000001</c:v>
                </c:pt>
                <c:pt idx="60">
                  <c:v>0.62999999999999989</c:v>
                </c:pt>
                <c:pt idx="61">
                  <c:v>0.6359999999999999</c:v>
                </c:pt>
                <c:pt idx="62">
                  <c:v>0.66700000000000004</c:v>
                </c:pt>
                <c:pt idx="63">
                  <c:v>0.45319999999999999</c:v>
                </c:pt>
                <c:pt idx="64">
                  <c:v>0.30720000000000003</c:v>
                </c:pt>
                <c:pt idx="65">
                  <c:v>0.38979999999999998</c:v>
                </c:pt>
                <c:pt idx="66">
                  <c:v>0.52659999999999996</c:v>
                </c:pt>
                <c:pt idx="67">
                  <c:v>0.58799999999999997</c:v>
                </c:pt>
                <c:pt idx="68">
                  <c:v>0.33620000000000005</c:v>
                </c:pt>
                <c:pt idx="69">
                  <c:v>0.25159999999999993</c:v>
                </c:pt>
                <c:pt idx="70">
                  <c:v>0.1148</c:v>
                </c:pt>
                <c:pt idx="71">
                  <c:v>0.22839999999999996</c:v>
                </c:pt>
                <c:pt idx="72">
                  <c:v>0.13799999999999998</c:v>
                </c:pt>
                <c:pt idx="73">
                  <c:v>0.25919999999999999</c:v>
                </c:pt>
                <c:pt idx="74">
                  <c:v>0.25359999999999999</c:v>
                </c:pt>
                <c:pt idx="75">
                  <c:v>0.48600000000000004</c:v>
                </c:pt>
                <c:pt idx="76">
                  <c:v>0.48799999999999993</c:v>
                </c:pt>
                <c:pt idx="77">
                  <c:v>0.5514</c:v>
                </c:pt>
                <c:pt idx="78">
                  <c:v>0.49199999999999999</c:v>
                </c:pt>
                <c:pt idx="79">
                  <c:v>0.63219999999999998</c:v>
                </c:pt>
                <c:pt idx="80">
                  <c:v>0.74399999999999988</c:v>
                </c:pt>
                <c:pt idx="81">
                  <c:v>0.69</c:v>
                </c:pt>
                <c:pt idx="82">
                  <c:v>0.50539999999999996</c:v>
                </c:pt>
                <c:pt idx="83">
                  <c:v>0.47640000000000005</c:v>
                </c:pt>
                <c:pt idx="84">
                  <c:v>0.5958</c:v>
                </c:pt>
                <c:pt idx="85">
                  <c:v>0.71699999999999997</c:v>
                </c:pt>
                <c:pt idx="86">
                  <c:v>0.62060000000000004</c:v>
                </c:pt>
                <c:pt idx="87">
                  <c:v>0.50739999999999996</c:v>
                </c:pt>
                <c:pt idx="88">
                  <c:v>0.38419999999999999</c:v>
                </c:pt>
                <c:pt idx="89">
                  <c:v>0.36319999999999997</c:v>
                </c:pt>
                <c:pt idx="90">
                  <c:v>0.47660000000000002</c:v>
                </c:pt>
                <c:pt idx="91">
                  <c:v>0.43819999999999998</c:v>
                </c:pt>
                <c:pt idx="92">
                  <c:v>0.38399999999999995</c:v>
                </c:pt>
                <c:pt idx="93">
                  <c:v>0.24359999999999996</c:v>
                </c:pt>
                <c:pt idx="94">
                  <c:v>0.26879999999999998</c:v>
                </c:pt>
                <c:pt idx="95">
                  <c:v>0.53620000000000001</c:v>
                </c:pt>
                <c:pt idx="96">
                  <c:v>0.59559999999999991</c:v>
                </c:pt>
                <c:pt idx="97">
                  <c:v>0.40339999999999998</c:v>
                </c:pt>
                <c:pt idx="98">
                  <c:v>0.39560000000000001</c:v>
                </c:pt>
                <c:pt idx="99">
                  <c:v>0.35339999999999999</c:v>
                </c:pt>
                <c:pt idx="100">
                  <c:v>0.42859999999999998</c:v>
                </c:pt>
                <c:pt idx="101">
                  <c:v>0.54959999999999987</c:v>
                </c:pt>
                <c:pt idx="102">
                  <c:v>0.40139999999999998</c:v>
                </c:pt>
                <c:pt idx="103">
                  <c:v>0.25140000000000007</c:v>
                </c:pt>
                <c:pt idx="104">
                  <c:v>0.317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DD-40D8-B830-ED80C8F32A9B}"/>
            </c:ext>
          </c:extLst>
        </c:ser>
        <c:ser>
          <c:idx val="2"/>
          <c:order val="2"/>
          <c:tx>
            <c:strRef>
              <c:f>'面板-景气指数'!$A$160</c:f>
              <c:strCache>
                <c:ptCount val="1"/>
                <c:pt idx="0">
                  <c:v>保险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'面板-景气指数'!$F$160:$DF$160</c:f>
              <c:numCache>
                <c:formatCode>0.0%</c:formatCode>
                <c:ptCount val="105"/>
                <c:pt idx="0">
                  <c:v>0.66050000000000009</c:v>
                </c:pt>
                <c:pt idx="1">
                  <c:v>0.56575000000000009</c:v>
                </c:pt>
                <c:pt idx="2">
                  <c:v>0.50337499999999991</c:v>
                </c:pt>
                <c:pt idx="3">
                  <c:v>0.4852499999999999</c:v>
                </c:pt>
                <c:pt idx="4">
                  <c:v>0.50437499999999991</c:v>
                </c:pt>
                <c:pt idx="5">
                  <c:v>0.51975000000000005</c:v>
                </c:pt>
                <c:pt idx="6">
                  <c:v>0.50050000000000006</c:v>
                </c:pt>
                <c:pt idx="7">
                  <c:v>0.48037500000000005</c:v>
                </c:pt>
                <c:pt idx="8">
                  <c:v>0.46325000000000011</c:v>
                </c:pt>
                <c:pt idx="9">
                  <c:v>0.45412499999999995</c:v>
                </c:pt>
                <c:pt idx="10">
                  <c:v>0.46012500000000006</c:v>
                </c:pt>
                <c:pt idx="11">
                  <c:v>0.50062499999999999</c:v>
                </c:pt>
                <c:pt idx="12">
                  <c:v>0.53662500000000002</c:v>
                </c:pt>
                <c:pt idx="13">
                  <c:v>0.60050000000000003</c:v>
                </c:pt>
                <c:pt idx="14">
                  <c:v>0.622</c:v>
                </c:pt>
                <c:pt idx="15">
                  <c:v>0.62312500000000015</c:v>
                </c:pt>
                <c:pt idx="16">
                  <c:v>0.59212500000000001</c:v>
                </c:pt>
                <c:pt idx="17">
                  <c:v>0.53300000000000003</c:v>
                </c:pt>
                <c:pt idx="18">
                  <c:v>0.49700000000000005</c:v>
                </c:pt>
                <c:pt idx="19">
                  <c:v>0.40925000000000006</c:v>
                </c:pt>
                <c:pt idx="20">
                  <c:v>0.36012500000000003</c:v>
                </c:pt>
                <c:pt idx="21">
                  <c:v>0.37462500000000015</c:v>
                </c:pt>
                <c:pt idx="22">
                  <c:v>0.37200000000000016</c:v>
                </c:pt>
                <c:pt idx="23">
                  <c:v>0.36712500000000009</c:v>
                </c:pt>
                <c:pt idx="24">
                  <c:v>0.30737500000000006</c:v>
                </c:pt>
                <c:pt idx="25">
                  <c:v>0.3146250000000001</c:v>
                </c:pt>
                <c:pt idx="26">
                  <c:v>0.33737500000000009</c:v>
                </c:pt>
                <c:pt idx="27">
                  <c:v>0.24575000000000011</c:v>
                </c:pt>
                <c:pt idx="28">
                  <c:v>0.20487500000000006</c:v>
                </c:pt>
                <c:pt idx="29">
                  <c:v>0.15325000000000005</c:v>
                </c:pt>
                <c:pt idx="30">
                  <c:v>0.17275000000000013</c:v>
                </c:pt>
                <c:pt idx="31">
                  <c:v>0.1955000000000002</c:v>
                </c:pt>
                <c:pt idx="32">
                  <c:v>0.17250000000000013</c:v>
                </c:pt>
                <c:pt idx="33">
                  <c:v>0.12575000000000006</c:v>
                </c:pt>
                <c:pt idx="34">
                  <c:v>0.14625000000000007</c:v>
                </c:pt>
                <c:pt idx="35">
                  <c:v>0.13787500000000008</c:v>
                </c:pt>
                <c:pt idx="36">
                  <c:v>0.1958750000000001</c:v>
                </c:pt>
                <c:pt idx="37">
                  <c:v>0.13874999999999998</c:v>
                </c:pt>
                <c:pt idx="38">
                  <c:v>0.13399999999999998</c:v>
                </c:pt>
                <c:pt idx="39">
                  <c:v>0.16325000000000001</c:v>
                </c:pt>
                <c:pt idx="40">
                  <c:v>0.25087500000000001</c:v>
                </c:pt>
                <c:pt idx="41">
                  <c:v>0.391625</c:v>
                </c:pt>
                <c:pt idx="42">
                  <c:v>0.45025000000000009</c:v>
                </c:pt>
                <c:pt idx="43">
                  <c:v>0.55825000000000002</c:v>
                </c:pt>
                <c:pt idx="44">
                  <c:v>0.5046250000000001</c:v>
                </c:pt>
                <c:pt idx="45">
                  <c:v>0.47075000000000011</c:v>
                </c:pt>
                <c:pt idx="46">
                  <c:v>0.42387500000000022</c:v>
                </c:pt>
                <c:pt idx="47">
                  <c:v>0.43600000000000017</c:v>
                </c:pt>
                <c:pt idx="48">
                  <c:v>0.43225000000000002</c:v>
                </c:pt>
                <c:pt idx="49">
                  <c:v>0.41787500000000005</c:v>
                </c:pt>
                <c:pt idx="50">
                  <c:v>0.41175000000000006</c:v>
                </c:pt>
                <c:pt idx="51">
                  <c:v>0.31899999999999995</c:v>
                </c:pt>
                <c:pt idx="52">
                  <c:v>0.30712500000000009</c:v>
                </c:pt>
                <c:pt idx="53">
                  <c:v>0.23487500000000003</c:v>
                </c:pt>
                <c:pt idx="54">
                  <c:v>0.18687500000000001</c:v>
                </c:pt>
                <c:pt idx="55">
                  <c:v>0.19924999999999995</c:v>
                </c:pt>
                <c:pt idx="56">
                  <c:v>0.33837499999999993</c:v>
                </c:pt>
                <c:pt idx="57">
                  <c:v>0.50337500000000002</c:v>
                </c:pt>
                <c:pt idx="58">
                  <c:v>0.64737500000000003</c:v>
                </c:pt>
                <c:pt idx="59">
                  <c:v>0.65237500000000015</c:v>
                </c:pt>
                <c:pt idx="60">
                  <c:v>0.64612499999999995</c:v>
                </c:pt>
                <c:pt idx="61">
                  <c:v>0.62812500000000004</c:v>
                </c:pt>
                <c:pt idx="62">
                  <c:v>0.64875000000000005</c:v>
                </c:pt>
                <c:pt idx="63">
                  <c:v>0.66400000000000003</c:v>
                </c:pt>
                <c:pt idx="64">
                  <c:v>0.6835</c:v>
                </c:pt>
                <c:pt idx="65">
                  <c:v>0.67524999999999991</c:v>
                </c:pt>
                <c:pt idx="66">
                  <c:v>0.74125000000000019</c:v>
                </c:pt>
                <c:pt idx="67">
                  <c:v>0.80475000000000019</c:v>
                </c:pt>
                <c:pt idx="68">
                  <c:v>0.76637500000000025</c:v>
                </c:pt>
                <c:pt idx="69">
                  <c:v>0.56550000000000022</c:v>
                </c:pt>
                <c:pt idx="70">
                  <c:v>0.27012500000000012</c:v>
                </c:pt>
                <c:pt idx="71">
                  <c:v>0.32250000000000018</c:v>
                </c:pt>
                <c:pt idx="72">
                  <c:v>0.32050000000000017</c:v>
                </c:pt>
                <c:pt idx="73">
                  <c:v>0.31212500000000021</c:v>
                </c:pt>
                <c:pt idx="74">
                  <c:v>0.22425000000000023</c:v>
                </c:pt>
                <c:pt idx="75">
                  <c:v>0.21375000000000025</c:v>
                </c:pt>
                <c:pt idx="76">
                  <c:v>0.16887500000000019</c:v>
                </c:pt>
                <c:pt idx="77">
                  <c:v>0.1763750000000002</c:v>
                </c:pt>
                <c:pt idx="78">
                  <c:v>0.15562500000000021</c:v>
                </c:pt>
                <c:pt idx="79">
                  <c:v>0.22950000000000031</c:v>
                </c:pt>
                <c:pt idx="80">
                  <c:v>0.26737500000000031</c:v>
                </c:pt>
                <c:pt idx="81">
                  <c:v>0.51537500000000025</c:v>
                </c:pt>
                <c:pt idx="82">
                  <c:v>0.81062500000000015</c:v>
                </c:pt>
                <c:pt idx="83">
                  <c:v>0.82312500000000011</c:v>
                </c:pt>
                <c:pt idx="84">
                  <c:v>0.81912500000000021</c:v>
                </c:pt>
                <c:pt idx="85">
                  <c:v>0.8373750000000002</c:v>
                </c:pt>
                <c:pt idx="86">
                  <c:v>0.85137499999999999</c:v>
                </c:pt>
                <c:pt idx="87">
                  <c:v>0.86250000000000027</c:v>
                </c:pt>
                <c:pt idx="88">
                  <c:v>0.84712500000000002</c:v>
                </c:pt>
                <c:pt idx="89">
                  <c:v>0.83712500000000012</c:v>
                </c:pt>
                <c:pt idx="90">
                  <c:v>0.8277500000000001</c:v>
                </c:pt>
                <c:pt idx="91">
                  <c:v>0.86149999999999993</c:v>
                </c:pt>
                <c:pt idx="92">
                  <c:v>0.82037500000000008</c:v>
                </c:pt>
                <c:pt idx="93">
                  <c:v>0.80262500000000003</c:v>
                </c:pt>
                <c:pt idx="94">
                  <c:v>0.78925000000000001</c:v>
                </c:pt>
                <c:pt idx="95">
                  <c:v>0.79887500000000011</c:v>
                </c:pt>
                <c:pt idx="96">
                  <c:v>0.80612499999999998</c:v>
                </c:pt>
                <c:pt idx="97">
                  <c:v>0.81674999999999998</c:v>
                </c:pt>
                <c:pt idx="98">
                  <c:v>0.82299999999999995</c:v>
                </c:pt>
                <c:pt idx="99">
                  <c:v>0.81162500000000004</c:v>
                </c:pt>
                <c:pt idx="100">
                  <c:v>0.83712500000000001</c:v>
                </c:pt>
                <c:pt idx="101">
                  <c:v>0.90474999999999994</c:v>
                </c:pt>
                <c:pt idx="102">
                  <c:v>0.91049999999999998</c:v>
                </c:pt>
                <c:pt idx="103">
                  <c:v>0.84837499999999988</c:v>
                </c:pt>
                <c:pt idx="104">
                  <c:v>0.83124999999999993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0DD-40D8-B830-ED80C8F3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'面板-景气指数'!$A$63</c:f>
              <c:strCache>
                <c:ptCount val="1"/>
                <c:pt idx="0">
                  <c:v>房地产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'面板-景气指数'!$F$63:$DF$63</c:f>
              <c:numCache>
                <c:formatCode>0.0%</c:formatCode>
                <c:ptCount val="105"/>
                <c:pt idx="0">
                  <c:v>0.32588924716626255</c:v>
                </c:pt>
                <c:pt idx="1">
                  <c:v>0.2914613822851258</c:v>
                </c:pt>
                <c:pt idx="2">
                  <c:v>0.23852391262918421</c:v>
                </c:pt>
                <c:pt idx="3">
                  <c:v>0.14918422024945993</c:v>
                </c:pt>
                <c:pt idx="4">
                  <c:v>0.11833487895811873</c:v>
                </c:pt>
                <c:pt idx="5">
                  <c:v>0.12080282626142606</c:v>
                </c:pt>
                <c:pt idx="6">
                  <c:v>0.11636052111547293</c:v>
                </c:pt>
                <c:pt idx="7">
                  <c:v>0.12450474721638698</c:v>
                </c:pt>
                <c:pt idx="8">
                  <c:v>0.18015695890596647</c:v>
                </c:pt>
                <c:pt idx="9">
                  <c:v>0.24531076771327917</c:v>
                </c:pt>
                <c:pt idx="10">
                  <c:v>0.27270498277999017</c:v>
                </c:pt>
                <c:pt idx="11">
                  <c:v>0.23580917059554607</c:v>
                </c:pt>
                <c:pt idx="12">
                  <c:v>0.22716662988598987</c:v>
                </c:pt>
                <c:pt idx="13">
                  <c:v>0.22308812836460043</c:v>
                </c:pt>
                <c:pt idx="14">
                  <c:v>0.22790705821379445</c:v>
                </c:pt>
                <c:pt idx="15">
                  <c:v>0.27097435784264612</c:v>
                </c:pt>
                <c:pt idx="16">
                  <c:v>0.36536695372321798</c:v>
                </c:pt>
                <c:pt idx="17">
                  <c:v>0.43940861119471547</c:v>
                </c:pt>
                <c:pt idx="18">
                  <c:v>0.50480759554621968</c:v>
                </c:pt>
                <c:pt idx="19">
                  <c:v>0.38795348497008519</c:v>
                </c:pt>
                <c:pt idx="20">
                  <c:v>0.3297083094258938</c:v>
                </c:pt>
                <c:pt idx="21">
                  <c:v>0.17409941853076324</c:v>
                </c:pt>
                <c:pt idx="22">
                  <c:v>0.26838620740963987</c:v>
                </c:pt>
                <c:pt idx="23">
                  <c:v>0.2967659822115345</c:v>
                </c:pt>
                <c:pt idx="24">
                  <c:v>0.30897588875516085</c:v>
                </c:pt>
                <c:pt idx="25">
                  <c:v>0.2499999558631881</c:v>
                </c:pt>
                <c:pt idx="26">
                  <c:v>0.26110409954193164</c:v>
                </c:pt>
                <c:pt idx="27">
                  <c:v>0.18163138295383113</c:v>
                </c:pt>
                <c:pt idx="28">
                  <c:v>0.15152395676599648</c:v>
                </c:pt>
                <c:pt idx="29">
                  <c:v>0.14091979101884666</c:v>
                </c:pt>
                <c:pt idx="30">
                  <c:v>0.15793589460661472</c:v>
                </c:pt>
                <c:pt idx="31">
                  <c:v>0.20014422610091429</c:v>
                </c:pt>
                <c:pt idx="32">
                  <c:v>0.23123716788711998</c:v>
                </c:pt>
                <c:pt idx="33">
                  <c:v>0.41793418714685082</c:v>
                </c:pt>
                <c:pt idx="34">
                  <c:v>0.43706239793362162</c:v>
                </c:pt>
                <c:pt idx="35">
                  <c:v>0.44459606981645355</c:v>
                </c:pt>
                <c:pt idx="36">
                  <c:v>0.49579477446754222</c:v>
                </c:pt>
                <c:pt idx="37">
                  <c:v>0.55195020246099413</c:v>
                </c:pt>
                <c:pt idx="38">
                  <c:v>0.59674187096669473</c:v>
                </c:pt>
                <c:pt idx="39">
                  <c:v>0.66337806734213112</c:v>
                </c:pt>
                <c:pt idx="40">
                  <c:v>0.7919517775103212</c:v>
                </c:pt>
                <c:pt idx="41">
                  <c:v>0.84834765589998407</c:v>
                </c:pt>
                <c:pt idx="42">
                  <c:v>0.96260412161033848</c:v>
                </c:pt>
                <c:pt idx="43">
                  <c:v>0.94508335907980834</c:v>
                </c:pt>
                <c:pt idx="44">
                  <c:v>0.89806734376566499</c:v>
                </c:pt>
                <c:pt idx="45">
                  <c:v>0.5792148082388574</c:v>
                </c:pt>
                <c:pt idx="46">
                  <c:v>0.57365702511118566</c:v>
                </c:pt>
                <c:pt idx="47">
                  <c:v>0.55354482963855811</c:v>
                </c:pt>
                <c:pt idx="48">
                  <c:v>0.48382536245693936</c:v>
                </c:pt>
                <c:pt idx="49">
                  <c:v>0.49518115842443156</c:v>
                </c:pt>
                <c:pt idx="50">
                  <c:v>0.49357541762795498</c:v>
                </c:pt>
                <c:pt idx="51">
                  <c:v>0.46494241548798493</c:v>
                </c:pt>
                <c:pt idx="52">
                  <c:v>0.40497449025308369</c:v>
                </c:pt>
                <c:pt idx="53">
                  <c:v>0.32526780001332961</c:v>
                </c:pt>
                <c:pt idx="54">
                  <c:v>0.10943928745773683</c:v>
                </c:pt>
                <c:pt idx="55">
                  <c:v>0.14707705888250006</c:v>
                </c:pt>
                <c:pt idx="56">
                  <c:v>0.2109985132242983</c:v>
                </c:pt>
                <c:pt idx="57">
                  <c:v>0.54601610358776886</c:v>
                </c:pt>
                <c:pt idx="58">
                  <c:v>0.56132385361283121</c:v>
                </c:pt>
                <c:pt idx="59">
                  <c:v>0.56884308523084681</c:v>
                </c:pt>
                <c:pt idx="60">
                  <c:v>0.54774690507236246</c:v>
                </c:pt>
                <c:pt idx="61">
                  <c:v>0.48419888119833882</c:v>
                </c:pt>
                <c:pt idx="62">
                  <c:v>0.48962193265787013</c:v>
                </c:pt>
                <c:pt idx="63">
                  <c:v>0.54799050556722717</c:v>
                </c:pt>
                <c:pt idx="64">
                  <c:v>0.60450973718524281</c:v>
                </c:pt>
                <c:pt idx="65">
                  <c:v>0.6015417678135293</c:v>
                </c:pt>
                <c:pt idx="66">
                  <c:v>0.50258828284344437</c:v>
                </c:pt>
                <c:pt idx="67">
                  <c:v>0.45260425402077514</c:v>
                </c:pt>
                <c:pt idx="68">
                  <c:v>0.48209788761824907</c:v>
                </c:pt>
                <c:pt idx="69">
                  <c:v>0.55798092286082845</c:v>
                </c:pt>
                <c:pt idx="70">
                  <c:v>0.52911237201987782</c:v>
                </c:pt>
                <c:pt idx="71">
                  <c:v>0.5357742546894807</c:v>
                </c:pt>
                <c:pt idx="72">
                  <c:v>0.55625182883599888</c:v>
                </c:pt>
                <c:pt idx="73">
                  <c:v>0.66127423262107454</c:v>
                </c:pt>
                <c:pt idx="74">
                  <c:v>0.689769397131063</c:v>
                </c:pt>
                <c:pt idx="75">
                  <c:v>0.69717319490417251</c:v>
                </c:pt>
                <c:pt idx="76">
                  <c:v>0.67509141087369207</c:v>
                </c:pt>
                <c:pt idx="77">
                  <c:v>0.66139907262512954</c:v>
                </c:pt>
                <c:pt idx="78">
                  <c:v>0.65892149847861148</c:v>
                </c:pt>
                <c:pt idx="79">
                  <c:v>0.69828854047545386</c:v>
                </c:pt>
                <c:pt idx="80">
                  <c:v>0.69940235513422055</c:v>
                </c:pt>
                <c:pt idx="81">
                  <c:v>0.70248733340016722</c:v>
                </c:pt>
                <c:pt idx="82">
                  <c:v>0.71272769552275317</c:v>
                </c:pt>
                <c:pt idx="83">
                  <c:v>0.71026294245491206</c:v>
                </c:pt>
                <c:pt idx="84">
                  <c:v>0.70816514311028833</c:v>
                </c:pt>
                <c:pt idx="85">
                  <c:v>0.71729803490822752</c:v>
                </c:pt>
                <c:pt idx="86">
                  <c:v>0.70002235964826398</c:v>
                </c:pt>
                <c:pt idx="87">
                  <c:v>0.6664614264219384</c:v>
                </c:pt>
                <c:pt idx="88">
                  <c:v>0.65917135503397095</c:v>
                </c:pt>
                <c:pt idx="89">
                  <c:v>0.66324675059351901</c:v>
                </c:pt>
                <c:pt idx="90">
                  <c:v>0.68348728926335467</c:v>
                </c:pt>
                <c:pt idx="91">
                  <c:v>0.71013153743267476</c:v>
                </c:pt>
                <c:pt idx="92">
                  <c:v>0.74381897398600727</c:v>
                </c:pt>
                <c:pt idx="93">
                  <c:v>0.71766813873009849</c:v>
                </c:pt>
                <c:pt idx="94">
                  <c:v>0.72322736449665992</c:v>
                </c:pt>
                <c:pt idx="95">
                  <c:v>0.72087318771530706</c:v>
                </c:pt>
                <c:pt idx="96">
                  <c:v>0.72950942822755582</c:v>
                </c:pt>
                <c:pt idx="97">
                  <c:v>0.72297588875516106</c:v>
                </c:pt>
                <c:pt idx="98">
                  <c:v>0.73444221687232902</c:v>
                </c:pt>
                <c:pt idx="99">
                  <c:v>0.77776589393790985</c:v>
                </c:pt>
                <c:pt idx="100">
                  <c:v>0.85846291319764079</c:v>
                </c:pt>
                <c:pt idx="101">
                  <c:v>0.91263755074070196</c:v>
                </c:pt>
                <c:pt idx="102">
                  <c:v>0.85451743588462759</c:v>
                </c:pt>
                <c:pt idx="103">
                  <c:v>0.76777228240884232</c:v>
                </c:pt>
                <c:pt idx="104">
                  <c:v>0.60895186578394589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D2-430B-8456-2484F6CC5117}"/>
            </c:ext>
          </c:extLst>
        </c:ser>
        <c:ser>
          <c:idx val="1"/>
          <c:order val="1"/>
          <c:tx>
            <c:strRef>
              <c:f>'面板-景气指数'!$A$161</c:f>
              <c:strCache>
                <c:ptCount val="1"/>
                <c:pt idx="0">
                  <c:v>房地产开发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'面板-景气指数'!$F$161:$DF$161</c:f>
              <c:numCache>
                <c:formatCode>0.0%</c:formatCode>
                <c:ptCount val="105"/>
                <c:pt idx="0">
                  <c:v>0.32987500000000008</c:v>
                </c:pt>
                <c:pt idx="1">
                  <c:v>0.29500000000000015</c:v>
                </c:pt>
                <c:pt idx="2">
                  <c:v>0.24137500000000006</c:v>
                </c:pt>
                <c:pt idx="3">
                  <c:v>0.15087499999999998</c:v>
                </c:pt>
                <c:pt idx="4">
                  <c:v>0.11962499999999997</c:v>
                </c:pt>
                <c:pt idx="5">
                  <c:v>0.12212500000000001</c:v>
                </c:pt>
                <c:pt idx="6">
                  <c:v>0.11762500000000001</c:v>
                </c:pt>
                <c:pt idx="7">
                  <c:v>0.12587499999999999</c:v>
                </c:pt>
                <c:pt idx="8">
                  <c:v>0.18224999999999991</c:v>
                </c:pt>
                <c:pt idx="9">
                  <c:v>0.24824999999999997</c:v>
                </c:pt>
                <c:pt idx="10">
                  <c:v>0.27599999999999997</c:v>
                </c:pt>
                <c:pt idx="11">
                  <c:v>0.23862499999999995</c:v>
                </c:pt>
                <c:pt idx="12">
                  <c:v>0.22799999999999992</c:v>
                </c:pt>
                <c:pt idx="13">
                  <c:v>0.22337499999999985</c:v>
                </c:pt>
                <c:pt idx="14">
                  <c:v>0.2277499999999999</c:v>
                </c:pt>
                <c:pt idx="15">
                  <c:v>0.27099999999999996</c:v>
                </c:pt>
                <c:pt idx="16">
                  <c:v>0.36612499999999998</c:v>
                </c:pt>
                <c:pt idx="17">
                  <c:v>0.44037499999999996</c:v>
                </c:pt>
                <c:pt idx="18">
                  <c:v>0.50700000000000012</c:v>
                </c:pt>
                <c:pt idx="19">
                  <c:v>0.38887499999999997</c:v>
                </c:pt>
                <c:pt idx="20">
                  <c:v>0.3302500000000001</c:v>
                </c:pt>
                <c:pt idx="21">
                  <c:v>0.17275000000000013</c:v>
                </c:pt>
                <c:pt idx="22">
                  <c:v>0.26862500000000017</c:v>
                </c:pt>
                <c:pt idx="23">
                  <c:v>0.29775000000000018</c:v>
                </c:pt>
                <c:pt idx="24">
                  <c:v>0.31062500000000015</c:v>
                </c:pt>
                <c:pt idx="25">
                  <c:v>0.25100000000000017</c:v>
                </c:pt>
                <c:pt idx="26">
                  <c:v>0.26262500000000016</c:v>
                </c:pt>
                <c:pt idx="27">
                  <c:v>0.18225000000000013</c:v>
                </c:pt>
                <c:pt idx="28">
                  <c:v>0.15337500000000001</c:v>
                </c:pt>
                <c:pt idx="29">
                  <c:v>0.14274999999999996</c:v>
                </c:pt>
                <c:pt idx="30">
                  <c:v>0.15799999999999992</c:v>
                </c:pt>
                <c:pt idx="31">
                  <c:v>0.20024999999999996</c:v>
                </c:pt>
                <c:pt idx="32">
                  <c:v>0.23149999999999987</c:v>
                </c:pt>
                <c:pt idx="33">
                  <c:v>0.42037499999999978</c:v>
                </c:pt>
                <c:pt idx="34">
                  <c:v>0.43937499999999974</c:v>
                </c:pt>
                <c:pt idx="35">
                  <c:v>0.44649999999999973</c:v>
                </c:pt>
                <c:pt idx="36">
                  <c:v>0.49799999999999972</c:v>
                </c:pt>
                <c:pt idx="37">
                  <c:v>0.5546249999999997</c:v>
                </c:pt>
                <c:pt idx="38">
                  <c:v>0.59937499999999977</c:v>
                </c:pt>
                <c:pt idx="39">
                  <c:v>0.66649999999999976</c:v>
                </c:pt>
                <c:pt idx="40">
                  <c:v>0.79524999999999968</c:v>
                </c:pt>
                <c:pt idx="41">
                  <c:v>0.85062499999999974</c:v>
                </c:pt>
                <c:pt idx="42">
                  <c:v>0.96362499999999995</c:v>
                </c:pt>
                <c:pt idx="43">
                  <c:v>0.9444999999999999</c:v>
                </c:pt>
                <c:pt idx="44">
                  <c:v>0.89724999999999988</c:v>
                </c:pt>
                <c:pt idx="45">
                  <c:v>0.57774999999999999</c:v>
                </c:pt>
                <c:pt idx="46">
                  <c:v>0.57424999999999993</c:v>
                </c:pt>
                <c:pt idx="47">
                  <c:v>0.5545000000000001</c:v>
                </c:pt>
                <c:pt idx="48">
                  <c:v>0.48287500000000005</c:v>
                </c:pt>
                <c:pt idx="49">
                  <c:v>0.49362500000000009</c:v>
                </c:pt>
                <c:pt idx="50">
                  <c:v>0.49137500000000012</c:v>
                </c:pt>
                <c:pt idx="51">
                  <c:v>0.46250000000000019</c:v>
                </c:pt>
                <c:pt idx="52">
                  <c:v>0.40200000000000014</c:v>
                </c:pt>
                <c:pt idx="53">
                  <c:v>0.32137500000000013</c:v>
                </c:pt>
                <c:pt idx="54">
                  <c:v>0.10525000000000009</c:v>
                </c:pt>
                <c:pt idx="55">
                  <c:v>0.14400000000000013</c:v>
                </c:pt>
                <c:pt idx="56">
                  <c:v>0.20837500000000009</c:v>
                </c:pt>
                <c:pt idx="57">
                  <c:v>0.54425000000000012</c:v>
                </c:pt>
                <c:pt idx="58">
                  <c:v>0.55825000000000002</c:v>
                </c:pt>
                <c:pt idx="59">
                  <c:v>0.56574999999999998</c:v>
                </c:pt>
                <c:pt idx="60">
                  <c:v>0.54525000000000001</c:v>
                </c:pt>
                <c:pt idx="61">
                  <c:v>0.48049999999999998</c:v>
                </c:pt>
                <c:pt idx="62">
                  <c:v>0.48649999999999999</c:v>
                </c:pt>
                <c:pt idx="63">
                  <c:v>0.54525000000000012</c:v>
                </c:pt>
                <c:pt idx="64">
                  <c:v>0.60175000000000001</c:v>
                </c:pt>
                <c:pt idx="65">
                  <c:v>0.59925000000000017</c:v>
                </c:pt>
                <c:pt idx="66">
                  <c:v>0.49937500000000007</c:v>
                </c:pt>
                <c:pt idx="67">
                  <c:v>0.45062500000000005</c:v>
                </c:pt>
                <c:pt idx="68">
                  <c:v>0.47912500000000002</c:v>
                </c:pt>
                <c:pt idx="69">
                  <c:v>0.55449999999999999</c:v>
                </c:pt>
                <c:pt idx="70">
                  <c:v>0.52474999999999994</c:v>
                </c:pt>
                <c:pt idx="71">
                  <c:v>0.53087499999999999</c:v>
                </c:pt>
                <c:pt idx="72">
                  <c:v>0.55112499999999998</c:v>
                </c:pt>
                <c:pt idx="73">
                  <c:v>0.65687499999999988</c:v>
                </c:pt>
                <c:pt idx="74">
                  <c:v>0.68599999999999994</c:v>
                </c:pt>
                <c:pt idx="75">
                  <c:v>0.69450000000000001</c:v>
                </c:pt>
                <c:pt idx="76">
                  <c:v>0.67362499999999992</c:v>
                </c:pt>
                <c:pt idx="77">
                  <c:v>0.66062499999999991</c:v>
                </c:pt>
                <c:pt idx="78">
                  <c:v>0.65837500000000004</c:v>
                </c:pt>
                <c:pt idx="79">
                  <c:v>0.69650000000000001</c:v>
                </c:pt>
                <c:pt idx="80">
                  <c:v>0.69687499999999991</c:v>
                </c:pt>
                <c:pt idx="81">
                  <c:v>0.69899999999999995</c:v>
                </c:pt>
                <c:pt idx="82">
                  <c:v>0.70974999999999999</c:v>
                </c:pt>
                <c:pt idx="83">
                  <c:v>0.70749999999999991</c:v>
                </c:pt>
                <c:pt idx="84">
                  <c:v>0.70637499999999986</c:v>
                </c:pt>
                <c:pt idx="85">
                  <c:v>0.71824999999999994</c:v>
                </c:pt>
                <c:pt idx="86">
                  <c:v>0.70174999999999987</c:v>
                </c:pt>
                <c:pt idx="87">
                  <c:v>0.66899999999999982</c:v>
                </c:pt>
                <c:pt idx="88">
                  <c:v>0.66187499999999977</c:v>
                </c:pt>
                <c:pt idx="89">
                  <c:v>0.66424999999999979</c:v>
                </c:pt>
                <c:pt idx="90">
                  <c:v>0.68099999999999983</c:v>
                </c:pt>
                <c:pt idx="91">
                  <c:v>0.70724999999999971</c:v>
                </c:pt>
                <c:pt idx="92">
                  <c:v>0.7423749999999999</c:v>
                </c:pt>
                <c:pt idx="93">
                  <c:v>0.72062499999999974</c:v>
                </c:pt>
                <c:pt idx="94">
                  <c:v>0.72774999999999979</c:v>
                </c:pt>
                <c:pt idx="95">
                  <c:v>0.72562499999999963</c:v>
                </c:pt>
                <c:pt idx="96">
                  <c:v>0.73374999999999979</c:v>
                </c:pt>
                <c:pt idx="97">
                  <c:v>0.72462499999999985</c:v>
                </c:pt>
                <c:pt idx="98">
                  <c:v>0.73649999999999971</c:v>
                </c:pt>
                <c:pt idx="99">
                  <c:v>0.78074999999999972</c:v>
                </c:pt>
                <c:pt idx="100">
                  <c:v>0.86362499999999986</c:v>
                </c:pt>
                <c:pt idx="101">
                  <c:v>0.91874999999999973</c:v>
                </c:pt>
                <c:pt idx="102">
                  <c:v>0.85887499999999983</c:v>
                </c:pt>
                <c:pt idx="103">
                  <c:v>0.77124999999999988</c:v>
                </c:pt>
                <c:pt idx="104">
                  <c:v>0.61024999999999963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D2-430B-8456-2484F6CC5117}"/>
            </c:ext>
          </c:extLst>
        </c:ser>
        <c:ser>
          <c:idx val="2"/>
          <c:order val="2"/>
          <c:tx>
            <c:strRef>
              <c:f>'面板-景气指数'!$A$162</c:f>
              <c:strCache>
                <c:ptCount val="1"/>
                <c:pt idx="0">
                  <c:v>房地产服务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'面板-景气指数'!$F$162:$DF$162</c:f>
              <c:numCache>
                <c:formatCode>0.0%</c:formatCode>
                <c:ptCount val="105"/>
                <c:pt idx="0">
                  <c:v>1.9E-2</c:v>
                </c:pt>
                <c:pt idx="1">
                  <c:v>1.9E-2</c:v>
                </c:pt>
                <c:pt idx="2">
                  <c:v>1.9E-2</c:v>
                </c:pt>
                <c:pt idx="3">
                  <c:v>1.9E-2</c:v>
                </c:pt>
                <c:pt idx="4">
                  <c:v>1.9E-2</c:v>
                </c:pt>
                <c:pt idx="5">
                  <c:v>1.9E-2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1.9E-2</c:v>
                </c:pt>
                <c:pt idx="10">
                  <c:v>1.9E-2</c:v>
                </c:pt>
                <c:pt idx="11">
                  <c:v>1.9E-2</c:v>
                </c:pt>
                <c:pt idx="12">
                  <c:v>0.16300000000000001</c:v>
                </c:pt>
                <c:pt idx="13">
                  <c:v>0.20100000000000001</c:v>
                </c:pt>
                <c:pt idx="14">
                  <c:v>0.24</c:v>
                </c:pt>
                <c:pt idx="15">
                  <c:v>0.26900000000000002</c:v>
                </c:pt>
                <c:pt idx="16">
                  <c:v>0.307</c:v>
                </c:pt>
                <c:pt idx="17">
                  <c:v>0.36499999999999999</c:v>
                </c:pt>
                <c:pt idx="18">
                  <c:v>0.33600000000000002</c:v>
                </c:pt>
                <c:pt idx="19">
                  <c:v>0.317</c:v>
                </c:pt>
                <c:pt idx="20">
                  <c:v>0.28799999999999998</c:v>
                </c:pt>
                <c:pt idx="21">
                  <c:v>0.27800000000000002</c:v>
                </c:pt>
                <c:pt idx="22">
                  <c:v>0.25</c:v>
                </c:pt>
                <c:pt idx="23">
                  <c:v>0.221</c:v>
                </c:pt>
                <c:pt idx="24">
                  <c:v>0.182</c:v>
                </c:pt>
                <c:pt idx="25">
                  <c:v>0.17299999999999999</c:v>
                </c:pt>
                <c:pt idx="26">
                  <c:v>0.14399999999999999</c:v>
                </c:pt>
                <c:pt idx="27">
                  <c:v>0.13400000000000001</c:v>
                </c:pt>
                <c:pt idx="28">
                  <c:v>8.9999999999999993E-3</c:v>
                </c:pt>
                <c:pt idx="29">
                  <c:v>0</c:v>
                </c:pt>
                <c:pt idx="30">
                  <c:v>0.153</c:v>
                </c:pt>
                <c:pt idx="31">
                  <c:v>0.192</c:v>
                </c:pt>
                <c:pt idx="32">
                  <c:v>0.21099999999999999</c:v>
                </c:pt>
                <c:pt idx="33">
                  <c:v>0.23</c:v>
                </c:pt>
                <c:pt idx="34">
                  <c:v>0.25900000000000001</c:v>
                </c:pt>
                <c:pt idx="35">
                  <c:v>0.29799999999999999</c:v>
                </c:pt>
                <c:pt idx="36">
                  <c:v>0.32600000000000001</c:v>
                </c:pt>
                <c:pt idx="37">
                  <c:v>0.34599999999999997</c:v>
                </c:pt>
                <c:pt idx="38">
                  <c:v>0.39400000000000002</c:v>
                </c:pt>
                <c:pt idx="39">
                  <c:v>0.42299999999999999</c:v>
                </c:pt>
                <c:pt idx="40">
                  <c:v>0.53800000000000003</c:v>
                </c:pt>
                <c:pt idx="41">
                  <c:v>0.67300000000000004</c:v>
                </c:pt>
                <c:pt idx="42">
                  <c:v>0.88400000000000001</c:v>
                </c:pt>
                <c:pt idx="43">
                  <c:v>0.99</c:v>
                </c:pt>
                <c:pt idx="44">
                  <c:v>0.96099999999999985</c:v>
                </c:pt>
                <c:pt idx="45">
                  <c:v>0.69199999999999995</c:v>
                </c:pt>
                <c:pt idx="46">
                  <c:v>0.52800000000000002</c:v>
                </c:pt>
                <c:pt idx="47">
                  <c:v>0.48</c:v>
                </c:pt>
                <c:pt idx="48">
                  <c:v>0.55700000000000005</c:v>
                </c:pt>
                <c:pt idx="49">
                  <c:v>0.61499999999999999</c:v>
                </c:pt>
                <c:pt idx="50">
                  <c:v>0.66300000000000003</c:v>
                </c:pt>
                <c:pt idx="51">
                  <c:v>0.65300000000000002</c:v>
                </c:pt>
                <c:pt idx="52">
                  <c:v>0.63400000000000001</c:v>
                </c:pt>
                <c:pt idx="53">
                  <c:v>0.625</c:v>
                </c:pt>
                <c:pt idx="54">
                  <c:v>0.43199999999999994</c:v>
                </c:pt>
                <c:pt idx="55">
                  <c:v>0.38400000000000001</c:v>
                </c:pt>
                <c:pt idx="56">
                  <c:v>0.41299999999999998</c:v>
                </c:pt>
                <c:pt idx="57">
                  <c:v>0.68200000000000005</c:v>
                </c:pt>
                <c:pt idx="58">
                  <c:v>0.79800000000000015</c:v>
                </c:pt>
                <c:pt idx="59">
                  <c:v>0.80700000000000005</c:v>
                </c:pt>
                <c:pt idx="60">
                  <c:v>0.74</c:v>
                </c:pt>
                <c:pt idx="61">
                  <c:v>0.76900000000000002</c:v>
                </c:pt>
                <c:pt idx="62">
                  <c:v>0.73</c:v>
                </c:pt>
                <c:pt idx="63">
                  <c:v>0.75900000000000001</c:v>
                </c:pt>
                <c:pt idx="64">
                  <c:v>0.81699999999999995</c:v>
                </c:pt>
                <c:pt idx="65">
                  <c:v>0.77800000000000002</c:v>
                </c:pt>
                <c:pt idx="66">
                  <c:v>0.75</c:v>
                </c:pt>
                <c:pt idx="67">
                  <c:v>0.60499999999999998</c:v>
                </c:pt>
                <c:pt idx="68">
                  <c:v>0.71099999999999997</c:v>
                </c:pt>
                <c:pt idx="69">
                  <c:v>0.82599999999999996</c:v>
                </c:pt>
                <c:pt idx="70">
                  <c:v>0.86499999999999999</c:v>
                </c:pt>
                <c:pt idx="71">
                  <c:v>0.91300000000000003</c:v>
                </c:pt>
                <c:pt idx="72">
                  <c:v>0.95100000000000007</c:v>
                </c:pt>
                <c:pt idx="73">
                  <c:v>1</c:v>
                </c:pt>
                <c:pt idx="74">
                  <c:v>0.98</c:v>
                </c:pt>
                <c:pt idx="75">
                  <c:v>0.90300000000000002</c:v>
                </c:pt>
                <c:pt idx="76">
                  <c:v>0.78800000000000003</c:v>
                </c:pt>
                <c:pt idx="77">
                  <c:v>0.72099999999999997</c:v>
                </c:pt>
                <c:pt idx="78">
                  <c:v>0.70099999999999996</c:v>
                </c:pt>
                <c:pt idx="79">
                  <c:v>0.83599999999999997</c:v>
                </c:pt>
                <c:pt idx="80">
                  <c:v>0.89400000000000002</c:v>
                </c:pt>
                <c:pt idx="81">
                  <c:v>0.97099999999999997</c:v>
                </c:pt>
                <c:pt idx="82">
                  <c:v>0.94199999999999995</c:v>
                </c:pt>
                <c:pt idx="83">
                  <c:v>0.92300000000000004</c:v>
                </c:pt>
                <c:pt idx="84">
                  <c:v>0.84599999999999997</c:v>
                </c:pt>
                <c:pt idx="85">
                  <c:v>0.64400000000000013</c:v>
                </c:pt>
                <c:pt idx="86">
                  <c:v>0.56699999999999995</c:v>
                </c:pt>
                <c:pt idx="87">
                  <c:v>0.47099999999999997</c:v>
                </c:pt>
                <c:pt idx="88">
                  <c:v>0.45100000000000001</c:v>
                </c:pt>
                <c:pt idx="89">
                  <c:v>0.58599999999999997</c:v>
                </c:pt>
                <c:pt idx="90">
                  <c:v>0.875</c:v>
                </c:pt>
                <c:pt idx="91">
                  <c:v>0.93200000000000005</c:v>
                </c:pt>
                <c:pt idx="92">
                  <c:v>0.85499999999999998</c:v>
                </c:pt>
                <c:pt idx="93">
                  <c:v>0.49</c:v>
                </c:pt>
                <c:pt idx="94">
                  <c:v>0.375</c:v>
                </c:pt>
                <c:pt idx="95">
                  <c:v>0.35500000000000004</c:v>
                </c:pt>
                <c:pt idx="96">
                  <c:v>0.40300000000000002</c:v>
                </c:pt>
                <c:pt idx="97">
                  <c:v>0.59599999999999997</c:v>
                </c:pt>
                <c:pt idx="98">
                  <c:v>0.57599999999999996</c:v>
                </c:pt>
                <c:pt idx="99">
                  <c:v>0.54800000000000004</c:v>
                </c:pt>
                <c:pt idx="100">
                  <c:v>0.46100000000000002</c:v>
                </c:pt>
                <c:pt idx="101">
                  <c:v>0.442</c:v>
                </c:pt>
                <c:pt idx="102">
                  <c:v>0.51900000000000002</c:v>
                </c:pt>
                <c:pt idx="103">
                  <c:v>0.5</c:v>
                </c:pt>
                <c:pt idx="104">
                  <c:v>0.50900000000000001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D2-430B-8456-2484F6CC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'面板-景气指数'!$A$64</c:f>
              <c:strCache>
                <c:ptCount val="1"/>
                <c:pt idx="0">
                  <c:v>公用事业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'面板-景气指数'!$F$64:$DF$64</c:f>
              <c:numCache>
                <c:formatCode>0.0%</c:formatCode>
                <c:ptCount val="105"/>
                <c:pt idx="0">
                  <c:v>0.56116694042633319</c:v>
                </c:pt>
                <c:pt idx="1">
                  <c:v>0.54959915586353569</c:v>
                </c:pt>
                <c:pt idx="2">
                  <c:v>0.56833630768933774</c:v>
                </c:pt>
                <c:pt idx="3">
                  <c:v>0.56513015853599902</c:v>
                </c:pt>
                <c:pt idx="4">
                  <c:v>0.57583709795638316</c:v>
                </c:pt>
                <c:pt idx="5">
                  <c:v>0.58133940573010201</c:v>
                </c:pt>
                <c:pt idx="6">
                  <c:v>0.60104608652913727</c:v>
                </c:pt>
                <c:pt idx="7">
                  <c:v>0.59521054156354403</c:v>
                </c:pt>
                <c:pt idx="8">
                  <c:v>0.54794661457954663</c:v>
                </c:pt>
                <c:pt idx="9">
                  <c:v>0.4631626708095663</c:v>
                </c:pt>
                <c:pt idx="10">
                  <c:v>0.4392676316454357</c:v>
                </c:pt>
                <c:pt idx="11">
                  <c:v>0.41479818163892407</c:v>
                </c:pt>
                <c:pt idx="12">
                  <c:v>0.40447940745794148</c:v>
                </c:pt>
                <c:pt idx="13">
                  <c:v>0.3998024943789717</c:v>
                </c:pt>
                <c:pt idx="14">
                  <c:v>0.38295456334481115</c:v>
                </c:pt>
                <c:pt idx="15">
                  <c:v>0.37867112249535151</c:v>
                </c:pt>
                <c:pt idx="16">
                  <c:v>0.33798547998939321</c:v>
                </c:pt>
                <c:pt idx="17">
                  <c:v>0.2960526160698097</c:v>
                </c:pt>
                <c:pt idx="18">
                  <c:v>0.2362329832873028</c:v>
                </c:pt>
                <c:pt idx="19">
                  <c:v>0.18933253638888858</c:v>
                </c:pt>
                <c:pt idx="20">
                  <c:v>0.20720042665610422</c:v>
                </c:pt>
                <c:pt idx="21">
                  <c:v>0.22347093469440132</c:v>
                </c:pt>
                <c:pt idx="22">
                  <c:v>0.26636795362553167</c:v>
                </c:pt>
                <c:pt idx="23">
                  <c:v>0.26339485320949274</c:v>
                </c:pt>
                <c:pt idx="24">
                  <c:v>0.3093299321997906</c:v>
                </c:pt>
                <c:pt idx="25">
                  <c:v>0.31347682849304448</c:v>
                </c:pt>
                <c:pt idx="26">
                  <c:v>0.31316198030762238</c:v>
                </c:pt>
                <c:pt idx="27">
                  <c:v>0.28964224123694271</c:v>
                </c:pt>
                <c:pt idx="28">
                  <c:v>0.30391954798771093</c:v>
                </c:pt>
                <c:pt idx="29">
                  <c:v>0.34542625306058417</c:v>
                </c:pt>
                <c:pt idx="30">
                  <c:v>0.41830658050380909</c:v>
                </c:pt>
                <c:pt idx="31">
                  <c:v>0.48390780068432554</c:v>
                </c:pt>
                <c:pt idx="32">
                  <c:v>0.56027811108885972</c:v>
                </c:pt>
                <c:pt idx="33">
                  <c:v>0.67059193117666227</c:v>
                </c:pt>
                <c:pt idx="34">
                  <c:v>0.65509852693323167</c:v>
                </c:pt>
                <c:pt idx="35">
                  <c:v>0.6811898681980324</c:v>
                </c:pt>
                <c:pt idx="36">
                  <c:v>0.68760448568887145</c:v>
                </c:pt>
                <c:pt idx="37">
                  <c:v>0.72846161903313367</c:v>
                </c:pt>
                <c:pt idx="38">
                  <c:v>0.73663426265810639</c:v>
                </c:pt>
                <c:pt idx="39">
                  <c:v>0.74082070517956478</c:v>
                </c:pt>
                <c:pt idx="40">
                  <c:v>0.77104193515087571</c:v>
                </c:pt>
                <c:pt idx="41">
                  <c:v>0.76506150409293872</c:v>
                </c:pt>
                <c:pt idx="42">
                  <c:v>0.76456908352423902</c:v>
                </c:pt>
                <c:pt idx="43">
                  <c:v>0.79702927720476302</c:v>
                </c:pt>
                <c:pt idx="44">
                  <c:v>0.76702564228542935</c:v>
                </c:pt>
                <c:pt idx="45">
                  <c:v>0.3705408023081086</c:v>
                </c:pt>
                <c:pt idx="46">
                  <c:v>0.34965325965109412</c:v>
                </c:pt>
                <c:pt idx="47">
                  <c:v>0.34016824096778808</c:v>
                </c:pt>
                <c:pt idx="48">
                  <c:v>0.33591219120637372</c:v>
                </c:pt>
                <c:pt idx="49">
                  <c:v>0.31556284631530052</c:v>
                </c:pt>
                <c:pt idx="50">
                  <c:v>0.29646962535273508</c:v>
                </c:pt>
                <c:pt idx="51">
                  <c:v>0.28508971193775873</c:v>
                </c:pt>
                <c:pt idx="52">
                  <c:v>0.27556652175670776</c:v>
                </c:pt>
                <c:pt idx="53">
                  <c:v>0.27628341827899244</c:v>
                </c:pt>
                <c:pt idx="54">
                  <c:v>0.27184299520056721</c:v>
                </c:pt>
                <c:pt idx="55">
                  <c:v>0.24383003934879899</c:v>
                </c:pt>
                <c:pt idx="56">
                  <c:v>0.28969662007301983</c:v>
                </c:pt>
                <c:pt idx="57">
                  <c:v>0.48577095565179729</c:v>
                </c:pt>
                <c:pt idx="58">
                  <c:v>0.47328627705535631</c:v>
                </c:pt>
                <c:pt idx="59">
                  <c:v>0.43765676872397336</c:v>
                </c:pt>
                <c:pt idx="60">
                  <c:v>0.39534804651132233</c:v>
                </c:pt>
                <c:pt idx="61">
                  <c:v>0.40483569504383154</c:v>
                </c:pt>
                <c:pt idx="62">
                  <c:v>0.42961200092712903</c:v>
                </c:pt>
                <c:pt idx="63">
                  <c:v>0.44687757971962677</c:v>
                </c:pt>
                <c:pt idx="64">
                  <c:v>0.49071368668447357</c:v>
                </c:pt>
                <c:pt idx="65">
                  <c:v>0.51436621306546082</c:v>
                </c:pt>
                <c:pt idx="66">
                  <c:v>0.51345387690451705</c:v>
                </c:pt>
                <c:pt idx="67">
                  <c:v>0.49515076762882332</c:v>
                </c:pt>
                <c:pt idx="68">
                  <c:v>0.54621489471378637</c:v>
                </c:pt>
                <c:pt idx="69">
                  <c:v>0.64780572368186662</c:v>
                </c:pt>
                <c:pt idx="70">
                  <c:v>0.65021264942059642</c:v>
                </c:pt>
                <c:pt idx="71">
                  <c:v>0.68197236726532517</c:v>
                </c:pt>
                <c:pt idx="72">
                  <c:v>0.72244050649436897</c:v>
                </c:pt>
                <c:pt idx="73">
                  <c:v>0.75310462983100246</c:v>
                </c:pt>
                <c:pt idx="74">
                  <c:v>0.76500218095676664</c:v>
                </c:pt>
                <c:pt idx="75">
                  <c:v>0.75365269127005319</c:v>
                </c:pt>
                <c:pt idx="76">
                  <c:v>0.74375877272941959</c:v>
                </c:pt>
                <c:pt idx="77">
                  <c:v>0.74528795258269998</c:v>
                </c:pt>
                <c:pt idx="78">
                  <c:v>0.7874812197117842</c:v>
                </c:pt>
                <c:pt idx="79">
                  <c:v>0.8016962461919056</c:v>
                </c:pt>
                <c:pt idx="80">
                  <c:v>0.76572745188671432</c:v>
                </c:pt>
                <c:pt idx="81">
                  <c:v>0.62388391910530339</c:v>
                </c:pt>
                <c:pt idx="82">
                  <c:v>0.62498823073290488</c:v>
                </c:pt>
                <c:pt idx="83">
                  <c:v>0.63411569964256043</c:v>
                </c:pt>
                <c:pt idx="84">
                  <c:v>0.63758462745706679</c:v>
                </c:pt>
                <c:pt idx="85">
                  <c:v>0.62969019946194371</c:v>
                </c:pt>
                <c:pt idx="86">
                  <c:v>0.64156862566235406</c:v>
                </c:pt>
                <c:pt idx="87">
                  <c:v>0.62290809045029827</c:v>
                </c:pt>
                <c:pt idx="88">
                  <c:v>0.60399939755296594</c:v>
                </c:pt>
                <c:pt idx="89">
                  <c:v>0.6250152673421242</c:v>
                </c:pt>
                <c:pt idx="90">
                  <c:v>0.60556549591733744</c:v>
                </c:pt>
                <c:pt idx="91">
                  <c:v>0.60370275277825214</c:v>
                </c:pt>
                <c:pt idx="92">
                  <c:v>0.55210838664485196</c:v>
                </c:pt>
                <c:pt idx="93">
                  <c:v>0.4921229786880883</c:v>
                </c:pt>
                <c:pt idx="94">
                  <c:v>0.46495829494495872</c:v>
                </c:pt>
                <c:pt idx="95">
                  <c:v>0.46211825950231905</c:v>
                </c:pt>
                <c:pt idx="96">
                  <c:v>0.47667830329625799</c:v>
                </c:pt>
                <c:pt idx="97">
                  <c:v>0.44242297016713061</c:v>
                </c:pt>
                <c:pt idx="98">
                  <c:v>0.40354878823374696</c:v>
                </c:pt>
                <c:pt idx="99">
                  <c:v>0.39478703422416411</c:v>
                </c:pt>
                <c:pt idx="100">
                  <c:v>0.35687994992956451</c:v>
                </c:pt>
                <c:pt idx="101">
                  <c:v>0.38664451949788231</c:v>
                </c:pt>
                <c:pt idx="102">
                  <c:v>0.36672143753986775</c:v>
                </c:pt>
                <c:pt idx="103">
                  <c:v>0.3696647296833715</c:v>
                </c:pt>
                <c:pt idx="104">
                  <c:v>0.33653927654481453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71-46CA-98FE-B6FEE9086828}"/>
            </c:ext>
          </c:extLst>
        </c:ser>
        <c:ser>
          <c:idx val="1"/>
          <c:order val="1"/>
          <c:tx>
            <c:strRef>
              <c:f>'面板-景气指数'!$A$163</c:f>
              <c:strCache>
                <c:ptCount val="1"/>
                <c:pt idx="0">
                  <c:v>电力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'面板-景气指数'!$F$163:$DF$163</c:f>
              <c:numCache>
                <c:formatCode>0.0%</c:formatCode>
                <c:ptCount val="105"/>
                <c:pt idx="0">
                  <c:v>0.52760959756652825</c:v>
                </c:pt>
                <c:pt idx="1">
                  <c:v>0.52515352605674159</c:v>
                </c:pt>
                <c:pt idx="2">
                  <c:v>0.55305162687022069</c:v>
                </c:pt>
                <c:pt idx="3">
                  <c:v>0.56789604479304789</c:v>
                </c:pt>
                <c:pt idx="4">
                  <c:v>0.59131124033492499</c:v>
                </c:pt>
                <c:pt idx="5">
                  <c:v>0.60690535629254971</c:v>
                </c:pt>
                <c:pt idx="6">
                  <c:v>0.64997680741079533</c:v>
                </c:pt>
                <c:pt idx="7">
                  <c:v>0.66192874243580835</c:v>
                </c:pt>
                <c:pt idx="8">
                  <c:v>0.60541881178308432</c:v>
                </c:pt>
                <c:pt idx="9">
                  <c:v>0.48369473318731543</c:v>
                </c:pt>
                <c:pt idx="10">
                  <c:v>0.4636917525679165</c:v>
                </c:pt>
                <c:pt idx="11">
                  <c:v>0.46627228256533398</c:v>
                </c:pt>
                <c:pt idx="12">
                  <c:v>0.46203763098149908</c:v>
                </c:pt>
                <c:pt idx="13">
                  <c:v>0.45983482901138939</c:v>
                </c:pt>
                <c:pt idx="14">
                  <c:v>0.44171974773176914</c:v>
                </c:pt>
                <c:pt idx="15">
                  <c:v>0.43367689339369492</c:v>
                </c:pt>
                <c:pt idx="16">
                  <c:v>0.39255761907499143</c:v>
                </c:pt>
                <c:pt idx="17">
                  <c:v>0.34240098372613059</c:v>
                </c:pt>
                <c:pt idx="18">
                  <c:v>0.26517247291563928</c:v>
                </c:pt>
                <c:pt idx="19">
                  <c:v>0.1438536714371878</c:v>
                </c:pt>
                <c:pt idx="20">
                  <c:v>0.12585545175170554</c:v>
                </c:pt>
                <c:pt idx="21">
                  <c:v>0.14943547042702526</c:v>
                </c:pt>
                <c:pt idx="22">
                  <c:v>0.21944164052481088</c:v>
                </c:pt>
                <c:pt idx="23">
                  <c:v>0.22680651341290686</c:v>
                </c:pt>
                <c:pt idx="24">
                  <c:v>0.24754288689670872</c:v>
                </c:pt>
                <c:pt idx="25">
                  <c:v>0.2384735380417608</c:v>
                </c:pt>
                <c:pt idx="26">
                  <c:v>0.22567520491879287</c:v>
                </c:pt>
                <c:pt idx="27">
                  <c:v>0.1906076764340433</c:v>
                </c:pt>
                <c:pt idx="28">
                  <c:v>0.19944001700935393</c:v>
                </c:pt>
                <c:pt idx="29">
                  <c:v>0.23973683243553165</c:v>
                </c:pt>
                <c:pt idx="30">
                  <c:v>0.32906706003272901</c:v>
                </c:pt>
                <c:pt idx="31">
                  <c:v>0.41930772630005519</c:v>
                </c:pt>
                <c:pt idx="32">
                  <c:v>0.54207770023143664</c:v>
                </c:pt>
                <c:pt idx="33">
                  <c:v>0.66099972800054974</c:v>
                </c:pt>
                <c:pt idx="34">
                  <c:v>0.61652478578801029</c:v>
                </c:pt>
                <c:pt idx="35">
                  <c:v>0.63294309714326713</c:v>
                </c:pt>
                <c:pt idx="36">
                  <c:v>0.63877880812909549</c:v>
                </c:pt>
                <c:pt idx="37">
                  <c:v>0.69091528163052629</c:v>
                </c:pt>
                <c:pt idx="38">
                  <c:v>0.70654309738280718</c:v>
                </c:pt>
                <c:pt idx="39">
                  <c:v>0.72077034754673019</c:v>
                </c:pt>
                <c:pt idx="40">
                  <c:v>0.76668920596123302</c:v>
                </c:pt>
                <c:pt idx="41">
                  <c:v>0.78315528725691641</c:v>
                </c:pt>
                <c:pt idx="42">
                  <c:v>0.79646917433712572</c:v>
                </c:pt>
                <c:pt idx="43">
                  <c:v>0.80316959721202497</c:v>
                </c:pt>
                <c:pt idx="44">
                  <c:v>0.75750346739263641</c:v>
                </c:pt>
                <c:pt idx="45">
                  <c:v>0.30313660080300453</c:v>
                </c:pt>
                <c:pt idx="46">
                  <c:v>0.32231003216006887</c:v>
                </c:pt>
                <c:pt idx="47">
                  <c:v>0.33309103501696591</c:v>
                </c:pt>
                <c:pt idx="48">
                  <c:v>0.33896580974927665</c:v>
                </c:pt>
                <c:pt idx="49">
                  <c:v>0.33244587393081709</c:v>
                </c:pt>
                <c:pt idx="50">
                  <c:v>0.3257702498495969</c:v>
                </c:pt>
                <c:pt idx="51">
                  <c:v>0.31723532792907289</c:v>
                </c:pt>
                <c:pt idx="52">
                  <c:v>0.29212721688186133</c:v>
                </c:pt>
                <c:pt idx="53">
                  <c:v>0.28520964313203379</c:v>
                </c:pt>
                <c:pt idx="54">
                  <c:v>0.27698445974822133</c:v>
                </c:pt>
                <c:pt idx="55">
                  <c:v>0.25994889389969367</c:v>
                </c:pt>
                <c:pt idx="56">
                  <c:v>0.29158519107753811</c:v>
                </c:pt>
                <c:pt idx="57">
                  <c:v>0.50688562241325208</c:v>
                </c:pt>
                <c:pt idx="58">
                  <c:v>0.4891558711628865</c:v>
                </c:pt>
                <c:pt idx="59">
                  <c:v>0.45568520211360974</c:v>
                </c:pt>
                <c:pt idx="60">
                  <c:v>0.42204563302311848</c:v>
                </c:pt>
                <c:pt idx="61">
                  <c:v>0.42676812966484967</c:v>
                </c:pt>
                <c:pt idx="62">
                  <c:v>0.44004444643131058</c:v>
                </c:pt>
                <c:pt idx="63">
                  <c:v>0.44927975791302693</c:v>
                </c:pt>
                <c:pt idx="64">
                  <c:v>0.4877611242440717</c:v>
                </c:pt>
                <c:pt idx="65">
                  <c:v>0.51055023165776336</c:v>
                </c:pt>
                <c:pt idx="66">
                  <c:v>0.51562617981438374</c:v>
                </c:pt>
                <c:pt idx="67">
                  <c:v>0.50373264837600018</c:v>
                </c:pt>
                <c:pt idx="68">
                  <c:v>0.5925894643617724</c:v>
                </c:pt>
                <c:pt idx="69">
                  <c:v>0.69653617189553907</c:v>
                </c:pt>
                <c:pt idx="70">
                  <c:v>0.69012833777597571</c:v>
                </c:pt>
                <c:pt idx="71">
                  <c:v>0.69585372093788089</c:v>
                </c:pt>
                <c:pt idx="72">
                  <c:v>0.71799066884819152</c:v>
                </c:pt>
                <c:pt idx="73">
                  <c:v>0.73972009724529231</c:v>
                </c:pt>
                <c:pt idx="74">
                  <c:v>0.75822108840157376</c:v>
                </c:pt>
                <c:pt idx="75">
                  <c:v>0.75585709533766354</c:v>
                </c:pt>
                <c:pt idx="76">
                  <c:v>0.75986612036035661</c:v>
                </c:pt>
                <c:pt idx="77">
                  <c:v>0.76325683582314263</c:v>
                </c:pt>
                <c:pt idx="78">
                  <c:v>0.78271502980452401</c:v>
                </c:pt>
                <c:pt idx="79">
                  <c:v>0.78986040446155215</c:v>
                </c:pt>
                <c:pt idx="80">
                  <c:v>0.73726596291117252</c:v>
                </c:pt>
                <c:pt idx="81">
                  <c:v>0.57413458188045352</c:v>
                </c:pt>
                <c:pt idx="82">
                  <c:v>0.57848499535360198</c:v>
                </c:pt>
                <c:pt idx="83">
                  <c:v>0.59990423141758231</c:v>
                </c:pt>
                <c:pt idx="84">
                  <c:v>0.6241161337441623</c:v>
                </c:pt>
                <c:pt idx="85">
                  <c:v>0.6367445487842559</c:v>
                </c:pt>
                <c:pt idx="86">
                  <c:v>0.6521555306365252</c:v>
                </c:pt>
                <c:pt idx="87">
                  <c:v>0.6257995839039272</c:v>
                </c:pt>
                <c:pt idx="88">
                  <c:v>0.60060857793060507</c:v>
                </c:pt>
                <c:pt idx="89">
                  <c:v>0.62663236214273754</c:v>
                </c:pt>
                <c:pt idx="90">
                  <c:v>0.61808945118185654</c:v>
                </c:pt>
                <c:pt idx="91">
                  <c:v>0.62674396292951895</c:v>
                </c:pt>
                <c:pt idx="92">
                  <c:v>0.56843364694560894</c:v>
                </c:pt>
                <c:pt idx="93">
                  <c:v>0.50489840974497446</c:v>
                </c:pt>
                <c:pt idx="94">
                  <c:v>0.47641543192354907</c:v>
                </c:pt>
                <c:pt idx="95">
                  <c:v>0.48716411423117317</c:v>
                </c:pt>
                <c:pt idx="96">
                  <c:v>0.51327845515946513</c:v>
                </c:pt>
                <c:pt idx="97">
                  <c:v>0.48140383972055723</c:v>
                </c:pt>
                <c:pt idx="98">
                  <c:v>0.44400313946696912</c:v>
                </c:pt>
                <c:pt idx="99">
                  <c:v>0.43834764977378515</c:v>
                </c:pt>
                <c:pt idx="100">
                  <c:v>0.40223166058409637</c:v>
                </c:pt>
                <c:pt idx="101">
                  <c:v>0.43211967982493904</c:v>
                </c:pt>
                <c:pt idx="102">
                  <c:v>0.40429733180025001</c:v>
                </c:pt>
                <c:pt idx="103">
                  <c:v>0.40303343053029073</c:v>
                </c:pt>
                <c:pt idx="104">
                  <c:v>0.38005988840392968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71-46CA-98FE-B6FEE9086828}"/>
            </c:ext>
          </c:extLst>
        </c:ser>
        <c:ser>
          <c:idx val="2"/>
          <c:order val="2"/>
          <c:tx>
            <c:strRef>
              <c:f>'面板-景气指数'!$A$164</c:f>
              <c:strCache>
                <c:ptCount val="1"/>
                <c:pt idx="0">
                  <c:v>燃气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'面板-景气指数'!$F$164:$DF$164</c:f>
              <c:numCache>
                <c:formatCode>0.0%</c:formatCode>
                <c:ptCount val="105"/>
                <c:pt idx="0">
                  <c:v>0.76900000000000002</c:v>
                </c:pt>
                <c:pt idx="1">
                  <c:v>0.70099999999999996</c:v>
                </c:pt>
                <c:pt idx="2">
                  <c:v>0.66300000000000003</c:v>
                </c:pt>
                <c:pt idx="3">
                  <c:v>0.54800000000000004</c:v>
                </c:pt>
                <c:pt idx="4">
                  <c:v>0.47999999999999993</c:v>
                </c:pt>
                <c:pt idx="5">
                  <c:v>0.42299999999999999</c:v>
                </c:pt>
                <c:pt idx="6">
                  <c:v>0.29799999999999999</c:v>
                </c:pt>
                <c:pt idx="7">
                  <c:v>0.182</c:v>
                </c:pt>
                <c:pt idx="8">
                  <c:v>0.192</c:v>
                </c:pt>
                <c:pt idx="9">
                  <c:v>0.33600000000000002</c:v>
                </c:pt>
                <c:pt idx="10">
                  <c:v>0.28799999999999998</c:v>
                </c:pt>
                <c:pt idx="11">
                  <c:v>9.6000000000000002E-2</c:v>
                </c:pt>
                <c:pt idx="12">
                  <c:v>4.8000000000000001E-2</c:v>
                </c:pt>
                <c:pt idx="13">
                  <c:v>2.8000000000000001E-2</c:v>
                </c:pt>
                <c:pt idx="14">
                  <c:v>1.9E-2</c:v>
                </c:pt>
                <c:pt idx="15">
                  <c:v>3.7999999999999999E-2</c:v>
                </c:pt>
                <c:pt idx="16">
                  <c:v>0</c:v>
                </c:pt>
                <c:pt idx="17">
                  <c:v>8.9999999999999993E-3</c:v>
                </c:pt>
                <c:pt idx="18">
                  <c:v>5.7000000000000002E-2</c:v>
                </c:pt>
                <c:pt idx="19">
                  <c:v>0.47099999999999992</c:v>
                </c:pt>
                <c:pt idx="20">
                  <c:v>0.71099999999999997</c:v>
                </c:pt>
                <c:pt idx="21">
                  <c:v>0.68200000000000005</c:v>
                </c:pt>
                <c:pt idx="22">
                  <c:v>0.55700000000000005</c:v>
                </c:pt>
                <c:pt idx="23">
                  <c:v>0.49000000000000005</c:v>
                </c:pt>
                <c:pt idx="24">
                  <c:v>0.69199999999999995</c:v>
                </c:pt>
                <c:pt idx="25">
                  <c:v>0.77800000000000002</c:v>
                </c:pt>
                <c:pt idx="26">
                  <c:v>0.85499999999999998</c:v>
                </c:pt>
                <c:pt idx="27">
                  <c:v>0.90300000000000002</c:v>
                </c:pt>
                <c:pt idx="28">
                  <c:v>0.95099999999999985</c:v>
                </c:pt>
                <c:pt idx="29">
                  <c:v>1</c:v>
                </c:pt>
                <c:pt idx="30">
                  <c:v>0.97099999999999997</c:v>
                </c:pt>
                <c:pt idx="31">
                  <c:v>0.88400000000000001</c:v>
                </c:pt>
                <c:pt idx="32">
                  <c:v>0.67300000000000004</c:v>
                </c:pt>
                <c:pt idx="33">
                  <c:v>0.73</c:v>
                </c:pt>
                <c:pt idx="34">
                  <c:v>0.89400000000000002</c:v>
                </c:pt>
                <c:pt idx="35">
                  <c:v>0.98000000000000009</c:v>
                </c:pt>
                <c:pt idx="36">
                  <c:v>0.98999999999999988</c:v>
                </c:pt>
                <c:pt idx="37">
                  <c:v>0.96099999999999997</c:v>
                </c:pt>
                <c:pt idx="38">
                  <c:v>0.92299999999999993</c:v>
                </c:pt>
                <c:pt idx="39">
                  <c:v>0.86499999999999999</c:v>
                </c:pt>
                <c:pt idx="40">
                  <c:v>0.79800000000000004</c:v>
                </c:pt>
                <c:pt idx="41">
                  <c:v>0.65300000000000002</c:v>
                </c:pt>
                <c:pt idx="42">
                  <c:v>0.56699999999999995</c:v>
                </c:pt>
                <c:pt idx="43">
                  <c:v>0.75900000000000001</c:v>
                </c:pt>
                <c:pt idx="44">
                  <c:v>0.82599999999999996</c:v>
                </c:pt>
                <c:pt idx="45">
                  <c:v>0.78800000000000003</c:v>
                </c:pt>
                <c:pt idx="46">
                  <c:v>0.51900000000000002</c:v>
                </c:pt>
                <c:pt idx="47">
                  <c:v>0.38400000000000001</c:v>
                </c:pt>
                <c:pt idx="48">
                  <c:v>0.317</c:v>
                </c:pt>
                <c:pt idx="49">
                  <c:v>0.21099999999999999</c:v>
                </c:pt>
                <c:pt idx="50">
                  <c:v>0.115</c:v>
                </c:pt>
                <c:pt idx="51">
                  <c:v>8.5999999999999993E-2</c:v>
                </c:pt>
                <c:pt idx="52">
                  <c:v>0.17299999999999999</c:v>
                </c:pt>
                <c:pt idx="53">
                  <c:v>0.221</c:v>
                </c:pt>
                <c:pt idx="54">
                  <c:v>0.23999999999999996</c:v>
                </c:pt>
                <c:pt idx="55">
                  <c:v>0.14399999999999999</c:v>
                </c:pt>
                <c:pt idx="56">
                  <c:v>0.27800000000000002</c:v>
                </c:pt>
                <c:pt idx="57">
                  <c:v>0.35499999999999998</c:v>
                </c:pt>
                <c:pt idx="58">
                  <c:v>0.375</c:v>
                </c:pt>
                <c:pt idx="59">
                  <c:v>0.32600000000000001</c:v>
                </c:pt>
                <c:pt idx="60">
                  <c:v>0.23</c:v>
                </c:pt>
                <c:pt idx="61">
                  <c:v>0.26900000000000002</c:v>
                </c:pt>
                <c:pt idx="62">
                  <c:v>0.36499999999999999</c:v>
                </c:pt>
                <c:pt idx="63">
                  <c:v>0.432</c:v>
                </c:pt>
                <c:pt idx="64">
                  <c:v>0.50900000000000001</c:v>
                </c:pt>
                <c:pt idx="65">
                  <c:v>0.53800000000000003</c:v>
                </c:pt>
                <c:pt idx="66">
                  <c:v>0.5</c:v>
                </c:pt>
                <c:pt idx="67">
                  <c:v>0.442</c:v>
                </c:pt>
                <c:pt idx="68">
                  <c:v>0.25900000000000001</c:v>
                </c:pt>
                <c:pt idx="69">
                  <c:v>0.34599999999999997</c:v>
                </c:pt>
                <c:pt idx="70">
                  <c:v>0.40300000000000002</c:v>
                </c:pt>
                <c:pt idx="71">
                  <c:v>0.59599999999999997</c:v>
                </c:pt>
                <c:pt idx="72">
                  <c:v>0.75</c:v>
                </c:pt>
                <c:pt idx="73">
                  <c:v>0.83599999999999997</c:v>
                </c:pt>
                <c:pt idx="74">
                  <c:v>0.80700000000000005</c:v>
                </c:pt>
                <c:pt idx="75">
                  <c:v>0.74</c:v>
                </c:pt>
                <c:pt idx="76">
                  <c:v>0.64400000000000002</c:v>
                </c:pt>
                <c:pt idx="77">
                  <c:v>0.63400000000000001</c:v>
                </c:pt>
                <c:pt idx="78">
                  <c:v>0.81699999999999995</c:v>
                </c:pt>
                <c:pt idx="79">
                  <c:v>0.875</c:v>
                </c:pt>
                <c:pt idx="80">
                  <c:v>0.94199999999999984</c:v>
                </c:pt>
                <c:pt idx="81">
                  <c:v>0.93199999999999994</c:v>
                </c:pt>
                <c:pt idx="82">
                  <c:v>0.91300000000000003</c:v>
                </c:pt>
                <c:pt idx="83">
                  <c:v>0.84599999999999997</c:v>
                </c:pt>
                <c:pt idx="84">
                  <c:v>0.72099999999999997</c:v>
                </c:pt>
                <c:pt idx="85">
                  <c:v>0.58599999999999997</c:v>
                </c:pt>
                <c:pt idx="86">
                  <c:v>0.57599999999999996</c:v>
                </c:pt>
                <c:pt idx="87">
                  <c:v>0.60499999999999998</c:v>
                </c:pt>
                <c:pt idx="88">
                  <c:v>0.625</c:v>
                </c:pt>
                <c:pt idx="89">
                  <c:v>0.61499999999999999</c:v>
                </c:pt>
                <c:pt idx="90">
                  <c:v>0.52800000000000002</c:v>
                </c:pt>
                <c:pt idx="91">
                  <c:v>0.46100000000000008</c:v>
                </c:pt>
                <c:pt idx="92">
                  <c:v>0.45099999999999996</c:v>
                </c:pt>
                <c:pt idx="93">
                  <c:v>0.41299999999999998</c:v>
                </c:pt>
                <c:pt idx="94">
                  <c:v>0.39400000000000002</c:v>
                </c:pt>
                <c:pt idx="95">
                  <c:v>0.307</c:v>
                </c:pt>
                <c:pt idx="96">
                  <c:v>0.25</c:v>
                </c:pt>
                <c:pt idx="97">
                  <c:v>0.20100000000000001</c:v>
                </c:pt>
                <c:pt idx="98">
                  <c:v>0.153</c:v>
                </c:pt>
                <c:pt idx="99">
                  <c:v>0.125</c:v>
                </c:pt>
                <c:pt idx="100">
                  <c:v>7.5999999999999998E-2</c:v>
                </c:pt>
                <c:pt idx="101">
                  <c:v>0.105</c:v>
                </c:pt>
                <c:pt idx="102">
                  <c:v>0.13400000000000001</c:v>
                </c:pt>
                <c:pt idx="103">
                  <c:v>0.16300000000000001</c:v>
                </c:pt>
                <c:pt idx="104">
                  <c:v>6.7000000000000004E-2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71-46CA-98FE-B6FEE908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'面板-景气指数'!$A$39</c:f>
              <c:strCache>
                <c:ptCount val="1"/>
                <c:pt idx="0">
                  <c:v>有色金属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'面板-景气指数'!$F$39:$DF$39</c:f>
              <c:numCache>
                <c:formatCode>0.0%</c:formatCode>
                <c:ptCount val="105"/>
                <c:pt idx="0">
                  <c:v>0.60105748747137111</c:v>
                </c:pt>
                <c:pt idx="1">
                  <c:v>0.63251058857247999</c:v>
                </c:pt>
                <c:pt idx="2">
                  <c:v>0.66638763562709113</c:v>
                </c:pt>
                <c:pt idx="3">
                  <c:v>0.70990817627971425</c:v>
                </c:pt>
                <c:pt idx="4">
                  <c:v>0.67832471018009277</c:v>
                </c:pt>
                <c:pt idx="5">
                  <c:v>0.61090603864695869</c:v>
                </c:pt>
                <c:pt idx="6">
                  <c:v>0.5085526031951606</c:v>
                </c:pt>
                <c:pt idx="7">
                  <c:v>0.44850183682152167</c:v>
                </c:pt>
                <c:pt idx="8">
                  <c:v>0.41348719078850255</c:v>
                </c:pt>
                <c:pt idx="9">
                  <c:v>0.44749714288275061</c:v>
                </c:pt>
                <c:pt idx="10">
                  <c:v>0.47491314986514233</c:v>
                </c:pt>
                <c:pt idx="11">
                  <c:v>0.54575121382119007</c:v>
                </c:pt>
                <c:pt idx="12">
                  <c:v>0.54875983374106896</c:v>
                </c:pt>
                <c:pt idx="13">
                  <c:v>0.57845683142630655</c:v>
                </c:pt>
                <c:pt idx="14">
                  <c:v>0.4932001842282448</c:v>
                </c:pt>
                <c:pt idx="15">
                  <c:v>0.41842947948595849</c:v>
                </c:pt>
                <c:pt idx="16">
                  <c:v>0.30306659014495613</c:v>
                </c:pt>
                <c:pt idx="17">
                  <c:v>0.25984518941750695</c:v>
                </c:pt>
                <c:pt idx="18">
                  <c:v>0.28907050948830376</c:v>
                </c:pt>
                <c:pt idx="19">
                  <c:v>0.34265465797752703</c:v>
                </c:pt>
                <c:pt idx="20">
                  <c:v>0.39182752158737705</c:v>
                </c:pt>
                <c:pt idx="21">
                  <c:v>0.38541919212210718</c:v>
                </c:pt>
                <c:pt idx="22">
                  <c:v>0.32385961647833672</c:v>
                </c:pt>
                <c:pt idx="23">
                  <c:v>0.28567353144176527</c:v>
                </c:pt>
                <c:pt idx="24">
                  <c:v>0.28655249941386168</c:v>
                </c:pt>
                <c:pt idx="25">
                  <c:v>0.28881504770856486</c:v>
                </c:pt>
                <c:pt idx="26">
                  <c:v>0.33403362030677708</c:v>
                </c:pt>
                <c:pt idx="27">
                  <c:v>0.41142906831385551</c:v>
                </c:pt>
                <c:pt idx="28">
                  <c:v>0.55718168728822048</c:v>
                </c:pt>
                <c:pt idx="29">
                  <c:v>0.62497931426079156</c:v>
                </c:pt>
                <c:pt idx="30">
                  <c:v>0.68637012097613948</c:v>
                </c:pt>
                <c:pt idx="31">
                  <c:v>0.6838405059291689</c:v>
                </c:pt>
                <c:pt idx="32">
                  <c:v>0.66600996406475865</c:v>
                </c:pt>
                <c:pt idx="33">
                  <c:v>0.66516429083064732</c:v>
                </c:pt>
                <c:pt idx="34">
                  <c:v>0.70486668012395626</c:v>
                </c:pt>
                <c:pt idx="35">
                  <c:v>0.70625866725819586</c:v>
                </c:pt>
                <c:pt idx="36">
                  <c:v>0.67650174353323278</c:v>
                </c:pt>
                <c:pt idx="37">
                  <c:v>0.68578943926611435</c:v>
                </c:pt>
                <c:pt idx="38">
                  <c:v>0.76821788061728957</c:v>
                </c:pt>
                <c:pt idx="39">
                  <c:v>0.81807827939634026</c:v>
                </c:pt>
                <c:pt idx="40">
                  <c:v>0.83635431466030485</c:v>
                </c:pt>
                <c:pt idx="41">
                  <c:v>0.85134291383519234</c:v>
                </c:pt>
                <c:pt idx="42">
                  <c:v>0.8244196163404387</c:v>
                </c:pt>
                <c:pt idx="43">
                  <c:v>0.77894790533158653</c:v>
                </c:pt>
                <c:pt idx="44">
                  <c:v>0.69681083108591313</c:v>
                </c:pt>
                <c:pt idx="45">
                  <c:v>0.62627076555002159</c:v>
                </c:pt>
                <c:pt idx="46">
                  <c:v>0.58968336371141439</c:v>
                </c:pt>
                <c:pt idx="47">
                  <c:v>0.53858617853090307</c:v>
                </c:pt>
                <c:pt idx="48">
                  <c:v>0.53430890758846816</c:v>
                </c:pt>
                <c:pt idx="49">
                  <c:v>0.53263301488403503</c:v>
                </c:pt>
                <c:pt idx="50">
                  <c:v>0.48521417803935235</c:v>
                </c:pt>
                <c:pt idx="51">
                  <c:v>0.37102014373993408</c:v>
                </c:pt>
                <c:pt idx="52">
                  <c:v>0.25263544887935124</c:v>
                </c:pt>
                <c:pt idx="53">
                  <c:v>0.21494198096944395</c:v>
                </c:pt>
                <c:pt idx="54">
                  <c:v>0.21212844582807053</c:v>
                </c:pt>
                <c:pt idx="55">
                  <c:v>0.26777267462299131</c:v>
                </c:pt>
                <c:pt idx="56">
                  <c:v>0.33957492576865489</c:v>
                </c:pt>
                <c:pt idx="57">
                  <c:v>0.35021852225134825</c:v>
                </c:pt>
                <c:pt idx="58">
                  <c:v>0.34479189279670208</c:v>
                </c:pt>
                <c:pt idx="59">
                  <c:v>0.35344416758568137</c:v>
                </c:pt>
                <c:pt idx="60">
                  <c:v>0.36539832329969713</c:v>
                </c:pt>
                <c:pt idx="61">
                  <c:v>0.36189893420845876</c:v>
                </c:pt>
                <c:pt idx="62">
                  <c:v>0.30342406279871748</c:v>
                </c:pt>
                <c:pt idx="63">
                  <c:v>0.25229968515095325</c:v>
                </c:pt>
                <c:pt idx="64">
                  <c:v>0.23029120812827661</c:v>
                </c:pt>
                <c:pt idx="65">
                  <c:v>0.25678995965476281</c:v>
                </c:pt>
                <c:pt idx="66">
                  <c:v>0.26116619099162469</c:v>
                </c:pt>
                <c:pt idx="67">
                  <c:v>0.22199410305094905</c:v>
                </c:pt>
                <c:pt idx="68">
                  <c:v>0.21547454184182663</c:v>
                </c:pt>
                <c:pt idx="69">
                  <c:v>0.2103228962081154</c:v>
                </c:pt>
                <c:pt idx="70">
                  <c:v>0.21683464784849418</c:v>
                </c:pt>
                <c:pt idx="71">
                  <c:v>0.20573519789552647</c:v>
                </c:pt>
                <c:pt idx="72">
                  <c:v>0.21691299079696097</c:v>
                </c:pt>
                <c:pt idx="73">
                  <c:v>0.31950127523964345</c:v>
                </c:pt>
                <c:pt idx="74">
                  <c:v>0.48654122546319062</c:v>
                </c:pt>
                <c:pt idx="75">
                  <c:v>0.58597771083767336</c:v>
                </c:pt>
                <c:pt idx="76">
                  <c:v>0.62192278284598668</c:v>
                </c:pt>
                <c:pt idx="77">
                  <c:v>0.60327640133636717</c:v>
                </c:pt>
                <c:pt idx="78">
                  <c:v>0.56599527223110691</c:v>
                </c:pt>
                <c:pt idx="79">
                  <c:v>0.60374494940991963</c:v>
                </c:pt>
                <c:pt idx="80">
                  <c:v>0.59841074198995359</c:v>
                </c:pt>
                <c:pt idx="81">
                  <c:v>0.62750762134595695</c:v>
                </c:pt>
                <c:pt idx="82">
                  <c:v>0.69969946839727637</c:v>
                </c:pt>
                <c:pt idx="83">
                  <c:v>0.74873182616357647</c:v>
                </c:pt>
                <c:pt idx="84">
                  <c:v>0.76930832416425166</c:v>
                </c:pt>
                <c:pt idx="85">
                  <c:v>0.7217813300450272</c:v>
                </c:pt>
                <c:pt idx="86">
                  <c:v>0.69696892301986757</c:v>
                </c:pt>
                <c:pt idx="87">
                  <c:v>0.67054012179580536</c:v>
                </c:pt>
                <c:pt idx="88">
                  <c:v>0.70028085138205776</c:v>
                </c:pt>
                <c:pt idx="89">
                  <c:v>0.71316356704525741</c:v>
                </c:pt>
                <c:pt idx="90">
                  <c:v>0.74540498568030211</c:v>
                </c:pt>
                <c:pt idx="91">
                  <c:v>0.76352920813352931</c:v>
                </c:pt>
                <c:pt idx="92">
                  <c:v>0.78618948409246026</c:v>
                </c:pt>
                <c:pt idx="93">
                  <c:v>0.79439030941895461</c:v>
                </c:pt>
                <c:pt idx="94">
                  <c:v>0.74712466305065417</c:v>
                </c:pt>
                <c:pt idx="95">
                  <c:v>0.68001198423091036</c:v>
                </c:pt>
                <c:pt idx="96">
                  <c:v>0.61098796121709276</c:v>
                </c:pt>
                <c:pt idx="97">
                  <c:v>0.53617082615891565</c:v>
                </c:pt>
                <c:pt idx="98">
                  <c:v>0.41454704738511455</c:v>
                </c:pt>
                <c:pt idx="99">
                  <c:v>0.31715528605419097</c:v>
                </c:pt>
                <c:pt idx="100">
                  <c:v>0.25445397253043683</c:v>
                </c:pt>
                <c:pt idx="101">
                  <c:v>0.26333232982968852</c:v>
                </c:pt>
                <c:pt idx="102">
                  <c:v>0.26249731723557079</c:v>
                </c:pt>
                <c:pt idx="103">
                  <c:v>0.19607583707894954</c:v>
                </c:pt>
                <c:pt idx="104">
                  <c:v>0.14876116888695826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7D-4BF3-A32C-665799001765}"/>
            </c:ext>
          </c:extLst>
        </c:ser>
        <c:ser>
          <c:idx val="1"/>
          <c:order val="1"/>
          <c:tx>
            <c:strRef>
              <c:f>'面板-景气指数'!$A$75</c:f>
              <c:strCache>
                <c:ptCount val="1"/>
                <c:pt idx="0">
                  <c:v>工业金属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'面板-景气指数'!$F$75:$DF$75</c:f>
              <c:numCache>
                <c:formatCode>0.0%</c:formatCode>
                <c:ptCount val="105"/>
                <c:pt idx="0">
                  <c:v>0.57066809653157446</c:v>
                </c:pt>
                <c:pt idx="1">
                  <c:v>0.63728260526606484</c:v>
                </c:pt>
                <c:pt idx="2">
                  <c:v>0.70470562509217261</c:v>
                </c:pt>
                <c:pt idx="3">
                  <c:v>0.76918549883193499</c:v>
                </c:pt>
                <c:pt idx="4">
                  <c:v>0.72757197574346966</c:v>
                </c:pt>
                <c:pt idx="5">
                  <c:v>0.65418428239636517</c:v>
                </c:pt>
                <c:pt idx="6">
                  <c:v>0.53735338266372268</c:v>
                </c:pt>
                <c:pt idx="7">
                  <c:v>0.47849869914556026</c:v>
                </c:pt>
                <c:pt idx="8">
                  <c:v>0.42470918229748084</c:v>
                </c:pt>
                <c:pt idx="9">
                  <c:v>0.443814619577797</c:v>
                </c:pt>
                <c:pt idx="10">
                  <c:v>0.44329096626184755</c:v>
                </c:pt>
                <c:pt idx="11">
                  <c:v>0.51173467040599063</c:v>
                </c:pt>
                <c:pt idx="12">
                  <c:v>0.49711190921426474</c:v>
                </c:pt>
                <c:pt idx="13">
                  <c:v>0.53041578919441312</c:v>
                </c:pt>
                <c:pt idx="14">
                  <c:v>0.41967244477287891</c:v>
                </c:pt>
                <c:pt idx="15">
                  <c:v>0.34158139858557446</c:v>
                </c:pt>
                <c:pt idx="16">
                  <c:v>0.21260795457032561</c:v>
                </c:pt>
                <c:pt idx="17">
                  <c:v>0.17619655363799824</c:v>
                </c:pt>
                <c:pt idx="18">
                  <c:v>0.24280617635179805</c:v>
                </c:pt>
                <c:pt idx="19">
                  <c:v>0.31431483227758372</c:v>
                </c:pt>
                <c:pt idx="20">
                  <c:v>0.35310214704406812</c:v>
                </c:pt>
                <c:pt idx="21">
                  <c:v>0.35191127430402236</c:v>
                </c:pt>
                <c:pt idx="22">
                  <c:v>0.30482538713638813</c:v>
                </c:pt>
                <c:pt idx="23">
                  <c:v>0.2733172289692074</c:v>
                </c:pt>
                <c:pt idx="24">
                  <c:v>0.25737925999229028</c:v>
                </c:pt>
                <c:pt idx="25">
                  <c:v>0.25036009525840069</c:v>
                </c:pt>
                <c:pt idx="26">
                  <c:v>0.2951775533645411</c:v>
                </c:pt>
                <c:pt idx="27">
                  <c:v>0.36886579040484546</c:v>
                </c:pt>
                <c:pt idx="28">
                  <c:v>0.54735826868441328</c:v>
                </c:pt>
                <c:pt idx="29">
                  <c:v>0.60619894045843725</c:v>
                </c:pt>
                <c:pt idx="30">
                  <c:v>0.67350437017232789</c:v>
                </c:pt>
                <c:pt idx="31">
                  <c:v>0.69467426147568156</c:v>
                </c:pt>
                <c:pt idx="32">
                  <c:v>0.70030239657551829</c:v>
                </c:pt>
                <c:pt idx="33">
                  <c:v>0.69842589453396697</c:v>
                </c:pt>
                <c:pt idx="34">
                  <c:v>0.76272386666788372</c:v>
                </c:pt>
                <c:pt idx="35">
                  <c:v>0.77059411769384645</c:v>
                </c:pt>
                <c:pt idx="36">
                  <c:v>0.75154192504125705</c:v>
                </c:pt>
                <c:pt idx="37">
                  <c:v>0.73213405116464148</c:v>
                </c:pt>
                <c:pt idx="38">
                  <c:v>0.81190814906424891</c:v>
                </c:pt>
                <c:pt idx="39">
                  <c:v>0.85655583427676762</c:v>
                </c:pt>
                <c:pt idx="40">
                  <c:v>0.8853176609347424</c:v>
                </c:pt>
                <c:pt idx="41">
                  <c:v>0.90480434977781055</c:v>
                </c:pt>
                <c:pt idx="42">
                  <c:v>0.88001002913925686</c:v>
                </c:pt>
                <c:pt idx="43">
                  <c:v>0.81730966941664795</c:v>
                </c:pt>
                <c:pt idx="44">
                  <c:v>0.70248971211025601</c:v>
                </c:pt>
                <c:pt idx="45">
                  <c:v>0.58959226481152804</c:v>
                </c:pt>
                <c:pt idx="46">
                  <c:v>0.54787330444274662</c:v>
                </c:pt>
                <c:pt idx="47">
                  <c:v>0.46988842024264238</c:v>
                </c:pt>
                <c:pt idx="48">
                  <c:v>0.45756397435419049</c:v>
                </c:pt>
                <c:pt idx="49">
                  <c:v>0.45255696848212124</c:v>
                </c:pt>
                <c:pt idx="50">
                  <c:v>0.40784202689773724</c:v>
                </c:pt>
                <c:pt idx="51">
                  <c:v>0.26122793972155484</c:v>
                </c:pt>
                <c:pt idx="52">
                  <c:v>0.10772197760604969</c:v>
                </c:pt>
                <c:pt idx="53">
                  <c:v>5.2690017563591242E-2</c:v>
                </c:pt>
                <c:pt idx="54">
                  <c:v>4.9705585071391389E-2</c:v>
                </c:pt>
                <c:pt idx="55">
                  <c:v>0.13175200856589289</c:v>
                </c:pt>
                <c:pt idx="56">
                  <c:v>0.24013223446183882</c:v>
                </c:pt>
                <c:pt idx="57">
                  <c:v>0.27150928250134942</c:v>
                </c:pt>
                <c:pt idx="58">
                  <c:v>0.24523312889082149</c:v>
                </c:pt>
                <c:pt idx="59">
                  <c:v>0.23582339610196831</c:v>
                </c:pt>
                <c:pt idx="60">
                  <c:v>0.24458757340086626</c:v>
                </c:pt>
                <c:pt idx="61">
                  <c:v>0.2651390956158452</c:v>
                </c:pt>
                <c:pt idx="62">
                  <c:v>0.19329952186765914</c:v>
                </c:pt>
                <c:pt idx="63">
                  <c:v>0.17495410057243441</c:v>
                </c:pt>
                <c:pt idx="64">
                  <c:v>0.19969869157913478</c:v>
                </c:pt>
                <c:pt idx="65">
                  <c:v>0.28170993715396131</c:v>
                </c:pt>
                <c:pt idx="66">
                  <c:v>0.27035822263371284</c:v>
                </c:pt>
                <c:pt idx="67">
                  <c:v>0.19206612216651178</c:v>
                </c:pt>
                <c:pt idx="68">
                  <c:v>0.15146051823710943</c:v>
                </c:pt>
                <c:pt idx="69">
                  <c:v>0.16456073016864309</c:v>
                </c:pt>
                <c:pt idx="70">
                  <c:v>0.18811002015243067</c:v>
                </c:pt>
                <c:pt idx="71">
                  <c:v>0.19890282120683869</c:v>
                </c:pt>
                <c:pt idx="72">
                  <c:v>0.22292497302840009</c:v>
                </c:pt>
                <c:pt idx="73">
                  <c:v>0.34877833760236493</c:v>
                </c:pt>
                <c:pt idx="74">
                  <c:v>0.5260840803360165</c:v>
                </c:pt>
                <c:pt idx="75">
                  <c:v>0.62029721727743625</c:v>
                </c:pt>
                <c:pt idx="76">
                  <c:v>0.67067499002383113</c:v>
                </c:pt>
                <c:pt idx="77">
                  <c:v>0.63937603224388906</c:v>
                </c:pt>
                <c:pt idx="78">
                  <c:v>0.58492588631539377</c:v>
                </c:pt>
                <c:pt idx="79">
                  <c:v>0.62065248900299308</c:v>
                </c:pt>
                <c:pt idx="80">
                  <c:v>0.62188888182173152</c:v>
                </c:pt>
                <c:pt idx="81">
                  <c:v>0.66734140854074653</c:v>
                </c:pt>
                <c:pt idx="82">
                  <c:v>0.80105347541727123</c:v>
                </c:pt>
                <c:pt idx="83">
                  <c:v>0.87717095314967586</c:v>
                </c:pt>
                <c:pt idx="84">
                  <c:v>0.93373815525226733</c:v>
                </c:pt>
                <c:pt idx="85">
                  <c:v>0.90497406018358573</c:v>
                </c:pt>
                <c:pt idx="86">
                  <c:v>0.8807033928609812</c:v>
                </c:pt>
                <c:pt idx="87">
                  <c:v>0.85530543958507543</c:v>
                </c:pt>
                <c:pt idx="88">
                  <c:v>0.85694490248995492</c:v>
                </c:pt>
                <c:pt idx="89">
                  <c:v>0.86105677552470394</c:v>
                </c:pt>
                <c:pt idx="90">
                  <c:v>0.8912525342854406</c:v>
                </c:pt>
                <c:pt idx="91">
                  <c:v>0.91249938164300937</c:v>
                </c:pt>
                <c:pt idx="92">
                  <c:v>0.93106658374560103</c:v>
                </c:pt>
                <c:pt idx="93">
                  <c:v>0.91808029234116362</c:v>
                </c:pt>
                <c:pt idx="94">
                  <c:v>0.85774998081591514</c:v>
                </c:pt>
                <c:pt idx="95">
                  <c:v>0.72843095488627474</c:v>
                </c:pt>
                <c:pt idx="96">
                  <c:v>0.60989325364667102</c:v>
                </c:pt>
                <c:pt idx="97">
                  <c:v>0.49690730157032537</c:v>
                </c:pt>
                <c:pt idx="98">
                  <c:v>0.32051794007974677</c:v>
                </c:pt>
                <c:pt idx="99">
                  <c:v>0.2239942867637974</c:v>
                </c:pt>
                <c:pt idx="100">
                  <c:v>0.19211888877800309</c:v>
                </c:pt>
                <c:pt idx="101">
                  <c:v>0.24929215638908633</c:v>
                </c:pt>
                <c:pt idx="102">
                  <c:v>0.28319551153404571</c:v>
                </c:pt>
                <c:pt idx="103">
                  <c:v>0.2311497606658085</c:v>
                </c:pt>
                <c:pt idx="104">
                  <c:v>0.17750094124793633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7D-4BF3-A32C-665799001765}"/>
            </c:ext>
          </c:extLst>
        </c:ser>
        <c:ser>
          <c:idx val="2"/>
          <c:order val="2"/>
          <c:tx>
            <c:strRef>
              <c:f>'面板-景气指数'!$A$76</c:f>
              <c:strCache>
                <c:ptCount val="1"/>
                <c:pt idx="0">
                  <c:v>贵金属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'面板-景气指数'!$F$76:$DF$76</c:f>
              <c:numCache>
                <c:formatCode>0.0%</c:formatCode>
                <c:ptCount val="105"/>
                <c:pt idx="0">
                  <c:v>0.9325</c:v>
                </c:pt>
                <c:pt idx="1">
                  <c:v>0.89850000000000008</c:v>
                </c:pt>
                <c:pt idx="2">
                  <c:v>0.85050000000000003</c:v>
                </c:pt>
                <c:pt idx="3">
                  <c:v>0.82150000000000001</c:v>
                </c:pt>
                <c:pt idx="4">
                  <c:v>0.74950000000000006</c:v>
                </c:pt>
                <c:pt idx="5">
                  <c:v>0.68700000000000006</c:v>
                </c:pt>
                <c:pt idx="6">
                  <c:v>0.629</c:v>
                </c:pt>
                <c:pt idx="7">
                  <c:v>0.57150000000000001</c:v>
                </c:pt>
                <c:pt idx="8">
                  <c:v>0.54249999999999998</c:v>
                </c:pt>
                <c:pt idx="9">
                  <c:v>0.59100000000000008</c:v>
                </c:pt>
                <c:pt idx="10">
                  <c:v>0.65849999999999997</c:v>
                </c:pt>
                <c:pt idx="11">
                  <c:v>0.71099999999999997</c:v>
                </c:pt>
                <c:pt idx="12">
                  <c:v>0.72550000000000003</c:v>
                </c:pt>
                <c:pt idx="13">
                  <c:v>0.75449999999999995</c:v>
                </c:pt>
                <c:pt idx="14">
                  <c:v>0.66799999999999993</c:v>
                </c:pt>
                <c:pt idx="15">
                  <c:v>0.63400000000000001</c:v>
                </c:pt>
                <c:pt idx="16">
                  <c:v>0.53349999999999997</c:v>
                </c:pt>
                <c:pt idx="17">
                  <c:v>0.44199999999999995</c:v>
                </c:pt>
                <c:pt idx="18">
                  <c:v>0.3075</c:v>
                </c:pt>
                <c:pt idx="19">
                  <c:v>0.3165</c:v>
                </c:pt>
                <c:pt idx="20">
                  <c:v>0.40800000000000003</c:v>
                </c:pt>
                <c:pt idx="21">
                  <c:v>0.36049999999999999</c:v>
                </c:pt>
                <c:pt idx="22">
                  <c:v>0.16750000000000001</c:v>
                </c:pt>
                <c:pt idx="23">
                  <c:v>4.7500000000000007E-2</c:v>
                </c:pt>
                <c:pt idx="24">
                  <c:v>6.6500000000000004E-2</c:v>
                </c:pt>
                <c:pt idx="25">
                  <c:v>8.1499999999999989E-2</c:v>
                </c:pt>
                <c:pt idx="26">
                  <c:v>0.1195</c:v>
                </c:pt>
                <c:pt idx="27">
                  <c:v>0.125</c:v>
                </c:pt>
                <c:pt idx="28">
                  <c:v>0.22050000000000003</c:v>
                </c:pt>
                <c:pt idx="29">
                  <c:v>0.36000000000000004</c:v>
                </c:pt>
                <c:pt idx="30">
                  <c:v>0.42749999999999994</c:v>
                </c:pt>
                <c:pt idx="31">
                  <c:v>0.32150000000000006</c:v>
                </c:pt>
                <c:pt idx="32">
                  <c:v>0.18700000000000003</c:v>
                </c:pt>
                <c:pt idx="33">
                  <c:v>0.20600000000000002</c:v>
                </c:pt>
                <c:pt idx="34">
                  <c:v>0.2155</c:v>
                </c:pt>
                <c:pt idx="35">
                  <c:v>0.20649999999999999</c:v>
                </c:pt>
                <c:pt idx="36">
                  <c:v>0.10050000000000001</c:v>
                </c:pt>
                <c:pt idx="37">
                  <c:v>0.23949999999999999</c:v>
                </c:pt>
                <c:pt idx="38">
                  <c:v>0.48049999999999993</c:v>
                </c:pt>
                <c:pt idx="39">
                  <c:v>0.6725000000000001</c:v>
                </c:pt>
                <c:pt idx="40">
                  <c:v>0.72050000000000003</c:v>
                </c:pt>
                <c:pt idx="41">
                  <c:v>0.745</c:v>
                </c:pt>
                <c:pt idx="42">
                  <c:v>0.76899999999999991</c:v>
                </c:pt>
                <c:pt idx="43">
                  <c:v>0.83599999999999985</c:v>
                </c:pt>
                <c:pt idx="44">
                  <c:v>0.87949999999999995</c:v>
                </c:pt>
                <c:pt idx="45">
                  <c:v>0.90350000000000008</c:v>
                </c:pt>
                <c:pt idx="46">
                  <c:v>0.91300000000000003</c:v>
                </c:pt>
                <c:pt idx="47">
                  <c:v>0.91299999999999992</c:v>
                </c:pt>
                <c:pt idx="48">
                  <c:v>0.93699999999999994</c:v>
                </c:pt>
                <c:pt idx="49">
                  <c:v>0.9415</c:v>
                </c:pt>
                <c:pt idx="50">
                  <c:v>0.92749999999999988</c:v>
                </c:pt>
                <c:pt idx="51">
                  <c:v>0.8889999999999999</c:v>
                </c:pt>
                <c:pt idx="52">
                  <c:v>0.8025000000000001</c:v>
                </c:pt>
                <c:pt idx="53">
                  <c:v>0.75949999999999995</c:v>
                </c:pt>
                <c:pt idx="54">
                  <c:v>0.72050000000000003</c:v>
                </c:pt>
                <c:pt idx="55">
                  <c:v>0.71599999999999997</c:v>
                </c:pt>
                <c:pt idx="56">
                  <c:v>0.73499999999999988</c:v>
                </c:pt>
                <c:pt idx="57">
                  <c:v>0.7400000000000001</c:v>
                </c:pt>
                <c:pt idx="58">
                  <c:v>0.78299999999999992</c:v>
                </c:pt>
                <c:pt idx="59">
                  <c:v>0.83599999999999985</c:v>
                </c:pt>
                <c:pt idx="60">
                  <c:v>0.83599999999999985</c:v>
                </c:pt>
                <c:pt idx="61">
                  <c:v>0.74450000000000005</c:v>
                </c:pt>
                <c:pt idx="62">
                  <c:v>0.61499999999999988</c:v>
                </c:pt>
                <c:pt idx="63">
                  <c:v>0.39350000000000002</c:v>
                </c:pt>
                <c:pt idx="64">
                  <c:v>0.23</c:v>
                </c:pt>
                <c:pt idx="65">
                  <c:v>0.17250000000000001</c:v>
                </c:pt>
                <c:pt idx="66">
                  <c:v>0.22549999999999998</c:v>
                </c:pt>
                <c:pt idx="67">
                  <c:v>0.24</c:v>
                </c:pt>
                <c:pt idx="68">
                  <c:v>0.22549999999999998</c:v>
                </c:pt>
                <c:pt idx="69">
                  <c:v>0.14399999999999999</c:v>
                </c:pt>
                <c:pt idx="70">
                  <c:v>0.10550000000000001</c:v>
                </c:pt>
                <c:pt idx="71">
                  <c:v>4.3000000000000003E-2</c:v>
                </c:pt>
                <c:pt idx="72">
                  <c:v>4.3000000000000003E-2</c:v>
                </c:pt>
                <c:pt idx="73">
                  <c:v>0.10550000000000001</c:v>
                </c:pt>
                <c:pt idx="74">
                  <c:v>0.27850000000000003</c:v>
                </c:pt>
                <c:pt idx="75">
                  <c:v>0.38900000000000001</c:v>
                </c:pt>
                <c:pt idx="76">
                  <c:v>0.40350000000000003</c:v>
                </c:pt>
                <c:pt idx="77">
                  <c:v>0.40800000000000003</c:v>
                </c:pt>
                <c:pt idx="78">
                  <c:v>0.38400000000000006</c:v>
                </c:pt>
                <c:pt idx="79">
                  <c:v>0.47549999999999998</c:v>
                </c:pt>
                <c:pt idx="80">
                  <c:v>0.51400000000000001</c:v>
                </c:pt>
                <c:pt idx="81">
                  <c:v>0.49950000000000006</c:v>
                </c:pt>
                <c:pt idx="82">
                  <c:v>0.42250000000000004</c:v>
                </c:pt>
                <c:pt idx="83">
                  <c:v>0.33599999999999997</c:v>
                </c:pt>
                <c:pt idx="84">
                  <c:v>0.216</c:v>
                </c:pt>
                <c:pt idx="85">
                  <c:v>8.6000000000000007E-2</c:v>
                </c:pt>
                <c:pt idx="86">
                  <c:v>0.10049999999999999</c:v>
                </c:pt>
                <c:pt idx="87">
                  <c:v>0.17300000000000001</c:v>
                </c:pt>
                <c:pt idx="88">
                  <c:v>0.38900000000000001</c:v>
                </c:pt>
                <c:pt idx="89">
                  <c:v>0.42250000000000004</c:v>
                </c:pt>
                <c:pt idx="90">
                  <c:v>0.49</c:v>
                </c:pt>
                <c:pt idx="91">
                  <c:v>0.55199999999999994</c:v>
                </c:pt>
                <c:pt idx="92">
                  <c:v>0.61499999999999999</c:v>
                </c:pt>
                <c:pt idx="93">
                  <c:v>0.69200000000000006</c:v>
                </c:pt>
                <c:pt idx="94">
                  <c:v>0.65350000000000008</c:v>
                </c:pt>
                <c:pt idx="95">
                  <c:v>0.74950000000000006</c:v>
                </c:pt>
                <c:pt idx="96">
                  <c:v>0.81699999999999995</c:v>
                </c:pt>
                <c:pt idx="97">
                  <c:v>0.83600000000000008</c:v>
                </c:pt>
                <c:pt idx="98">
                  <c:v>0.79799999999999993</c:v>
                </c:pt>
                <c:pt idx="99">
                  <c:v>0.63900000000000001</c:v>
                </c:pt>
                <c:pt idx="100">
                  <c:v>0.49</c:v>
                </c:pt>
                <c:pt idx="101">
                  <c:v>0.43700000000000006</c:v>
                </c:pt>
                <c:pt idx="102">
                  <c:v>0.36049999999999999</c:v>
                </c:pt>
                <c:pt idx="103">
                  <c:v>0.1535</c:v>
                </c:pt>
                <c:pt idx="104">
                  <c:v>4.2999999999999997E-2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7D-4BF3-A32C-665799001765}"/>
            </c:ext>
          </c:extLst>
        </c:ser>
        <c:ser>
          <c:idx val="3"/>
          <c:order val="3"/>
          <c:tx>
            <c:strRef>
              <c:f>'面板-景气指数'!$A$77</c:f>
              <c:strCache>
                <c:ptCount val="1"/>
                <c:pt idx="0">
                  <c:v>小金属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'面板-景气指数'!$F$77:$DF$77</c:f>
              <c:numCache>
                <c:formatCode>0.0%</c:formatCode>
                <c:ptCount val="105"/>
                <c:pt idx="0">
                  <c:v>0.50700000000000001</c:v>
                </c:pt>
                <c:pt idx="1">
                  <c:v>0.51375000000000004</c:v>
                </c:pt>
                <c:pt idx="2">
                  <c:v>0.53550000000000009</c:v>
                </c:pt>
                <c:pt idx="3">
                  <c:v>0.59799999999999998</c:v>
                </c:pt>
                <c:pt idx="4">
                  <c:v>0.63424999999999998</c:v>
                </c:pt>
                <c:pt idx="5">
                  <c:v>0.57175000000000009</c:v>
                </c:pt>
                <c:pt idx="6">
                  <c:v>0.45174999999999998</c:v>
                </c:pt>
                <c:pt idx="7">
                  <c:v>0.37425000000000003</c:v>
                </c:pt>
                <c:pt idx="8">
                  <c:v>0.38399999999999995</c:v>
                </c:pt>
                <c:pt idx="9">
                  <c:v>0.45874999999999999</c:v>
                </c:pt>
                <c:pt idx="10">
                  <c:v>0.54049999999999987</c:v>
                </c:pt>
                <c:pt idx="11">
                  <c:v>0.63425000000000009</c:v>
                </c:pt>
                <c:pt idx="12">
                  <c:v>0.66774999999999995</c:v>
                </c:pt>
                <c:pt idx="13">
                  <c:v>0.70150000000000001</c:v>
                </c:pt>
                <c:pt idx="14">
                  <c:v>0.68474999999999997</c:v>
                </c:pt>
                <c:pt idx="15">
                  <c:v>0.55000000000000004</c:v>
                </c:pt>
                <c:pt idx="16">
                  <c:v>0.45624999999999999</c:v>
                </c:pt>
                <c:pt idx="17">
                  <c:v>0.43949999999999995</c:v>
                </c:pt>
                <c:pt idx="18">
                  <c:v>0.52124999999999999</c:v>
                </c:pt>
                <c:pt idx="19">
                  <c:v>0.55950000000000011</c:v>
                </c:pt>
                <c:pt idx="20">
                  <c:v>0.58849999999999991</c:v>
                </c:pt>
                <c:pt idx="21">
                  <c:v>0.56950000000000001</c:v>
                </c:pt>
                <c:pt idx="22">
                  <c:v>0.53300000000000003</c:v>
                </c:pt>
                <c:pt idx="23">
                  <c:v>0.48049999999999998</c:v>
                </c:pt>
                <c:pt idx="24">
                  <c:v>0.47799999999999992</c:v>
                </c:pt>
                <c:pt idx="25">
                  <c:v>0.48024999999999995</c:v>
                </c:pt>
                <c:pt idx="26">
                  <c:v>0.51875000000000004</c:v>
                </c:pt>
                <c:pt idx="27">
                  <c:v>0.68924999999999992</c:v>
                </c:pt>
                <c:pt idx="28">
                  <c:v>0.82625000000000004</c:v>
                </c:pt>
                <c:pt idx="29">
                  <c:v>0.8819999999999999</c:v>
                </c:pt>
                <c:pt idx="30">
                  <c:v>0.91299999999999992</c:v>
                </c:pt>
                <c:pt idx="31">
                  <c:v>0.91299999999999992</c:v>
                </c:pt>
                <c:pt idx="32">
                  <c:v>0.91525000000000001</c:v>
                </c:pt>
                <c:pt idx="33">
                  <c:v>0.90124999999999988</c:v>
                </c:pt>
                <c:pt idx="34">
                  <c:v>0.90600000000000003</c:v>
                </c:pt>
                <c:pt idx="35">
                  <c:v>0.90600000000000003</c:v>
                </c:pt>
                <c:pt idx="36">
                  <c:v>0.91300000000000014</c:v>
                </c:pt>
                <c:pt idx="37">
                  <c:v>0.89599999999999991</c:v>
                </c:pt>
                <c:pt idx="38">
                  <c:v>0.86724999999999985</c:v>
                </c:pt>
                <c:pt idx="39">
                  <c:v>0.80474999999999985</c:v>
                </c:pt>
                <c:pt idx="40">
                  <c:v>0.747</c:v>
                </c:pt>
                <c:pt idx="41">
                  <c:v>0.72575000000000001</c:v>
                </c:pt>
                <c:pt idx="42">
                  <c:v>0.63900000000000001</c:v>
                </c:pt>
                <c:pt idx="43">
                  <c:v>0.55249999999999999</c:v>
                </c:pt>
                <c:pt idx="44">
                  <c:v>0.44900000000000001</c:v>
                </c:pt>
                <c:pt idx="45">
                  <c:v>0.41799999999999998</c:v>
                </c:pt>
                <c:pt idx="46">
                  <c:v>0.35525000000000001</c:v>
                </c:pt>
                <c:pt idx="47">
                  <c:v>0.35275000000000006</c:v>
                </c:pt>
                <c:pt idx="48">
                  <c:v>0.36250000000000004</c:v>
                </c:pt>
                <c:pt idx="49">
                  <c:v>0.38450000000000001</c:v>
                </c:pt>
                <c:pt idx="50">
                  <c:v>0.31924999999999998</c:v>
                </c:pt>
                <c:pt idx="51">
                  <c:v>0.24475000000000002</c:v>
                </c:pt>
                <c:pt idx="52">
                  <c:v>0.15825</c:v>
                </c:pt>
                <c:pt idx="53">
                  <c:v>0.14150000000000001</c:v>
                </c:pt>
                <c:pt idx="54">
                  <c:v>0.1845</c:v>
                </c:pt>
                <c:pt idx="55">
                  <c:v>0.24475000000000002</c:v>
                </c:pt>
                <c:pt idx="56">
                  <c:v>0.27125000000000005</c:v>
                </c:pt>
                <c:pt idx="57">
                  <c:v>0.22775000000000001</c:v>
                </c:pt>
                <c:pt idx="58">
                  <c:v>0.22050000000000003</c:v>
                </c:pt>
                <c:pt idx="59">
                  <c:v>0.23050000000000001</c:v>
                </c:pt>
                <c:pt idx="60">
                  <c:v>0.25675000000000003</c:v>
                </c:pt>
                <c:pt idx="61">
                  <c:v>0.26375000000000004</c:v>
                </c:pt>
                <c:pt idx="62">
                  <c:v>0.29525000000000001</c:v>
                </c:pt>
                <c:pt idx="63">
                  <c:v>0.30974999999999997</c:v>
                </c:pt>
                <c:pt idx="64">
                  <c:v>0.31199999999999994</c:v>
                </c:pt>
                <c:pt idx="65">
                  <c:v>0.26174999999999998</c:v>
                </c:pt>
                <c:pt idx="66">
                  <c:v>0.26874999999999999</c:v>
                </c:pt>
                <c:pt idx="67">
                  <c:v>0.27600000000000002</c:v>
                </c:pt>
                <c:pt idx="68">
                  <c:v>0.34075</c:v>
                </c:pt>
                <c:pt idx="69">
                  <c:v>0.36475000000000002</c:v>
                </c:pt>
                <c:pt idx="70">
                  <c:v>0.40824999999999995</c:v>
                </c:pt>
                <c:pt idx="71">
                  <c:v>0.40824999999999995</c:v>
                </c:pt>
                <c:pt idx="72">
                  <c:v>0.40575</c:v>
                </c:pt>
                <c:pt idx="73">
                  <c:v>0.46575000000000005</c:v>
                </c:pt>
                <c:pt idx="74">
                  <c:v>0.58374999999999999</c:v>
                </c:pt>
                <c:pt idx="75">
                  <c:v>0.64875000000000005</c:v>
                </c:pt>
                <c:pt idx="76">
                  <c:v>0.64624999999999999</c:v>
                </c:pt>
                <c:pt idx="77">
                  <c:v>0.63649999999999995</c:v>
                </c:pt>
                <c:pt idx="78">
                  <c:v>0.62474999999999992</c:v>
                </c:pt>
                <c:pt idx="79">
                  <c:v>0.62449999999999994</c:v>
                </c:pt>
                <c:pt idx="80">
                  <c:v>0.5595</c:v>
                </c:pt>
                <c:pt idx="81">
                  <c:v>0.57425000000000004</c:v>
                </c:pt>
                <c:pt idx="82">
                  <c:v>0.6027499999999999</c:v>
                </c:pt>
                <c:pt idx="83">
                  <c:v>0.69650000000000001</c:v>
                </c:pt>
                <c:pt idx="84">
                  <c:v>0.72299999999999998</c:v>
                </c:pt>
                <c:pt idx="85">
                  <c:v>0.70374999999999999</c:v>
                </c:pt>
                <c:pt idx="86">
                  <c:v>0.64400000000000002</c:v>
                </c:pt>
                <c:pt idx="87">
                  <c:v>0.52825000000000011</c:v>
                </c:pt>
                <c:pt idx="88">
                  <c:v>0.48500000000000004</c:v>
                </c:pt>
                <c:pt idx="89">
                  <c:v>0.5212500000000001</c:v>
                </c:pt>
                <c:pt idx="90">
                  <c:v>0.54525000000000012</c:v>
                </c:pt>
                <c:pt idx="91">
                  <c:v>0.52350000000000008</c:v>
                </c:pt>
                <c:pt idx="92">
                  <c:v>0.53575000000000006</c:v>
                </c:pt>
                <c:pt idx="93">
                  <c:v>0.56425000000000003</c:v>
                </c:pt>
                <c:pt idx="94">
                  <c:v>0.55025000000000002</c:v>
                </c:pt>
                <c:pt idx="95">
                  <c:v>0.48275000000000001</c:v>
                </c:pt>
                <c:pt idx="96">
                  <c:v>0.41049999999999998</c:v>
                </c:pt>
                <c:pt idx="97">
                  <c:v>0.33100000000000002</c:v>
                </c:pt>
                <c:pt idx="98">
                  <c:v>0.29274999999999995</c:v>
                </c:pt>
                <c:pt idx="99">
                  <c:v>0.23749999999999999</c:v>
                </c:pt>
                <c:pt idx="100">
                  <c:v>0.17749999999999999</c:v>
                </c:pt>
                <c:pt idx="101">
                  <c:v>0.12200000000000001</c:v>
                </c:pt>
                <c:pt idx="102">
                  <c:v>8.6250000000000007E-2</c:v>
                </c:pt>
                <c:pt idx="103">
                  <c:v>8.3499999999999991E-2</c:v>
                </c:pt>
                <c:pt idx="104">
                  <c:v>7.3999999999999996E-2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97D-4BF3-A32C-665799001765}"/>
            </c:ext>
          </c:extLst>
        </c:ser>
        <c:ser>
          <c:idx val="4"/>
          <c:order val="4"/>
          <c:tx>
            <c:strRef>
              <c:f>'面板-景气指数'!$A$78</c:f>
              <c:strCache>
                <c:ptCount val="1"/>
                <c:pt idx="0">
                  <c:v>能源金属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'面板-景气指数'!$F$78:$DF$78</c:f>
              <c:numCache>
                <c:formatCode>0.0%</c:formatCode>
                <c:ptCount val="105"/>
                <c:pt idx="0">
                  <c:v>0.24266666666666667</c:v>
                </c:pt>
                <c:pt idx="1">
                  <c:v>0.21533333333333332</c:v>
                </c:pt>
                <c:pt idx="2">
                  <c:v>0.21233333333333332</c:v>
                </c:pt>
                <c:pt idx="3">
                  <c:v>0.23766666666666664</c:v>
                </c:pt>
                <c:pt idx="4">
                  <c:v>0.25733333333333336</c:v>
                </c:pt>
                <c:pt idx="5">
                  <c:v>0.23399999999999999</c:v>
                </c:pt>
                <c:pt idx="6">
                  <c:v>0.20133333333333334</c:v>
                </c:pt>
                <c:pt idx="7">
                  <c:v>0.14966666666666667</c:v>
                </c:pt>
                <c:pt idx="8">
                  <c:v>0.13</c:v>
                </c:pt>
                <c:pt idx="9">
                  <c:v>0.11366666666666665</c:v>
                </c:pt>
                <c:pt idx="10">
                  <c:v>0.11266666666666668</c:v>
                </c:pt>
                <c:pt idx="11">
                  <c:v>0.14366666666666669</c:v>
                </c:pt>
                <c:pt idx="12">
                  <c:v>0.185</c:v>
                </c:pt>
                <c:pt idx="13">
                  <c:v>0.22433333333333333</c:v>
                </c:pt>
                <c:pt idx="14">
                  <c:v>0.24233333333333335</c:v>
                </c:pt>
                <c:pt idx="15">
                  <c:v>0.23533333333333334</c:v>
                </c:pt>
                <c:pt idx="16">
                  <c:v>0.16933333333333334</c:v>
                </c:pt>
                <c:pt idx="17">
                  <c:v>0.15233333333333335</c:v>
                </c:pt>
                <c:pt idx="18">
                  <c:v>0.27500000000000002</c:v>
                </c:pt>
                <c:pt idx="19">
                  <c:v>0.41433333333333333</c:v>
                </c:pt>
                <c:pt idx="20">
                  <c:v>0.56933333333333336</c:v>
                </c:pt>
                <c:pt idx="21">
                  <c:v>0.63266666666666671</c:v>
                </c:pt>
                <c:pt idx="22">
                  <c:v>0.67366666666666675</c:v>
                </c:pt>
                <c:pt idx="23">
                  <c:v>0.67999999999999994</c:v>
                </c:pt>
                <c:pt idx="24">
                  <c:v>0.67133333333333334</c:v>
                </c:pt>
                <c:pt idx="25">
                  <c:v>0.70266666666666666</c:v>
                </c:pt>
                <c:pt idx="26">
                  <c:v>0.78866666666666674</c:v>
                </c:pt>
                <c:pt idx="27">
                  <c:v>0.8666666666666667</c:v>
                </c:pt>
                <c:pt idx="28">
                  <c:v>0.89899999999999991</c:v>
                </c:pt>
                <c:pt idx="29">
                  <c:v>0.93166666666666664</c:v>
                </c:pt>
                <c:pt idx="30">
                  <c:v>0.93333333333333324</c:v>
                </c:pt>
                <c:pt idx="31">
                  <c:v>0.93966666666666665</c:v>
                </c:pt>
                <c:pt idx="32">
                  <c:v>0.878</c:v>
                </c:pt>
                <c:pt idx="33">
                  <c:v>0.8620000000000001</c:v>
                </c:pt>
                <c:pt idx="34">
                  <c:v>0.8696666666666667</c:v>
                </c:pt>
                <c:pt idx="35">
                  <c:v>0.8536666666666668</c:v>
                </c:pt>
                <c:pt idx="36">
                  <c:v>0.83599999999999997</c:v>
                </c:pt>
                <c:pt idx="37">
                  <c:v>0.85533333333333328</c:v>
                </c:pt>
                <c:pt idx="38">
                  <c:v>0.86533333333333329</c:v>
                </c:pt>
                <c:pt idx="39">
                  <c:v>0.86466666666666669</c:v>
                </c:pt>
                <c:pt idx="40">
                  <c:v>0.84866666666666679</c:v>
                </c:pt>
                <c:pt idx="41">
                  <c:v>0.85433333333333328</c:v>
                </c:pt>
                <c:pt idx="42">
                  <c:v>0.85433333333333339</c:v>
                </c:pt>
                <c:pt idx="43">
                  <c:v>0.80433333333333334</c:v>
                </c:pt>
                <c:pt idx="44">
                  <c:v>0.71233333333333326</c:v>
                </c:pt>
                <c:pt idx="45">
                  <c:v>0.60699999999999998</c:v>
                </c:pt>
                <c:pt idx="46">
                  <c:v>0.50166666666666671</c:v>
                </c:pt>
                <c:pt idx="47">
                  <c:v>0.42000000000000004</c:v>
                </c:pt>
                <c:pt idx="48">
                  <c:v>0.40866666666666673</c:v>
                </c:pt>
                <c:pt idx="49">
                  <c:v>0.41766666666666669</c:v>
                </c:pt>
                <c:pt idx="50">
                  <c:v>0.46500000000000002</c:v>
                </c:pt>
                <c:pt idx="51">
                  <c:v>0.45299999999999996</c:v>
                </c:pt>
                <c:pt idx="52">
                  <c:v>0.44999999999999996</c:v>
                </c:pt>
                <c:pt idx="53">
                  <c:v>0.44600000000000001</c:v>
                </c:pt>
                <c:pt idx="54">
                  <c:v>0.46</c:v>
                </c:pt>
                <c:pt idx="55">
                  <c:v>0.47333333333333327</c:v>
                </c:pt>
                <c:pt idx="56">
                  <c:v>0.48399999999999999</c:v>
                </c:pt>
                <c:pt idx="57">
                  <c:v>0.50166666666666659</c:v>
                </c:pt>
                <c:pt idx="58">
                  <c:v>0.52500000000000002</c:v>
                </c:pt>
                <c:pt idx="59">
                  <c:v>0.54766666666666663</c:v>
                </c:pt>
                <c:pt idx="60">
                  <c:v>0.46966666666666668</c:v>
                </c:pt>
                <c:pt idx="61">
                  <c:v>0.39533333333333337</c:v>
                </c:pt>
                <c:pt idx="62">
                  <c:v>0.28199999999999997</c:v>
                </c:pt>
                <c:pt idx="63">
                  <c:v>0.21800000000000003</c:v>
                </c:pt>
                <c:pt idx="64">
                  <c:v>0.21333333333333332</c:v>
                </c:pt>
                <c:pt idx="65">
                  <c:v>0.20899999999999999</c:v>
                </c:pt>
                <c:pt idx="66">
                  <c:v>0.23700000000000002</c:v>
                </c:pt>
                <c:pt idx="67">
                  <c:v>0.22133333333333335</c:v>
                </c:pt>
                <c:pt idx="68">
                  <c:v>0.22499999999999998</c:v>
                </c:pt>
                <c:pt idx="69">
                  <c:v>0.28466666666666668</c:v>
                </c:pt>
                <c:pt idx="70">
                  <c:v>0.36399999999999999</c:v>
                </c:pt>
                <c:pt idx="71">
                  <c:v>0.4263333333333334</c:v>
                </c:pt>
                <c:pt idx="72">
                  <c:v>0.52066666666666672</c:v>
                </c:pt>
                <c:pt idx="73">
                  <c:v>0.6343333333333333</c:v>
                </c:pt>
                <c:pt idx="74">
                  <c:v>0.73899999999999999</c:v>
                </c:pt>
                <c:pt idx="75">
                  <c:v>0.76200000000000001</c:v>
                </c:pt>
                <c:pt idx="76">
                  <c:v>0.77800000000000002</c:v>
                </c:pt>
                <c:pt idx="77">
                  <c:v>0.74199999999999999</c:v>
                </c:pt>
                <c:pt idx="78">
                  <c:v>0.68533333333333335</c:v>
                </c:pt>
                <c:pt idx="79">
                  <c:v>0.60133333333333328</c:v>
                </c:pt>
                <c:pt idx="80">
                  <c:v>0.58266666666666667</c:v>
                </c:pt>
                <c:pt idx="81">
                  <c:v>0.57066666666666666</c:v>
                </c:pt>
                <c:pt idx="82">
                  <c:v>0.49333333333333335</c:v>
                </c:pt>
                <c:pt idx="83">
                  <c:v>0.52233333333333332</c:v>
                </c:pt>
                <c:pt idx="84">
                  <c:v>0.52533333333333332</c:v>
                </c:pt>
                <c:pt idx="85">
                  <c:v>0.49033333333333334</c:v>
                </c:pt>
                <c:pt idx="86">
                  <c:v>0.48066666666666669</c:v>
                </c:pt>
                <c:pt idx="87">
                  <c:v>0.48700000000000004</c:v>
                </c:pt>
                <c:pt idx="88">
                  <c:v>0.51600000000000001</c:v>
                </c:pt>
                <c:pt idx="89">
                  <c:v>0.53200000000000003</c:v>
                </c:pt>
                <c:pt idx="90">
                  <c:v>0.54800000000000004</c:v>
                </c:pt>
                <c:pt idx="91">
                  <c:v>0.55100000000000005</c:v>
                </c:pt>
                <c:pt idx="92">
                  <c:v>0.57666666666666666</c:v>
                </c:pt>
                <c:pt idx="93">
                  <c:v>0.56066666666666665</c:v>
                </c:pt>
                <c:pt idx="94">
                  <c:v>0.53500000000000003</c:v>
                </c:pt>
                <c:pt idx="95">
                  <c:v>0.4966666666666667</c:v>
                </c:pt>
                <c:pt idx="96">
                  <c:v>0.47100000000000003</c:v>
                </c:pt>
                <c:pt idx="97">
                  <c:v>0.45499999999999996</c:v>
                </c:pt>
                <c:pt idx="98">
                  <c:v>0.40700000000000003</c:v>
                </c:pt>
                <c:pt idx="99">
                  <c:v>0.36833333333333335</c:v>
                </c:pt>
                <c:pt idx="100">
                  <c:v>0.35866666666666669</c:v>
                </c:pt>
                <c:pt idx="101">
                  <c:v>0.34933333333333333</c:v>
                </c:pt>
                <c:pt idx="102">
                  <c:v>0.34599999999999997</c:v>
                </c:pt>
                <c:pt idx="103">
                  <c:v>0.33633333333333332</c:v>
                </c:pt>
                <c:pt idx="104">
                  <c:v>0.33333333333333331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97D-4BF3-A32C-665799001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4455037037037"/>
          <c:w val="0.89786818181818195"/>
          <c:h val="0.68756666666666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'面板-景气指数'!$A$40</c:f>
              <c:strCache>
                <c:ptCount val="1"/>
                <c:pt idx="0">
                  <c:v>基础化工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'面板-景气指数'!$F$40:$DF$40</c:f>
              <c:numCache>
                <c:formatCode>0.0%</c:formatCode>
                <c:ptCount val="105"/>
                <c:pt idx="0">
                  <c:v>0.27327123568178846</c:v>
                </c:pt>
                <c:pt idx="1">
                  <c:v>0.29138178051869801</c:v>
                </c:pt>
                <c:pt idx="2">
                  <c:v>0.33221221914557897</c:v>
                </c:pt>
                <c:pt idx="3">
                  <c:v>0.39021334300307181</c:v>
                </c:pt>
                <c:pt idx="4">
                  <c:v>0.39835063243387658</c:v>
                </c:pt>
                <c:pt idx="5">
                  <c:v>0.3706670524892231</c:v>
                </c:pt>
                <c:pt idx="6">
                  <c:v>0.32157046711274345</c:v>
                </c:pt>
                <c:pt idx="7">
                  <c:v>0.28960631738978915</c:v>
                </c:pt>
                <c:pt idx="8">
                  <c:v>0.32295038429350342</c:v>
                </c:pt>
                <c:pt idx="9">
                  <c:v>0.34536085174566183</c:v>
                </c:pt>
                <c:pt idx="10">
                  <c:v>0.37532624539586634</c:v>
                </c:pt>
                <c:pt idx="11">
                  <c:v>0.37416285435586893</c:v>
                </c:pt>
                <c:pt idx="12">
                  <c:v>0.37710010687044698</c:v>
                </c:pt>
                <c:pt idx="13">
                  <c:v>0.37184406538436671</c:v>
                </c:pt>
                <c:pt idx="14">
                  <c:v>0.31244556230782872</c:v>
                </c:pt>
                <c:pt idx="15">
                  <c:v>0.24417038480550646</c:v>
                </c:pt>
                <c:pt idx="16">
                  <c:v>0.20556581855263883</c:v>
                </c:pt>
                <c:pt idx="17">
                  <c:v>0.21457999962576479</c:v>
                </c:pt>
                <c:pt idx="18">
                  <c:v>0.29807006058997421</c:v>
                </c:pt>
                <c:pt idx="19">
                  <c:v>0.36991929348062219</c:v>
                </c:pt>
                <c:pt idx="20">
                  <c:v>0.4400716601117004</c:v>
                </c:pt>
                <c:pt idx="21">
                  <c:v>0.46447284321432875</c:v>
                </c:pt>
                <c:pt idx="22">
                  <c:v>0.44275061328147369</c:v>
                </c:pt>
                <c:pt idx="23">
                  <c:v>0.45454731231654566</c:v>
                </c:pt>
                <c:pt idx="24">
                  <c:v>0.47314593835391006</c:v>
                </c:pt>
                <c:pt idx="25">
                  <c:v>0.50387196853615923</c:v>
                </c:pt>
                <c:pt idx="26">
                  <c:v>0.53737034666545846</c:v>
                </c:pt>
                <c:pt idx="27">
                  <c:v>0.59133705434094397</c:v>
                </c:pt>
                <c:pt idx="28">
                  <c:v>0.66118182815185222</c:v>
                </c:pt>
                <c:pt idx="29">
                  <c:v>0.68652914180923319</c:v>
                </c:pt>
                <c:pt idx="30">
                  <c:v>0.68052070755042304</c:v>
                </c:pt>
                <c:pt idx="31">
                  <c:v>0.68366192925321712</c:v>
                </c:pt>
                <c:pt idx="32">
                  <c:v>0.68119256511805348</c:v>
                </c:pt>
                <c:pt idx="33">
                  <c:v>0.72501923187870942</c:v>
                </c:pt>
                <c:pt idx="34">
                  <c:v>0.75449141217327242</c:v>
                </c:pt>
                <c:pt idx="35">
                  <c:v>0.7790389100679993</c:v>
                </c:pt>
                <c:pt idx="36">
                  <c:v>0.77655839211787048</c:v>
                </c:pt>
                <c:pt idx="37">
                  <c:v>0.78160800548129761</c:v>
                </c:pt>
                <c:pt idx="38">
                  <c:v>0.76497950523919911</c:v>
                </c:pt>
                <c:pt idx="39">
                  <c:v>0.75764740142035436</c:v>
                </c:pt>
                <c:pt idx="40">
                  <c:v>0.74515724646964876</c:v>
                </c:pt>
                <c:pt idx="41">
                  <c:v>0.73953503242666041</c:v>
                </c:pt>
                <c:pt idx="42">
                  <c:v>0.73301641415919427</c:v>
                </c:pt>
                <c:pt idx="43">
                  <c:v>0.65698516465895695</c:v>
                </c:pt>
                <c:pt idx="44">
                  <c:v>0.5910147037650616</c:v>
                </c:pt>
                <c:pt idx="45">
                  <c:v>0.54196765932351842</c:v>
                </c:pt>
                <c:pt idx="46">
                  <c:v>0.54353058811760302</c:v>
                </c:pt>
                <c:pt idx="47">
                  <c:v>0.4886120614194534</c:v>
                </c:pt>
                <c:pt idx="48">
                  <c:v>0.42423354513330142</c:v>
                </c:pt>
                <c:pt idx="49">
                  <c:v>0.34430085720196363</c:v>
                </c:pt>
                <c:pt idx="50">
                  <c:v>0.30941961535342283</c:v>
                </c:pt>
                <c:pt idx="51">
                  <c:v>0.29469795523690479</c:v>
                </c:pt>
                <c:pt idx="52">
                  <c:v>0.27092007761679121</c:v>
                </c:pt>
                <c:pt idx="53">
                  <c:v>0.24261395261653385</c:v>
                </c:pt>
                <c:pt idx="54">
                  <c:v>0.2387461953649658</c:v>
                </c:pt>
                <c:pt idx="55">
                  <c:v>0.26384430903328332</c:v>
                </c:pt>
                <c:pt idx="56">
                  <c:v>0.32157465050059614</c:v>
                </c:pt>
                <c:pt idx="57">
                  <c:v>0.35960840531982702</c:v>
                </c:pt>
                <c:pt idx="58">
                  <c:v>0.36434630895364112</c:v>
                </c:pt>
                <c:pt idx="59">
                  <c:v>0.37379222381731414</c:v>
                </c:pt>
                <c:pt idx="60">
                  <c:v>0.36574417954062483</c:v>
                </c:pt>
                <c:pt idx="61">
                  <c:v>0.38848817840482064</c:v>
                </c:pt>
                <c:pt idx="62">
                  <c:v>0.40197537281054219</c:v>
                </c:pt>
                <c:pt idx="63">
                  <c:v>0.42220593671091211</c:v>
                </c:pt>
                <c:pt idx="64">
                  <c:v>0.44195635518999254</c:v>
                </c:pt>
                <c:pt idx="65">
                  <c:v>0.46165952499811719</c:v>
                </c:pt>
                <c:pt idx="66">
                  <c:v>0.46390339944471326</c:v>
                </c:pt>
                <c:pt idx="67">
                  <c:v>0.45360154670497976</c:v>
                </c:pt>
                <c:pt idx="68">
                  <c:v>0.44373621217153153</c:v>
                </c:pt>
                <c:pt idx="69">
                  <c:v>0.47322320858968692</c:v>
                </c:pt>
                <c:pt idx="70">
                  <c:v>0.48667387982181193</c:v>
                </c:pt>
                <c:pt idx="71">
                  <c:v>0.52735370696146822</c:v>
                </c:pt>
                <c:pt idx="72">
                  <c:v>0.58345715642597973</c:v>
                </c:pt>
                <c:pt idx="73">
                  <c:v>0.62842499362306126</c:v>
                </c:pt>
                <c:pt idx="74">
                  <c:v>0.66010606322055765</c:v>
                </c:pt>
                <c:pt idx="75">
                  <c:v>0.66701593615883337</c:v>
                </c:pt>
                <c:pt idx="76">
                  <c:v>0.68218242103611915</c:v>
                </c:pt>
                <c:pt idx="77">
                  <c:v>0.66767428810108964</c:v>
                </c:pt>
                <c:pt idx="78">
                  <c:v>0.66438870455961363</c:v>
                </c:pt>
                <c:pt idx="79">
                  <c:v>0.64070745198315626</c:v>
                </c:pt>
                <c:pt idx="80">
                  <c:v>0.64249694149379677</c:v>
                </c:pt>
                <c:pt idx="81">
                  <c:v>0.63199120033082912</c:v>
                </c:pt>
                <c:pt idx="82">
                  <c:v>0.63432096374477553</c:v>
                </c:pt>
                <c:pt idx="83">
                  <c:v>0.66652421672379936</c:v>
                </c:pt>
                <c:pt idx="84">
                  <c:v>0.71290919479656634</c:v>
                </c:pt>
                <c:pt idx="85">
                  <c:v>0.73804646624823411</c:v>
                </c:pt>
                <c:pt idx="86">
                  <c:v>0.71383548867525459</c:v>
                </c:pt>
                <c:pt idx="87">
                  <c:v>0.67672805746307507</c:v>
                </c:pt>
                <c:pt idx="88">
                  <c:v>0.63567478279008116</c:v>
                </c:pt>
                <c:pt idx="89">
                  <c:v>0.64443002475069922</c:v>
                </c:pt>
                <c:pt idx="90">
                  <c:v>0.65625987320773038</c:v>
                </c:pt>
                <c:pt idx="91">
                  <c:v>0.67257758352579555</c:v>
                </c:pt>
                <c:pt idx="92">
                  <c:v>0.67763920278775192</c:v>
                </c:pt>
                <c:pt idx="93">
                  <c:v>0.64794666743195473</c:v>
                </c:pt>
                <c:pt idx="94">
                  <c:v>0.6092081759746788</c:v>
                </c:pt>
                <c:pt idx="95">
                  <c:v>0.55301110627985095</c:v>
                </c:pt>
                <c:pt idx="96">
                  <c:v>0.5019342045901769</c:v>
                </c:pt>
                <c:pt idx="97">
                  <c:v>0.42644397887380137</c:v>
                </c:pt>
                <c:pt idx="98">
                  <c:v>0.38632580411895723</c:v>
                </c:pt>
                <c:pt idx="99">
                  <c:v>0.34534613947323234</c:v>
                </c:pt>
                <c:pt idx="100">
                  <c:v>0.34406337659832087</c:v>
                </c:pt>
                <c:pt idx="101">
                  <c:v>0.35482107678848851</c:v>
                </c:pt>
                <c:pt idx="102">
                  <c:v>0.36245883903227805</c:v>
                </c:pt>
                <c:pt idx="103">
                  <c:v>0.361426838844499</c:v>
                </c:pt>
                <c:pt idx="104">
                  <c:v>0.34271641548374976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31-4386-AAD4-5FA0732B9648}"/>
            </c:ext>
          </c:extLst>
        </c:ser>
        <c:ser>
          <c:idx val="1"/>
          <c:order val="1"/>
          <c:tx>
            <c:strRef>
              <c:f>'面板-景气指数'!$A$80</c:f>
              <c:strCache>
                <c:ptCount val="1"/>
                <c:pt idx="0">
                  <c:v>化学原料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'面板-景气指数'!$F$80:$DF$80</c:f>
              <c:numCache>
                <c:formatCode>0.0%</c:formatCode>
                <c:ptCount val="105"/>
                <c:pt idx="0">
                  <c:v>0.1824859297191504</c:v>
                </c:pt>
                <c:pt idx="1">
                  <c:v>0.20795961860169754</c:v>
                </c:pt>
                <c:pt idx="2">
                  <c:v>0.29723608428336012</c:v>
                </c:pt>
                <c:pt idx="3">
                  <c:v>0.42062728328068061</c:v>
                </c:pt>
                <c:pt idx="4">
                  <c:v>0.45510972352235207</c:v>
                </c:pt>
                <c:pt idx="5">
                  <c:v>0.3746793477880902</c:v>
                </c:pt>
                <c:pt idx="6">
                  <c:v>0.2758753982976771</c:v>
                </c:pt>
                <c:pt idx="7">
                  <c:v>0.23924694325770124</c:v>
                </c:pt>
                <c:pt idx="8">
                  <c:v>0.29206042052485642</c:v>
                </c:pt>
                <c:pt idx="9">
                  <c:v>0.32602118646485473</c:v>
                </c:pt>
                <c:pt idx="10">
                  <c:v>0.40729761898927569</c:v>
                </c:pt>
                <c:pt idx="11">
                  <c:v>0.44121274619960577</c:v>
                </c:pt>
                <c:pt idx="12">
                  <c:v>0.42826653032047091</c:v>
                </c:pt>
                <c:pt idx="13">
                  <c:v>0.3723111046524108</c:v>
                </c:pt>
                <c:pt idx="14">
                  <c:v>0.25679511341742967</c:v>
                </c:pt>
                <c:pt idx="15">
                  <c:v>0.19831738166554749</c:v>
                </c:pt>
                <c:pt idx="16">
                  <c:v>0.18237676724022014</c:v>
                </c:pt>
                <c:pt idx="17">
                  <c:v>0.21958492019304987</c:v>
                </c:pt>
                <c:pt idx="18">
                  <c:v>0.26119680571751075</c:v>
                </c:pt>
                <c:pt idx="19">
                  <c:v>0.25601309293159091</c:v>
                </c:pt>
                <c:pt idx="20">
                  <c:v>0.24160300195369902</c:v>
                </c:pt>
                <c:pt idx="21">
                  <c:v>0.20960187790324869</c:v>
                </c:pt>
                <c:pt idx="22">
                  <c:v>0.17115421790873511</c:v>
                </c:pt>
                <c:pt idx="23">
                  <c:v>0.17636288740126713</c:v>
                </c:pt>
                <c:pt idx="24">
                  <c:v>0.21045211362128793</c:v>
                </c:pt>
                <c:pt idx="25">
                  <c:v>0.25942972230129036</c:v>
                </c:pt>
                <c:pt idx="26">
                  <c:v>0.32812216965819907</c:v>
                </c:pt>
                <c:pt idx="27">
                  <c:v>0.38797551586242063</c:v>
                </c:pt>
                <c:pt idx="28">
                  <c:v>0.50078619484405895</c:v>
                </c:pt>
                <c:pt idx="29">
                  <c:v>0.60201438106637928</c:v>
                </c:pt>
                <c:pt idx="30">
                  <c:v>0.64256711696230329</c:v>
                </c:pt>
                <c:pt idx="31">
                  <c:v>0.63427582254484871</c:v>
                </c:pt>
                <c:pt idx="32">
                  <c:v>0.62609072378327313</c:v>
                </c:pt>
                <c:pt idx="33">
                  <c:v>0.62732345525978661</c:v>
                </c:pt>
                <c:pt idx="34">
                  <c:v>0.64509961552966399</c:v>
                </c:pt>
                <c:pt idx="35">
                  <c:v>0.68245390362798575</c:v>
                </c:pt>
                <c:pt idx="36">
                  <c:v>0.68375406781092229</c:v>
                </c:pt>
                <c:pt idx="37">
                  <c:v>0.68944504179559529</c:v>
                </c:pt>
                <c:pt idx="38">
                  <c:v>0.70103877079532351</c:v>
                </c:pt>
                <c:pt idx="39">
                  <c:v>0.73542409155734778</c:v>
                </c:pt>
                <c:pt idx="40">
                  <c:v>0.78371030795175334</c:v>
                </c:pt>
                <c:pt idx="41">
                  <c:v>0.74822103762926051</c:v>
                </c:pt>
                <c:pt idx="42">
                  <c:v>0.75920033042509061</c:v>
                </c:pt>
                <c:pt idx="43">
                  <c:v>0.667762667639344</c:v>
                </c:pt>
                <c:pt idx="44">
                  <c:v>0.59977501862193794</c:v>
                </c:pt>
                <c:pt idx="45">
                  <c:v>0.53358765541699416</c:v>
                </c:pt>
                <c:pt idx="46">
                  <c:v>0.5962978233298607</c:v>
                </c:pt>
                <c:pt idx="47">
                  <c:v>0.59321701852817232</c:v>
                </c:pt>
                <c:pt idx="48">
                  <c:v>0.52736485261258503</c:v>
                </c:pt>
                <c:pt idx="49">
                  <c:v>0.45851552909894466</c:v>
                </c:pt>
                <c:pt idx="50">
                  <c:v>0.37678232088261587</c:v>
                </c:pt>
                <c:pt idx="51">
                  <c:v>0.29741881461495961</c:v>
                </c:pt>
                <c:pt idx="52">
                  <c:v>0.19910362684013597</c:v>
                </c:pt>
                <c:pt idx="53">
                  <c:v>0.17829847262977885</c:v>
                </c:pt>
                <c:pt idx="54">
                  <c:v>0.20460803003058098</c:v>
                </c:pt>
                <c:pt idx="55">
                  <c:v>0.31322130416272953</c:v>
                </c:pt>
                <c:pt idx="56">
                  <c:v>0.54457488082894112</c:v>
                </c:pt>
                <c:pt idx="57">
                  <c:v>0.62705187993169176</c:v>
                </c:pt>
                <c:pt idx="58">
                  <c:v>0.60763204151748784</c:v>
                </c:pt>
                <c:pt idx="59">
                  <c:v>0.55079916838039311</c:v>
                </c:pt>
                <c:pt idx="60">
                  <c:v>0.43486758561611061</c:v>
                </c:pt>
                <c:pt idx="61">
                  <c:v>0.4235202280104407</c:v>
                </c:pt>
                <c:pt idx="62">
                  <c:v>0.46836089197478203</c:v>
                </c:pt>
                <c:pt idx="63">
                  <c:v>0.53621207110726732</c:v>
                </c:pt>
                <c:pt idx="64">
                  <c:v>0.53637062326551266</c:v>
                </c:pt>
                <c:pt idx="65">
                  <c:v>0.52686152067187086</c:v>
                </c:pt>
                <c:pt idx="66">
                  <c:v>0.49938591327432069</c:v>
                </c:pt>
                <c:pt idx="67">
                  <c:v>0.53665530737337608</c:v>
                </c:pt>
                <c:pt idx="68">
                  <c:v>0.56930085397208585</c:v>
                </c:pt>
                <c:pt idx="69">
                  <c:v>0.56861118840286673</c:v>
                </c:pt>
                <c:pt idx="70">
                  <c:v>0.52262880802751188</c:v>
                </c:pt>
                <c:pt idx="71">
                  <c:v>0.49687494213915018</c:v>
                </c:pt>
                <c:pt idx="72">
                  <c:v>0.50060412725793479</c:v>
                </c:pt>
                <c:pt idx="73">
                  <c:v>0.58815814435626079</c:v>
                </c:pt>
                <c:pt idx="74">
                  <c:v>0.70879992172550232</c:v>
                </c:pt>
                <c:pt idx="75">
                  <c:v>0.74735785452411041</c:v>
                </c:pt>
                <c:pt idx="76">
                  <c:v>0.7606372853530956</c:v>
                </c:pt>
                <c:pt idx="77">
                  <c:v>0.70479191611026559</c:v>
                </c:pt>
                <c:pt idx="78">
                  <c:v>0.62779039128381209</c:v>
                </c:pt>
                <c:pt idx="79">
                  <c:v>0.58297293089472535</c:v>
                </c:pt>
                <c:pt idx="80">
                  <c:v>0.57788653514578925</c:v>
                </c:pt>
                <c:pt idx="81">
                  <c:v>0.50179573573458547</c:v>
                </c:pt>
                <c:pt idx="82">
                  <c:v>0.47907398579056309</c:v>
                </c:pt>
                <c:pt idx="83">
                  <c:v>0.55651238101783085</c:v>
                </c:pt>
                <c:pt idx="84">
                  <c:v>0.77792130374650659</c:v>
                </c:pt>
                <c:pt idx="85">
                  <c:v>0.80792483635637702</c:v>
                </c:pt>
                <c:pt idx="86">
                  <c:v>0.78077464092271842</c:v>
                </c:pt>
                <c:pt idx="87">
                  <c:v>0.7108154560946498</c:v>
                </c:pt>
                <c:pt idx="88">
                  <c:v>0.63595660196396109</c:v>
                </c:pt>
                <c:pt idx="89">
                  <c:v>0.68199637879287367</c:v>
                </c:pt>
                <c:pt idx="90">
                  <c:v>0.77259172903321305</c:v>
                </c:pt>
                <c:pt idx="91">
                  <c:v>0.83240700289950131</c:v>
                </c:pt>
                <c:pt idx="92">
                  <c:v>0.86321002741105934</c:v>
                </c:pt>
                <c:pt idx="93">
                  <c:v>0.85962107640151131</c:v>
                </c:pt>
                <c:pt idx="94">
                  <c:v>0.83099279422621108</c:v>
                </c:pt>
                <c:pt idx="95">
                  <c:v>0.78388226823827345</c:v>
                </c:pt>
                <c:pt idx="96">
                  <c:v>0.71275235608272758</c:v>
                </c:pt>
                <c:pt idx="97">
                  <c:v>0.60187059492627659</c:v>
                </c:pt>
                <c:pt idx="98">
                  <c:v>0.45608548257641707</c:v>
                </c:pt>
                <c:pt idx="99">
                  <c:v>0.33301519315444611</c:v>
                </c:pt>
                <c:pt idx="100">
                  <c:v>0.28412527310783864</c:v>
                </c:pt>
                <c:pt idx="101">
                  <c:v>0.3114767876713016</c:v>
                </c:pt>
                <c:pt idx="102">
                  <c:v>0.34366165570314228</c:v>
                </c:pt>
                <c:pt idx="103">
                  <c:v>0.33599331463126364</c:v>
                </c:pt>
                <c:pt idx="104">
                  <c:v>0.2607903816979637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31-4386-AAD4-5FA0732B9648}"/>
            </c:ext>
          </c:extLst>
        </c:ser>
        <c:ser>
          <c:idx val="2"/>
          <c:order val="2"/>
          <c:tx>
            <c:strRef>
              <c:f>'面板-景气指数'!$A$81</c:f>
              <c:strCache>
                <c:ptCount val="1"/>
                <c:pt idx="0">
                  <c:v>化学制品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'面板-景气指数'!$F$81:$DF$81</c:f>
              <c:numCache>
                <c:formatCode>0.0%</c:formatCode>
                <c:ptCount val="105"/>
                <c:pt idx="0">
                  <c:v>0.4259358020726472</c:v>
                </c:pt>
                <c:pt idx="1">
                  <c:v>0.41680277413118588</c:v>
                </c:pt>
                <c:pt idx="2">
                  <c:v>0.41128873752683809</c:v>
                </c:pt>
                <c:pt idx="3">
                  <c:v>0.41017548718412938</c:v>
                </c:pt>
                <c:pt idx="4">
                  <c:v>0.42633869771980465</c:v>
                </c:pt>
                <c:pt idx="5">
                  <c:v>0.42260676433578898</c:v>
                </c:pt>
                <c:pt idx="6">
                  <c:v>0.42070918782639111</c:v>
                </c:pt>
                <c:pt idx="7">
                  <c:v>0.42023230929370708</c:v>
                </c:pt>
                <c:pt idx="8">
                  <c:v>0.43956780385939032</c:v>
                </c:pt>
                <c:pt idx="9">
                  <c:v>0.46186903540404434</c:v>
                </c:pt>
                <c:pt idx="10">
                  <c:v>0.46975869814091709</c:v>
                </c:pt>
                <c:pt idx="11">
                  <c:v>0.47738168519050395</c:v>
                </c:pt>
                <c:pt idx="12">
                  <c:v>0.47729161466863168</c:v>
                </c:pt>
                <c:pt idx="13">
                  <c:v>0.49350505920794646</c:v>
                </c:pt>
                <c:pt idx="14">
                  <c:v>0.35189795904698518</c:v>
                </c:pt>
                <c:pt idx="15">
                  <c:v>0.25130973863996547</c:v>
                </c:pt>
                <c:pt idx="16">
                  <c:v>0.19089474353108793</c:v>
                </c:pt>
                <c:pt idx="17">
                  <c:v>0.19736906702306775</c:v>
                </c:pt>
                <c:pt idx="18">
                  <c:v>0.24197406061727877</c:v>
                </c:pt>
                <c:pt idx="19">
                  <c:v>0.30374764958955519</c:v>
                </c:pt>
                <c:pt idx="20">
                  <c:v>0.37804273950089168</c:v>
                </c:pt>
                <c:pt idx="21">
                  <c:v>0.38719533298349001</c:v>
                </c:pt>
                <c:pt idx="22">
                  <c:v>0.38568923961207874</c:v>
                </c:pt>
                <c:pt idx="23">
                  <c:v>0.42013492977804512</c:v>
                </c:pt>
                <c:pt idx="24">
                  <c:v>0.43835572305050713</c:v>
                </c:pt>
                <c:pt idx="25">
                  <c:v>0.45259149112520419</c:v>
                </c:pt>
                <c:pt idx="26">
                  <c:v>0.46630938965223029</c:v>
                </c:pt>
                <c:pt idx="27">
                  <c:v>0.50113258140155503</c:v>
                </c:pt>
                <c:pt idx="28">
                  <c:v>0.53436044873644861</c:v>
                </c:pt>
                <c:pt idx="29">
                  <c:v>0.56186637053790878</c:v>
                </c:pt>
                <c:pt idx="30">
                  <c:v>0.55581234522500411</c:v>
                </c:pt>
                <c:pt idx="31">
                  <c:v>0.55877568277119516</c:v>
                </c:pt>
                <c:pt idx="32">
                  <c:v>0.54940829794925383</c:v>
                </c:pt>
                <c:pt idx="33">
                  <c:v>0.60877639881524515</c:v>
                </c:pt>
                <c:pt idx="34">
                  <c:v>0.68222697714194513</c:v>
                </c:pt>
                <c:pt idx="35">
                  <c:v>0.71541635428186956</c:v>
                </c:pt>
                <c:pt idx="36">
                  <c:v>0.72193960690105585</c:v>
                </c:pt>
                <c:pt idx="37">
                  <c:v>0.7383586971632915</c:v>
                </c:pt>
                <c:pt idx="38">
                  <c:v>0.72692323861768382</c:v>
                </c:pt>
                <c:pt idx="39">
                  <c:v>0.69510434470702376</c:v>
                </c:pt>
                <c:pt idx="40">
                  <c:v>0.68171240924177423</c:v>
                </c:pt>
                <c:pt idx="41">
                  <c:v>0.72591891734660829</c:v>
                </c:pt>
                <c:pt idx="42">
                  <c:v>0.78393088574559611</c:v>
                </c:pt>
                <c:pt idx="43">
                  <c:v>0.71443407052629193</c:v>
                </c:pt>
                <c:pt idx="44">
                  <c:v>0.63384344819928917</c:v>
                </c:pt>
                <c:pt idx="45">
                  <c:v>0.55370012238420285</c:v>
                </c:pt>
                <c:pt idx="46">
                  <c:v>0.59026851083686194</c:v>
                </c:pt>
                <c:pt idx="47">
                  <c:v>0.55742778068020515</c:v>
                </c:pt>
                <c:pt idx="48">
                  <c:v>0.50192222033478873</c:v>
                </c:pt>
                <c:pt idx="49">
                  <c:v>0.37766964163155797</c:v>
                </c:pt>
                <c:pt idx="50">
                  <c:v>0.30996611312482791</c:v>
                </c:pt>
                <c:pt idx="51">
                  <c:v>0.30133715815347495</c:v>
                </c:pt>
                <c:pt idx="52">
                  <c:v>0.28155186908759977</c:v>
                </c:pt>
                <c:pt idx="53">
                  <c:v>0.2133633502007849</c:v>
                </c:pt>
                <c:pt idx="54">
                  <c:v>0.1887781339616541</c:v>
                </c:pt>
                <c:pt idx="55">
                  <c:v>0.20734780157819571</c:v>
                </c:pt>
                <c:pt idx="56">
                  <c:v>0.26409793728523728</c:v>
                </c:pt>
                <c:pt idx="57">
                  <c:v>0.33462559958692101</c:v>
                </c:pt>
                <c:pt idx="58">
                  <c:v>0.34581288822252904</c:v>
                </c:pt>
                <c:pt idx="59">
                  <c:v>0.35278607809165891</c:v>
                </c:pt>
                <c:pt idx="60">
                  <c:v>0.32888094640241888</c:v>
                </c:pt>
                <c:pt idx="61">
                  <c:v>0.32594694001950475</c:v>
                </c:pt>
                <c:pt idx="62">
                  <c:v>0.32619056197999258</c:v>
                </c:pt>
                <c:pt idx="63">
                  <c:v>0.34630930010424699</c:v>
                </c:pt>
                <c:pt idx="64">
                  <c:v>0.37921339430468143</c:v>
                </c:pt>
                <c:pt idx="65">
                  <c:v>0.41544231059442349</c:v>
                </c:pt>
                <c:pt idx="66">
                  <c:v>0.4380728344757101</c:v>
                </c:pt>
                <c:pt idx="67">
                  <c:v>0.42763476166240844</c:v>
                </c:pt>
                <c:pt idx="68">
                  <c:v>0.41576401660844203</c:v>
                </c:pt>
                <c:pt idx="69">
                  <c:v>0.4318061372611699</c:v>
                </c:pt>
                <c:pt idx="70">
                  <c:v>0.44936487397182917</c:v>
                </c:pt>
                <c:pt idx="71">
                  <c:v>0.51188476041877939</c:v>
                </c:pt>
                <c:pt idx="72">
                  <c:v>0.54927848711434035</c:v>
                </c:pt>
                <c:pt idx="73">
                  <c:v>0.59898755053381125</c:v>
                </c:pt>
                <c:pt idx="74">
                  <c:v>0.63476158604421062</c:v>
                </c:pt>
                <c:pt idx="75">
                  <c:v>0.66620052558661158</c:v>
                </c:pt>
                <c:pt idx="76">
                  <c:v>0.69533834677121742</c:v>
                </c:pt>
                <c:pt idx="77">
                  <c:v>0.68720702760295982</c:v>
                </c:pt>
                <c:pt idx="78">
                  <c:v>0.71275525119303584</c:v>
                </c:pt>
                <c:pt idx="79">
                  <c:v>0.67893318315800266</c:v>
                </c:pt>
                <c:pt idx="80">
                  <c:v>0.67972645594253589</c:v>
                </c:pt>
                <c:pt idx="81">
                  <c:v>0.67761078987331158</c:v>
                </c:pt>
                <c:pt idx="82">
                  <c:v>0.71562363976694732</c:v>
                </c:pt>
                <c:pt idx="83">
                  <c:v>0.74265099563126935</c:v>
                </c:pt>
                <c:pt idx="84">
                  <c:v>0.78447951414926564</c:v>
                </c:pt>
                <c:pt idx="85">
                  <c:v>0.85304952498384812</c:v>
                </c:pt>
                <c:pt idx="86">
                  <c:v>0.83636811102276054</c:v>
                </c:pt>
                <c:pt idx="87">
                  <c:v>0.81139241633994208</c:v>
                </c:pt>
                <c:pt idx="88">
                  <c:v>0.81573242170855109</c:v>
                </c:pt>
                <c:pt idx="89">
                  <c:v>0.84116061419644184</c:v>
                </c:pt>
                <c:pt idx="90">
                  <c:v>0.77119821954365586</c:v>
                </c:pt>
                <c:pt idx="91">
                  <c:v>0.70490573163791237</c:v>
                </c:pt>
                <c:pt idx="92">
                  <c:v>0.6615423240302778</c:v>
                </c:pt>
                <c:pt idx="93">
                  <c:v>0.63820171198951048</c:v>
                </c:pt>
                <c:pt idx="94">
                  <c:v>0.62404399162912327</c:v>
                </c:pt>
                <c:pt idx="95">
                  <c:v>0.58130421033217805</c:v>
                </c:pt>
                <c:pt idx="96">
                  <c:v>0.52236686577075331</c:v>
                </c:pt>
                <c:pt idx="97">
                  <c:v>0.40199382621462038</c:v>
                </c:pt>
                <c:pt idx="98">
                  <c:v>0.35714522346092237</c:v>
                </c:pt>
                <c:pt idx="99">
                  <c:v>0.31312959434295989</c:v>
                </c:pt>
                <c:pt idx="100">
                  <c:v>0.28707349753366301</c:v>
                </c:pt>
                <c:pt idx="101">
                  <c:v>0.28221801760382997</c:v>
                </c:pt>
                <c:pt idx="102">
                  <c:v>0.26825406006351743</c:v>
                </c:pt>
                <c:pt idx="103">
                  <c:v>0.27426937513877181</c:v>
                </c:pt>
                <c:pt idx="104">
                  <c:v>0.26227542655886515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31-4386-AAD4-5FA0732B9648}"/>
            </c:ext>
          </c:extLst>
        </c:ser>
        <c:ser>
          <c:idx val="3"/>
          <c:order val="3"/>
          <c:tx>
            <c:strRef>
              <c:f>'面板-景气指数'!$A$82</c:f>
              <c:strCache>
                <c:ptCount val="1"/>
                <c:pt idx="0">
                  <c:v>化学纤维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'面板-景气指数'!$F$82:$DF$82</c:f>
              <c:numCache>
                <c:formatCode>0.0%</c:formatCode>
                <c:ptCount val="105"/>
                <c:pt idx="0">
                  <c:v>0.17956416863079019</c:v>
                </c:pt>
                <c:pt idx="1">
                  <c:v>0.23128572136857806</c:v>
                </c:pt>
                <c:pt idx="2">
                  <c:v>0.28394681060419813</c:v>
                </c:pt>
                <c:pt idx="3">
                  <c:v>0.39312125477794319</c:v>
                </c:pt>
                <c:pt idx="4">
                  <c:v>0.38647575714657362</c:v>
                </c:pt>
                <c:pt idx="5">
                  <c:v>0.35180370151408441</c:v>
                </c:pt>
                <c:pt idx="6">
                  <c:v>0.35297445574850295</c:v>
                </c:pt>
                <c:pt idx="7">
                  <c:v>0.367370843936769</c:v>
                </c:pt>
                <c:pt idx="8">
                  <c:v>0.45952144137658574</c:v>
                </c:pt>
                <c:pt idx="9">
                  <c:v>0.47379862537113082</c:v>
                </c:pt>
                <c:pt idx="10">
                  <c:v>0.43782745583561988</c:v>
                </c:pt>
                <c:pt idx="11">
                  <c:v>0.36500180167801766</c:v>
                </c:pt>
                <c:pt idx="12">
                  <c:v>0.33085056056529655</c:v>
                </c:pt>
                <c:pt idx="13">
                  <c:v>0.34074645808763948</c:v>
                </c:pt>
                <c:pt idx="14">
                  <c:v>0.3202906102728455</c:v>
                </c:pt>
                <c:pt idx="15">
                  <c:v>0.27972698035242355</c:v>
                </c:pt>
                <c:pt idx="16">
                  <c:v>0.27188516900108217</c:v>
                </c:pt>
                <c:pt idx="17">
                  <c:v>0.29229390881392481</c:v>
                </c:pt>
                <c:pt idx="18">
                  <c:v>0.27907885303941565</c:v>
                </c:pt>
                <c:pt idx="19">
                  <c:v>0.30694464239450769</c:v>
                </c:pt>
                <c:pt idx="20">
                  <c:v>0.35626004455252497</c:v>
                </c:pt>
                <c:pt idx="21">
                  <c:v>0.43421960137142901</c:v>
                </c:pt>
                <c:pt idx="22">
                  <c:v>0.41705940946155284</c:v>
                </c:pt>
                <c:pt idx="23">
                  <c:v>0.47244885886271959</c:v>
                </c:pt>
                <c:pt idx="24">
                  <c:v>0.53713266359364531</c:v>
                </c:pt>
                <c:pt idx="25">
                  <c:v>0.54588080770026959</c:v>
                </c:pt>
                <c:pt idx="26">
                  <c:v>0.50865619143521401</c:v>
                </c:pt>
                <c:pt idx="27">
                  <c:v>0.47888111518815613</c:v>
                </c:pt>
                <c:pt idx="28">
                  <c:v>0.61050599582683507</c:v>
                </c:pt>
                <c:pt idx="29">
                  <c:v>0.55615157920911595</c:v>
                </c:pt>
                <c:pt idx="30">
                  <c:v>0.47740220845673398</c:v>
                </c:pt>
                <c:pt idx="31">
                  <c:v>0.55750325200113915</c:v>
                </c:pt>
                <c:pt idx="32">
                  <c:v>0.57987420255453648</c:v>
                </c:pt>
                <c:pt idx="33">
                  <c:v>0.69497137654831254</c:v>
                </c:pt>
                <c:pt idx="34">
                  <c:v>0.68237113624806733</c:v>
                </c:pt>
                <c:pt idx="35">
                  <c:v>0.72481580026651238</c:v>
                </c:pt>
                <c:pt idx="36">
                  <c:v>0.69616594309826085</c:v>
                </c:pt>
                <c:pt idx="37">
                  <c:v>0.70419951540868853</c:v>
                </c:pt>
                <c:pt idx="38">
                  <c:v>0.66479838836045912</c:v>
                </c:pt>
                <c:pt idx="39">
                  <c:v>0.67637007186115239</c:v>
                </c:pt>
                <c:pt idx="40">
                  <c:v>0.62978894845174105</c:v>
                </c:pt>
                <c:pt idx="41">
                  <c:v>0.60959690982299286</c:v>
                </c:pt>
                <c:pt idx="42">
                  <c:v>0.54870804980583865</c:v>
                </c:pt>
                <c:pt idx="43">
                  <c:v>0.4238915826977212</c:v>
                </c:pt>
                <c:pt idx="44">
                  <c:v>0.39370439343155145</c:v>
                </c:pt>
                <c:pt idx="45">
                  <c:v>0.44557084574813788</c:v>
                </c:pt>
                <c:pt idx="46">
                  <c:v>0.46126279852760921</c:v>
                </c:pt>
                <c:pt idx="47">
                  <c:v>0.40654102185274571</c:v>
                </c:pt>
                <c:pt idx="48">
                  <c:v>0.34487733356809347</c:v>
                </c:pt>
                <c:pt idx="49">
                  <c:v>0.32278224837307179</c:v>
                </c:pt>
                <c:pt idx="50">
                  <c:v>0.34489927520532965</c:v>
                </c:pt>
                <c:pt idx="51">
                  <c:v>0.37540601073576907</c:v>
                </c:pt>
                <c:pt idx="52">
                  <c:v>0.36129851077338948</c:v>
                </c:pt>
                <c:pt idx="53">
                  <c:v>0.31044366074219126</c:v>
                </c:pt>
                <c:pt idx="54">
                  <c:v>0.23347982315218865</c:v>
                </c:pt>
                <c:pt idx="55">
                  <c:v>0.24337839179783546</c:v>
                </c:pt>
                <c:pt idx="56">
                  <c:v>0.25893176678463753</c:v>
                </c:pt>
                <c:pt idx="57">
                  <c:v>0.2898908983280557</c:v>
                </c:pt>
                <c:pt idx="58">
                  <c:v>0.29251428796773593</c:v>
                </c:pt>
                <c:pt idx="59">
                  <c:v>0.33458276319299374</c:v>
                </c:pt>
                <c:pt idx="60">
                  <c:v>0.36240437668401587</c:v>
                </c:pt>
                <c:pt idx="61">
                  <c:v>0.43970215726836592</c:v>
                </c:pt>
                <c:pt idx="62">
                  <c:v>0.48572297400708481</c:v>
                </c:pt>
                <c:pt idx="63">
                  <c:v>0.55050243400994736</c:v>
                </c:pt>
                <c:pt idx="64">
                  <c:v>0.62592761573770617</c:v>
                </c:pt>
                <c:pt idx="65">
                  <c:v>0.67312376831798748</c:v>
                </c:pt>
                <c:pt idx="66">
                  <c:v>0.7017275252085492</c:v>
                </c:pt>
                <c:pt idx="67">
                  <c:v>0.64994770938400259</c:v>
                </c:pt>
                <c:pt idx="68">
                  <c:v>0.61305040794823562</c:v>
                </c:pt>
                <c:pt idx="69">
                  <c:v>0.67433360551320454</c:v>
                </c:pt>
                <c:pt idx="70">
                  <c:v>0.67691461411919851</c:v>
                </c:pt>
                <c:pt idx="71">
                  <c:v>0.70765299965047668</c:v>
                </c:pt>
                <c:pt idx="72">
                  <c:v>0.81992315245653358</c:v>
                </c:pt>
                <c:pt idx="73">
                  <c:v>0.79708829319849617</c:v>
                </c:pt>
                <c:pt idx="74">
                  <c:v>0.76311211552091196</c:v>
                </c:pt>
                <c:pt idx="75">
                  <c:v>0.67834986390528196</c:v>
                </c:pt>
                <c:pt idx="76">
                  <c:v>0.67443084890262706</c:v>
                </c:pt>
                <c:pt idx="77">
                  <c:v>0.66651954048520545</c:v>
                </c:pt>
                <c:pt idx="78">
                  <c:v>0.65009742164954054</c:v>
                </c:pt>
                <c:pt idx="79">
                  <c:v>0.62682952376562029</c:v>
                </c:pt>
                <c:pt idx="80">
                  <c:v>0.6372825867632681</c:v>
                </c:pt>
                <c:pt idx="81">
                  <c:v>0.64281114287674113</c:v>
                </c:pt>
                <c:pt idx="82">
                  <c:v>0.65790739342138327</c:v>
                </c:pt>
                <c:pt idx="83">
                  <c:v>0.69717249422987293</c:v>
                </c:pt>
                <c:pt idx="84">
                  <c:v>0.71602443410084904</c:v>
                </c:pt>
                <c:pt idx="85">
                  <c:v>0.73724845631661906</c:v>
                </c:pt>
                <c:pt idx="86">
                  <c:v>0.68622145096138576</c:v>
                </c:pt>
                <c:pt idx="87">
                  <c:v>0.6277894805148666</c:v>
                </c:pt>
                <c:pt idx="88">
                  <c:v>0.4980310389873473</c:v>
                </c:pt>
                <c:pt idx="89">
                  <c:v>0.51702163745178076</c:v>
                </c:pt>
                <c:pt idx="90">
                  <c:v>0.61467930645858015</c:v>
                </c:pt>
                <c:pt idx="91">
                  <c:v>0.71063599801540989</c:v>
                </c:pt>
                <c:pt idx="92">
                  <c:v>0.70276363877448245</c:v>
                </c:pt>
                <c:pt idx="93">
                  <c:v>0.66043105287669046</c:v>
                </c:pt>
                <c:pt idx="94">
                  <c:v>0.57375216827903242</c:v>
                </c:pt>
                <c:pt idx="95">
                  <c:v>0.51009170682511051</c:v>
                </c:pt>
                <c:pt idx="96">
                  <c:v>0.471500738127274</c:v>
                </c:pt>
                <c:pt idx="97">
                  <c:v>0.4271558593199305</c:v>
                </c:pt>
                <c:pt idx="98">
                  <c:v>0.4036633343759331</c:v>
                </c:pt>
                <c:pt idx="99">
                  <c:v>0.35043166495066436</c:v>
                </c:pt>
                <c:pt idx="100">
                  <c:v>0.40554589327048435</c:v>
                </c:pt>
                <c:pt idx="101">
                  <c:v>0.4160129003625469</c:v>
                </c:pt>
                <c:pt idx="102">
                  <c:v>0.44385444773232524</c:v>
                </c:pt>
                <c:pt idx="103">
                  <c:v>0.40709053924010258</c:v>
                </c:pt>
                <c:pt idx="104">
                  <c:v>0.37781292329461202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31-4386-AAD4-5FA0732B9648}"/>
            </c:ext>
          </c:extLst>
        </c:ser>
        <c:ser>
          <c:idx val="4"/>
          <c:order val="4"/>
          <c:tx>
            <c:strRef>
              <c:f>'面板-景气指数'!$A$85</c:f>
              <c:strCache>
                <c:ptCount val="1"/>
                <c:pt idx="0">
                  <c:v>农化制品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'面板-景气指数'!$F$85:$DF$85</c:f>
              <c:numCache>
                <c:formatCode>0.0%</c:formatCode>
                <c:ptCount val="105"/>
                <c:pt idx="0">
                  <c:v>0.16357142857142859</c:v>
                </c:pt>
                <c:pt idx="1">
                  <c:v>0.22485714285714284</c:v>
                </c:pt>
                <c:pt idx="2">
                  <c:v>0.39564285714285718</c:v>
                </c:pt>
                <c:pt idx="3">
                  <c:v>0.51957142857142857</c:v>
                </c:pt>
                <c:pt idx="4">
                  <c:v>0.48499999999999993</c:v>
                </c:pt>
                <c:pt idx="5">
                  <c:v>0.3274285714285714</c:v>
                </c:pt>
                <c:pt idx="6">
                  <c:v>0.20671428571428571</c:v>
                </c:pt>
                <c:pt idx="7">
                  <c:v>0.14221428571428571</c:v>
                </c:pt>
                <c:pt idx="8">
                  <c:v>0.21785714285714286</c:v>
                </c:pt>
                <c:pt idx="9">
                  <c:v>0.26792857142857146</c:v>
                </c:pt>
                <c:pt idx="10">
                  <c:v>0.36357142857142855</c:v>
                </c:pt>
                <c:pt idx="11">
                  <c:v>0.37328571428571433</c:v>
                </c:pt>
                <c:pt idx="12">
                  <c:v>0.43035714285714288</c:v>
                </c:pt>
                <c:pt idx="13">
                  <c:v>0.40007142857142852</c:v>
                </c:pt>
                <c:pt idx="14">
                  <c:v>0.3001428571428571</c:v>
                </c:pt>
                <c:pt idx="15">
                  <c:v>0.1207857142857143</c:v>
                </c:pt>
                <c:pt idx="16">
                  <c:v>5.3999999999999992E-2</c:v>
                </c:pt>
                <c:pt idx="17">
                  <c:v>0.11692857142857141</c:v>
                </c:pt>
                <c:pt idx="18">
                  <c:v>0.35721428571428565</c:v>
                </c:pt>
                <c:pt idx="19">
                  <c:v>0.50557142857142867</c:v>
                </c:pt>
                <c:pt idx="20">
                  <c:v>0.58949999999999991</c:v>
                </c:pt>
                <c:pt idx="21">
                  <c:v>0.60092857142857137</c:v>
                </c:pt>
                <c:pt idx="22">
                  <c:v>0.50921428571428573</c:v>
                </c:pt>
                <c:pt idx="23">
                  <c:v>0.44064285714285717</c:v>
                </c:pt>
                <c:pt idx="24">
                  <c:v>0.41771428571428576</c:v>
                </c:pt>
                <c:pt idx="25">
                  <c:v>0.4652142857142858</c:v>
                </c:pt>
                <c:pt idx="26">
                  <c:v>0.57221428571428568</c:v>
                </c:pt>
                <c:pt idx="27">
                  <c:v>0.74885714285714278</c:v>
                </c:pt>
                <c:pt idx="28">
                  <c:v>0.88528571428571412</c:v>
                </c:pt>
                <c:pt idx="29">
                  <c:v>0.93064285714285711</c:v>
                </c:pt>
                <c:pt idx="30">
                  <c:v>0.91235714285714298</c:v>
                </c:pt>
                <c:pt idx="31">
                  <c:v>0.85957142857142854</c:v>
                </c:pt>
                <c:pt idx="32">
                  <c:v>0.8622142857142856</c:v>
                </c:pt>
                <c:pt idx="33">
                  <c:v>0.90357142857142847</c:v>
                </c:pt>
                <c:pt idx="34">
                  <c:v>0.91378571428571409</c:v>
                </c:pt>
                <c:pt idx="35">
                  <c:v>0.92807142857142844</c:v>
                </c:pt>
                <c:pt idx="36">
                  <c:v>0.94621428571428567</c:v>
                </c:pt>
                <c:pt idx="37">
                  <c:v>0.96778571428571403</c:v>
                </c:pt>
                <c:pt idx="38">
                  <c:v>0.96814285714285697</c:v>
                </c:pt>
                <c:pt idx="39">
                  <c:v>0.94885714285714273</c:v>
                </c:pt>
                <c:pt idx="40">
                  <c:v>0.91414285714285703</c:v>
                </c:pt>
                <c:pt idx="41">
                  <c:v>0.8619285714285716</c:v>
                </c:pt>
                <c:pt idx="42">
                  <c:v>0.78828571428571448</c:v>
                </c:pt>
                <c:pt idx="43">
                  <c:v>0.72014285714285708</c:v>
                </c:pt>
                <c:pt idx="44">
                  <c:v>0.63021428571428562</c:v>
                </c:pt>
                <c:pt idx="45">
                  <c:v>0.58592857142857147</c:v>
                </c:pt>
                <c:pt idx="46">
                  <c:v>0.53814285714285703</c:v>
                </c:pt>
                <c:pt idx="47">
                  <c:v>0.4601428571428573</c:v>
                </c:pt>
                <c:pt idx="48">
                  <c:v>0.39321428571428574</c:v>
                </c:pt>
                <c:pt idx="49">
                  <c:v>0.3268571428571429</c:v>
                </c:pt>
                <c:pt idx="50">
                  <c:v>0.29892857142857143</c:v>
                </c:pt>
                <c:pt idx="51">
                  <c:v>0.26307142857142862</c:v>
                </c:pt>
                <c:pt idx="52">
                  <c:v>0.22764285714285715</c:v>
                </c:pt>
                <c:pt idx="53">
                  <c:v>0.23385714285714282</c:v>
                </c:pt>
                <c:pt idx="54">
                  <c:v>0.28607142857142864</c:v>
                </c:pt>
                <c:pt idx="55">
                  <c:v>0.28142857142857142</c:v>
                </c:pt>
                <c:pt idx="56">
                  <c:v>0.28057142857142853</c:v>
                </c:pt>
                <c:pt idx="57">
                  <c:v>0.2330714285714286</c:v>
                </c:pt>
                <c:pt idx="58">
                  <c:v>0.20721428571428571</c:v>
                </c:pt>
                <c:pt idx="59">
                  <c:v>0.21985714285714283</c:v>
                </c:pt>
                <c:pt idx="60">
                  <c:v>0.27421428571428574</c:v>
                </c:pt>
                <c:pt idx="61">
                  <c:v>0.35742857142857148</c:v>
                </c:pt>
                <c:pt idx="62">
                  <c:v>0.40742857142857142</c:v>
                </c:pt>
                <c:pt idx="63">
                  <c:v>0.43157142857142855</c:v>
                </c:pt>
                <c:pt idx="64">
                  <c:v>0.46178571428571424</c:v>
                </c:pt>
                <c:pt idx="65">
                  <c:v>0.51107142857142862</c:v>
                </c:pt>
                <c:pt idx="66">
                  <c:v>0.49728571428571428</c:v>
                </c:pt>
                <c:pt idx="67">
                  <c:v>0.48035714285714293</c:v>
                </c:pt>
                <c:pt idx="68">
                  <c:v>0.46500000000000008</c:v>
                </c:pt>
                <c:pt idx="69">
                  <c:v>0.54842857142857149</c:v>
                </c:pt>
                <c:pt idx="70">
                  <c:v>0.61978571428571416</c:v>
                </c:pt>
                <c:pt idx="71">
                  <c:v>0.67407142857142865</c:v>
                </c:pt>
                <c:pt idx="72">
                  <c:v>0.72678571428571426</c:v>
                </c:pt>
                <c:pt idx="73">
                  <c:v>0.72964285714285715</c:v>
                </c:pt>
                <c:pt idx="74">
                  <c:v>0.71978571428571447</c:v>
                </c:pt>
                <c:pt idx="75">
                  <c:v>0.69421428571428578</c:v>
                </c:pt>
                <c:pt idx="76">
                  <c:v>0.69592857142857134</c:v>
                </c:pt>
                <c:pt idx="77">
                  <c:v>0.6746428571428571</c:v>
                </c:pt>
                <c:pt idx="78">
                  <c:v>0.67135714285714276</c:v>
                </c:pt>
                <c:pt idx="79">
                  <c:v>0.65450000000000008</c:v>
                </c:pt>
                <c:pt idx="80">
                  <c:v>0.65192857142857141</c:v>
                </c:pt>
                <c:pt idx="81">
                  <c:v>0.65014285714285724</c:v>
                </c:pt>
                <c:pt idx="82">
                  <c:v>0.6706428571428571</c:v>
                </c:pt>
                <c:pt idx="83">
                  <c:v>0.71785714285714275</c:v>
                </c:pt>
                <c:pt idx="84">
                  <c:v>0.70471428571428574</c:v>
                </c:pt>
                <c:pt idx="85">
                  <c:v>0.6865</c:v>
                </c:pt>
                <c:pt idx="86">
                  <c:v>0.65500000000000003</c:v>
                </c:pt>
                <c:pt idx="87">
                  <c:v>0.61964285714285705</c:v>
                </c:pt>
                <c:pt idx="88">
                  <c:v>0.57735714285714279</c:v>
                </c:pt>
                <c:pt idx="89">
                  <c:v>0.52492857142857141</c:v>
                </c:pt>
                <c:pt idx="90">
                  <c:v>0.55092857142857155</c:v>
                </c:pt>
                <c:pt idx="91">
                  <c:v>0.628</c:v>
                </c:pt>
                <c:pt idx="92">
                  <c:v>0.6904285714285715</c:v>
                </c:pt>
                <c:pt idx="93">
                  <c:v>0.5694285714285714</c:v>
                </c:pt>
                <c:pt idx="94">
                  <c:v>0.4419285714285715</c:v>
                </c:pt>
                <c:pt idx="95">
                  <c:v>0.28799999999999998</c:v>
                </c:pt>
                <c:pt idx="96">
                  <c:v>0.19192857142857142</c:v>
                </c:pt>
                <c:pt idx="97">
                  <c:v>0.11700000000000001</c:v>
                </c:pt>
                <c:pt idx="98">
                  <c:v>0.11442857142857142</c:v>
                </c:pt>
                <c:pt idx="99">
                  <c:v>0.11899999999999998</c:v>
                </c:pt>
                <c:pt idx="100">
                  <c:v>0.13507142857142859</c:v>
                </c:pt>
                <c:pt idx="101">
                  <c:v>0.1642142857142857</c:v>
                </c:pt>
                <c:pt idx="102">
                  <c:v>0.17464285714285713</c:v>
                </c:pt>
                <c:pt idx="103">
                  <c:v>0.1952142857142857</c:v>
                </c:pt>
                <c:pt idx="104">
                  <c:v>0.21807142857142855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231-4386-AAD4-5FA0732B9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3254629629629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'面板-景气指数'!$A$59</c:f>
              <c:strCache>
                <c:ptCount val="1"/>
                <c:pt idx="0">
                  <c:v>通信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dPt>
            <c:idx val="27"/>
            <c:bubble3D val="0"/>
            <c:spPr>
              <a:ln w="19050" cap="rnd" cmpd="sng" algn="ctr">
                <a:solidFill>
                  <a:srgbClr val="003778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B9E8-496B-B43B-F4E80D93D208}"/>
              </c:ext>
            </c:extLst>
          </c:dPt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'面板-景气指数'!$F$59:$DF$59</c:f>
              <c:numCache>
                <c:formatCode>0.0%</c:formatCode>
                <c:ptCount val="105"/>
                <c:pt idx="0">
                  <c:v>0.16234311595403594</c:v>
                </c:pt>
                <c:pt idx="1">
                  <c:v>0.15279748526215167</c:v>
                </c:pt>
                <c:pt idx="2">
                  <c:v>0.14860798961978158</c:v>
                </c:pt>
                <c:pt idx="3">
                  <c:v>0.15175240817333224</c:v>
                </c:pt>
                <c:pt idx="4">
                  <c:v>0.17958578323721075</c:v>
                </c:pt>
                <c:pt idx="5">
                  <c:v>0.179855928079311</c:v>
                </c:pt>
                <c:pt idx="6">
                  <c:v>0.19124834045269759</c:v>
                </c:pt>
                <c:pt idx="7">
                  <c:v>0.17060908235488853</c:v>
                </c:pt>
                <c:pt idx="8">
                  <c:v>0.2463183221080828</c:v>
                </c:pt>
                <c:pt idx="9">
                  <c:v>0.30517384819422561</c:v>
                </c:pt>
                <c:pt idx="10">
                  <c:v>0.26506790690578413</c:v>
                </c:pt>
                <c:pt idx="11">
                  <c:v>0.19899670732365615</c:v>
                </c:pt>
                <c:pt idx="12">
                  <c:v>0.15800852296341455</c:v>
                </c:pt>
                <c:pt idx="13">
                  <c:v>0.14167399980412251</c:v>
                </c:pt>
                <c:pt idx="14">
                  <c:v>0.17804239337584693</c:v>
                </c:pt>
                <c:pt idx="15">
                  <c:v>0.21760089155331272</c:v>
                </c:pt>
                <c:pt idx="16">
                  <c:v>0.23258648845017224</c:v>
                </c:pt>
                <c:pt idx="17">
                  <c:v>0.18721265762117381</c:v>
                </c:pt>
                <c:pt idx="18">
                  <c:v>0.16237950399852125</c:v>
                </c:pt>
                <c:pt idx="19">
                  <c:v>0.12101748880928108</c:v>
                </c:pt>
                <c:pt idx="20">
                  <c:v>0.21229785831327416</c:v>
                </c:pt>
                <c:pt idx="21">
                  <c:v>0.32423283014342708</c:v>
                </c:pt>
                <c:pt idx="22">
                  <c:v>0.34301254979476514</c:v>
                </c:pt>
                <c:pt idx="23">
                  <c:v>0.3724342112568847</c:v>
                </c:pt>
                <c:pt idx="24">
                  <c:v>0.36360194339913593</c:v>
                </c:pt>
                <c:pt idx="25">
                  <c:v>0.35739292508716752</c:v>
                </c:pt>
                <c:pt idx="26">
                  <c:v>0.33674207279082607</c:v>
                </c:pt>
                <c:pt idx="27">
                  <c:v>0.35821903600365801</c:v>
                </c:pt>
                <c:pt idx="28">
                  <c:v>0.36792744535225491</c:v>
                </c:pt>
                <c:pt idx="29">
                  <c:v>0.39685306381439617</c:v>
                </c:pt>
                <c:pt idx="30">
                  <c:v>0.40808253145015061</c:v>
                </c:pt>
                <c:pt idx="31">
                  <c:v>0.42458687597231759</c:v>
                </c:pt>
                <c:pt idx="32">
                  <c:v>0.47309963273728606</c:v>
                </c:pt>
                <c:pt idx="33">
                  <c:v>0.48746691910288087</c:v>
                </c:pt>
                <c:pt idx="34">
                  <c:v>0.50539660528565655</c:v>
                </c:pt>
                <c:pt idx="35">
                  <c:v>0.49909824872962394</c:v>
                </c:pt>
                <c:pt idx="36">
                  <c:v>0.5147201840990715</c:v>
                </c:pt>
                <c:pt idx="37">
                  <c:v>0.46362881199468986</c:v>
                </c:pt>
                <c:pt idx="38">
                  <c:v>0.41289246773369298</c:v>
                </c:pt>
                <c:pt idx="39">
                  <c:v>0.41338372332905243</c:v>
                </c:pt>
                <c:pt idx="40">
                  <c:v>0.43365194503144833</c:v>
                </c:pt>
                <c:pt idx="41">
                  <c:v>0.44341654189566154</c:v>
                </c:pt>
                <c:pt idx="42">
                  <c:v>0.42492935402093668</c:v>
                </c:pt>
                <c:pt idx="43">
                  <c:v>0.41876420934206771</c:v>
                </c:pt>
                <c:pt idx="44">
                  <c:v>0.43007745277297654</c:v>
                </c:pt>
                <c:pt idx="45">
                  <c:v>0.44875271139312539</c:v>
                </c:pt>
                <c:pt idx="46">
                  <c:v>0.4183350069310276</c:v>
                </c:pt>
                <c:pt idx="47">
                  <c:v>0.32759444333949922</c:v>
                </c:pt>
                <c:pt idx="48">
                  <c:v>0.28761979078851707</c:v>
                </c:pt>
                <c:pt idx="49">
                  <c:v>0.33862463355344241</c:v>
                </c:pt>
                <c:pt idx="50">
                  <c:v>0.43360457175180184</c:v>
                </c:pt>
                <c:pt idx="51">
                  <c:v>0.4610987469723824</c:v>
                </c:pt>
                <c:pt idx="52">
                  <c:v>0.44982392544627614</c:v>
                </c:pt>
                <c:pt idx="53">
                  <c:v>0.43017274098809583</c:v>
                </c:pt>
                <c:pt idx="54">
                  <c:v>0.46244024300650727</c:v>
                </c:pt>
                <c:pt idx="55">
                  <c:v>0.48257767421420222</c:v>
                </c:pt>
                <c:pt idx="56">
                  <c:v>0.46011659436176339</c:v>
                </c:pt>
                <c:pt idx="57">
                  <c:v>0.46444540346224894</c:v>
                </c:pt>
                <c:pt idx="58">
                  <c:v>0.47718927420114376</c:v>
                </c:pt>
                <c:pt idx="59">
                  <c:v>0.52080906498966084</c:v>
                </c:pt>
                <c:pt idx="60">
                  <c:v>0.5513972406672889</c:v>
                </c:pt>
                <c:pt idx="61">
                  <c:v>0.55983456404857523</c:v>
                </c:pt>
                <c:pt idx="62">
                  <c:v>0.6382401207090761</c:v>
                </c:pt>
                <c:pt idx="63">
                  <c:v>0.6866745942964706</c:v>
                </c:pt>
                <c:pt idx="64">
                  <c:v>0.70966024655363658</c:v>
                </c:pt>
                <c:pt idx="65">
                  <c:v>0.72705496958887295</c:v>
                </c:pt>
                <c:pt idx="66">
                  <c:v>0.78095788342568495</c:v>
                </c:pt>
                <c:pt idx="67">
                  <c:v>0.79839587113064925</c:v>
                </c:pt>
                <c:pt idx="68">
                  <c:v>0.83335645274032966</c:v>
                </c:pt>
                <c:pt idx="69">
                  <c:v>0.84340169591006875</c:v>
                </c:pt>
                <c:pt idx="70">
                  <c:v>0.85853165600017223</c:v>
                </c:pt>
                <c:pt idx="71">
                  <c:v>0.87225056681219459</c:v>
                </c:pt>
                <c:pt idx="72">
                  <c:v>0.88440125302761641</c:v>
                </c:pt>
                <c:pt idx="73">
                  <c:v>0.8951345669427796</c:v>
                </c:pt>
                <c:pt idx="74">
                  <c:v>0.899564308485862</c:v>
                </c:pt>
                <c:pt idx="75">
                  <c:v>0.87501669929396675</c:v>
                </c:pt>
                <c:pt idx="76">
                  <c:v>0.81283615502644058</c:v>
                </c:pt>
                <c:pt idx="77">
                  <c:v>0.79038981043898116</c:v>
                </c:pt>
                <c:pt idx="78">
                  <c:v>0.777732856561688</c:v>
                </c:pt>
                <c:pt idx="79">
                  <c:v>0.78232417330576276</c:v>
                </c:pt>
                <c:pt idx="80">
                  <c:v>0.73615627508259229</c:v>
                </c:pt>
                <c:pt idx="81">
                  <c:v>0.71920162897294415</c:v>
                </c:pt>
                <c:pt idx="82">
                  <c:v>0.71866254274446362</c:v>
                </c:pt>
                <c:pt idx="83">
                  <c:v>0.69597859507998072</c:v>
                </c:pt>
                <c:pt idx="84">
                  <c:v>0.71201433327181085</c:v>
                </c:pt>
                <c:pt idx="85">
                  <c:v>0.7126139515380745</c:v>
                </c:pt>
                <c:pt idx="86">
                  <c:v>0.73089147124817577</c:v>
                </c:pt>
                <c:pt idx="87">
                  <c:v>0.68506035148584066</c:v>
                </c:pt>
                <c:pt idx="88">
                  <c:v>0.64368404391407297</c:v>
                </c:pt>
                <c:pt idx="89">
                  <c:v>0.59477480705508312</c:v>
                </c:pt>
                <c:pt idx="90">
                  <c:v>0.55088707136570247</c:v>
                </c:pt>
                <c:pt idx="91">
                  <c:v>0.55692401301325278</c:v>
                </c:pt>
                <c:pt idx="92">
                  <c:v>0.59850460685267637</c:v>
                </c:pt>
                <c:pt idx="93">
                  <c:v>0.64076447167257733</c:v>
                </c:pt>
                <c:pt idx="94">
                  <c:v>0.6230248347352364</c:v>
                </c:pt>
                <c:pt idx="95">
                  <c:v>0.62480207764380535</c:v>
                </c:pt>
                <c:pt idx="96">
                  <c:v>0.61961846214116123</c:v>
                </c:pt>
                <c:pt idx="97">
                  <c:v>0.64776602176115883</c:v>
                </c:pt>
                <c:pt idx="98">
                  <c:v>0.67289670153524661</c:v>
                </c:pt>
                <c:pt idx="99">
                  <c:v>0.67755618751561553</c:v>
                </c:pt>
                <c:pt idx="100">
                  <c:v>0.67898191669836983</c:v>
                </c:pt>
                <c:pt idx="101">
                  <c:v>0.67723826740070092</c:v>
                </c:pt>
                <c:pt idx="102">
                  <c:v>0.66760176284719353</c:v>
                </c:pt>
                <c:pt idx="103">
                  <c:v>0.66171556277537169</c:v>
                </c:pt>
                <c:pt idx="104">
                  <c:v>0.56131148637212369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E8-496B-B43B-F4E80D93D208}"/>
            </c:ext>
          </c:extLst>
        </c:ser>
        <c:ser>
          <c:idx val="1"/>
          <c:order val="1"/>
          <c:tx>
            <c:strRef>
              <c:f>'面板-景气指数'!$A$108</c:f>
              <c:strCache>
                <c:ptCount val="1"/>
                <c:pt idx="0">
                  <c:v>通信服务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'面板-景气指数'!$F$108:$DF$108</c:f>
              <c:numCache>
                <c:formatCode>0.0%</c:formatCode>
                <c:ptCount val="105"/>
                <c:pt idx="0">
                  <c:v>4.2750000000000024E-2</c:v>
                </c:pt>
                <c:pt idx="1">
                  <c:v>4.2750000000000024E-2</c:v>
                </c:pt>
                <c:pt idx="2">
                  <c:v>6.7500000000000034E-3</c:v>
                </c:pt>
                <c:pt idx="3">
                  <c:v>2.1249999999999998E-2</c:v>
                </c:pt>
                <c:pt idx="4">
                  <c:v>9.4999999999999876E-3</c:v>
                </c:pt>
                <c:pt idx="5">
                  <c:v>3.7749999999999992E-2</c:v>
                </c:pt>
                <c:pt idx="6">
                  <c:v>5.7249999999999981E-2</c:v>
                </c:pt>
                <c:pt idx="7">
                  <c:v>8.1499999999999947E-2</c:v>
                </c:pt>
                <c:pt idx="8">
                  <c:v>0.12674999999999997</c:v>
                </c:pt>
                <c:pt idx="9">
                  <c:v>0.17725000000000002</c:v>
                </c:pt>
                <c:pt idx="10">
                  <c:v>0.16800000000000001</c:v>
                </c:pt>
                <c:pt idx="11">
                  <c:v>0.15350000000000005</c:v>
                </c:pt>
                <c:pt idx="12">
                  <c:v>0.14400000000000002</c:v>
                </c:pt>
                <c:pt idx="13">
                  <c:v>0.11749999999999999</c:v>
                </c:pt>
                <c:pt idx="14">
                  <c:v>0.12000000000000002</c:v>
                </c:pt>
                <c:pt idx="15">
                  <c:v>0.12450000000000004</c:v>
                </c:pt>
                <c:pt idx="16">
                  <c:v>0.13625000000000004</c:v>
                </c:pt>
                <c:pt idx="17">
                  <c:v>8.3500000000000005E-2</c:v>
                </c:pt>
                <c:pt idx="18">
                  <c:v>8.6250000000000021E-2</c:v>
                </c:pt>
                <c:pt idx="19">
                  <c:v>6.900000000000002E-2</c:v>
                </c:pt>
                <c:pt idx="20">
                  <c:v>0.19400000000000001</c:v>
                </c:pt>
                <c:pt idx="21">
                  <c:v>0.24700000000000005</c:v>
                </c:pt>
                <c:pt idx="22">
                  <c:v>0.22275000000000003</c:v>
                </c:pt>
                <c:pt idx="23">
                  <c:v>0.24275000000000002</c:v>
                </c:pt>
                <c:pt idx="24">
                  <c:v>0.2135</c:v>
                </c:pt>
                <c:pt idx="25">
                  <c:v>0.22575000000000003</c:v>
                </c:pt>
                <c:pt idx="26">
                  <c:v>0.20649999999999999</c:v>
                </c:pt>
                <c:pt idx="27">
                  <c:v>0.24475</c:v>
                </c:pt>
                <c:pt idx="28">
                  <c:v>0.26900000000000007</c:v>
                </c:pt>
                <c:pt idx="29">
                  <c:v>0.29800000000000004</c:v>
                </c:pt>
                <c:pt idx="30">
                  <c:v>0.30225000000000007</c:v>
                </c:pt>
                <c:pt idx="31">
                  <c:v>0.30725000000000002</c:v>
                </c:pt>
                <c:pt idx="32">
                  <c:v>0.33625000000000005</c:v>
                </c:pt>
                <c:pt idx="33">
                  <c:v>0.37675000000000003</c:v>
                </c:pt>
                <c:pt idx="34">
                  <c:v>0.39824999999999999</c:v>
                </c:pt>
                <c:pt idx="35">
                  <c:v>0.43725000000000003</c:v>
                </c:pt>
                <c:pt idx="36">
                  <c:v>0.45100000000000012</c:v>
                </c:pt>
                <c:pt idx="37">
                  <c:v>0.42500000000000004</c:v>
                </c:pt>
                <c:pt idx="38">
                  <c:v>0.41799999999999998</c:v>
                </c:pt>
                <c:pt idx="39">
                  <c:v>0.44450000000000006</c:v>
                </c:pt>
                <c:pt idx="40">
                  <c:v>0.4850000000000001</c:v>
                </c:pt>
                <c:pt idx="41">
                  <c:v>0.48750000000000004</c:v>
                </c:pt>
                <c:pt idx="42">
                  <c:v>0.44650000000000006</c:v>
                </c:pt>
                <c:pt idx="43">
                  <c:v>0.43250000000000011</c:v>
                </c:pt>
                <c:pt idx="44">
                  <c:v>0.48750000000000016</c:v>
                </c:pt>
                <c:pt idx="45">
                  <c:v>0.52575000000000016</c:v>
                </c:pt>
                <c:pt idx="46">
                  <c:v>0.51425000000000021</c:v>
                </c:pt>
                <c:pt idx="47">
                  <c:v>0.36</c:v>
                </c:pt>
                <c:pt idx="48">
                  <c:v>0.29000000000000004</c:v>
                </c:pt>
                <c:pt idx="49">
                  <c:v>0.30249999999999999</c:v>
                </c:pt>
                <c:pt idx="50">
                  <c:v>0.36499999999999999</c:v>
                </c:pt>
                <c:pt idx="51">
                  <c:v>0.37225000000000003</c:v>
                </c:pt>
                <c:pt idx="52">
                  <c:v>0.36250000000000004</c:v>
                </c:pt>
                <c:pt idx="53">
                  <c:v>0.36225000000000002</c:v>
                </c:pt>
                <c:pt idx="54">
                  <c:v>0.45375000000000004</c:v>
                </c:pt>
                <c:pt idx="55">
                  <c:v>0.52800000000000002</c:v>
                </c:pt>
                <c:pt idx="56">
                  <c:v>0.52375000000000005</c:v>
                </c:pt>
                <c:pt idx="57">
                  <c:v>0.51200000000000001</c:v>
                </c:pt>
                <c:pt idx="58">
                  <c:v>0.52100000000000013</c:v>
                </c:pt>
                <c:pt idx="59">
                  <c:v>0.56700000000000006</c:v>
                </c:pt>
                <c:pt idx="60">
                  <c:v>0.63375000000000004</c:v>
                </c:pt>
                <c:pt idx="61">
                  <c:v>0.67975000000000008</c:v>
                </c:pt>
                <c:pt idx="62">
                  <c:v>0.72575000000000012</c:v>
                </c:pt>
                <c:pt idx="63">
                  <c:v>0.74225000000000008</c:v>
                </c:pt>
                <c:pt idx="64">
                  <c:v>0.75900000000000012</c:v>
                </c:pt>
                <c:pt idx="65">
                  <c:v>0.7712500000000001</c:v>
                </c:pt>
                <c:pt idx="66">
                  <c:v>0.82400000000000007</c:v>
                </c:pt>
                <c:pt idx="67">
                  <c:v>0.84300000000000008</c:v>
                </c:pt>
                <c:pt idx="68">
                  <c:v>0.88675000000000004</c:v>
                </c:pt>
                <c:pt idx="69">
                  <c:v>0.90825000000000011</c:v>
                </c:pt>
                <c:pt idx="70">
                  <c:v>0.93450000000000011</c:v>
                </c:pt>
                <c:pt idx="71">
                  <c:v>0.9534999999999999</c:v>
                </c:pt>
                <c:pt idx="72">
                  <c:v>0.97324999999999995</c:v>
                </c:pt>
                <c:pt idx="73">
                  <c:v>0.99249999999999994</c:v>
                </c:pt>
                <c:pt idx="74">
                  <c:v>0.99750000000000005</c:v>
                </c:pt>
                <c:pt idx="75">
                  <c:v>0.97775000000000001</c:v>
                </c:pt>
                <c:pt idx="76">
                  <c:v>0.95850000000000002</c:v>
                </c:pt>
                <c:pt idx="77">
                  <c:v>0.93950000000000011</c:v>
                </c:pt>
                <c:pt idx="78">
                  <c:v>0.92300000000000015</c:v>
                </c:pt>
                <c:pt idx="79">
                  <c:v>0.90549999999999997</c:v>
                </c:pt>
                <c:pt idx="80">
                  <c:v>0.88875000000000015</c:v>
                </c:pt>
                <c:pt idx="81">
                  <c:v>0.87724999999999997</c:v>
                </c:pt>
                <c:pt idx="82">
                  <c:v>0.86750000000000005</c:v>
                </c:pt>
                <c:pt idx="83">
                  <c:v>0.84825000000000006</c:v>
                </c:pt>
                <c:pt idx="84">
                  <c:v>0.83100000000000007</c:v>
                </c:pt>
                <c:pt idx="85">
                  <c:v>0.8075</c:v>
                </c:pt>
                <c:pt idx="86">
                  <c:v>0.79</c:v>
                </c:pt>
                <c:pt idx="87">
                  <c:v>0.77349999999999997</c:v>
                </c:pt>
                <c:pt idx="88">
                  <c:v>0.747</c:v>
                </c:pt>
                <c:pt idx="89">
                  <c:v>0.70600000000000007</c:v>
                </c:pt>
                <c:pt idx="90">
                  <c:v>0.62449999999999994</c:v>
                </c:pt>
                <c:pt idx="91">
                  <c:v>0.64400000000000013</c:v>
                </c:pt>
                <c:pt idx="92">
                  <c:v>0.68475000000000008</c:v>
                </c:pt>
                <c:pt idx="93">
                  <c:v>0.75225000000000009</c:v>
                </c:pt>
                <c:pt idx="94">
                  <c:v>0.73275000000000012</c:v>
                </c:pt>
                <c:pt idx="95">
                  <c:v>0.71375000000000011</c:v>
                </c:pt>
                <c:pt idx="96">
                  <c:v>0.69400000000000006</c:v>
                </c:pt>
                <c:pt idx="97">
                  <c:v>0.67525000000000002</c:v>
                </c:pt>
                <c:pt idx="98">
                  <c:v>0.6725000000000001</c:v>
                </c:pt>
                <c:pt idx="99">
                  <c:v>0.65574999999999994</c:v>
                </c:pt>
                <c:pt idx="100">
                  <c:v>0.65125</c:v>
                </c:pt>
                <c:pt idx="101">
                  <c:v>0.64124999999999999</c:v>
                </c:pt>
                <c:pt idx="102">
                  <c:v>0.63924999999999998</c:v>
                </c:pt>
                <c:pt idx="103">
                  <c:v>0.62449999999999994</c:v>
                </c:pt>
                <c:pt idx="104">
                  <c:v>0.58825000000000005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E8-496B-B43B-F4E80D93D208}"/>
            </c:ext>
          </c:extLst>
        </c:ser>
        <c:ser>
          <c:idx val="2"/>
          <c:order val="2"/>
          <c:tx>
            <c:strRef>
              <c:f>'面板-景气指数'!$A$109</c:f>
              <c:strCache>
                <c:ptCount val="1"/>
                <c:pt idx="0">
                  <c:v>通信设备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'面板-景气指数'!$F$109:$DH$109</c:f>
              <c:numCache>
                <c:formatCode>0.0%</c:formatCode>
                <c:ptCount val="107"/>
                <c:pt idx="0">
                  <c:v>0.38728571428571451</c:v>
                </c:pt>
                <c:pt idx="1">
                  <c:v>0.35978571428571449</c:v>
                </c:pt>
                <c:pt idx="2">
                  <c:v>0.41542857142857159</c:v>
                </c:pt>
                <c:pt idx="3">
                  <c:v>0.39721428571428591</c:v>
                </c:pt>
                <c:pt idx="4">
                  <c:v>0.49950000000000011</c:v>
                </c:pt>
                <c:pt idx="5">
                  <c:v>0.44714285714285729</c:v>
                </c:pt>
                <c:pt idx="6">
                  <c:v>0.44328571428571439</c:v>
                </c:pt>
                <c:pt idx="7">
                  <c:v>0.33821428571428586</c:v>
                </c:pt>
                <c:pt idx="8">
                  <c:v>0.4712142857142857</c:v>
                </c:pt>
                <c:pt idx="9">
                  <c:v>0.5457857142857141</c:v>
                </c:pt>
                <c:pt idx="10">
                  <c:v>0.44764285714285712</c:v>
                </c:pt>
                <c:pt idx="11">
                  <c:v>0.28457142857142864</c:v>
                </c:pt>
                <c:pt idx="12">
                  <c:v>0.18435714285714302</c:v>
                </c:pt>
                <c:pt idx="13">
                  <c:v>0.18714285714285725</c:v>
                </c:pt>
                <c:pt idx="14">
                  <c:v>0.2872142857142857</c:v>
                </c:pt>
                <c:pt idx="15">
                  <c:v>0.39271428571428563</c:v>
                </c:pt>
                <c:pt idx="16">
                  <c:v>0.41378571428571426</c:v>
                </c:pt>
                <c:pt idx="17">
                  <c:v>0.38228571428571434</c:v>
                </c:pt>
                <c:pt idx="18">
                  <c:v>0.30557142857142872</c:v>
                </c:pt>
                <c:pt idx="19">
                  <c:v>0.218857142857143</c:v>
                </c:pt>
                <c:pt idx="20">
                  <c:v>0.24671428571428583</c:v>
                </c:pt>
                <c:pt idx="21">
                  <c:v>0.46949999999999981</c:v>
                </c:pt>
                <c:pt idx="22">
                  <c:v>0.56921428571428556</c:v>
                </c:pt>
                <c:pt idx="23">
                  <c:v>0.61635714285714249</c:v>
                </c:pt>
                <c:pt idx="24">
                  <c:v>0.6459285714285713</c:v>
                </c:pt>
                <c:pt idx="25">
                  <c:v>0.60499999999999976</c:v>
                </c:pt>
                <c:pt idx="26">
                  <c:v>0.58171428571428563</c:v>
                </c:pt>
                <c:pt idx="27">
                  <c:v>0.57164285714285701</c:v>
                </c:pt>
                <c:pt idx="28">
                  <c:v>0.55399999999999994</c:v>
                </c:pt>
                <c:pt idx="29">
                  <c:v>0.58278571428571402</c:v>
                </c:pt>
                <c:pt idx="30">
                  <c:v>0.6071428571428571</c:v>
                </c:pt>
                <c:pt idx="31">
                  <c:v>0.64528571428571413</c:v>
                </c:pt>
                <c:pt idx="32">
                  <c:v>0.73049999999999982</c:v>
                </c:pt>
                <c:pt idx="33">
                  <c:v>0.6957142857142854</c:v>
                </c:pt>
                <c:pt idx="34">
                  <c:v>0.70692857142857146</c:v>
                </c:pt>
                <c:pt idx="35">
                  <c:v>0.61542857142857155</c:v>
                </c:pt>
                <c:pt idx="36">
                  <c:v>0.63457142857142868</c:v>
                </c:pt>
                <c:pt idx="37">
                  <c:v>0.53628571428571459</c:v>
                </c:pt>
                <c:pt idx="38">
                  <c:v>0.40328571428571469</c:v>
                </c:pt>
                <c:pt idx="39">
                  <c:v>0.35485714285714326</c:v>
                </c:pt>
                <c:pt idx="40">
                  <c:v>0.33707142857142902</c:v>
                </c:pt>
                <c:pt idx="41">
                  <c:v>0.36050000000000043</c:v>
                </c:pt>
                <c:pt idx="42">
                  <c:v>0.38435714285714329</c:v>
                </c:pt>
                <c:pt idx="43">
                  <c:v>0.39292857142857185</c:v>
                </c:pt>
                <c:pt idx="44">
                  <c:v>0.32207142857142884</c:v>
                </c:pt>
                <c:pt idx="45">
                  <c:v>0.30392857142857166</c:v>
                </c:pt>
                <c:pt idx="46">
                  <c:v>0.23792857142857163</c:v>
                </c:pt>
                <c:pt idx="47">
                  <c:v>0.26664285714285735</c:v>
                </c:pt>
                <c:pt idx="48">
                  <c:v>0.28314285714285731</c:v>
                </c:pt>
                <c:pt idx="49">
                  <c:v>0.40657142857142864</c:v>
                </c:pt>
                <c:pt idx="50">
                  <c:v>0.56264285714285711</c:v>
                </c:pt>
                <c:pt idx="51">
                  <c:v>0.6282142857142855</c:v>
                </c:pt>
                <c:pt idx="52">
                  <c:v>0.61407142857142849</c:v>
                </c:pt>
                <c:pt idx="53">
                  <c:v>0.55792857142857133</c:v>
                </c:pt>
                <c:pt idx="54">
                  <c:v>0.4787857142857142</c:v>
                </c:pt>
                <c:pt idx="55">
                  <c:v>0.39714285714285696</c:v>
                </c:pt>
                <c:pt idx="56">
                  <c:v>0.34042857142857136</c:v>
                </c:pt>
                <c:pt idx="57">
                  <c:v>0.375</c:v>
                </c:pt>
                <c:pt idx="58">
                  <c:v>0.39478571428571418</c:v>
                </c:pt>
                <c:pt idx="59">
                  <c:v>0.43392857142857127</c:v>
                </c:pt>
                <c:pt idx="60">
                  <c:v>0.39649999999999985</c:v>
                </c:pt>
                <c:pt idx="61">
                  <c:v>0.33428571428571419</c:v>
                </c:pt>
                <c:pt idx="62">
                  <c:v>0.47364285714285698</c:v>
                </c:pt>
                <c:pt idx="63">
                  <c:v>0.58214285714285674</c:v>
                </c:pt>
                <c:pt idx="64">
                  <c:v>0.61685714285714255</c:v>
                </c:pt>
                <c:pt idx="65">
                  <c:v>0.64392857142857118</c:v>
                </c:pt>
                <c:pt idx="66">
                  <c:v>0.69999999999999973</c:v>
                </c:pt>
                <c:pt idx="67">
                  <c:v>0.71449999999999969</c:v>
                </c:pt>
                <c:pt idx="68">
                  <c:v>0.73292857142857093</c:v>
                </c:pt>
                <c:pt idx="69">
                  <c:v>0.72142857142857109</c:v>
                </c:pt>
                <c:pt idx="70">
                  <c:v>0.7156428571428568</c:v>
                </c:pt>
                <c:pt idx="71">
                  <c:v>0.71942857142857131</c:v>
                </c:pt>
                <c:pt idx="72">
                  <c:v>0.71728571428571408</c:v>
                </c:pt>
                <c:pt idx="73">
                  <c:v>0.71199999999999986</c:v>
                </c:pt>
                <c:pt idx="74">
                  <c:v>0.71535714285714269</c:v>
                </c:pt>
                <c:pt idx="75">
                  <c:v>0.68178571428571422</c:v>
                </c:pt>
                <c:pt idx="76">
                  <c:v>0.53885714285714281</c:v>
                </c:pt>
                <c:pt idx="77">
                  <c:v>0.5099285714285714</c:v>
                </c:pt>
                <c:pt idx="78">
                  <c:v>0.50449999999999995</c:v>
                </c:pt>
                <c:pt idx="79">
                  <c:v>0.5506428571428571</c:v>
                </c:pt>
                <c:pt idx="80">
                  <c:v>0.44914285714285729</c:v>
                </c:pt>
                <c:pt idx="81">
                  <c:v>0.42192857142857165</c:v>
                </c:pt>
                <c:pt idx="82">
                  <c:v>0.43871428571428589</c:v>
                </c:pt>
                <c:pt idx="83">
                  <c:v>0.40957142857142875</c:v>
                </c:pt>
                <c:pt idx="84">
                  <c:v>0.48821428571428588</c:v>
                </c:pt>
                <c:pt idx="85">
                  <c:v>0.53414285714285725</c:v>
                </c:pt>
                <c:pt idx="86">
                  <c:v>0.61971428571428577</c:v>
                </c:pt>
                <c:pt idx="87">
                  <c:v>0.51871428571428579</c:v>
                </c:pt>
                <c:pt idx="88">
                  <c:v>0.44935714285714301</c:v>
                </c:pt>
                <c:pt idx="89">
                  <c:v>0.38557142857142879</c:v>
                </c:pt>
                <c:pt idx="90">
                  <c:v>0.41242857142857176</c:v>
                </c:pt>
                <c:pt idx="91">
                  <c:v>0.39314285714285746</c:v>
                </c:pt>
                <c:pt idx="92">
                  <c:v>0.4362857142857145</c:v>
                </c:pt>
                <c:pt idx="93">
                  <c:v>0.43107142857142877</c:v>
                </c:pt>
                <c:pt idx="94">
                  <c:v>0.41664285714285731</c:v>
                </c:pt>
                <c:pt idx="95">
                  <c:v>0.45750000000000018</c:v>
                </c:pt>
                <c:pt idx="96">
                  <c:v>0.47971428571428582</c:v>
                </c:pt>
                <c:pt idx="97">
                  <c:v>0.59607142857142859</c:v>
                </c:pt>
                <c:pt idx="98">
                  <c:v>0.6736428571428571</c:v>
                </c:pt>
                <c:pt idx="99">
                  <c:v>0.71857142857142853</c:v>
                </c:pt>
                <c:pt idx="100">
                  <c:v>0.73114285714285709</c:v>
                </c:pt>
                <c:pt idx="101">
                  <c:v>0.74492857142857116</c:v>
                </c:pt>
                <c:pt idx="102">
                  <c:v>0.72092857142857136</c:v>
                </c:pt>
                <c:pt idx="103">
                  <c:v>0.73171428571428543</c:v>
                </c:pt>
                <c:pt idx="104">
                  <c:v>0.51064285714285707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9E8-496B-B43B-F4E80D93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3.8774494949494899E-2"/>
          <c:y val="4.4411111111111101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'面板-景气指数'!$A$56</c:f>
              <c:strCache>
                <c:ptCount val="1"/>
                <c:pt idx="0">
                  <c:v>电子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'面板-景气指数'!$F$56:$DF$56</c:f>
              <c:numCache>
                <c:formatCode>0.0%</c:formatCode>
                <c:ptCount val="105"/>
                <c:pt idx="0">
                  <c:v>0.62873466466015548</c:v>
                </c:pt>
                <c:pt idx="1">
                  <c:v>0.68420333099417574</c:v>
                </c:pt>
                <c:pt idx="2">
                  <c:v>0.64794117158084696</c:v>
                </c:pt>
                <c:pt idx="3">
                  <c:v>0.64653597845133826</c:v>
                </c:pt>
                <c:pt idx="4">
                  <c:v>0.63259692908045861</c:v>
                </c:pt>
                <c:pt idx="5">
                  <c:v>0.65886210366093789</c:v>
                </c:pt>
                <c:pt idx="6">
                  <c:v>0.61944187519854343</c:v>
                </c:pt>
                <c:pt idx="7">
                  <c:v>0.56134387432445432</c:v>
                </c:pt>
                <c:pt idx="8">
                  <c:v>0.55870629349640155</c:v>
                </c:pt>
                <c:pt idx="9">
                  <c:v>0.5608018108739794</c:v>
                </c:pt>
                <c:pt idx="10">
                  <c:v>0.51513718237951733</c:v>
                </c:pt>
                <c:pt idx="11">
                  <c:v>0.44916589158239917</c:v>
                </c:pt>
                <c:pt idx="12">
                  <c:v>0.41004762998426453</c:v>
                </c:pt>
                <c:pt idx="13">
                  <c:v>0.30678759091785218</c:v>
                </c:pt>
                <c:pt idx="14">
                  <c:v>0.23939492152081043</c:v>
                </c:pt>
                <c:pt idx="15">
                  <c:v>0.18778433720260757</c:v>
                </c:pt>
                <c:pt idx="16">
                  <c:v>0.17691002250101323</c:v>
                </c:pt>
                <c:pt idx="17">
                  <c:v>0.1559667205844387</c:v>
                </c:pt>
                <c:pt idx="18">
                  <c:v>0.12415316613049342</c:v>
                </c:pt>
                <c:pt idx="19">
                  <c:v>0.11012582721150613</c:v>
                </c:pt>
                <c:pt idx="20">
                  <c:v>0.10205396175618492</c:v>
                </c:pt>
                <c:pt idx="21">
                  <c:v>0.12465587311188761</c:v>
                </c:pt>
                <c:pt idx="22">
                  <c:v>0.15962890027045626</c:v>
                </c:pt>
                <c:pt idx="23">
                  <c:v>0.19419710784194258</c:v>
                </c:pt>
                <c:pt idx="24">
                  <c:v>0.22536015478339408</c:v>
                </c:pt>
                <c:pt idx="25">
                  <c:v>0.24690640164427477</c:v>
                </c:pt>
                <c:pt idx="26">
                  <c:v>0.29612652527948902</c:v>
                </c:pt>
                <c:pt idx="27">
                  <c:v>0.3478894590738027</c:v>
                </c:pt>
                <c:pt idx="28">
                  <c:v>0.38396432345093578</c:v>
                </c:pt>
                <c:pt idx="29">
                  <c:v>0.43305263258379378</c:v>
                </c:pt>
                <c:pt idx="30">
                  <c:v>0.48542015090815593</c:v>
                </c:pt>
                <c:pt idx="31">
                  <c:v>0.52560136657939205</c:v>
                </c:pt>
                <c:pt idx="32">
                  <c:v>0.57729753583171817</c:v>
                </c:pt>
                <c:pt idx="33">
                  <c:v>0.59094448860026072</c:v>
                </c:pt>
                <c:pt idx="34">
                  <c:v>0.6374034587600097</c:v>
                </c:pt>
                <c:pt idx="35">
                  <c:v>0.68583676729432685</c:v>
                </c:pt>
                <c:pt idx="36">
                  <c:v>0.78540499900616989</c:v>
                </c:pt>
                <c:pt idx="37">
                  <c:v>0.8474463003257503</c:v>
                </c:pt>
                <c:pt idx="38">
                  <c:v>0.87955810527378386</c:v>
                </c:pt>
                <c:pt idx="39">
                  <c:v>0.8789369391464944</c:v>
                </c:pt>
                <c:pt idx="40">
                  <c:v>0.85708981020699126</c:v>
                </c:pt>
                <c:pt idx="41">
                  <c:v>0.83536174449014977</c:v>
                </c:pt>
                <c:pt idx="42">
                  <c:v>0.79731671159396134</c:v>
                </c:pt>
                <c:pt idx="43">
                  <c:v>0.7821412123862449</c:v>
                </c:pt>
                <c:pt idx="44">
                  <c:v>0.66883133093242408</c:v>
                </c:pt>
                <c:pt idx="45">
                  <c:v>0.6417380029163513</c:v>
                </c:pt>
                <c:pt idx="46">
                  <c:v>0.58066911364652385</c:v>
                </c:pt>
                <c:pt idx="47">
                  <c:v>0.52846752317881063</c:v>
                </c:pt>
                <c:pt idx="48">
                  <c:v>0.46041802998286868</c:v>
                </c:pt>
                <c:pt idx="49">
                  <c:v>0.41089783726946288</c:v>
                </c:pt>
                <c:pt idx="50">
                  <c:v>0.38575986705947557</c:v>
                </c:pt>
                <c:pt idx="51">
                  <c:v>0.38167998979983525</c:v>
                </c:pt>
                <c:pt idx="52">
                  <c:v>0.44036223022310772</c:v>
                </c:pt>
                <c:pt idx="53">
                  <c:v>0.44255773016010214</c:v>
                </c:pt>
                <c:pt idx="54">
                  <c:v>0.48795957562768028</c:v>
                </c:pt>
                <c:pt idx="55">
                  <c:v>0.38343742898438277</c:v>
                </c:pt>
                <c:pt idx="56">
                  <c:v>0.43197684160882449</c:v>
                </c:pt>
                <c:pt idx="57">
                  <c:v>0.3786158797565507</c:v>
                </c:pt>
                <c:pt idx="58">
                  <c:v>0.36356853527158856</c:v>
                </c:pt>
                <c:pt idx="59">
                  <c:v>0.29840063132235284</c:v>
                </c:pt>
                <c:pt idx="60">
                  <c:v>0.26311500786441017</c:v>
                </c:pt>
                <c:pt idx="61">
                  <c:v>0.23200272033681182</c:v>
                </c:pt>
                <c:pt idx="62">
                  <c:v>0.20076451661851086</c:v>
                </c:pt>
                <c:pt idx="63">
                  <c:v>0.22141183915016927</c:v>
                </c:pt>
                <c:pt idx="64">
                  <c:v>0.23598332409704076</c:v>
                </c:pt>
                <c:pt idx="65">
                  <c:v>0.26205315455753164</c:v>
                </c:pt>
                <c:pt idx="66">
                  <c:v>0.24804030324626578</c:v>
                </c:pt>
                <c:pt idx="67">
                  <c:v>0.2363176132543755</c:v>
                </c:pt>
                <c:pt idx="68">
                  <c:v>0.25136795508790832</c:v>
                </c:pt>
                <c:pt idx="69">
                  <c:v>0.30803568089077726</c:v>
                </c:pt>
                <c:pt idx="70">
                  <c:v>0.35485495443526688</c:v>
                </c:pt>
                <c:pt idx="71">
                  <c:v>0.40660329886917762</c:v>
                </c:pt>
                <c:pt idx="72">
                  <c:v>0.43652726812032533</c:v>
                </c:pt>
                <c:pt idx="73">
                  <c:v>0.48660118337037644</c:v>
                </c:pt>
                <c:pt idx="74">
                  <c:v>0.53690277748917559</c:v>
                </c:pt>
                <c:pt idx="75">
                  <c:v>0.6031831106367791</c:v>
                </c:pt>
                <c:pt idx="76">
                  <c:v>0.61769418795741693</c:v>
                </c:pt>
                <c:pt idx="77">
                  <c:v>0.59341778442084125</c:v>
                </c:pt>
                <c:pt idx="78">
                  <c:v>0.56291067380035442</c:v>
                </c:pt>
                <c:pt idx="79">
                  <c:v>0.58405298301576403</c:v>
                </c:pt>
                <c:pt idx="80">
                  <c:v>0.5983938527316861</c:v>
                </c:pt>
                <c:pt idx="81">
                  <c:v>0.62900779338431057</c:v>
                </c:pt>
                <c:pt idx="82">
                  <c:v>0.6219064936815234</c:v>
                </c:pt>
                <c:pt idx="83">
                  <c:v>0.65371603070852258</c:v>
                </c:pt>
                <c:pt idx="84">
                  <c:v>0.72069857356016265</c:v>
                </c:pt>
                <c:pt idx="85">
                  <c:v>0.73768045964976414</c:v>
                </c:pt>
                <c:pt idx="86">
                  <c:v>0.76123449860471681</c:v>
                </c:pt>
                <c:pt idx="87">
                  <c:v>0.74497293776081885</c:v>
                </c:pt>
                <c:pt idx="88">
                  <c:v>0.76860111097064954</c:v>
                </c:pt>
                <c:pt idx="89">
                  <c:v>0.76828729967297504</c:v>
                </c:pt>
                <c:pt idx="90">
                  <c:v>0.78105567071206028</c:v>
                </c:pt>
                <c:pt idx="91">
                  <c:v>0.75916408617899955</c:v>
                </c:pt>
                <c:pt idx="92">
                  <c:v>0.69250858598307552</c:v>
                </c:pt>
                <c:pt idx="93">
                  <c:v>0.6728742141574543</c:v>
                </c:pt>
                <c:pt idx="94">
                  <c:v>0.66474686706503616</c:v>
                </c:pt>
                <c:pt idx="95">
                  <c:v>0.60359637397424826</c:v>
                </c:pt>
                <c:pt idx="96">
                  <c:v>0.57500180638546394</c:v>
                </c:pt>
                <c:pt idx="97">
                  <c:v>0.52316425528842403</c:v>
                </c:pt>
                <c:pt idx="98">
                  <c:v>0.48425490338755761</c:v>
                </c:pt>
                <c:pt idx="99">
                  <c:v>0.38976993608540095</c:v>
                </c:pt>
                <c:pt idx="100">
                  <c:v>0.33802554033465737</c:v>
                </c:pt>
                <c:pt idx="101">
                  <c:v>0.33664641761357628</c:v>
                </c:pt>
                <c:pt idx="102">
                  <c:v>0.34048340604003907</c:v>
                </c:pt>
                <c:pt idx="103">
                  <c:v>0.38445961721272348</c:v>
                </c:pt>
                <c:pt idx="104">
                  <c:v>0.31310332580465988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63-4FD5-863F-9811755CA673}"/>
            </c:ext>
          </c:extLst>
        </c:ser>
        <c:ser>
          <c:idx val="1"/>
          <c:order val="1"/>
          <c:tx>
            <c:strRef>
              <c:f>'面板-景气指数'!$A$104</c:f>
              <c:strCache>
                <c:ptCount val="1"/>
                <c:pt idx="0">
                  <c:v>半导体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'面板-景气指数'!$F$104:$DF$104</c:f>
              <c:numCache>
                <c:formatCode>0.0%</c:formatCode>
                <c:ptCount val="105"/>
                <c:pt idx="0">
                  <c:v>0.5774999999999999</c:v>
                </c:pt>
                <c:pt idx="1">
                  <c:v>0.61814285714285711</c:v>
                </c:pt>
                <c:pt idx="2">
                  <c:v>0.59892857142857148</c:v>
                </c:pt>
                <c:pt idx="3">
                  <c:v>0.61107142857142849</c:v>
                </c:pt>
                <c:pt idx="4">
                  <c:v>0.59264285714285703</c:v>
                </c:pt>
                <c:pt idx="5">
                  <c:v>0.57421428571428568</c:v>
                </c:pt>
                <c:pt idx="6">
                  <c:v>0.5377142857142857</c:v>
                </c:pt>
                <c:pt idx="7">
                  <c:v>0.52400000000000013</c:v>
                </c:pt>
                <c:pt idx="8">
                  <c:v>0.46835714285714286</c:v>
                </c:pt>
                <c:pt idx="9">
                  <c:v>0.40957142857142859</c:v>
                </c:pt>
                <c:pt idx="10">
                  <c:v>0.36942857142857138</c:v>
                </c:pt>
                <c:pt idx="11">
                  <c:v>0.30335714285714283</c:v>
                </c:pt>
                <c:pt idx="12">
                  <c:v>0.26192857142857146</c:v>
                </c:pt>
                <c:pt idx="13">
                  <c:v>0.22228571428571431</c:v>
                </c:pt>
                <c:pt idx="14">
                  <c:v>0.20171428571428571</c:v>
                </c:pt>
                <c:pt idx="15">
                  <c:v>0.1825</c:v>
                </c:pt>
                <c:pt idx="16">
                  <c:v>0.21299999999999999</c:v>
                </c:pt>
                <c:pt idx="17">
                  <c:v>0.22414285714285714</c:v>
                </c:pt>
                <c:pt idx="18">
                  <c:v>0.2472857142857143</c:v>
                </c:pt>
                <c:pt idx="19">
                  <c:v>0.23928571428571427</c:v>
                </c:pt>
                <c:pt idx="20">
                  <c:v>0.24614285714285714</c:v>
                </c:pt>
                <c:pt idx="21">
                  <c:v>0.26628571428571429</c:v>
                </c:pt>
                <c:pt idx="22">
                  <c:v>0.34742857142857136</c:v>
                </c:pt>
                <c:pt idx="23">
                  <c:v>0.39207142857142868</c:v>
                </c:pt>
                <c:pt idx="24">
                  <c:v>0.44107142857142867</c:v>
                </c:pt>
                <c:pt idx="25">
                  <c:v>0.43664285714285717</c:v>
                </c:pt>
                <c:pt idx="26">
                  <c:v>0.45107142857142851</c:v>
                </c:pt>
                <c:pt idx="27">
                  <c:v>0.46835714285714286</c:v>
                </c:pt>
                <c:pt idx="28">
                  <c:v>0.48192857142857154</c:v>
                </c:pt>
                <c:pt idx="29">
                  <c:v>0.49778571428571433</c:v>
                </c:pt>
                <c:pt idx="30">
                  <c:v>0.53571428571428581</c:v>
                </c:pt>
                <c:pt idx="31">
                  <c:v>0.62678571428571428</c:v>
                </c:pt>
                <c:pt idx="32">
                  <c:v>0.64592857142857152</c:v>
                </c:pt>
                <c:pt idx="33">
                  <c:v>0.64978571428571441</c:v>
                </c:pt>
                <c:pt idx="34">
                  <c:v>0.66292857142857142</c:v>
                </c:pt>
                <c:pt idx="35">
                  <c:v>0.66221428571428587</c:v>
                </c:pt>
                <c:pt idx="36">
                  <c:v>0.67400000000000004</c:v>
                </c:pt>
                <c:pt idx="37">
                  <c:v>0.70714285714285707</c:v>
                </c:pt>
                <c:pt idx="38">
                  <c:v>0.73557142857142854</c:v>
                </c:pt>
                <c:pt idx="39">
                  <c:v>0.77364285714285719</c:v>
                </c:pt>
                <c:pt idx="40">
                  <c:v>0.81914285714285717</c:v>
                </c:pt>
                <c:pt idx="41">
                  <c:v>0.80507142857142855</c:v>
                </c:pt>
                <c:pt idx="42">
                  <c:v>0.74250000000000016</c:v>
                </c:pt>
                <c:pt idx="43">
                  <c:v>0.72800000000000009</c:v>
                </c:pt>
                <c:pt idx="44">
                  <c:v>0.68621428571428578</c:v>
                </c:pt>
                <c:pt idx="45">
                  <c:v>0.66828571428571437</c:v>
                </c:pt>
                <c:pt idx="46">
                  <c:v>0.59185714285714297</c:v>
                </c:pt>
                <c:pt idx="47">
                  <c:v>0.57300000000000006</c:v>
                </c:pt>
                <c:pt idx="48">
                  <c:v>0.52199999999999991</c:v>
                </c:pt>
                <c:pt idx="49">
                  <c:v>0.53214285714285714</c:v>
                </c:pt>
                <c:pt idx="50">
                  <c:v>0.51714285714285713</c:v>
                </c:pt>
                <c:pt idx="51">
                  <c:v>0.51135714285714295</c:v>
                </c:pt>
                <c:pt idx="52">
                  <c:v>0.5246428571428573</c:v>
                </c:pt>
                <c:pt idx="53">
                  <c:v>0.5387142857142857</c:v>
                </c:pt>
                <c:pt idx="54">
                  <c:v>0.62471428571428567</c:v>
                </c:pt>
                <c:pt idx="55">
                  <c:v>0.59907142857142859</c:v>
                </c:pt>
                <c:pt idx="56">
                  <c:v>0.55964285714285711</c:v>
                </c:pt>
                <c:pt idx="57">
                  <c:v>0.4464285714285714</c:v>
                </c:pt>
                <c:pt idx="58">
                  <c:v>0.42064285714285721</c:v>
                </c:pt>
                <c:pt idx="59">
                  <c:v>0.35750000000000004</c:v>
                </c:pt>
                <c:pt idx="60">
                  <c:v>0.32728571428571429</c:v>
                </c:pt>
                <c:pt idx="61">
                  <c:v>0.28578571428571431</c:v>
                </c:pt>
                <c:pt idx="62">
                  <c:v>0.2588571428571429</c:v>
                </c:pt>
                <c:pt idx="63">
                  <c:v>0.2387857142857143</c:v>
                </c:pt>
                <c:pt idx="64">
                  <c:v>0.24107142857142858</c:v>
                </c:pt>
                <c:pt idx="65">
                  <c:v>0.23778571428571427</c:v>
                </c:pt>
                <c:pt idx="66">
                  <c:v>0.24535714285714288</c:v>
                </c:pt>
                <c:pt idx="67">
                  <c:v>0.25657142857142862</c:v>
                </c:pt>
                <c:pt idx="68">
                  <c:v>0.27549999999999997</c:v>
                </c:pt>
                <c:pt idx="69">
                  <c:v>0.31814285714285717</c:v>
                </c:pt>
                <c:pt idx="70">
                  <c:v>0.38878571428571429</c:v>
                </c:pt>
                <c:pt idx="71">
                  <c:v>0.44414285714285717</c:v>
                </c:pt>
                <c:pt idx="72">
                  <c:v>0.5207857142857143</c:v>
                </c:pt>
                <c:pt idx="73">
                  <c:v>0.59264285714285703</c:v>
                </c:pt>
                <c:pt idx="74">
                  <c:v>0.58985714285714286</c:v>
                </c:pt>
                <c:pt idx="75">
                  <c:v>0.61785714285714288</c:v>
                </c:pt>
                <c:pt idx="76">
                  <c:v>0.62571428571428578</c:v>
                </c:pt>
                <c:pt idx="77">
                  <c:v>0.63792857142857151</c:v>
                </c:pt>
                <c:pt idx="78">
                  <c:v>0.56500000000000006</c:v>
                </c:pt>
                <c:pt idx="79">
                  <c:v>0.54535714285714287</c:v>
                </c:pt>
                <c:pt idx="80">
                  <c:v>0.53585714285714303</c:v>
                </c:pt>
                <c:pt idx="81">
                  <c:v>0.59135714285714291</c:v>
                </c:pt>
                <c:pt idx="82">
                  <c:v>0.57257142857142862</c:v>
                </c:pt>
                <c:pt idx="83">
                  <c:v>0.59014285714285719</c:v>
                </c:pt>
                <c:pt idx="84">
                  <c:v>0.63092857142857139</c:v>
                </c:pt>
                <c:pt idx="85">
                  <c:v>0.63707142857142862</c:v>
                </c:pt>
                <c:pt idx="86">
                  <c:v>0.63835714285714285</c:v>
                </c:pt>
                <c:pt idx="87">
                  <c:v>0.62828571428571423</c:v>
                </c:pt>
                <c:pt idx="88">
                  <c:v>0.60492857142857148</c:v>
                </c:pt>
                <c:pt idx="89">
                  <c:v>0.60157142857142865</c:v>
                </c:pt>
                <c:pt idx="90">
                  <c:v>0.64792857142857141</c:v>
                </c:pt>
                <c:pt idx="91">
                  <c:v>0.65921428571428575</c:v>
                </c:pt>
                <c:pt idx="92">
                  <c:v>0.70150000000000012</c:v>
                </c:pt>
                <c:pt idx="93">
                  <c:v>0.66150000000000009</c:v>
                </c:pt>
                <c:pt idx="94">
                  <c:v>0.64721428571428563</c:v>
                </c:pt>
                <c:pt idx="95">
                  <c:v>0.55585714285714294</c:v>
                </c:pt>
                <c:pt idx="96">
                  <c:v>0.51885714285714279</c:v>
                </c:pt>
                <c:pt idx="97">
                  <c:v>0.51128571428571434</c:v>
                </c:pt>
                <c:pt idx="98">
                  <c:v>0.48450000000000015</c:v>
                </c:pt>
                <c:pt idx="99">
                  <c:v>0.45078571428571423</c:v>
                </c:pt>
                <c:pt idx="100">
                  <c:v>0.39864285714285719</c:v>
                </c:pt>
                <c:pt idx="101">
                  <c:v>0.36842857142857144</c:v>
                </c:pt>
                <c:pt idx="102">
                  <c:v>0.36071428571428577</c:v>
                </c:pt>
                <c:pt idx="103">
                  <c:v>0.37035714285714288</c:v>
                </c:pt>
                <c:pt idx="104">
                  <c:v>0.36971428571428572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63-4FD5-863F-9811755CA673}"/>
            </c:ext>
          </c:extLst>
        </c:ser>
        <c:ser>
          <c:idx val="2"/>
          <c:order val="2"/>
          <c:tx>
            <c:strRef>
              <c:f>'面板-景气指数'!$A$105</c:f>
              <c:strCache>
                <c:ptCount val="1"/>
                <c:pt idx="0">
                  <c:v>元件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'面板-景气指数'!$F$105:$DF$105</c:f>
              <c:numCache>
                <c:formatCode>0.0%</c:formatCode>
                <c:ptCount val="105"/>
                <c:pt idx="0">
                  <c:v>0.64849999999999997</c:v>
                </c:pt>
                <c:pt idx="1">
                  <c:v>0.68475000000000008</c:v>
                </c:pt>
                <c:pt idx="2">
                  <c:v>0.62</c:v>
                </c:pt>
                <c:pt idx="3">
                  <c:v>0.59100000000000008</c:v>
                </c:pt>
                <c:pt idx="4">
                  <c:v>0.59324999999999994</c:v>
                </c:pt>
                <c:pt idx="5">
                  <c:v>0.53325</c:v>
                </c:pt>
                <c:pt idx="6">
                  <c:v>0.43725000000000003</c:v>
                </c:pt>
                <c:pt idx="7">
                  <c:v>0.28825000000000001</c:v>
                </c:pt>
                <c:pt idx="8">
                  <c:v>0.18199999999999997</c:v>
                </c:pt>
                <c:pt idx="9">
                  <c:v>0.14125000000000001</c:v>
                </c:pt>
                <c:pt idx="10">
                  <c:v>0.127</c:v>
                </c:pt>
                <c:pt idx="11">
                  <c:v>0.1245</c:v>
                </c:pt>
                <c:pt idx="12">
                  <c:v>0.10525000000000001</c:v>
                </c:pt>
                <c:pt idx="13">
                  <c:v>8.6249999999999993E-2</c:v>
                </c:pt>
                <c:pt idx="14">
                  <c:v>6.4500000000000002E-2</c:v>
                </c:pt>
                <c:pt idx="15">
                  <c:v>5.2749999999999998E-2</c:v>
                </c:pt>
                <c:pt idx="16">
                  <c:v>5.025000000000001E-2</c:v>
                </c:pt>
                <c:pt idx="17">
                  <c:v>4.9750000000000003E-2</c:v>
                </c:pt>
                <c:pt idx="18">
                  <c:v>9.0749999999999997E-2</c:v>
                </c:pt>
                <c:pt idx="19">
                  <c:v>8.6250000000000007E-2</c:v>
                </c:pt>
                <c:pt idx="20">
                  <c:v>0.12924999999999998</c:v>
                </c:pt>
                <c:pt idx="21">
                  <c:v>0.13175000000000003</c:v>
                </c:pt>
                <c:pt idx="22">
                  <c:v>0.24925000000000003</c:v>
                </c:pt>
                <c:pt idx="23">
                  <c:v>0.41750000000000004</c:v>
                </c:pt>
                <c:pt idx="24">
                  <c:v>0.54049999999999998</c:v>
                </c:pt>
                <c:pt idx="25">
                  <c:v>0.52849999999999997</c:v>
                </c:pt>
                <c:pt idx="26">
                  <c:v>0.60024999999999995</c:v>
                </c:pt>
                <c:pt idx="27">
                  <c:v>0.66525000000000001</c:v>
                </c:pt>
                <c:pt idx="28">
                  <c:v>0.63649999999999995</c:v>
                </c:pt>
                <c:pt idx="29">
                  <c:v>0.69675000000000009</c:v>
                </c:pt>
                <c:pt idx="30">
                  <c:v>0.73975000000000013</c:v>
                </c:pt>
                <c:pt idx="31">
                  <c:v>0.79025000000000001</c:v>
                </c:pt>
                <c:pt idx="32">
                  <c:v>0.78600000000000014</c:v>
                </c:pt>
                <c:pt idx="33">
                  <c:v>0.76424999999999998</c:v>
                </c:pt>
                <c:pt idx="34">
                  <c:v>0.76624999999999999</c:v>
                </c:pt>
                <c:pt idx="35">
                  <c:v>0.82174999999999998</c:v>
                </c:pt>
                <c:pt idx="36">
                  <c:v>0.87924999999999998</c:v>
                </c:pt>
                <c:pt idx="37">
                  <c:v>0.9152499999999999</c:v>
                </c:pt>
                <c:pt idx="38">
                  <c:v>0.92025000000000001</c:v>
                </c:pt>
                <c:pt idx="39">
                  <c:v>0.89875000000000005</c:v>
                </c:pt>
                <c:pt idx="40">
                  <c:v>0.88400000000000012</c:v>
                </c:pt>
                <c:pt idx="41">
                  <c:v>0.85300000000000009</c:v>
                </c:pt>
                <c:pt idx="42">
                  <c:v>0.91775000000000007</c:v>
                </c:pt>
                <c:pt idx="43">
                  <c:v>0.95400000000000007</c:v>
                </c:pt>
                <c:pt idx="44">
                  <c:v>0.95399999999999996</c:v>
                </c:pt>
                <c:pt idx="45">
                  <c:v>0.94650000000000001</c:v>
                </c:pt>
                <c:pt idx="46">
                  <c:v>0.83099999999999996</c:v>
                </c:pt>
                <c:pt idx="47">
                  <c:v>0.69674999999999998</c:v>
                </c:pt>
                <c:pt idx="48">
                  <c:v>0.54050000000000009</c:v>
                </c:pt>
                <c:pt idx="49">
                  <c:v>0.502</c:v>
                </c:pt>
                <c:pt idx="50">
                  <c:v>0.51424999999999998</c:v>
                </c:pt>
                <c:pt idx="51">
                  <c:v>0.54774999999999996</c:v>
                </c:pt>
                <c:pt idx="52">
                  <c:v>0.62675000000000014</c:v>
                </c:pt>
                <c:pt idx="53">
                  <c:v>0.66774999999999995</c:v>
                </c:pt>
                <c:pt idx="54">
                  <c:v>0.62224999999999997</c:v>
                </c:pt>
                <c:pt idx="55">
                  <c:v>0.40599999999999997</c:v>
                </c:pt>
                <c:pt idx="56">
                  <c:v>0.35025000000000001</c:v>
                </c:pt>
                <c:pt idx="57">
                  <c:v>0.26600000000000001</c:v>
                </c:pt>
                <c:pt idx="58">
                  <c:v>0.32175000000000004</c:v>
                </c:pt>
                <c:pt idx="59">
                  <c:v>0.27600000000000002</c:v>
                </c:pt>
                <c:pt idx="60">
                  <c:v>0.28775000000000001</c:v>
                </c:pt>
                <c:pt idx="61">
                  <c:v>0.27124999999999999</c:v>
                </c:pt>
                <c:pt idx="62">
                  <c:v>0.27100000000000002</c:v>
                </c:pt>
                <c:pt idx="63">
                  <c:v>0.33100000000000007</c:v>
                </c:pt>
                <c:pt idx="64">
                  <c:v>0.34600000000000003</c:v>
                </c:pt>
                <c:pt idx="65">
                  <c:v>0.37224999999999997</c:v>
                </c:pt>
                <c:pt idx="66">
                  <c:v>0.35749999999999998</c:v>
                </c:pt>
                <c:pt idx="67">
                  <c:v>0.29049999999999998</c:v>
                </c:pt>
                <c:pt idx="68">
                  <c:v>0.32675000000000004</c:v>
                </c:pt>
                <c:pt idx="69">
                  <c:v>0.3745</c:v>
                </c:pt>
                <c:pt idx="70">
                  <c:v>0.46599999999999997</c:v>
                </c:pt>
                <c:pt idx="71">
                  <c:v>0.62700000000000011</c:v>
                </c:pt>
                <c:pt idx="72">
                  <c:v>0.69875000000000009</c:v>
                </c:pt>
                <c:pt idx="73">
                  <c:v>0.752</c:v>
                </c:pt>
                <c:pt idx="74">
                  <c:v>0.78325000000000011</c:v>
                </c:pt>
                <c:pt idx="75">
                  <c:v>0.83374999999999999</c:v>
                </c:pt>
                <c:pt idx="76">
                  <c:v>0.78349999999999986</c:v>
                </c:pt>
                <c:pt idx="77">
                  <c:v>0.7277499999999999</c:v>
                </c:pt>
                <c:pt idx="78">
                  <c:v>0.57674999999999998</c:v>
                </c:pt>
                <c:pt idx="79">
                  <c:v>0.66300000000000003</c:v>
                </c:pt>
                <c:pt idx="80">
                  <c:v>0.75675000000000003</c:v>
                </c:pt>
                <c:pt idx="81">
                  <c:v>0.84824999999999995</c:v>
                </c:pt>
                <c:pt idx="82">
                  <c:v>0.80725000000000002</c:v>
                </c:pt>
                <c:pt idx="83">
                  <c:v>0.74199999999999999</c:v>
                </c:pt>
                <c:pt idx="84">
                  <c:v>0.66799999999999993</c:v>
                </c:pt>
                <c:pt idx="85">
                  <c:v>0.58850000000000002</c:v>
                </c:pt>
                <c:pt idx="86">
                  <c:v>0.54749999999999999</c:v>
                </c:pt>
                <c:pt idx="87">
                  <c:v>0.48499999999999993</c:v>
                </c:pt>
                <c:pt idx="88">
                  <c:v>0.42225000000000001</c:v>
                </c:pt>
                <c:pt idx="89">
                  <c:v>0.36500000000000005</c:v>
                </c:pt>
                <c:pt idx="90">
                  <c:v>0.50449999999999995</c:v>
                </c:pt>
                <c:pt idx="91">
                  <c:v>0.46349999999999997</c:v>
                </c:pt>
                <c:pt idx="92">
                  <c:v>0.51849999999999996</c:v>
                </c:pt>
                <c:pt idx="93">
                  <c:v>0.36525000000000002</c:v>
                </c:pt>
                <c:pt idx="94">
                  <c:v>0.3745</c:v>
                </c:pt>
                <c:pt idx="95">
                  <c:v>0.2495</c:v>
                </c:pt>
                <c:pt idx="96">
                  <c:v>0.27575000000000005</c:v>
                </c:pt>
                <c:pt idx="97">
                  <c:v>0.32874999999999999</c:v>
                </c:pt>
                <c:pt idx="98">
                  <c:v>0.35749999999999998</c:v>
                </c:pt>
                <c:pt idx="99">
                  <c:v>0.30250000000000005</c:v>
                </c:pt>
                <c:pt idx="100">
                  <c:v>0.2495</c:v>
                </c:pt>
                <c:pt idx="101">
                  <c:v>0.24250000000000005</c:v>
                </c:pt>
                <c:pt idx="102">
                  <c:v>0.23525000000000001</c:v>
                </c:pt>
                <c:pt idx="103">
                  <c:v>0.2495</c:v>
                </c:pt>
                <c:pt idx="104">
                  <c:v>0.24725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63-4FD5-863F-9811755CA673}"/>
            </c:ext>
          </c:extLst>
        </c:ser>
        <c:ser>
          <c:idx val="3"/>
          <c:order val="3"/>
          <c:tx>
            <c:strRef>
              <c:f>'面板-景气指数'!$A$106</c:f>
              <c:strCache>
                <c:ptCount val="1"/>
                <c:pt idx="0">
                  <c:v>光学光电子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'面板-景气指数'!$F$106:$DF$106</c:f>
              <c:numCache>
                <c:formatCode>0.0%</c:formatCode>
                <c:ptCount val="105"/>
                <c:pt idx="0">
                  <c:v>0.54069999999999974</c:v>
                </c:pt>
                <c:pt idx="1">
                  <c:v>0.56659999999999977</c:v>
                </c:pt>
                <c:pt idx="2">
                  <c:v>0.5915999999999999</c:v>
                </c:pt>
                <c:pt idx="3">
                  <c:v>0.61609999999999987</c:v>
                </c:pt>
                <c:pt idx="4">
                  <c:v>0.6066999999999998</c:v>
                </c:pt>
                <c:pt idx="5">
                  <c:v>0.59369999999999978</c:v>
                </c:pt>
                <c:pt idx="6">
                  <c:v>0.51069999999999982</c:v>
                </c:pt>
                <c:pt idx="7">
                  <c:v>0.46889999999999982</c:v>
                </c:pt>
                <c:pt idx="8">
                  <c:v>0.43099999999999994</c:v>
                </c:pt>
                <c:pt idx="9">
                  <c:v>0.42149999999999987</c:v>
                </c:pt>
                <c:pt idx="10">
                  <c:v>0.43129999999999991</c:v>
                </c:pt>
                <c:pt idx="11">
                  <c:v>0.46949999999999997</c:v>
                </c:pt>
                <c:pt idx="12">
                  <c:v>0.49399999999999999</c:v>
                </c:pt>
                <c:pt idx="13">
                  <c:v>0.49559999999999987</c:v>
                </c:pt>
                <c:pt idx="14">
                  <c:v>0.42289999999999989</c:v>
                </c:pt>
                <c:pt idx="15">
                  <c:v>0.3155</c:v>
                </c:pt>
                <c:pt idx="16">
                  <c:v>0.25170000000000003</c:v>
                </c:pt>
                <c:pt idx="17">
                  <c:v>0.17269999999999999</c:v>
                </c:pt>
                <c:pt idx="18">
                  <c:v>0.12789999999999993</c:v>
                </c:pt>
                <c:pt idx="19">
                  <c:v>7.959999999999999E-2</c:v>
                </c:pt>
                <c:pt idx="20">
                  <c:v>5.8199999999999995E-2</c:v>
                </c:pt>
                <c:pt idx="21">
                  <c:v>4.4899999999999995E-2</c:v>
                </c:pt>
                <c:pt idx="22">
                  <c:v>7.8199999999999936E-2</c:v>
                </c:pt>
                <c:pt idx="23">
                  <c:v>9.909999999999991E-2</c:v>
                </c:pt>
                <c:pt idx="24">
                  <c:v>8.819999999999989E-2</c:v>
                </c:pt>
                <c:pt idx="25">
                  <c:v>9.0399999999999897E-2</c:v>
                </c:pt>
                <c:pt idx="26">
                  <c:v>0.11589999999999991</c:v>
                </c:pt>
                <c:pt idx="27">
                  <c:v>0.14289999999999994</c:v>
                </c:pt>
                <c:pt idx="28">
                  <c:v>0.19429999999999989</c:v>
                </c:pt>
                <c:pt idx="29">
                  <c:v>0.28309999999999985</c:v>
                </c:pt>
                <c:pt idx="30">
                  <c:v>0.31539999999999985</c:v>
                </c:pt>
                <c:pt idx="31">
                  <c:v>0.36139999999999978</c:v>
                </c:pt>
                <c:pt idx="32">
                  <c:v>0.41209999999999986</c:v>
                </c:pt>
                <c:pt idx="33">
                  <c:v>0.46619999999999978</c:v>
                </c:pt>
                <c:pt idx="34">
                  <c:v>0.55559999999999987</c:v>
                </c:pt>
                <c:pt idx="35">
                  <c:v>0.61649999999999994</c:v>
                </c:pt>
                <c:pt idx="36">
                  <c:v>0.68149999999999999</c:v>
                </c:pt>
                <c:pt idx="37">
                  <c:v>0.78400000000000025</c:v>
                </c:pt>
                <c:pt idx="38">
                  <c:v>0.85360000000000025</c:v>
                </c:pt>
                <c:pt idx="39">
                  <c:v>0.88630000000000009</c:v>
                </c:pt>
                <c:pt idx="40">
                  <c:v>0.89430000000000032</c:v>
                </c:pt>
                <c:pt idx="41">
                  <c:v>0.86670000000000014</c:v>
                </c:pt>
                <c:pt idx="42">
                  <c:v>0.85460000000000003</c:v>
                </c:pt>
                <c:pt idx="43">
                  <c:v>0.85599999999999998</c:v>
                </c:pt>
                <c:pt idx="44">
                  <c:v>0.83040000000000003</c:v>
                </c:pt>
                <c:pt idx="45">
                  <c:v>0.78800000000000003</c:v>
                </c:pt>
                <c:pt idx="46">
                  <c:v>0.69790000000000008</c:v>
                </c:pt>
                <c:pt idx="47">
                  <c:v>0.66760000000000008</c:v>
                </c:pt>
                <c:pt idx="48">
                  <c:v>0.60910000000000009</c:v>
                </c:pt>
                <c:pt idx="49">
                  <c:v>0.51649999999999985</c:v>
                </c:pt>
                <c:pt idx="50">
                  <c:v>0.42389999999999983</c:v>
                </c:pt>
                <c:pt idx="51">
                  <c:v>0.3601999999999998</c:v>
                </c:pt>
                <c:pt idx="52">
                  <c:v>0.34929999999999989</c:v>
                </c:pt>
                <c:pt idx="53">
                  <c:v>0.38319999999999982</c:v>
                </c:pt>
                <c:pt idx="54">
                  <c:v>0.3627999999999999</c:v>
                </c:pt>
                <c:pt idx="55">
                  <c:v>0.29319999999999985</c:v>
                </c:pt>
                <c:pt idx="56">
                  <c:v>0.29759999999999981</c:v>
                </c:pt>
                <c:pt idx="57">
                  <c:v>0.3494999999999997</c:v>
                </c:pt>
                <c:pt idx="58">
                  <c:v>0.36829999999999968</c:v>
                </c:pt>
                <c:pt idx="59">
                  <c:v>0.34149999999999975</c:v>
                </c:pt>
                <c:pt idx="60">
                  <c:v>0.31499999999999978</c:v>
                </c:pt>
                <c:pt idx="61">
                  <c:v>0.31269999999999987</c:v>
                </c:pt>
                <c:pt idx="62">
                  <c:v>0.31249999999999994</c:v>
                </c:pt>
                <c:pt idx="63">
                  <c:v>0.35970000000000002</c:v>
                </c:pt>
                <c:pt idx="64">
                  <c:v>0.46930000000000011</c:v>
                </c:pt>
                <c:pt idx="65">
                  <c:v>0.52799999999999991</c:v>
                </c:pt>
                <c:pt idx="66">
                  <c:v>0.49370000000000008</c:v>
                </c:pt>
                <c:pt idx="67">
                  <c:v>0.4245000000000001</c:v>
                </c:pt>
                <c:pt idx="68">
                  <c:v>0.3657000000000003</c:v>
                </c:pt>
                <c:pt idx="69">
                  <c:v>0.35930000000000023</c:v>
                </c:pt>
                <c:pt idx="70">
                  <c:v>0.41330000000000017</c:v>
                </c:pt>
                <c:pt idx="71">
                  <c:v>0.46150000000000024</c:v>
                </c:pt>
                <c:pt idx="72">
                  <c:v>0.56210000000000004</c:v>
                </c:pt>
                <c:pt idx="73">
                  <c:v>0.60109999999999997</c:v>
                </c:pt>
                <c:pt idx="74">
                  <c:v>0.61519999999999997</c:v>
                </c:pt>
                <c:pt idx="75">
                  <c:v>0.63870000000000005</c:v>
                </c:pt>
                <c:pt idx="76">
                  <c:v>0.62160000000000004</c:v>
                </c:pt>
                <c:pt idx="77">
                  <c:v>0.6019000000000001</c:v>
                </c:pt>
                <c:pt idx="78">
                  <c:v>0.52890000000000026</c:v>
                </c:pt>
                <c:pt idx="79">
                  <c:v>0.59810000000000019</c:v>
                </c:pt>
                <c:pt idx="80">
                  <c:v>0.60980000000000012</c:v>
                </c:pt>
                <c:pt idx="81">
                  <c:v>0.67449999999999999</c:v>
                </c:pt>
                <c:pt idx="82">
                  <c:v>0.64450000000000007</c:v>
                </c:pt>
                <c:pt idx="83">
                  <c:v>0.68330000000000002</c:v>
                </c:pt>
                <c:pt idx="84">
                  <c:v>0.70000000000000007</c:v>
                </c:pt>
                <c:pt idx="85">
                  <c:v>0.72820000000000007</c:v>
                </c:pt>
                <c:pt idx="86">
                  <c:v>0.76410000000000011</c:v>
                </c:pt>
                <c:pt idx="87">
                  <c:v>0.79440000000000022</c:v>
                </c:pt>
                <c:pt idx="88">
                  <c:v>0.82330000000000003</c:v>
                </c:pt>
                <c:pt idx="89">
                  <c:v>0.86770000000000025</c:v>
                </c:pt>
                <c:pt idx="90">
                  <c:v>0.90710000000000013</c:v>
                </c:pt>
                <c:pt idx="91">
                  <c:v>0.87580000000000002</c:v>
                </c:pt>
                <c:pt idx="92">
                  <c:v>0.81840000000000024</c:v>
                </c:pt>
                <c:pt idx="93">
                  <c:v>0.7221000000000003</c:v>
                </c:pt>
                <c:pt idx="94">
                  <c:v>0.70100000000000029</c:v>
                </c:pt>
                <c:pt idx="95">
                  <c:v>0.64780000000000015</c:v>
                </c:pt>
                <c:pt idx="96">
                  <c:v>0.66270000000000018</c:v>
                </c:pt>
                <c:pt idx="97">
                  <c:v>0.6595000000000002</c:v>
                </c:pt>
                <c:pt idx="98">
                  <c:v>0.61460000000000026</c:v>
                </c:pt>
                <c:pt idx="99">
                  <c:v>0.40160000000000012</c:v>
                </c:pt>
                <c:pt idx="100">
                  <c:v>0.35460000000000019</c:v>
                </c:pt>
                <c:pt idx="101">
                  <c:v>0.34400000000000019</c:v>
                </c:pt>
                <c:pt idx="102">
                  <c:v>0.3228000000000002</c:v>
                </c:pt>
                <c:pt idx="103">
                  <c:v>0.31720000000000026</c:v>
                </c:pt>
                <c:pt idx="104">
                  <c:v>0.31530000000000019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63-4FD5-863F-9811755CA673}"/>
            </c:ext>
          </c:extLst>
        </c:ser>
        <c:ser>
          <c:idx val="4"/>
          <c:order val="4"/>
          <c:tx>
            <c:strRef>
              <c:f>'面板-景气指数'!$A$107</c:f>
              <c:strCache>
                <c:ptCount val="1"/>
                <c:pt idx="0">
                  <c:v>消费电子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'面板-景气指数'!$F$107:$DF$107</c:f>
              <c:numCache>
                <c:formatCode>0.0%</c:formatCode>
                <c:ptCount val="105"/>
                <c:pt idx="0">
                  <c:v>0.78509090909090917</c:v>
                </c:pt>
                <c:pt idx="1">
                  <c:v>0.80527272727272747</c:v>
                </c:pt>
                <c:pt idx="2">
                  <c:v>0.77154545454545465</c:v>
                </c:pt>
                <c:pt idx="3">
                  <c:v>0.72081818181818202</c:v>
                </c:pt>
                <c:pt idx="4">
                  <c:v>0.6783636363636365</c:v>
                </c:pt>
                <c:pt idx="5">
                  <c:v>0.64036363636363647</c:v>
                </c:pt>
                <c:pt idx="6">
                  <c:v>0.58536363636363642</c:v>
                </c:pt>
                <c:pt idx="7">
                  <c:v>0.53427272727272734</c:v>
                </c:pt>
                <c:pt idx="8">
                  <c:v>0.50845454545454549</c:v>
                </c:pt>
                <c:pt idx="9">
                  <c:v>0.47945454545454536</c:v>
                </c:pt>
                <c:pt idx="10">
                  <c:v>0.38709090909090904</c:v>
                </c:pt>
                <c:pt idx="11">
                  <c:v>0.32299999999999984</c:v>
                </c:pt>
                <c:pt idx="12">
                  <c:v>0.28136363636363615</c:v>
                </c:pt>
                <c:pt idx="13">
                  <c:v>0.26999999999999974</c:v>
                </c:pt>
                <c:pt idx="14">
                  <c:v>0.17127272727272716</c:v>
                </c:pt>
                <c:pt idx="15">
                  <c:v>0.20781818181818165</c:v>
                </c:pt>
                <c:pt idx="16">
                  <c:v>0.23518181818181802</c:v>
                </c:pt>
                <c:pt idx="17">
                  <c:v>0.25063636363636349</c:v>
                </c:pt>
                <c:pt idx="18">
                  <c:v>0.25781818181818167</c:v>
                </c:pt>
                <c:pt idx="19">
                  <c:v>0.25445454545454527</c:v>
                </c:pt>
                <c:pt idx="20">
                  <c:v>0.23445454545454539</c:v>
                </c:pt>
                <c:pt idx="21">
                  <c:v>0.25518181818181812</c:v>
                </c:pt>
                <c:pt idx="22">
                  <c:v>0.30236363636363639</c:v>
                </c:pt>
                <c:pt idx="23">
                  <c:v>0.35245454545454541</c:v>
                </c:pt>
                <c:pt idx="24">
                  <c:v>0.40818181818181815</c:v>
                </c:pt>
                <c:pt idx="25">
                  <c:v>0.44245454545454549</c:v>
                </c:pt>
                <c:pt idx="26">
                  <c:v>0.46363636363636368</c:v>
                </c:pt>
                <c:pt idx="27">
                  <c:v>0.53827272727272735</c:v>
                </c:pt>
                <c:pt idx="28">
                  <c:v>0.52736363636363637</c:v>
                </c:pt>
                <c:pt idx="29">
                  <c:v>0.49163636363636365</c:v>
                </c:pt>
                <c:pt idx="30">
                  <c:v>0.52445454545454551</c:v>
                </c:pt>
                <c:pt idx="31">
                  <c:v>0.57800000000000018</c:v>
                </c:pt>
                <c:pt idx="32">
                  <c:v>0.64045454545454561</c:v>
                </c:pt>
                <c:pt idx="33">
                  <c:v>0.6334545454545456</c:v>
                </c:pt>
                <c:pt idx="34">
                  <c:v>0.69709090909090921</c:v>
                </c:pt>
                <c:pt idx="35">
                  <c:v>0.68390909090909113</c:v>
                </c:pt>
                <c:pt idx="36">
                  <c:v>0.65800000000000014</c:v>
                </c:pt>
                <c:pt idx="37">
                  <c:v>0.71681818181818202</c:v>
                </c:pt>
                <c:pt idx="38">
                  <c:v>0.72581818181818203</c:v>
                </c:pt>
                <c:pt idx="39">
                  <c:v>0.74090909090909118</c:v>
                </c:pt>
                <c:pt idx="40">
                  <c:v>0.69818181818181857</c:v>
                </c:pt>
                <c:pt idx="41">
                  <c:v>0.77018181818181819</c:v>
                </c:pt>
                <c:pt idx="42">
                  <c:v>0.77672727272727271</c:v>
                </c:pt>
                <c:pt idx="43">
                  <c:v>0.75572727272727269</c:v>
                </c:pt>
                <c:pt idx="44">
                  <c:v>0.70572727272727265</c:v>
                </c:pt>
                <c:pt idx="45">
                  <c:v>0.69563636363636361</c:v>
                </c:pt>
                <c:pt idx="46">
                  <c:v>0.55081818181818187</c:v>
                </c:pt>
                <c:pt idx="47">
                  <c:v>0.46054545454545459</c:v>
                </c:pt>
                <c:pt idx="48">
                  <c:v>0.37318181818181828</c:v>
                </c:pt>
                <c:pt idx="49">
                  <c:v>0.36827272727272725</c:v>
                </c:pt>
                <c:pt idx="50">
                  <c:v>0.38763636363636367</c:v>
                </c:pt>
                <c:pt idx="51">
                  <c:v>0.44181818181818178</c:v>
                </c:pt>
                <c:pt idx="52">
                  <c:v>0.47700000000000009</c:v>
                </c:pt>
                <c:pt idx="53">
                  <c:v>0.38572727272727286</c:v>
                </c:pt>
                <c:pt idx="54">
                  <c:v>0.2997272727272729</c:v>
                </c:pt>
                <c:pt idx="55">
                  <c:v>0.21790909090909102</c:v>
                </c:pt>
                <c:pt idx="56">
                  <c:v>0.18309090909090917</c:v>
                </c:pt>
                <c:pt idx="57">
                  <c:v>0.15818181818181823</c:v>
                </c:pt>
                <c:pt idx="58">
                  <c:v>0.18790909090909086</c:v>
                </c:pt>
                <c:pt idx="59">
                  <c:v>0.22672727272727264</c:v>
                </c:pt>
                <c:pt idx="60">
                  <c:v>0.27281818181818174</c:v>
                </c:pt>
                <c:pt idx="61">
                  <c:v>0.27581818181818174</c:v>
                </c:pt>
                <c:pt idx="62">
                  <c:v>0.24836363636363629</c:v>
                </c:pt>
                <c:pt idx="63">
                  <c:v>0.25172727272727263</c:v>
                </c:pt>
                <c:pt idx="64">
                  <c:v>0.27654545454545448</c:v>
                </c:pt>
                <c:pt idx="65">
                  <c:v>0.31045454545454548</c:v>
                </c:pt>
                <c:pt idx="66">
                  <c:v>0.29772727272727273</c:v>
                </c:pt>
                <c:pt idx="67">
                  <c:v>0.28772727272727272</c:v>
                </c:pt>
                <c:pt idx="68">
                  <c:v>0.27972727272727282</c:v>
                </c:pt>
                <c:pt idx="69">
                  <c:v>0.32600000000000007</c:v>
                </c:pt>
                <c:pt idx="70">
                  <c:v>0.3760909090909092</c:v>
                </c:pt>
                <c:pt idx="71">
                  <c:v>0.43900000000000017</c:v>
                </c:pt>
                <c:pt idx="72">
                  <c:v>0.45772727272727298</c:v>
                </c:pt>
                <c:pt idx="73">
                  <c:v>0.46854545454545476</c:v>
                </c:pt>
                <c:pt idx="74">
                  <c:v>0.50281818181818205</c:v>
                </c:pt>
                <c:pt idx="75">
                  <c:v>0.57163636363636383</c:v>
                </c:pt>
                <c:pt idx="76">
                  <c:v>0.60663636363636386</c:v>
                </c:pt>
                <c:pt idx="77">
                  <c:v>0.59727272727272751</c:v>
                </c:pt>
                <c:pt idx="78">
                  <c:v>0.59427272727272751</c:v>
                </c:pt>
                <c:pt idx="79">
                  <c:v>0.6209090909090913</c:v>
                </c:pt>
                <c:pt idx="80">
                  <c:v>0.66727272727272757</c:v>
                </c:pt>
                <c:pt idx="81">
                  <c:v>0.70445454545454578</c:v>
                </c:pt>
                <c:pt idx="82">
                  <c:v>0.70745454545454567</c:v>
                </c:pt>
                <c:pt idx="83">
                  <c:v>0.73672727272727312</c:v>
                </c:pt>
                <c:pt idx="84">
                  <c:v>0.73227272727272752</c:v>
                </c:pt>
                <c:pt idx="85">
                  <c:v>0.73972727272727301</c:v>
                </c:pt>
                <c:pt idx="86">
                  <c:v>0.76272727272727303</c:v>
                </c:pt>
                <c:pt idx="87">
                  <c:v>0.77081818181818218</c:v>
                </c:pt>
                <c:pt idx="88">
                  <c:v>0.78727272727272768</c:v>
                </c:pt>
                <c:pt idx="89">
                  <c:v>0.79800000000000038</c:v>
                </c:pt>
                <c:pt idx="90">
                  <c:v>0.83945454545454568</c:v>
                </c:pt>
                <c:pt idx="91">
                  <c:v>0.79490909090909123</c:v>
                </c:pt>
                <c:pt idx="92">
                  <c:v>0.78900000000000048</c:v>
                </c:pt>
                <c:pt idx="93">
                  <c:v>0.728727272727273</c:v>
                </c:pt>
                <c:pt idx="94">
                  <c:v>0.69618181818181857</c:v>
                </c:pt>
                <c:pt idx="95">
                  <c:v>0.62627272727272743</c:v>
                </c:pt>
                <c:pt idx="96">
                  <c:v>0.59509090909090911</c:v>
                </c:pt>
                <c:pt idx="97">
                  <c:v>0.56954545454545458</c:v>
                </c:pt>
                <c:pt idx="98">
                  <c:v>0.502</c:v>
                </c:pt>
                <c:pt idx="99">
                  <c:v>0.41799999999999998</c:v>
                </c:pt>
                <c:pt idx="100">
                  <c:v>0.33899999999999997</c:v>
                </c:pt>
                <c:pt idx="101">
                  <c:v>0.29399999999999993</c:v>
                </c:pt>
                <c:pt idx="102">
                  <c:v>0.28736363636363638</c:v>
                </c:pt>
                <c:pt idx="103">
                  <c:v>0.28872727272727272</c:v>
                </c:pt>
                <c:pt idx="104">
                  <c:v>0.30581818181818182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63-4FD5-863F-9811755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07407407407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'面板-景气指数'!$A$50</c:f>
              <c:strCache>
                <c:ptCount val="1"/>
                <c:pt idx="0">
                  <c:v>汽车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'面板-景气指数'!$F$50:$DF$50</c:f>
              <c:numCache>
                <c:formatCode>0.0%</c:formatCode>
                <c:ptCount val="105"/>
                <c:pt idx="0">
                  <c:v>0.31699999999999995</c:v>
                </c:pt>
                <c:pt idx="1">
                  <c:v>0.35489999999999999</c:v>
                </c:pt>
                <c:pt idx="2">
                  <c:v>0.35475000000000001</c:v>
                </c:pt>
                <c:pt idx="3">
                  <c:v>0.36990000000000001</c:v>
                </c:pt>
                <c:pt idx="4">
                  <c:v>0.45665</c:v>
                </c:pt>
                <c:pt idx="5">
                  <c:v>0.60010000000000008</c:v>
                </c:pt>
                <c:pt idx="6">
                  <c:v>0.66754999999999998</c:v>
                </c:pt>
                <c:pt idx="7">
                  <c:v>0.64980000000000004</c:v>
                </c:pt>
                <c:pt idx="8">
                  <c:v>0.83074999999999999</c:v>
                </c:pt>
                <c:pt idx="9">
                  <c:v>0.8711000000000001</c:v>
                </c:pt>
                <c:pt idx="10">
                  <c:v>0.84525000000000006</c:v>
                </c:pt>
                <c:pt idx="11">
                  <c:v>0.78110000000000013</c:v>
                </c:pt>
                <c:pt idx="12">
                  <c:v>0.67149999999999999</c:v>
                </c:pt>
                <c:pt idx="13">
                  <c:v>0.52680000000000005</c:v>
                </c:pt>
                <c:pt idx="14">
                  <c:v>0.55745</c:v>
                </c:pt>
                <c:pt idx="15">
                  <c:v>0.62884999999999991</c:v>
                </c:pt>
                <c:pt idx="16">
                  <c:v>0.75929999999999997</c:v>
                </c:pt>
                <c:pt idx="17">
                  <c:v>0.62625000000000008</c:v>
                </c:pt>
                <c:pt idx="18">
                  <c:v>0.5081500000000001</c:v>
                </c:pt>
                <c:pt idx="19">
                  <c:v>0.36215000000000003</c:v>
                </c:pt>
                <c:pt idx="20">
                  <c:v>0.34955000000000008</c:v>
                </c:pt>
                <c:pt idx="21">
                  <c:v>0.37970000000000004</c:v>
                </c:pt>
                <c:pt idx="22">
                  <c:v>0.59260000000000002</c:v>
                </c:pt>
                <c:pt idx="23">
                  <c:v>0.62620000000000009</c:v>
                </c:pt>
                <c:pt idx="24">
                  <c:v>0.63650000000000018</c:v>
                </c:pt>
                <c:pt idx="25">
                  <c:v>0.61645000000000005</c:v>
                </c:pt>
                <c:pt idx="26">
                  <c:v>0.55694999999999995</c:v>
                </c:pt>
                <c:pt idx="27">
                  <c:v>0.43154999999999999</c:v>
                </c:pt>
                <c:pt idx="28">
                  <c:v>0.31629999999999997</c:v>
                </c:pt>
                <c:pt idx="29">
                  <c:v>0.29135</c:v>
                </c:pt>
                <c:pt idx="30">
                  <c:v>0.42055000000000003</c:v>
                </c:pt>
                <c:pt idx="31">
                  <c:v>0.6049000000000001</c:v>
                </c:pt>
                <c:pt idx="32">
                  <c:v>0.63429999999999997</c:v>
                </c:pt>
                <c:pt idx="33">
                  <c:v>0.59029999999999994</c:v>
                </c:pt>
                <c:pt idx="34">
                  <c:v>0.61339999999999995</c:v>
                </c:pt>
                <c:pt idx="35">
                  <c:v>0.66915000000000002</c:v>
                </c:pt>
                <c:pt idx="36">
                  <c:v>0.74280000000000013</c:v>
                </c:pt>
                <c:pt idx="37">
                  <c:v>0.78804999999999992</c:v>
                </c:pt>
                <c:pt idx="38">
                  <c:v>0.82220000000000004</c:v>
                </c:pt>
                <c:pt idx="39">
                  <c:v>0.86260000000000003</c:v>
                </c:pt>
                <c:pt idx="40">
                  <c:v>0.88934999999999997</c:v>
                </c:pt>
                <c:pt idx="41">
                  <c:v>0.94734999999999991</c:v>
                </c:pt>
                <c:pt idx="42">
                  <c:v>0.97609999999999997</c:v>
                </c:pt>
                <c:pt idx="43">
                  <c:v>0.96360000000000001</c:v>
                </c:pt>
                <c:pt idx="44">
                  <c:v>0.94660000000000011</c:v>
                </c:pt>
                <c:pt idx="45">
                  <c:v>0.61399999999999999</c:v>
                </c:pt>
                <c:pt idx="46">
                  <c:v>0.43665000000000009</c:v>
                </c:pt>
                <c:pt idx="47">
                  <c:v>0.40865000000000001</c:v>
                </c:pt>
                <c:pt idx="48">
                  <c:v>0.31730000000000003</c:v>
                </c:pt>
                <c:pt idx="49">
                  <c:v>0.24165</c:v>
                </c:pt>
                <c:pt idx="50">
                  <c:v>0.19775000000000004</c:v>
                </c:pt>
                <c:pt idx="51">
                  <c:v>0.16839999999999999</c:v>
                </c:pt>
                <c:pt idx="52">
                  <c:v>0.15095</c:v>
                </c:pt>
                <c:pt idx="53">
                  <c:v>0.12850000000000003</c:v>
                </c:pt>
                <c:pt idx="54">
                  <c:v>6.1699999999999998E-2</c:v>
                </c:pt>
                <c:pt idx="55">
                  <c:v>5.8700000000000002E-2</c:v>
                </c:pt>
                <c:pt idx="56">
                  <c:v>0.1036</c:v>
                </c:pt>
                <c:pt idx="57">
                  <c:v>0.23590000000000003</c:v>
                </c:pt>
                <c:pt idx="58">
                  <c:v>0.31995000000000001</c:v>
                </c:pt>
                <c:pt idx="59">
                  <c:v>0.27585000000000004</c:v>
                </c:pt>
                <c:pt idx="60">
                  <c:v>0.25830000000000003</c:v>
                </c:pt>
                <c:pt idx="61">
                  <c:v>0.224</c:v>
                </c:pt>
                <c:pt idx="62">
                  <c:v>0.19969999999999999</c:v>
                </c:pt>
                <c:pt idx="63">
                  <c:v>0.17610000000000003</c:v>
                </c:pt>
                <c:pt idx="64">
                  <c:v>0.16245000000000001</c:v>
                </c:pt>
                <c:pt idx="65">
                  <c:v>0.19985</c:v>
                </c:pt>
                <c:pt idx="66">
                  <c:v>0.21765000000000001</c:v>
                </c:pt>
                <c:pt idx="67">
                  <c:v>0.24665000000000004</c:v>
                </c:pt>
                <c:pt idx="68">
                  <c:v>0.27195000000000003</c:v>
                </c:pt>
                <c:pt idx="69">
                  <c:v>0.30300000000000005</c:v>
                </c:pt>
                <c:pt idx="70">
                  <c:v>0.30114999999999997</c:v>
                </c:pt>
                <c:pt idx="71">
                  <c:v>0.32399999999999995</c:v>
                </c:pt>
                <c:pt idx="72">
                  <c:v>0.35175000000000001</c:v>
                </c:pt>
                <c:pt idx="73">
                  <c:v>0.41870000000000007</c:v>
                </c:pt>
                <c:pt idx="74">
                  <c:v>0.52285000000000004</c:v>
                </c:pt>
                <c:pt idx="75">
                  <c:v>0.55530000000000002</c:v>
                </c:pt>
                <c:pt idx="76">
                  <c:v>0.58020000000000005</c:v>
                </c:pt>
                <c:pt idx="77">
                  <c:v>0.55245000000000011</c:v>
                </c:pt>
                <c:pt idx="78">
                  <c:v>0.4753</c:v>
                </c:pt>
                <c:pt idx="79">
                  <c:v>0.52529999999999999</c:v>
                </c:pt>
                <c:pt idx="80">
                  <c:v>0.53424999999999989</c:v>
                </c:pt>
                <c:pt idx="81">
                  <c:v>0.56494999999999995</c:v>
                </c:pt>
                <c:pt idx="82">
                  <c:v>0.51185000000000003</c:v>
                </c:pt>
                <c:pt idx="83">
                  <c:v>0.55625000000000002</c:v>
                </c:pt>
                <c:pt idx="84">
                  <c:v>0.57450000000000001</c:v>
                </c:pt>
                <c:pt idx="85">
                  <c:v>0.55730000000000002</c:v>
                </c:pt>
                <c:pt idx="86">
                  <c:v>0.49949999999999994</c:v>
                </c:pt>
                <c:pt idx="87">
                  <c:v>0.51124999999999998</c:v>
                </c:pt>
                <c:pt idx="88">
                  <c:v>0.51715</c:v>
                </c:pt>
                <c:pt idx="89">
                  <c:v>0.55940000000000001</c:v>
                </c:pt>
                <c:pt idx="90">
                  <c:v>0.63919999999999999</c:v>
                </c:pt>
                <c:pt idx="91">
                  <c:v>0.6130000000000001</c:v>
                </c:pt>
                <c:pt idx="92">
                  <c:v>0.64880000000000004</c:v>
                </c:pt>
                <c:pt idx="93">
                  <c:v>0.65290000000000004</c:v>
                </c:pt>
                <c:pt idx="94">
                  <c:v>0.69394999999999996</c:v>
                </c:pt>
                <c:pt idx="95">
                  <c:v>0.65825</c:v>
                </c:pt>
                <c:pt idx="96">
                  <c:v>0.62460000000000004</c:v>
                </c:pt>
                <c:pt idx="97">
                  <c:v>0.6048</c:v>
                </c:pt>
                <c:pt idx="98">
                  <c:v>0.57695000000000007</c:v>
                </c:pt>
                <c:pt idx="99">
                  <c:v>0.5232</c:v>
                </c:pt>
                <c:pt idx="100">
                  <c:v>0.50485000000000002</c:v>
                </c:pt>
                <c:pt idx="101">
                  <c:v>0.47625000000000006</c:v>
                </c:pt>
                <c:pt idx="102">
                  <c:v>0.43519999999999992</c:v>
                </c:pt>
                <c:pt idx="103">
                  <c:v>0.42095000000000005</c:v>
                </c:pt>
                <c:pt idx="104">
                  <c:v>0.39835000000000004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6D-41D6-8E58-907D50953E5A}"/>
            </c:ext>
          </c:extLst>
        </c:ser>
        <c:ser>
          <c:idx val="1"/>
          <c:order val="1"/>
          <c:tx>
            <c:strRef>
              <c:f>'面板-景气指数'!$A$120</c:f>
              <c:strCache>
                <c:ptCount val="1"/>
                <c:pt idx="0">
                  <c:v>汽车零部件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'面板-景气指数'!$F$120:$DF$120</c:f>
              <c:numCache>
                <c:formatCode>0.0%</c:formatCode>
                <c:ptCount val="105"/>
                <c:pt idx="0">
                  <c:v>0.17399999999999999</c:v>
                </c:pt>
                <c:pt idx="1">
                  <c:v>0.5</c:v>
                </c:pt>
                <c:pt idx="2">
                  <c:v>0.33</c:v>
                </c:pt>
                <c:pt idx="3">
                  <c:v>0.39800000000000002</c:v>
                </c:pt>
                <c:pt idx="4">
                  <c:v>0.436</c:v>
                </c:pt>
                <c:pt idx="5">
                  <c:v>0.54300000000000004</c:v>
                </c:pt>
                <c:pt idx="6">
                  <c:v>0.70799999999999996</c:v>
                </c:pt>
                <c:pt idx="7">
                  <c:v>0.52400000000000002</c:v>
                </c:pt>
                <c:pt idx="8">
                  <c:v>0.96100000000000008</c:v>
                </c:pt>
                <c:pt idx="9">
                  <c:v>0.95100000000000007</c:v>
                </c:pt>
                <c:pt idx="10">
                  <c:v>0.90200000000000002</c:v>
                </c:pt>
                <c:pt idx="11">
                  <c:v>0.79600000000000004</c:v>
                </c:pt>
                <c:pt idx="12">
                  <c:v>0.61099999999999999</c:v>
                </c:pt>
                <c:pt idx="13">
                  <c:v>0.36799999999999999</c:v>
                </c:pt>
                <c:pt idx="14">
                  <c:v>0.40699999999999997</c:v>
                </c:pt>
                <c:pt idx="15">
                  <c:v>0.46600000000000003</c:v>
                </c:pt>
                <c:pt idx="16">
                  <c:v>0.65</c:v>
                </c:pt>
                <c:pt idx="17">
                  <c:v>0.45600000000000002</c:v>
                </c:pt>
                <c:pt idx="18">
                  <c:v>0.184</c:v>
                </c:pt>
                <c:pt idx="19">
                  <c:v>0.11599999999999999</c:v>
                </c:pt>
                <c:pt idx="20">
                  <c:v>6.7000000000000004E-2</c:v>
                </c:pt>
                <c:pt idx="21">
                  <c:v>9.7000000000000003E-2</c:v>
                </c:pt>
                <c:pt idx="22">
                  <c:v>0.126</c:v>
                </c:pt>
                <c:pt idx="23">
                  <c:v>0.13500000000000001</c:v>
                </c:pt>
                <c:pt idx="24">
                  <c:v>0.10599999999999998</c:v>
                </c:pt>
                <c:pt idx="25">
                  <c:v>8.6999999999999994E-2</c:v>
                </c:pt>
                <c:pt idx="26">
                  <c:v>7.6999999999999999E-2</c:v>
                </c:pt>
                <c:pt idx="27">
                  <c:v>3.7999999999999999E-2</c:v>
                </c:pt>
                <c:pt idx="28">
                  <c:v>1.9E-2</c:v>
                </c:pt>
                <c:pt idx="29">
                  <c:v>5.7999999999999996E-2</c:v>
                </c:pt>
                <c:pt idx="30">
                  <c:v>0.14499999999999999</c:v>
                </c:pt>
                <c:pt idx="31">
                  <c:v>0.21299999999999999</c:v>
                </c:pt>
                <c:pt idx="32">
                  <c:v>0.42699999999999999</c:v>
                </c:pt>
                <c:pt idx="33">
                  <c:v>0.51400000000000001</c:v>
                </c:pt>
                <c:pt idx="34">
                  <c:v>0.57199999999999995</c:v>
                </c:pt>
                <c:pt idx="35">
                  <c:v>0.66</c:v>
                </c:pt>
                <c:pt idx="36">
                  <c:v>0.75700000000000001</c:v>
                </c:pt>
                <c:pt idx="37">
                  <c:v>0.77600000000000002</c:v>
                </c:pt>
                <c:pt idx="38">
                  <c:v>0.78600000000000003</c:v>
                </c:pt>
                <c:pt idx="39">
                  <c:v>0.80500000000000005</c:v>
                </c:pt>
                <c:pt idx="40">
                  <c:v>0.86399999999999999</c:v>
                </c:pt>
                <c:pt idx="41">
                  <c:v>0.97</c:v>
                </c:pt>
                <c:pt idx="42">
                  <c:v>0.99</c:v>
                </c:pt>
                <c:pt idx="43">
                  <c:v>1</c:v>
                </c:pt>
                <c:pt idx="44">
                  <c:v>0.98</c:v>
                </c:pt>
                <c:pt idx="45">
                  <c:v>0.378</c:v>
                </c:pt>
                <c:pt idx="46">
                  <c:v>0.35899999999999999</c:v>
                </c:pt>
                <c:pt idx="47">
                  <c:v>0.31</c:v>
                </c:pt>
                <c:pt idx="48">
                  <c:v>0.28100000000000003</c:v>
                </c:pt>
                <c:pt idx="49">
                  <c:v>0.19400000000000001</c:v>
                </c:pt>
                <c:pt idx="50">
                  <c:v>0.20300000000000001</c:v>
                </c:pt>
                <c:pt idx="51">
                  <c:v>0.16500000000000001</c:v>
                </c:pt>
                <c:pt idx="52">
                  <c:v>0.155</c:v>
                </c:pt>
                <c:pt idx="53">
                  <c:v>2.8999999999999998E-2</c:v>
                </c:pt>
                <c:pt idx="54">
                  <c:v>8.9999999999999993E-3</c:v>
                </c:pt>
                <c:pt idx="55">
                  <c:v>0</c:v>
                </c:pt>
                <c:pt idx="56">
                  <c:v>4.8000000000000001E-2</c:v>
                </c:pt>
                <c:pt idx="57">
                  <c:v>0.38800000000000001</c:v>
                </c:pt>
                <c:pt idx="58">
                  <c:v>0.33900000000000002</c:v>
                </c:pt>
                <c:pt idx="59">
                  <c:v>0.27100000000000002</c:v>
                </c:pt>
                <c:pt idx="60">
                  <c:v>0.223</c:v>
                </c:pt>
                <c:pt idx="61">
                  <c:v>0.23300000000000001</c:v>
                </c:pt>
                <c:pt idx="62">
                  <c:v>0.24199999999999999</c:v>
                </c:pt>
                <c:pt idx="63">
                  <c:v>0.26200000000000001</c:v>
                </c:pt>
                <c:pt idx="64">
                  <c:v>0.252</c:v>
                </c:pt>
                <c:pt idx="65">
                  <c:v>0.29099999999999998</c:v>
                </c:pt>
                <c:pt idx="66">
                  <c:v>0.32</c:v>
                </c:pt>
                <c:pt idx="67">
                  <c:v>0.34899999999999998</c:v>
                </c:pt>
                <c:pt idx="68">
                  <c:v>0.41699999999999998</c:v>
                </c:pt>
                <c:pt idx="69">
                  <c:v>0.495</c:v>
                </c:pt>
                <c:pt idx="70">
                  <c:v>0.504</c:v>
                </c:pt>
                <c:pt idx="71">
                  <c:v>0.56299999999999994</c:v>
                </c:pt>
                <c:pt idx="72">
                  <c:v>0.60099999999999998</c:v>
                </c:pt>
                <c:pt idx="73">
                  <c:v>0.64</c:v>
                </c:pt>
                <c:pt idx="74">
                  <c:v>0.69899999999999995</c:v>
                </c:pt>
                <c:pt idx="75">
                  <c:v>0.71799999999999997</c:v>
                </c:pt>
                <c:pt idx="76">
                  <c:v>0.68899999999999995</c:v>
                </c:pt>
                <c:pt idx="77">
                  <c:v>0.63100000000000001</c:v>
                </c:pt>
                <c:pt idx="78">
                  <c:v>0.53300000000000003</c:v>
                </c:pt>
                <c:pt idx="79">
                  <c:v>0.48499999999999999</c:v>
                </c:pt>
                <c:pt idx="80">
                  <c:v>0.73699999999999999</c:v>
                </c:pt>
                <c:pt idx="81">
                  <c:v>0.82499999999999996</c:v>
                </c:pt>
                <c:pt idx="82">
                  <c:v>0.8929999999999999</c:v>
                </c:pt>
                <c:pt idx="83">
                  <c:v>0.91200000000000003</c:v>
                </c:pt>
                <c:pt idx="84">
                  <c:v>0.92200000000000004</c:v>
                </c:pt>
                <c:pt idx="85">
                  <c:v>0.8829999999999999</c:v>
                </c:pt>
                <c:pt idx="86">
                  <c:v>0.83399999999999996</c:v>
                </c:pt>
                <c:pt idx="87">
                  <c:v>0.84399999999999997</c:v>
                </c:pt>
                <c:pt idx="88">
                  <c:v>0.81499999999999995</c:v>
                </c:pt>
                <c:pt idx="89">
                  <c:v>0.85399999999999998</c:v>
                </c:pt>
                <c:pt idx="90">
                  <c:v>0.93200000000000005</c:v>
                </c:pt>
                <c:pt idx="91">
                  <c:v>0.94100000000000006</c:v>
                </c:pt>
                <c:pt idx="92">
                  <c:v>0.87299999999999989</c:v>
                </c:pt>
                <c:pt idx="93">
                  <c:v>0.76600000000000001</c:v>
                </c:pt>
                <c:pt idx="94">
                  <c:v>0.747</c:v>
                </c:pt>
                <c:pt idx="95">
                  <c:v>0.72799999999999998</c:v>
                </c:pt>
                <c:pt idx="96">
                  <c:v>0.66900000000000004</c:v>
                </c:pt>
                <c:pt idx="97">
                  <c:v>0.67900000000000005</c:v>
                </c:pt>
                <c:pt idx="98">
                  <c:v>0.621</c:v>
                </c:pt>
                <c:pt idx="99">
                  <c:v>0.59199999999999997</c:v>
                </c:pt>
                <c:pt idx="100">
                  <c:v>0.58199999999999996</c:v>
                </c:pt>
                <c:pt idx="101">
                  <c:v>0.55300000000000005</c:v>
                </c:pt>
                <c:pt idx="102">
                  <c:v>0.47499999999999998</c:v>
                </c:pt>
                <c:pt idx="103">
                  <c:v>0.44600000000000001</c:v>
                </c:pt>
                <c:pt idx="104">
                  <c:v>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6D-41D6-8E58-907D50953E5A}"/>
            </c:ext>
          </c:extLst>
        </c:ser>
        <c:ser>
          <c:idx val="2"/>
          <c:order val="2"/>
          <c:tx>
            <c:strRef>
              <c:f>'面板-景气指数'!$A$122</c:f>
              <c:strCache>
                <c:ptCount val="1"/>
                <c:pt idx="0">
                  <c:v>商用车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'面板-景气指数'!$F$122:$DF$122</c:f>
              <c:numCache>
                <c:formatCode>0.0%</c:formatCode>
                <c:ptCount val="105"/>
                <c:pt idx="0">
                  <c:v>0.38850000000000001</c:v>
                </c:pt>
                <c:pt idx="1">
                  <c:v>0.36500000000000005</c:v>
                </c:pt>
                <c:pt idx="2">
                  <c:v>0.38900000000000001</c:v>
                </c:pt>
                <c:pt idx="3">
                  <c:v>0.42249999999999999</c:v>
                </c:pt>
                <c:pt idx="4">
                  <c:v>0.46600000000000003</c:v>
                </c:pt>
                <c:pt idx="5">
                  <c:v>0.58100000000000007</c:v>
                </c:pt>
                <c:pt idx="6">
                  <c:v>0.58099999999999996</c:v>
                </c:pt>
                <c:pt idx="7">
                  <c:v>0.63450000000000006</c:v>
                </c:pt>
                <c:pt idx="8">
                  <c:v>0.80750000000000011</c:v>
                </c:pt>
                <c:pt idx="9">
                  <c:v>0.88400000000000001</c:v>
                </c:pt>
                <c:pt idx="10">
                  <c:v>0.84100000000000008</c:v>
                </c:pt>
                <c:pt idx="11">
                  <c:v>0.7639999999999999</c:v>
                </c:pt>
                <c:pt idx="12">
                  <c:v>0.69650000000000001</c:v>
                </c:pt>
                <c:pt idx="13">
                  <c:v>0.72050000000000003</c:v>
                </c:pt>
                <c:pt idx="14">
                  <c:v>0.7350000000000001</c:v>
                </c:pt>
                <c:pt idx="15">
                  <c:v>0.78349999999999997</c:v>
                </c:pt>
                <c:pt idx="16">
                  <c:v>0.83600000000000008</c:v>
                </c:pt>
                <c:pt idx="17">
                  <c:v>0.79300000000000004</c:v>
                </c:pt>
                <c:pt idx="18">
                  <c:v>0.87449999999999994</c:v>
                </c:pt>
                <c:pt idx="19">
                  <c:v>0.52349999999999985</c:v>
                </c:pt>
                <c:pt idx="20">
                  <c:v>0.48050000000000009</c:v>
                </c:pt>
                <c:pt idx="21">
                  <c:v>0.45600000000000002</c:v>
                </c:pt>
                <c:pt idx="22">
                  <c:v>0.53349999999999997</c:v>
                </c:pt>
                <c:pt idx="23">
                  <c:v>0.54749999999999999</c:v>
                </c:pt>
                <c:pt idx="24">
                  <c:v>0.57650000000000001</c:v>
                </c:pt>
                <c:pt idx="25">
                  <c:v>0.52350000000000008</c:v>
                </c:pt>
                <c:pt idx="26">
                  <c:v>0.49</c:v>
                </c:pt>
                <c:pt idx="27">
                  <c:v>0.40800000000000003</c:v>
                </c:pt>
                <c:pt idx="28">
                  <c:v>0.35049999999999998</c:v>
                </c:pt>
                <c:pt idx="29">
                  <c:v>0.38900000000000001</c:v>
                </c:pt>
                <c:pt idx="30">
                  <c:v>0.36499999999999994</c:v>
                </c:pt>
                <c:pt idx="31">
                  <c:v>0.48549999999999999</c:v>
                </c:pt>
                <c:pt idx="32">
                  <c:v>0.46600000000000003</c:v>
                </c:pt>
                <c:pt idx="33">
                  <c:v>0.42249999999999993</c:v>
                </c:pt>
                <c:pt idx="34">
                  <c:v>0.34549999999999997</c:v>
                </c:pt>
                <c:pt idx="35">
                  <c:v>0.41300000000000003</c:v>
                </c:pt>
                <c:pt idx="36">
                  <c:v>0.47549999999999998</c:v>
                </c:pt>
                <c:pt idx="37">
                  <c:v>0.49</c:v>
                </c:pt>
                <c:pt idx="38">
                  <c:v>0.52349999999999997</c:v>
                </c:pt>
                <c:pt idx="39">
                  <c:v>0.58150000000000002</c:v>
                </c:pt>
                <c:pt idx="40">
                  <c:v>0.63900000000000012</c:v>
                </c:pt>
                <c:pt idx="41">
                  <c:v>0.87449999999999994</c:v>
                </c:pt>
                <c:pt idx="42">
                  <c:v>0.98499999999999999</c:v>
                </c:pt>
                <c:pt idx="43">
                  <c:v>0.97549999999999992</c:v>
                </c:pt>
                <c:pt idx="44">
                  <c:v>0.95599999999999996</c:v>
                </c:pt>
                <c:pt idx="45">
                  <c:v>0.69700000000000006</c:v>
                </c:pt>
                <c:pt idx="46">
                  <c:v>0.54799999999999993</c:v>
                </c:pt>
                <c:pt idx="47">
                  <c:v>0.61</c:v>
                </c:pt>
                <c:pt idx="48">
                  <c:v>0.58150000000000002</c:v>
                </c:pt>
                <c:pt idx="49">
                  <c:v>0.53799999999999992</c:v>
                </c:pt>
                <c:pt idx="50">
                  <c:v>0.53299999999999992</c:v>
                </c:pt>
                <c:pt idx="51">
                  <c:v>0.52849999999999997</c:v>
                </c:pt>
                <c:pt idx="52">
                  <c:v>0.4945</c:v>
                </c:pt>
                <c:pt idx="53">
                  <c:v>0.38900000000000001</c:v>
                </c:pt>
                <c:pt idx="54">
                  <c:v>7.6499999999999999E-2</c:v>
                </c:pt>
                <c:pt idx="55">
                  <c:v>3.2999999999999995E-2</c:v>
                </c:pt>
                <c:pt idx="56">
                  <c:v>0.1105</c:v>
                </c:pt>
                <c:pt idx="57">
                  <c:v>0.26400000000000001</c:v>
                </c:pt>
                <c:pt idx="58">
                  <c:v>0.41300000000000003</c:v>
                </c:pt>
                <c:pt idx="59">
                  <c:v>0.3745</c:v>
                </c:pt>
                <c:pt idx="60">
                  <c:v>0.35500000000000004</c:v>
                </c:pt>
                <c:pt idx="61">
                  <c:v>0.24450000000000002</c:v>
                </c:pt>
                <c:pt idx="62">
                  <c:v>0.216</c:v>
                </c:pt>
                <c:pt idx="63">
                  <c:v>0.192</c:v>
                </c:pt>
                <c:pt idx="64">
                  <c:v>0.21550000000000002</c:v>
                </c:pt>
                <c:pt idx="65">
                  <c:v>0.379</c:v>
                </c:pt>
                <c:pt idx="66">
                  <c:v>0.54749999999999999</c:v>
                </c:pt>
                <c:pt idx="67">
                  <c:v>0.66299999999999992</c:v>
                </c:pt>
                <c:pt idx="68">
                  <c:v>0.625</c:v>
                </c:pt>
                <c:pt idx="69">
                  <c:v>0.54800000000000004</c:v>
                </c:pt>
                <c:pt idx="70">
                  <c:v>0.38400000000000001</c:v>
                </c:pt>
                <c:pt idx="71">
                  <c:v>0.33149999999999996</c:v>
                </c:pt>
                <c:pt idx="72">
                  <c:v>0.29749999999999999</c:v>
                </c:pt>
                <c:pt idx="73">
                  <c:v>0.42749999999999999</c:v>
                </c:pt>
                <c:pt idx="74">
                  <c:v>0.51400000000000001</c:v>
                </c:pt>
                <c:pt idx="75">
                  <c:v>0.495</c:v>
                </c:pt>
                <c:pt idx="76">
                  <c:v>0.57650000000000001</c:v>
                </c:pt>
                <c:pt idx="77">
                  <c:v>0.55249999999999999</c:v>
                </c:pt>
                <c:pt idx="78">
                  <c:v>0.45150000000000001</c:v>
                </c:pt>
                <c:pt idx="79">
                  <c:v>0.47549999999999998</c:v>
                </c:pt>
                <c:pt idx="80">
                  <c:v>0.3695</c:v>
                </c:pt>
                <c:pt idx="81">
                  <c:v>0.48049999999999993</c:v>
                </c:pt>
                <c:pt idx="82">
                  <c:v>0.52849999999999997</c:v>
                </c:pt>
                <c:pt idx="83">
                  <c:v>0.62450000000000006</c:v>
                </c:pt>
                <c:pt idx="84">
                  <c:v>0.6389999999999999</c:v>
                </c:pt>
                <c:pt idx="85">
                  <c:v>0.57200000000000006</c:v>
                </c:pt>
                <c:pt idx="86">
                  <c:v>0.49949999999999994</c:v>
                </c:pt>
                <c:pt idx="87">
                  <c:v>0.57650000000000001</c:v>
                </c:pt>
                <c:pt idx="88">
                  <c:v>0.54749999999999999</c:v>
                </c:pt>
                <c:pt idx="89">
                  <c:v>0.52800000000000002</c:v>
                </c:pt>
                <c:pt idx="90">
                  <c:v>0.57650000000000001</c:v>
                </c:pt>
                <c:pt idx="91">
                  <c:v>0.56199999999999994</c:v>
                </c:pt>
                <c:pt idx="92">
                  <c:v>0.52350000000000008</c:v>
                </c:pt>
                <c:pt idx="93">
                  <c:v>0.39399999999999996</c:v>
                </c:pt>
                <c:pt idx="94">
                  <c:v>0.37949999999999995</c:v>
                </c:pt>
                <c:pt idx="95">
                  <c:v>0.39400000000000002</c:v>
                </c:pt>
                <c:pt idx="96">
                  <c:v>0.42249999999999993</c:v>
                </c:pt>
                <c:pt idx="97">
                  <c:v>0.42249999999999999</c:v>
                </c:pt>
                <c:pt idx="98">
                  <c:v>0.379</c:v>
                </c:pt>
                <c:pt idx="99">
                  <c:v>0.27850000000000003</c:v>
                </c:pt>
                <c:pt idx="100">
                  <c:v>0.254</c:v>
                </c:pt>
                <c:pt idx="101">
                  <c:v>0.27849999999999997</c:v>
                </c:pt>
                <c:pt idx="102">
                  <c:v>0.28799999999999998</c:v>
                </c:pt>
                <c:pt idx="103">
                  <c:v>0.221</c:v>
                </c:pt>
                <c:pt idx="104">
                  <c:v>0.1915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6D-41D6-8E58-907D5095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93525196850393699"/>
          <c:h val="0.71826696662917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'面板-景气指数'!$A$48</c:f>
              <c:strCache>
                <c:ptCount val="1"/>
                <c:pt idx="0">
                  <c:v>医药生物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'面板-景气指数'!$F$48:$DF$48</c:f>
              <c:numCache>
                <c:formatCode>0.0%</c:formatCode>
                <c:ptCount val="105"/>
                <c:pt idx="0">
                  <c:v>0.2287067456806085</c:v>
                </c:pt>
                <c:pt idx="1">
                  <c:v>0.22945617471892613</c:v>
                </c:pt>
                <c:pt idx="2">
                  <c:v>0.24452443272346019</c:v>
                </c:pt>
                <c:pt idx="3">
                  <c:v>0.27281828685720927</c:v>
                </c:pt>
                <c:pt idx="4">
                  <c:v>0.30229389708059912</c:v>
                </c:pt>
                <c:pt idx="5">
                  <c:v>0.31377696580882208</c:v>
                </c:pt>
                <c:pt idx="6">
                  <c:v>0.28610818240044722</c:v>
                </c:pt>
                <c:pt idx="7">
                  <c:v>0.25112512503794882</c:v>
                </c:pt>
                <c:pt idx="8">
                  <c:v>0.25423932198857219</c:v>
                </c:pt>
                <c:pt idx="9">
                  <c:v>0.24061863768357677</c:v>
                </c:pt>
                <c:pt idx="10">
                  <c:v>0.23271699585047709</c:v>
                </c:pt>
                <c:pt idx="11">
                  <c:v>0.26093889282283028</c:v>
                </c:pt>
                <c:pt idx="12">
                  <c:v>0.23497622197334639</c:v>
                </c:pt>
                <c:pt idx="13">
                  <c:v>0.23260087025846243</c:v>
                </c:pt>
                <c:pt idx="14">
                  <c:v>0.25284700883011091</c:v>
                </c:pt>
                <c:pt idx="15">
                  <c:v>0.26041867230120552</c:v>
                </c:pt>
                <c:pt idx="16">
                  <c:v>0.25015765508300514</c:v>
                </c:pt>
                <c:pt idx="17">
                  <c:v>0.26333317359269259</c:v>
                </c:pt>
                <c:pt idx="18">
                  <c:v>0.36680454259591372</c:v>
                </c:pt>
                <c:pt idx="19">
                  <c:v>0.40816352509995402</c:v>
                </c:pt>
                <c:pt idx="20">
                  <c:v>0.4044286861445533</c:v>
                </c:pt>
                <c:pt idx="21">
                  <c:v>0.38087653060713411</c:v>
                </c:pt>
                <c:pt idx="22">
                  <c:v>0.39700674403327685</c:v>
                </c:pt>
                <c:pt idx="23">
                  <c:v>0.27446779945568389</c:v>
                </c:pt>
                <c:pt idx="24">
                  <c:v>0.25909678117406676</c:v>
                </c:pt>
                <c:pt idx="25">
                  <c:v>0.22716386003958577</c:v>
                </c:pt>
                <c:pt idx="26">
                  <c:v>0.26769101326745359</c:v>
                </c:pt>
                <c:pt idx="27">
                  <c:v>0.28912290639509919</c:v>
                </c:pt>
                <c:pt idx="28">
                  <c:v>0.30673394854739122</c:v>
                </c:pt>
                <c:pt idx="29">
                  <c:v>0.37898678207272668</c:v>
                </c:pt>
                <c:pt idx="30">
                  <c:v>0.3815329773717181</c:v>
                </c:pt>
                <c:pt idx="31">
                  <c:v>0.51085177909009916</c:v>
                </c:pt>
                <c:pt idx="32">
                  <c:v>0.64881917045197546</c:v>
                </c:pt>
                <c:pt idx="33">
                  <c:v>0.76364994224924432</c:v>
                </c:pt>
                <c:pt idx="34">
                  <c:v>0.73680571904708092</c:v>
                </c:pt>
                <c:pt idx="35">
                  <c:v>0.73165615092694514</c:v>
                </c:pt>
                <c:pt idx="36">
                  <c:v>0.72443991524310447</c:v>
                </c:pt>
                <c:pt idx="37">
                  <c:v>0.73638484476739241</c:v>
                </c:pt>
                <c:pt idx="38">
                  <c:v>0.72049452500914712</c:v>
                </c:pt>
                <c:pt idx="39">
                  <c:v>0.69027120488709337</c:v>
                </c:pt>
                <c:pt idx="40">
                  <c:v>0.68057938201639301</c:v>
                </c:pt>
                <c:pt idx="41">
                  <c:v>0.71830988183275568</c:v>
                </c:pt>
                <c:pt idx="42">
                  <c:v>0.809530125194176</c:v>
                </c:pt>
                <c:pt idx="43">
                  <c:v>0.83748017961263688</c:v>
                </c:pt>
                <c:pt idx="44">
                  <c:v>0.79747696663585366</c:v>
                </c:pt>
                <c:pt idx="45">
                  <c:v>0.68929076872822459</c:v>
                </c:pt>
                <c:pt idx="46">
                  <c:v>0.66556807342669344</c:v>
                </c:pt>
                <c:pt idx="47">
                  <c:v>0.56637968296434349</c:v>
                </c:pt>
                <c:pt idx="48">
                  <c:v>0.45123424790360905</c:v>
                </c:pt>
                <c:pt idx="49">
                  <c:v>0.38616356776693439</c:v>
                </c:pt>
                <c:pt idx="50">
                  <c:v>0.36690208086417542</c:v>
                </c:pt>
                <c:pt idx="51">
                  <c:v>0.34921581051751366</c:v>
                </c:pt>
                <c:pt idx="52">
                  <c:v>0.34708200344948792</c:v>
                </c:pt>
                <c:pt idx="53">
                  <c:v>0.33871977580367141</c:v>
                </c:pt>
                <c:pt idx="54">
                  <c:v>0.31048390478451138</c:v>
                </c:pt>
                <c:pt idx="55">
                  <c:v>0.31874704126674674</c:v>
                </c:pt>
                <c:pt idx="56">
                  <c:v>0.25758268945249085</c:v>
                </c:pt>
                <c:pt idx="57">
                  <c:v>0.33761158602309804</c:v>
                </c:pt>
                <c:pt idx="58">
                  <c:v>0.3309178783987648</c:v>
                </c:pt>
                <c:pt idx="59">
                  <c:v>0.34015394005901023</c:v>
                </c:pt>
                <c:pt idx="60">
                  <c:v>0.36834697821553847</c:v>
                </c:pt>
                <c:pt idx="61">
                  <c:v>0.40216981740510194</c:v>
                </c:pt>
                <c:pt idx="62">
                  <c:v>0.42753234313430205</c:v>
                </c:pt>
                <c:pt idx="63">
                  <c:v>0.46443715181892864</c:v>
                </c:pt>
                <c:pt idx="64">
                  <c:v>0.46227769976333677</c:v>
                </c:pt>
                <c:pt idx="65">
                  <c:v>0.45665080878357589</c:v>
                </c:pt>
                <c:pt idx="66">
                  <c:v>0.4585732183555129</c:v>
                </c:pt>
                <c:pt idx="67">
                  <c:v>0.42800274388738957</c:v>
                </c:pt>
                <c:pt idx="68">
                  <c:v>0.46117005358255675</c:v>
                </c:pt>
                <c:pt idx="69">
                  <c:v>0.45330853175116392</c:v>
                </c:pt>
                <c:pt idx="70">
                  <c:v>0.47427911179147991</c:v>
                </c:pt>
                <c:pt idx="71">
                  <c:v>0.49384917233662207</c:v>
                </c:pt>
                <c:pt idx="72">
                  <c:v>0.4873242491740899</c:v>
                </c:pt>
                <c:pt idx="73">
                  <c:v>0.47462335315125664</c:v>
                </c:pt>
                <c:pt idx="74">
                  <c:v>0.47621676275073876</c:v>
                </c:pt>
                <c:pt idx="75">
                  <c:v>0.49967515540341423</c:v>
                </c:pt>
                <c:pt idx="76">
                  <c:v>0.54450655895928779</c:v>
                </c:pt>
                <c:pt idx="77">
                  <c:v>0.60207288913302814</c:v>
                </c:pt>
                <c:pt idx="78">
                  <c:v>0.64128524893055161</c:v>
                </c:pt>
                <c:pt idx="79">
                  <c:v>0.67223720767588202</c:v>
                </c:pt>
                <c:pt idx="80">
                  <c:v>0.76252165780090708</c:v>
                </c:pt>
                <c:pt idx="81">
                  <c:v>0.76037076514695645</c:v>
                </c:pt>
                <c:pt idx="82">
                  <c:v>0.76106548060279555</c:v>
                </c:pt>
                <c:pt idx="83">
                  <c:v>0.77462640937985539</c:v>
                </c:pt>
                <c:pt idx="84">
                  <c:v>0.76720737330498079</c:v>
                </c:pt>
                <c:pt idx="85">
                  <c:v>0.77020435065148785</c:v>
                </c:pt>
                <c:pt idx="86">
                  <c:v>0.75639096695176056</c:v>
                </c:pt>
                <c:pt idx="87">
                  <c:v>0.74918772022764013</c:v>
                </c:pt>
                <c:pt idx="88">
                  <c:v>0.74446808565940292</c:v>
                </c:pt>
                <c:pt idx="89">
                  <c:v>0.70358634885600446</c:v>
                </c:pt>
                <c:pt idx="90">
                  <c:v>0.67126843500413624</c:v>
                </c:pt>
                <c:pt idx="91">
                  <c:v>0.65165041278150027</c:v>
                </c:pt>
                <c:pt idx="92">
                  <c:v>0.58740476837224809</c:v>
                </c:pt>
                <c:pt idx="93">
                  <c:v>0.62565123939975709</c:v>
                </c:pt>
                <c:pt idx="94">
                  <c:v>0.63900911768571622</c:v>
                </c:pt>
                <c:pt idx="95">
                  <c:v>0.65106046759946523</c:v>
                </c:pt>
                <c:pt idx="96">
                  <c:v>0.62931864507179236</c:v>
                </c:pt>
                <c:pt idx="97">
                  <c:v>0.5741421984959092</c:v>
                </c:pt>
                <c:pt idx="98">
                  <c:v>0.56163983387655625</c:v>
                </c:pt>
                <c:pt idx="99">
                  <c:v>0.58202225365765292</c:v>
                </c:pt>
                <c:pt idx="100">
                  <c:v>0.63415905910104109</c:v>
                </c:pt>
                <c:pt idx="101">
                  <c:v>0.68447420833838346</c:v>
                </c:pt>
                <c:pt idx="102">
                  <c:v>0.62212396520765278</c:v>
                </c:pt>
                <c:pt idx="103">
                  <c:v>0.62478741688621708</c:v>
                </c:pt>
                <c:pt idx="104">
                  <c:v>0.54275500449331548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72-430B-9025-5402100C016A}"/>
            </c:ext>
          </c:extLst>
        </c:ser>
        <c:ser>
          <c:idx val="1"/>
          <c:order val="1"/>
          <c:tx>
            <c:strRef>
              <c:f>'面板-景气指数'!$A$150</c:f>
              <c:strCache>
                <c:ptCount val="1"/>
                <c:pt idx="0">
                  <c:v>化学制药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'面板-景气指数'!$F$150:$DF$150</c:f>
              <c:numCache>
                <c:formatCode>0.0%</c:formatCode>
                <c:ptCount val="105"/>
                <c:pt idx="0">
                  <c:v>0.40125000000000005</c:v>
                </c:pt>
                <c:pt idx="1">
                  <c:v>0.39650000000000002</c:v>
                </c:pt>
                <c:pt idx="2">
                  <c:v>0.39000000000000007</c:v>
                </c:pt>
                <c:pt idx="3">
                  <c:v>0.39058333333333345</c:v>
                </c:pt>
                <c:pt idx="4">
                  <c:v>0.35400000000000004</c:v>
                </c:pt>
                <c:pt idx="5">
                  <c:v>0.39833333333333337</c:v>
                </c:pt>
                <c:pt idx="6">
                  <c:v>0.32575000000000004</c:v>
                </c:pt>
                <c:pt idx="7">
                  <c:v>0.29475000000000007</c:v>
                </c:pt>
                <c:pt idx="8">
                  <c:v>0.46333333333333326</c:v>
                </c:pt>
                <c:pt idx="9">
                  <c:v>0.49958333333333332</c:v>
                </c:pt>
                <c:pt idx="10">
                  <c:v>0.52224999999999999</c:v>
                </c:pt>
                <c:pt idx="11">
                  <c:v>0.44791666666666669</c:v>
                </c:pt>
                <c:pt idx="12">
                  <c:v>0.37733333333333341</c:v>
                </c:pt>
                <c:pt idx="13">
                  <c:v>0.45966666666666667</c:v>
                </c:pt>
                <c:pt idx="14">
                  <c:v>0.47249999999999998</c:v>
                </c:pt>
                <c:pt idx="15">
                  <c:v>0.56633333333333347</c:v>
                </c:pt>
                <c:pt idx="16">
                  <c:v>0.54891666666666672</c:v>
                </c:pt>
                <c:pt idx="17">
                  <c:v>0.56624999999999992</c:v>
                </c:pt>
                <c:pt idx="18">
                  <c:v>0.48258333333333348</c:v>
                </c:pt>
                <c:pt idx="19">
                  <c:v>0.44008333333333355</c:v>
                </c:pt>
                <c:pt idx="20">
                  <c:v>0.37283333333333363</c:v>
                </c:pt>
                <c:pt idx="21">
                  <c:v>0.36533333333333357</c:v>
                </c:pt>
                <c:pt idx="22">
                  <c:v>0.39883333333333348</c:v>
                </c:pt>
                <c:pt idx="23">
                  <c:v>0.42250000000000021</c:v>
                </c:pt>
                <c:pt idx="24">
                  <c:v>0.41300000000000026</c:v>
                </c:pt>
                <c:pt idx="25">
                  <c:v>0.38908333333333361</c:v>
                </c:pt>
                <c:pt idx="26">
                  <c:v>0.39575000000000032</c:v>
                </c:pt>
                <c:pt idx="27">
                  <c:v>0.38550000000000023</c:v>
                </c:pt>
                <c:pt idx="28">
                  <c:v>0.4025000000000003</c:v>
                </c:pt>
                <c:pt idx="29">
                  <c:v>0.4701666666666669</c:v>
                </c:pt>
                <c:pt idx="30">
                  <c:v>0.55566666666666686</c:v>
                </c:pt>
                <c:pt idx="31">
                  <c:v>0.64133333333333342</c:v>
                </c:pt>
                <c:pt idx="32">
                  <c:v>0.85783333333333334</c:v>
                </c:pt>
                <c:pt idx="33">
                  <c:v>0.83041666666666669</c:v>
                </c:pt>
                <c:pt idx="34">
                  <c:v>0.82991666666666652</c:v>
                </c:pt>
                <c:pt idx="35">
                  <c:v>0.77933333333333321</c:v>
                </c:pt>
                <c:pt idx="36">
                  <c:v>0.7297499999999999</c:v>
                </c:pt>
                <c:pt idx="37">
                  <c:v>0.67466666666666664</c:v>
                </c:pt>
                <c:pt idx="38">
                  <c:v>0.67866666666666653</c:v>
                </c:pt>
                <c:pt idx="39">
                  <c:v>0.70891666666666653</c:v>
                </c:pt>
                <c:pt idx="40">
                  <c:v>0.72583333333333311</c:v>
                </c:pt>
                <c:pt idx="41">
                  <c:v>0.72666666666666646</c:v>
                </c:pt>
                <c:pt idx="42">
                  <c:v>0.71049999999999969</c:v>
                </c:pt>
                <c:pt idx="43">
                  <c:v>0.66616666666666646</c:v>
                </c:pt>
                <c:pt idx="44">
                  <c:v>0.57233333333333314</c:v>
                </c:pt>
                <c:pt idx="45">
                  <c:v>0.49999999999999983</c:v>
                </c:pt>
                <c:pt idx="46">
                  <c:v>0.52841666666666653</c:v>
                </c:pt>
                <c:pt idx="47">
                  <c:v>0.55358333333333321</c:v>
                </c:pt>
                <c:pt idx="48">
                  <c:v>0.53941666666666654</c:v>
                </c:pt>
                <c:pt idx="49">
                  <c:v>0.54824999999999979</c:v>
                </c:pt>
                <c:pt idx="50">
                  <c:v>0.55116666666666658</c:v>
                </c:pt>
                <c:pt idx="51">
                  <c:v>0.5465833333333332</c:v>
                </c:pt>
                <c:pt idx="52">
                  <c:v>0.50974999999999993</c:v>
                </c:pt>
                <c:pt idx="53">
                  <c:v>0.44016666666666665</c:v>
                </c:pt>
                <c:pt idx="54">
                  <c:v>0.40808333333333335</c:v>
                </c:pt>
                <c:pt idx="55">
                  <c:v>0.37125000000000002</c:v>
                </c:pt>
                <c:pt idx="56">
                  <c:v>0.38658333333333328</c:v>
                </c:pt>
                <c:pt idx="57">
                  <c:v>0.40041666666666648</c:v>
                </c:pt>
                <c:pt idx="58">
                  <c:v>0.3943333333333332</c:v>
                </c:pt>
                <c:pt idx="59">
                  <c:v>0.38683333333333331</c:v>
                </c:pt>
                <c:pt idx="60">
                  <c:v>0.41483333333333322</c:v>
                </c:pt>
                <c:pt idx="61">
                  <c:v>0.41708333333333331</c:v>
                </c:pt>
                <c:pt idx="62">
                  <c:v>0.41791666666666666</c:v>
                </c:pt>
                <c:pt idx="63">
                  <c:v>0.40016666666666662</c:v>
                </c:pt>
                <c:pt idx="64">
                  <c:v>0.34208333333333329</c:v>
                </c:pt>
                <c:pt idx="65">
                  <c:v>0.30058333333333337</c:v>
                </c:pt>
                <c:pt idx="66">
                  <c:v>0.28641666666666671</c:v>
                </c:pt>
                <c:pt idx="67">
                  <c:v>0.34200000000000003</c:v>
                </c:pt>
                <c:pt idx="68">
                  <c:v>0.41733333333333333</c:v>
                </c:pt>
                <c:pt idx="69">
                  <c:v>0.44224999999999998</c:v>
                </c:pt>
                <c:pt idx="70">
                  <c:v>0.43258333333333332</c:v>
                </c:pt>
                <c:pt idx="71">
                  <c:v>0.41508333333333336</c:v>
                </c:pt>
                <c:pt idx="72">
                  <c:v>0.37116666666666676</c:v>
                </c:pt>
                <c:pt idx="73">
                  <c:v>0.37050000000000005</c:v>
                </c:pt>
                <c:pt idx="74">
                  <c:v>0.41025000000000006</c:v>
                </c:pt>
                <c:pt idx="75">
                  <c:v>0.47766666666666663</c:v>
                </c:pt>
                <c:pt idx="76">
                  <c:v>0.54641666666666666</c:v>
                </c:pt>
                <c:pt idx="77">
                  <c:v>0.64183333333333326</c:v>
                </c:pt>
                <c:pt idx="78">
                  <c:v>0.69433333333333325</c:v>
                </c:pt>
                <c:pt idx="79">
                  <c:v>0.70741666666666647</c:v>
                </c:pt>
                <c:pt idx="80">
                  <c:v>0.66074999999999984</c:v>
                </c:pt>
                <c:pt idx="81">
                  <c:v>0.64774999999999994</c:v>
                </c:pt>
                <c:pt idx="82">
                  <c:v>0.62949999999999995</c:v>
                </c:pt>
                <c:pt idx="83">
                  <c:v>0.58933333333333315</c:v>
                </c:pt>
                <c:pt idx="84">
                  <c:v>0.55883333333333318</c:v>
                </c:pt>
                <c:pt idx="85">
                  <c:v>0.52058333333333318</c:v>
                </c:pt>
                <c:pt idx="86">
                  <c:v>0.49016666666666653</c:v>
                </c:pt>
                <c:pt idx="87">
                  <c:v>0.47949999999999993</c:v>
                </c:pt>
                <c:pt idx="88">
                  <c:v>0.4932499999999998</c:v>
                </c:pt>
                <c:pt idx="89">
                  <c:v>0.47408333333333319</c:v>
                </c:pt>
                <c:pt idx="90">
                  <c:v>0.46849999999999986</c:v>
                </c:pt>
                <c:pt idx="91">
                  <c:v>0.45708333333333317</c:v>
                </c:pt>
                <c:pt idx="92">
                  <c:v>0.48266666666666652</c:v>
                </c:pt>
                <c:pt idx="93">
                  <c:v>0.48666666666666653</c:v>
                </c:pt>
                <c:pt idx="94">
                  <c:v>0.4949166666666665</c:v>
                </c:pt>
                <c:pt idx="95">
                  <c:v>0.48516666666666658</c:v>
                </c:pt>
                <c:pt idx="96">
                  <c:v>0.47241666666666648</c:v>
                </c:pt>
                <c:pt idx="97">
                  <c:v>0.46616666666666656</c:v>
                </c:pt>
                <c:pt idx="98">
                  <c:v>0.46841666666666654</c:v>
                </c:pt>
                <c:pt idx="99">
                  <c:v>0.47391666666666654</c:v>
                </c:pt>
                <c:pt idx="100">
                  <c:v>0.49074999999999991</c:v>
                </c:pt>
                <c:pt idx="101">
                  <c:v>0.47958333333333319</c:v>
                </c:pt>
                <c:pt idx="102">
                  <c:v>0.42374999999999985</c:v>
                </c:pt>
                <c:pt idx="103">
                  <c:v>0.39549999999999985</c:v>
                </c:pt>
                <c:pt idx="104">
                  <c:v>0.38258333333333316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72-430B-9025-5402100C016A}"/>
            </c:ext>
          </c:extLst>
        </c:ser>
        <c:ser>
          <c:idx val="2"/>
          <c:order val="2"/>
          <c:tx>
            <c:strRef>
              <c:f>'面板-景气指数'!$A$151</c:f>
              <c:strCache>
                <c:ptCount val="1"/>
                <c:pt idx="0">
                  <c:v>医药商业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'面板-景气指数'!$F$151:$DF$151</c:f>
              <c:numCache>
                <c:formatCode>0.0%</c:formatCode>
                <c:ptCount val="105"/>
                <c:pt idx="0">
                  <c:v>6.7000000000000004E-2</c:v>
                </c:pt>
                <c:pt idx="1">
                  <c:v>0.105</c:v>
                </c:pt>
                <c:pt idx="2">
                  <c:v>8.5999999999999993E-2</c:v>
                </c:pt>
                <c:pt idx="3">
                  <c:v>9.6000000000000002E-2</c:v>
                </c:pt>
                <c:pt idx="4">
                  <c:v>0.13400000000000001</c:v>
                </c:pt>
                <c:pt idx="5">
                  <c:v>0.182</c:v>
                </c:pt>
                <c:pt idx="6">
                  <c:v>0.11499999999999999</c:v>
                </c:pt>
                <c:pt idx="7">
                  <c:v>2.8000000000000001E-2</c:v>
                </c:pt>
                <c:pt idx="8">
                  <c:v>0</c:v>
                </c:pt>
                <c:pt idx="9">
                  <c:v>8.9999999999999993E-3</c:v>
                </c:pt>
                <c:pt idx="10">
                  <c:v>1.8999999999999996E-2</c:v>
                </c:pt>
                <c:pt idx="11">
                  <c:v>0.221</c:v>
                </c:pt>
                <c:pt idx="12">
                  <c:v>0.125</c:v>
                </c:pt>
                <c:pt idx="13">
                  <c:v>3.7999999999999992E-2</c:v>
                </c:pt>
                <c:pt idx="14">
                  <c:v>7.5999999999999984E-2</c:v>
                </c:pt>
                <c:pt idx="15">
                  <c:v>0.16300000000000001</c:v>
                </c:pt>
                <c:pt idx="16">
                  <c:v>0.16300000000000001</c:v>
                </c:pt>
                <c:pt idx="17">
                  <c:v>0.25900000000000001</c:v>
                </c:pt>
                <c:pt idx="18">
                  <c:v>0.75</c:v>
                </c:pt>
                <c:pt idx="19">
                  <c:v>0.96099999999999997</c:v>
                </c:pt>
                <c:pt idx="20">
                  <c:v>1</c:v>
                </c:pt>
                <c:pt idx="21">
                  <c:v>0.99</c:v>
                </c:pt>
                <c:pt idx="22">
                  <c:v>0.98</c:v>
                </c:pt>
                <c:pt idx="23">
                  <c:v>0.40300000000000002</c:v>
                </c:pt>
                <c:pt idx="24">
                  <c:v>0.46099999999999997</c:v>
                </c:pt>
                <c:pt idx="25">
                  <c:v>0.375</c:v>
                </c:pt>
                <c:pt idx="26">
                  <c:v>0.50900000000000001</c:v>
                </c:pt>
                <c:pt idx="27">
                  <c:v>0.56699999999999995</c:v>
                </c:pt>
                <c:pt idx="28">
                  <c:v>0.57599999999999996</c:v>
                </c:pt>
                <c:pt idx="29">
                  <c:v>0.57599999999999996</c:v>
                </c:pt>
                <c:pt idx="30">
                  <c:v>0.442</c:v>
                </c:pt>
                <c:pt idx="31">
                  <c:v>0.51900000000000002</c:v>
                </c:pt>
                <c:pt idx="32">
                  <c:v>0.33600000000000002</c:v>
                </c:pt>
                <c:pt idx="33">
                  <c:v>0.49</c:v>
                </c:pt>
                <c:pt idx="34">
                  <c:v>0.29799999999999999</c:v>
                </c:pt>
                <c:pt idx="35">
                  <c:v>0.26900000000000002</c:v>
                </c:pt>
                <c:pt idx="36">
                  <c:v>0.307</c:v>
                </c:pt>
                <c:pt idx="37">
                  <c:v>0.47099999999999997</c:v>
                </c:pt>
                <c:pt idx="38">
                  <c:v>0.442</c:v>
                </c:pt>
                <c:pt idx="39">
                  <c:v>0.317</c:v>
                </c:pt>
                <c:pt idx="40">
                  <c:v>0.27800000000000002</c:v>
                </c:pt>
                <c:pt idx="41">
                  <c:v>0.42299999999999999</c:v>
                </c:pt>
                <c:pt idx="42">
                  <c:v>0.79800000000000004</c:v>
                </c:pt>
                <c:pt idx="43">
                  <c:v>0.93200000000000005</c:v>
                </c:pt>
                <c:pt idx="44">
                  <c:v>0.94199999999999995</c:v>
                </c:pt>
                <c:pt idx="45">
                  <c:v>0.82599999999999996</c:v>
                </c:pt>
                <c:pt idx="46">
                  <c:v>0.78800000000000003</c:v>
                </c:pt>
                <c:pt idx="47">
                  <c:v>0.70099999999999996</c:v>
                </c:pt>
                <c:pt idx="48">
                  <c:v>0.41299999999999998</c:v>
                </c:pt>
                <c:pt idx="49">
                  <c:v>0.22999999999999998</c:v>
                </c:pt>
                <c:pt idx="50">
                  <c:v>0.24</c:v>
                </c:pt>
                <c:pt idx="51">
                  <c:v>0.25</c:v>
                </c:pt>
                <c:pt idx="52">
                  <c:v>0.34599999999999997</c:v>
                </c:pt>
                <c:pt idx="53">
                  <c:v>0.28799999999999998</c:v>
                </c:pt>
                <c:pt idx="54">
                  <c:v>0.153</c:v>
                </c:pt>
                <c:pt idx="55">
                  <c:v>4.8000000000000001E-2</c:v>
                </c:pt>
                <c:pt idx="56">
                  <c:v>5.7000000000000002E-2</c:v>
                </c:pt>
                <c:pt idx="57">
                  <c:v>0.21099999999999999</c:v>
                </c:pt>
                <c:pt idx="58">
                  <c:v>0.192</c:v>
                </c:pt>
                <c:pt idx="59">
                  <c:v>0.13400000000000001</c:v>
                </c:pt>
                <c:pt idx="60">
                  <c:v>0.20100000000000001</c:v>
                </c:pt>
                <c:pt idx="61">
                  <c:v>0.36499999999999999</c:v>
                </c:pt>
                <c:pt idx="62">
                  <c:v>0.53800000000000003</c:v>
                </c:pt>
                <c:pt idx="63">
                  <c:v>0.70099999999999996</c:v>
                </c:pt>
                <c:pt idx="64">
                  <c:v>0.67300000000000004</c:v>
                </c:pt>
                <c:pt idx="65">
                  <c:v>0.73</c:v>
                </c:pt>
                <c:pt idx="66">
                  <c:v>0.72099999999999997</c:v>
                </c:pt>
                <c:pt idx="67">
                  <c:v>0.68200000000000005</c:v>
                </c:pt>
                <c:pt idx="68">
                  <c:v>0.60500000000000009</c:v>
                </c:pt>
                <c:pt idx="69">
                  <c:v>0.55700000000000005</c:v>
                </c:pt>
                <c:pt idx="70">
                  <c:v>0.61499999999999999</c:v>
                </c:pt>
                <c:pt idx="71">
                  <c:v>0.53800000000000003</c:v>
                </c:pt>
                <c:pt idx="72">
                  <c:v>0.48</c:v>
                </c:pt>
                <c:pt idx="73">
                  <c:v>0.38400000000000001</c:v>
                </c:pt>
                <c:pt idx="74">
                  <c:v>0.35500000000000004</c:v>
                </c:pt>
                <c:pt idx="75">
                  <c:v>0.39400000000000002</c:v>
                </c:pt>
                <c:pt idx="76">
                  <c:v>0.32600000000000001</c:v>
                </c:pt>
                <c:pt idx="77">
                  <c:v>0.432</c:v>
                </c:pt>
                <c:pt idx="78">
                  <c:v>0.52800000000000002</c:v>
                </c:pt>
                <c:pt idx="79">
                  <c:v>0.625</c:v>
                </c:pt>
                <c:pt idx="80">
                  <c:v>0.77800000000000002</c:v>
                </c:pt>
                <c:pt idx="81">
                  <c:v>0.81700000000000006</c:v>
                </c:pt>
                <c:pt idx="82">
                  <c:v>0.79800000000000004</c:v>
                </c:pt>
                <c:pt idx="83">
                  <c:v>0.83599999999999997</c:v>
                </c:pt>
                <c:pt idx="84">
                  <c:v>0.8650000000000001</c:v>
                </c:pt>
                <c:pt idx="85">
                  <c:v>0.89400000000000002</c:v>
                </c:pt>
                <c:pt idx="86">
                  <c:v>0.875</c:v>
                </c:pt>
                <c:pt idx="87">
                  <c:v>0.91300000000000003</c:v>
                </c:pt>
                <c:pt idx="88">
                  <c:v>0.90300000000000002</c:v>
                </c:pt>
                <c:pt idx="89">
                  <c:v>0.88400000000000001</c:v>
                </c:pt>
                <c:pt idx="90">
                  <c:v>0.74</c:v>
                </c:pt>
                <c:pt idx="91">
                  <c:v>0.66300000000000003</c:v>
                </c:pt>
                <c:pt idx="92">
                  <c:v>0.5</c:v>
                </c:pt>
                <c:pt idx="93">
                  <c:v>0.59599999999999997</c:v>
                </c:pt>
                <c:pt idx="94">
                  <c:v>0.64400000000000002</c:v>
                </c:pt>
                <c:pt idx="95">
                  <c:v>0.76900000000000002</c:v>
                </c:pt>
                <c:pt idx="96">
                  <c:v>0.83599999999999997</c:v>
                </c:pt>
                <c:pt idx="97">
                  <c:v>0.69199999999999995</c:v>
                </c:pt>
                <c:pt idx="98">
                  <c:v>0.63400000000000001</c:v>
                </c:pt>
                <c:pt idx="99">
                  <c:v>0.64400000000000002</c:v>
                </c:pt>
                <c:pt idx="100">
                  <c:v>0.75900000000000012</c:v>
                </c:pt>
                <c:pt idx="101">
                  <c:v>0.95099999999999996</c:v>
                </c:pt>
                <c:pt idx="102">
                  <c:v>0.92300000000000004</c:v>
                </c:pt>
                <c:pt idx="103">
                  <c:v>0.97099999999999997</c:v>
                </c:pt>
                <c:pt idx="104">
                  <c:v>0.83599999999999997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72-430B-9025-5402100C016A}"/>
            </c:ext>
          </c:extLst>
        </c:ser>
        <c:ser>
          <c:idx val="3"/>
          <c:order val="3"/>
          <c:tx>
            <c:strRef>
              <c:f>'面板-景气指数'!$A$152</c:f>
              <c:strCache>
                <c:ptCount val="1"/>
                <c:pt idx="0">
                  <c:v>医疗器械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'面板-景气指数'!$F$152:$DF$152</c:f>
              <c:numCache>
                <c:formatCode>0.0%</c:formatCode>
                <c:ptCount val="105"/>
                <c:pt idx="0">
                  <c:v>0.25960000000000022</c:v>
                </c:pt>
                <c:pt idx="1">
                  <c:v>0.24620000000000017</c:v>
                </c:pt>
                <c:pt idx="2">
                  <c:v>0.29700000000000021</c:v>
                </c:pt>
                <c:pt idx="3">
                  <c:v>0.29120000000000018</c:v>
                </c:pt>
                <c:pt idx="4">
                  <c:v>0.44080000000000008</c:v>
                </c:pt>
                <c:pt idx="5">
                  <c:v>0.60699999999999987</c:v>
                </c:pt>
                <c:pt idx="6">
                  <c:v>0.65159999999999996</c:v>
                </c:pt>
                <c:pt idx="7">
                  <c:v>0.68839999999999979</c:v>
                </c:pt>
                <c:pt idx="8">
                  <c:v>0.78799999999999992</c:v>
                </c:pt>
                <c:pt idx="9">
                  <c:v>0.74699999999999989</c:v>
                </c:pt>
                <c:pt idx="10">
                  <c:v>0.70659999999999978</c:v>
                </c:pt>
                <c:pt idx="11">
                  <c:v>0.72279999999999989</c:v>
                </c:pt>
                <c:pt idx="12">
                  <c:v>0.73999999999999977</c:v>
                </c:pt>
                <c:pt idx="13">
                  <c:v>0.65899999999999981</c:v>
                </c:pt>
                <c:pt idx="14">
                  <c:v>0.64039999999999964</c:v>
                </c:pt>
                <c:pt idx="15">
                  <c:v>0.36219999999999991</c:v>
                </c:pt>
                <c:pt idx="16">
                  <c:v>0.34700000000000003</c:v>
                </c:pt>
                <c:pt idx="17">
                  <c:v>0.39460000000000006</c:v>
                </c:pt>
                <c:pt idx="18">
                  <c:v>0.37240000000000006</c:v>
                </c:pt>
                <c:pt idx="19">
                  <c:v>0.27280000000000004</c:v>
                </c:pt>
                <c:pt idx="20">
                  <c:v>0.17279999999999995</c:v>
                </c:pt>
                <c:pt idx="21">
                  <c:v>0.12979999999999992</c:v>
                </c:pt>
                <c:pt idx="22">
                  <c:v>0.11259999999999996</c:v>
                </c:pt>
                <c:pt idx="23">
                  <c:v>0.10479999999999998</c:v>
                </c:pt>
                <c:pt idx="24">
                  <c:v>0.1032</c:v>
                </c:pt>
                <c:pt idx="25">
                  <c:v>0.19860000000000003</c:v>
                </c:pt>
                <c:pt idx="26">
                  <c:v>0.34079999999999999</c:v>
                </c:pt>
                <c:pt idx="27">
                  <c:v>0.40259999999999996</c:v>
                </c:pt>
                <c:pt idx="28">
                  <c:v>0.3995999999999999</c:v>
                </c:pt>
                <c:pt idx="29">
                  <c:v>0.43639999999999984</c:v>
                </c:pt>
                <c:pt idx="30">
                  <c:v>0.48099999999999993</c:v>
                </c:pt>
                <c:pt idx="31">
                  <c:v>0.57379999999999998</c:v>
                </c:pt>
                <c:pt idx="32">
                  <c:v>0.66759999999999986</c:v>
                </c:pt>
                <c:pt idx="33">
                  <c:v>0.72460000000000002</c:v>
                </c:pt>
                <c:pt idx="34">
                  <c:v>0.76300000000000012</c:v>
                </c:pt>
                <c:pt idx="35">
                  <c:v>0.70800000000000007</c:v>
                </c:pt>
                <c:pt idx="36">
                  <c:v>0.66900000000000004</c:v>
                </c:pt>
                <c:pt idx="37">
                  <c:v>0.54560000000000008</c:v>
                </c:pt>
                <c:pt idx="38">
                  <c:v>0.34499999999999992</c:v>
                </c:pt>
                <c:pt idx="39">
                  <c:v>0.24599999999999983</c:v>
                </c:pt>
                <c:pt idx="40">
                  <c:v>0.34879999999999989</c:v>
                </c:pt>
                <c:pt idx="41">
                  <c:v>0.57360000000000011</c:v>
                </c:pt>
                <c:pt idx="42">
                  <c:v>0.68560000000000021</c:v>
                </c:pt>
                <c:pt idx="43">
                  <c:v>0.70000000000000018</c:v>
                </c:pt>
                <c:pt idx="44">
                  <c:v>0.69280000000000008</c:v>
                </c:pt>
                <c:pt idx="45">
                  <c:v>0.62280000000000013</c:v>
                </c:pt>
                <c:pt idx="46">
                  <c:v>0.62960000000000005</c:v>
                </c:pt>
                <c:pt idx="47">
                  <c:v>0.63680000000000003</c:v>
                </c:pt>
                <c:pt idx="48">
                  <c:v>0.64360000000000017</c:v>
                </c:pt>
                <c:pt idx="49">
                  <c:v>0.65760000000000007</c:v>
                </c:pt>
                <c:pt idx="50">
                  <c:v>0.66480000000000017</c:v>
                </c:pt>
                <c:pt idx="51">
                  <c:v>0.67880000000000018</c:v>
                </c:pt>
                <c:pt idx="52">
                  <c:v>0.6716000000000002</c:v>
                </c:pt>
                <c:pt idx="53">
                  <c:v>0.65080000000000016</c:v>
                </c:pt>
                <c:pt idx="54">
                  <c:v>0.4824</c:v>
                </c:pt>
                <c:pt idx="55">
                  <c:v>0.3627999999999999</c:v>
                </c:pt>
                <c:pt idx="56">
                  <c:v>0.31399999999999983</c:v>
                </c:pt>
                <c:pt idx="57">
                  <c:v>0.58760000000000012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72-430B-9025-5402100C016A}"/>
            </c:ext>
          </c:extLst>
        </c:ser>
        <c:ser>
          <c:idx val="4"/>
          <c:order val="4"/>
          <c:tx>
            <c:strRef>
              <c:f>'面板-景气指数'!$A$153</c:f>
              <c:strCache>
                <c:ptCount val="1"/>
                <c:pt idx="0">
                  <c:v>医疗服务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'面板-景气指数'!$F$153:$DF$153</c:f>
              <c:numCache>
                <c:formatCode>0.0%</c:formatCode>
                <c:ptCount val="105"/>
                <c:pt idx="0">
                  <c:v>0.11437499999999996</c:v>
                </c:pt>
                <c:pt idx="1">
                  <c:v>0.10712499999999997</c:v>
                </c:pt>
                <c:pt idx="2">
                  <c:v>0.12149999999999996</c:v>
                </c:pt>
                <c:pt idx="3">
                  <c:v>8.7875000000000009E-2</c:v>
                </c:pt>
                <c:pt idx="4">
                  <c:v>9.7499999999999989E-2</c:v>
                </c:pt>
                <c:pt idx="5">
                  <c:v>9.9624999999999991E-2</c:v>
                </c:pt>
                <c:pt idx="6">
                  <c:v>0.13900000000000007</c:v>
                </c:pt>
                <c:pt idx="7">
                  <c:v>0.37112500000000009</c:v>
                </c:pt>
                <c:pt idx="8">
                  <c:v>0.58887500000000004</c:v>
                </c:pt>
                <c:pt idx="9">
                  <c:v>0.73937500000000012</c:v>
                </c:pt>
                <c:pt idx="10">
                  <c:v>0.7612500000000002</c:v>
                </c:pt>
                <c:pt idx="11">
                  <c:v>0.69400000000000006</c:v>
                </c:pt>
                <c:pt idx="12">
                  <c:v>0.61450000000000005</c:v>
                </c:pt>
                <c:pt idx="13">
                  <c:v>0.65112500000000006</c:v>
                </c:pt>
                <c:pt idx="14">
                  <c:v>0.60012500000000002</c:v>
                </c:pt>
                <c:pt idx="15">
                  <c:v>0.72862499999999986</c:v>
                </c:pt>
                <c:pt idx="16">
                  <c:v>0.7806249999999999</c:v>
                </c:pt>
                <c:pt idx="17">
                  <c:v>0.84562499999999996</c:v>
                </c:pt>
                <c:pt idx="18">
                  <c:v>0.72400000000000009</c:v>
                </c:pt>
                <c:pt idx="19">
                  <c:v>0.58350000000000013</c:v>
                </c:pt>
                <c:pt idx="20">
                  <c:v>0.40050000000000002</c:v>
                </c:pt>
                <c:pt idx="21">
                  <c:v>0.25687499999999991</c:v>
                </c:pt>
                <c:pt idx="22">
                  <c:v>0.27287499999999992</c:v>
                </c:pt>
                <c:pt idx="23">
                  <c:v>0.35812499999999997</c:v>
                </c:pt>
                <c:pt idx="24">
                  <c:v>0.41837499999999994</c:v>
                </c:pt>
                <c:pt idx="25">
                  <c:v>0.42349999999999999</c:v>
                </c:pt>
                <c:pt idx="26">
                  <c:v>0.37600000000000006</c:v>
                </c:pt>
                <c:pt idx="27">
                  <c:v>0.26962500000000011</c:v>
                </c:pt>
                <c:pt idx="28">
                  <c:v>0.18150000000000008</c:v>
                </c:pt>
                <c:pt idx="29">
                  <c:v>0.19312499999999994</c:v>
                </c:pt>
                <c:pt idx="30">
                  <c:v>0.33362499999999989</c:v>
                </c:pt>
                <c:pt idx="31">
                  <c:v>0.59787499999999993</c:v>
                </c:pt>
                <c:pt idx="32">
                  <c:v>0.68025000000000002</c:v>
                </c:pt>
                <c:pt idx="33">
                  <c:v>0.70512500000000011</c:v>
                </c:pt>
                <c:pt idx="34">
                  <c:v>0.56774999999999998</c:v>
                </c:pt>
                <c:pt idx="35">
                  <c:v>0.54600000000000015</c:v>
                </c:pt>
                <c:pt idx="36">
                  <c:v>0.56599999999999995</c:v>
                </c:pt>
                <c:pt idx="37">
                  <c:v>0.54849999999999999</c:v>
                </c:pt>
                <c:pt idx="38">
                  <c:v>0.64600000000000002</c:v>
                </c:pt>
                <c:pt idx="39">
                  <c:v>0.64249999999999996</c:v>
                </c:pt>
                <c:pt idx="40">
                  <c:v>0.61949999999999994</c:v>
                </c:pt>
                <c:pt idx="41">
                  <c:v>0.5445000000000001</c:v>
                </c:pt>
                <c:pt idx="42">
                  <c:v>0.51750000000000007</c:v>
                </c:pt>
                <c:pt idx="43">
                  <c:v>0.48587500000000006</c:v>
                </c:pt>
                <c:pt idx="44">
                  <c:v>0.34375</c:v>
                </c:pt>
                <c:pt idx="45">
                  <c:v>0.36412499999999998</c:v>
                </c:pt>
                <c:pt idx="46">
                  <c:v>0.40149999999999997</c:v>
                </c:pt>
                <c:pt idx="47">
                  <c:v>0.41125</c:v>
                </c:pt>
                <c:pt idx="48">
                  <c:v>0.40537499999999993</c:v>
                </c:pt>
                <c:pt idx="49">
                  <c:v>0.390625</c:v>
                </c:pt>
                <c:pt idx="50">
                  <c:v>0.35399999999999998</c:v>
                </c:pt>
                <c:pt idx="51">
                  <c:v>0.34012500000000001</c:v>
                </c:pt>
                <c:pt idx="52">
                  <c:v>0.34937500000000005</c:v>
                </c:pt>
                <c:pt idx="53">
                  <c:v>0.33612500000000006</c:v>
                </c:pt>
                <c:pt idx="54">
                  <c:v>0.3101250000000001</c:v>
                </c:pt>
                <c:pt idx="55">
                  <c:v>0.28050000000000008</c:v>
                </c:pt>
                <c:pt idx="56">
                  <c:v>0.29612500000000008</c:v>
                </c:pt>
                <c:pt idx="57">
                  <c:v>0.28162500000000007</c:v>
                </c:pt>
                <c:pt idx="58">
                  <c:v>0.26025000000000004</c:v>
                </c:pt>
                <c:pt idx="59">
                  <c:v>0.22987500000000008</c:v>
                </c:pt>
                <c:pt idx="60">
                  <c:v>0.19800000000000009</c:v>
                </c:pt>
                <c:pt idx="61">
                  <c:v>0.19425000000000009</c:v>
                </c:pt>
                <c:pt idx="62">
                  <c:v>0.26137500000000008</c:v>
                </c:pt>
                <c:pt idx="63">
                  <c:v>0.37337500000000007</c:v>
                </c:pt>
                <c:pt idx="64">
                  <c:v>0.40950000000000003</c:v>
                </c:pt>
                <c:pt idx="65">
                  <c:v>0.44012500000000015</c:v>
                </c:pt>
                <c:pt idx="66">
                  <c:v>0.51050000000000006</c:v>
                </c:pt>
                <c:pt idx="67">
                  <c:v>0.45550000000000002</c:v>
                </c:pt>
                <c:pt idx="68">
                  <c:v>0.45150000000000001</c:v>
                </c:pt>
                <c:pt idx="69">
                  <c:v>0.30487499999999995</c:v>
                </c:pt>
                <c:pt idx="70">
                  <c:v>0.47125</c:v>
                </c:pt>
                <c:pt idx="71">
                  <c:v>0.40887499999999999</c:v>
                </c:pt>
                <c:pt idx="72">
                  <c:v>0.35362500000000008</c:v>
                </c:pt>
                <c:pt idx="73">
                  <c:v>0.36337500000000006</c:v>
                </c:pt>
                <c:pt idx="74">
                  <c:v>0.40262500000000001</c:v>
                </c:pt>
                <c:pt idx="75">
                  <c:v>0.47612500000000002</c:v>
                </c:pt>
                <c:pt idx="76">
                  <c:v>0.48537499999999995</c:v>
                </c:pt>
                <c:pt idx="77">
                  <c:v>0.61512500000000003</c:v>
                </c:pt>
                <c:pt idx="78">
                  <c:v>0.6785000000000001</c:v>
                </c:pt>
                <c:pt idx="79">
                  <c:v>0.67437499999999995</c:v>
                </c:pt>
                <c:pt idx="80">
                  <c:v>0.66212499999999996</c:v>
                </c:pt>
                <c:pt idx="81">
                  <c:v>0.67275000000000007</c:v>
                </c:pt>
                <c:pt idx="82">
                  <c:v>0.69425000000000003</c:v>
                </c:pt>
                <c:pt idx="83">
                  <c:v>0.71024999999999994</c:v>
                </c:pt>
                <c:pt idx="84">
                  <c:v>0.73049999999999982</c:v>
                </c:pt>
                <c:pt idx="85">
                  <c:v>0.75212499999999993</c:v>
                </c:pt>
                <c:pt idx="86">
                  <c:v>0.77274999999999994</c:v>
                </c:pt>
                <c:pt idx="87">
                  <c:v>0.76175000000000004</c:v>
                </c:pt>
                <c:pt idx="88">
                  <c:v>0.72312500000000002</c:v>
                </c:pt>
                <c:pt idx="89">
                  <c:v>0.74624999999999997</c:v>
                </c:pt>
                <c:pt idx="90">
                  <c:v>0.71699999999999997</c:v>
                </c:pt>
                <c:pt idx="91">
                  <c:v>0.70512500000000011</c:v>
                </c:pt>
                <c:pt idx="92">
                  <c:v>0.67187500000000011</c:v>
                </c:pt>
                <c:pt idx="93">
                  <c:v>0.68350000000000011</c:v>
                </c:pt>
                <c:pt idx="94">
                  <c:v>0.64750000000000008</c:v>
                </c:pt>
                <c:pt idx="95">
                  <c:v>0.68112499999999998</c:v>
                </c:pt>
                <c:pt idx="96">
                  <c:v>0.66325000000000001</c:v>
                </c:pt>
                <c:pt idx="97">
                  <c:v>0.63937500000000003</c:v>
                </c:pt>
                <c:pt idx="98">
                  <c:v>0.59599999999999997</c:v>
                </c:pt>
                <c:pt idx="99">
                  <c:v>0.60437499999999988</c:v>
                </c:pt>
                <c:pt idx="100">
                  <c:v>0.65974999999999995</c:v>
                </c:pt>
                <c:pt idx="101">
                  <c:v>0.70774999999999988</c:v>
                </c:pt>
                <c:pt idx="102">
                  <c:v>0.70499999999999996</c:v>
                </c:pt>
                <c:pt idx="103">
                  <c:v>0.73062499999999997</c:v>
                </c:pt>
                <c:pt idx="104">
                  <c:v>0.73049999999999993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372-430B-9025-5402100C016A}"/>
            </c:ext>
          </c:extLst>
        </c:ser>
        <c:ser>
          <c:idx val="5"/>
          <c:order val="5"/>
          <c:tx>
            <c:strRef>
              <c:f>'面板-景气指数'!$A$154</c:f>
              <c:strCache>
                <c:ptCount val="1"/>
                <c:pt idx="0">
                  <c:v>中药</c:v>
                </c:pt>
              </c:strCache>
            </c:strRef>
          </c:tx>
          <c:spPr>
            <a:ln w="12700" cap="rnd" cmpd="sng" algn="ctr">
              <a:solidFill>
                <a:srgbClr val="FFC000">
                  <a:lumMod val="60000"/>
                  <a:lumOff val="40000"/>
                </a:srgbClr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'面板-景气指数'!$F$154:$DF$154</c:f>
              <c:numCache>
                <c:formatCode>0.0%</c:formatCode>
                <c:ptCount val="105"/>
                <c:pt idx="0">
                  <c:v>0.182</c:v>
                </c:pt>
                <c:pt idx="1">
                  <c:v>0.20100000000000001</c:v>
                </c:pt>
                <c:pt idx="2">
                  <c:v>0.25900000000000001</c:v>
                </c:pt>
                <c:pt idx="3">
                  <c:v>0.42299999999999999</c:v>
                </c:pt>
                <c:pt idx="4">
                  <c:v>0.45100000000000007</c:v>
                </c:pt>
                <c:pt idx="5">
                  <c:v>0.39400000000000002</c:v>
                </c:pt>
                <c:pt idx="6">
                  <c:v>0.442</c:v>
                </c:pt>
                <c:pt idx="7">
                  <c:v>0.47099999999999997</c:v>
                </c:pt>
                <c:pt idx="8">
                  <c:v>0.53800000000000003</c:v>
                </c:pt>
                <c:pt idx="9">
                  <c:v>0.58599999999999997</c:v>
                </c:pt>
                <c:pt idx="10">
                  <c:v>0.66300000000000003</c:v>
                </c:pt>
                <c:pt idx="11">
                  <c:v>0.72099999999999997</c:v>
                </c:pt>
                <c:pt idx="12">
                  <c:v>0.75900000000000001</c:v>
                </c:pt>
                <c:pt idx="13">
                  <c:v>0.76900000000000002</c:v>
                </c:pt>
                <c:pt idx="14">
                  <c:v>0.75</c:v>
                </c:pt>
                <c:pt idx="15">
                  <c:v>0.74</c:v>
                </c:pt>
                <c:pt idx="16">
                  <c:v>0.78800000000000003</c:v>
                </c:pt>
                <c:pt idx="17">
                  <c:v>0.83599999999999997</c:v>
                </c:pt>
                <c:pt idx="18">
                  <c:v>0.85499999999999987</c:v>
                </c:pt>
                <c:pt idx="19">
                  <c:v>0.86499999999999988</c:v>
                </c:pt>
                <c:pt idx="20">
                  <c:v>0.87499999999999989</c:v>
                </c:pt>
                <c:pt idx="21">
                  <c:v>0.89400000000000002</c:v>
                </c:pt>
                <c:pt idx="22">
                  <c:v>0.90300000000000002</c:v>
                </c:pt>
                <c:pt idx="23">
                  <c:v>0.93200000000000005</c:v>
                </c:pt>
                <c:pt idx="24">
                  <c:v>0.95100000000000007</c:v>
                </c:pt>
                <c:pt idx="25">
                  <c:v>0.98</c:v>
                </c:pt>
                <c:pt idx="26">
                  <c:v>1</c:v>
                </c:pt>
                <c:pt idx="27">
                  <c:v>0.99</c:v>
                </c:pt>
                <c:pt idx="28">
                  <c:v>0.97100000000000009</c:v>
                </c:pt>
                <c:pt idx="29">
                  <c:v>0.96100000000000008</c:v>
                </c:pt>
                <c:pt idx="30">
                  <c:v>0.94199999999999995</c:v>
                </c:pt>
                <c:pt idx="31">
                  <c:v>0.92300000000000004</c:v>
                </c:pt>
                <c:pt idx="32">
                  <c:v>0.91300000000000003</c:v>
                </c:pt>
                <c:pt idx="33">
                  <c:v>0.88400000000000001</c:v>
                </c:pt>
                <c:pt idx="34">
                  <c:v>0.84599999999999997</c:v>
                </c:pt>
                <c:pt idx="35">
                  <c:v>0.79800000000000004</c:v>
                </c:pt>
                <c:pt idx="36">
                  <c:v>0.61499999999999999</c:v>
                </c:pt>
                <c:pt idx="37">
                  <c:v>0.38400000000000001</c:v>
                </c:pt>
                <c:pt idx="38">
                  <c:v>0.22999999999999998</c:v>
                </c:pt>
                <c:pt idx="39">
                  <c:v>0.24</c:v>
                </c:pt>
                <c:pt idx="40">
                  <c:v>0.25</c:v>
                </c:pt>
                <c:pt idx="41">
                  <c:v>0.307</c:v>
                </c:pt>
                <c:pt idx="42">
                  <c:v>0.34599999999999997</c:v>
                </c:pt>
                <c:pt idx="43">
                  <c:v>0.40299999999999997</c:v>
                </c:pt>
                <c:pt idx="44">
                  <c:v>0.35499999999999998</c:v>
                </c:pt>
                <c:pt idx="45">
                  <c:v>0.432</c:v>
                </c:pt>
                <c:pt idx="46">
                  <c:v>0.50900000000000001</c:v>
                </c:pt>
                <c:pt idx="47">
                  <c:v>0.56699999999999995</c:v>
                </c:pt>
                <c:pt idx="48">
                  <c:v>0.625</c:v>
                </c:pt>
                <c:pt idx="49">
                  <c:v>0.60499999999999998</c:v>
                </c:pt>
                <c:pt idx="50">
                  <c:v>0.54800000000000004</c:v>
                </c:pt>
                <c:pt idx="51">
                  <c:v>0.48</c:v>
                </c:pt>
                <c:pt idx="52">
                  <c:v>0.375</c:v>
                </c:pt>
                <c:pt idx="53">
                  <c:v>0.36499999999999999</c:v>
                </c:pt>
                <c:pt idx="54">
                  <c:v>0.27800000000000002</c:v>
                </c:pt>
                <c:pt idx="55">
                  <c:v>0.29799999999999999</c:v>
                </c:pt>
                <c:pt idx="56">
                  <c:v>0.26900000000000002</c:v>
                </c:pt>
                <c:pt idx="57">
                  <c:v>0.221</c:v>
                </c:pt>
                <c:pt idx="58">
                  <c:v>0.11499999999999999</c:v>
                </c:pt>
                <c:pt idx="59">
                  <c:v>8.9999999999999993E-3</c:v>
                </c:pt>
                <c:pt idx="60">
                  <c:v>0</c:v>
                </c:pt>
                <c:pt idx="61">
                  <c:v>4.8000000000000001E-2</c:v>
                </c:pt>
                <c:pt idx="62">
                  <c:v>0.13400000000000001</c:v>
                </c:pt>
                <c:pt idx="63">
                  <c:v>0.16300000000000001</c:v>
                </c:pt>
                <c:pt idx="64">
                  <c:v>0.17299999999999999</c:v>
                </c:pt>
                <c:pt idx="65">
                  <c:v>0.125</c:v>
                </c:pt>
                <c:pt idx="66">
                  <c:v>8.5999999999999993E-2</c:v>
                </c:pt>
                <c:pt idx="67">
                  <c:v>9.6000000000000002E-2</c:v>
                </c:pt>
                <c:pt idx="68">
                  <c:v>0.153</c:v>
                </c:pt>
                <c:pt idx="69">
                  <c:v>0.21099999999999999</c:v>
                </c:pt>
                <c:pt idx="70">
                  <c:v>0.32600000000000001</c:v>
                </c:pt>
                <c:pt idx="71">
                  <c:v>0.49</c:v>
                </c:pt>
                <c:pt idx="72">
                  <c:v>0.51900000000000002</c:v>
                </c:pt>
                <c:pt idx="73">
                  <c:v>0.46100000000000008</c:v>
                </c:pt>
                <c:pt idx="74">
                  <c:v>0.33600000000000002</c:v>
                </c:pt>
                <c:pt idx="75">
                  <c:v>0.317</c:v>
                </c:pt>
                <c:pt idx="76">
                  <c:v>0.41299999999999998</c:v>
                </c:pt>
                <c:pt idx="77">
                  <c:v>0.5</c:v>
                </c:pt>
                <c:pt idx="78">
                  <c:v>0.55700000000000005</c:v>
                </c:pt>
                <c:pt idx="79">
                  <c:v>0.57599999999999996</c:v>
                </c:pt>
                <c:pt idx="80">
                  <c:v>0.59599999999999997</c:v>
                </c:pt>
                <c:pt idx="81">
                  <c:v>0.63400000000000001</c:v>
                </c:pt>
                <c:pt idx="82">
                  <c:v>0.65300000000000002</c:v>
                </c:pt>
                <c:pt idx="83">
                  <c:v>0.69199999999999995</c:v>
                </c:pt>
                <c:pt idx="84">
                  <c:v>0.77800000000000002</c:v>
                </c:pt>
                <c:pt idx="85">
                  <c:v>0.81699999999999984</c:v>
                </c:pt>
                <c:pt idx="86">
                  <c:v>0.82599999999999996</c:v>
                </c:pt>
                <c:pt idx="87">
                  <c:v>0.80700000000000005</c:v>
                </c:pt>
                <c:pt idx="88">
                  <c:v>0.73</c:v>
                </c:pt>
                <c:pt idx="89">
                  <c:v>0.68200000000000005</c:v>
                </c:pt>
                <c:pt idx="90">
                  <c:v>0.67300000000000004</c:v>
                </c:pt>
                <c:pt idx="91">
                  <c:v>0.71099999999999997</c:v>
                </c:pt>
                <c:pt idx="92">
                  <c:v>0.70099999999999996</c:v>
                </c:pt>
                <c:pt idx="93">
                  <c:v>0.64400000000000002</c:v>
                </c:pt>
                <c:pt idx="94">
                  <c:v>0.52800000000000002</c:v>
                </c:pt>
                <c:pt idx="95">
                  <c:v>0.28799999999999998</c:v>
                </c:pt>
                <c:pt idx="96">
                  <c:v>0.192</c:v>
                </c:pt>
                <c:pt idx="97">
                  <c:v>7.5999999999999998E-2</c:v>
                </c:pt>
                <c:pt idx="98">
                  <c:v>1.9E-2</c:v>
                </c:pt>
                <c:pt idx="99">
                  <c:v>2.8000000000000001E-2</c:v>
                </c:pt>
                <c:pt idx="100">
                  <c:v>6.7000000000000004E-2</c:v>
                </c:pt>
                <c:pt idx="101">
                  <c:v>0.105</c:v>
                </c:pt>
                <c:pt idx="102">
                  <c:v>0.14399999999999999</c:v>
                </c:pt>
                <c:pt idx="103">
                  <c:v>5.7000000000000009E-2</c:v>
                </c:pt>
                <c:pt idx="104">
                  <c:v>3.7999999999999999E-2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72-430B-9025-5402100C0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2622023739569899"/>
          <c:y val="4.48416041018129E-3"/>
          <c:w val="0.73945140439534596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07373561477891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'面板-景气指数'!$A$65</c:f>
              <c:strCache>
                <c:ptCount val="1"/>
                <c:pt idx="0">
                  <c:v>交通运输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'面板-景气指数'!$F$65:$DF$65</c:f>
              <c:numCache>
                <c:formatCode>0.0%</c:formatCode>
                <c:ptCount val="105"/>
                <c:pt idx="0">
                  <c:v>0.35574371156392048</c:v>
                </c:pt>
                <c:pt idx="1">
                  <c:v>0.34413674204491884</c:v>
                </c:pt>
                <c:pt idx="2">
                  <c:v>0.35630293675986646</c:v>
                </c:pt>
                <c:pt idx="3">
                  <c:v>0.35506383439160977</c:v>
                </c:pt>
                <c:pt idx="4">
                  <c:v>0.39216419318561774</c:v>
                </c:pt>
                <c:pt idx="5">
                  <c:v>0.38809937585653287</c:v>
                </c:pt>
                <c:pt idx="6">
                  <c:v>0.44160329734747422</c:v>
                </c:pt>
                <c:pt idx="7">
                  <c:v>0.49427353447654027</c:v>
                </c:pt>
                <c:pt idx="8">
                  <c:v>0.54878502361113712</c:v>
                </c:pt>
                <c:pt idx="9">
                  <c:v>0.51981812229534896</c:v>
                </c:pt>
                <c:pt idx="10">
                  <c:v>0.49904958996312188</c:v>
                </c:pt>
                <c:pt idx="11">
                  <c:v>0.51699915147451447</c:v>
                </c:pt>
                <c:pt idx="12">
                  <c:v>0.46078434170946175</c:v>
                </c:pt>
                <c:pt idx="13">
                  <c:v>0.40220814144590644</c:v>
                </c:pt>
                <c:pt idx="14">
                  <c:v>0.36155483022544077</c:v>
                </c:pt>
                <c:pt idx="15">
                  <c:v>0.36202229870182689</c:v>
                </c:pt>
                <c:pt idx="16">
                  <c:v>0.41046913598308371</c:v>
                </c:pt>
                <c:pt idx="17">
                  <c:v>0.47483326659320035</c:v>
                </c:pt>
                <c:pt idx="18">
                  <c:v>0.42832692018937008</c:v>
                </c:pt>
                <c:pt idx="19">
                  <c:v>0.31135775372229041</c:v>
                </c:pt>
                <c:pt idx="20">
                  <c:v>0.22831035288726936</c:v>
                </c:pt>
                <c:pt idx="21">
                  <c:v>0.21150126908005903</c:v>
                </c:pt>
                <c:pt idx="22">
                  <c:v>0.19063983448930605</c:v>
                </c:pt>
                <c:pt idx="23">
                  <c:v>0.21602689592652424</c:v>
                </c:pt>
                <c:pt idx="24">
                  <c:v>0.23346030621866218</c:v>
                </c:pt>
                <c:pt idx="25">
                  <c:v>0.2592616949622446</c:v>
                </c:pt>
                <c:pt idx="26">
                  <c:v>0.26553126470205263</c:v>
                </c:pt>
                <c:pt idx="27">
                  <c:v>0.26558770818606264</c:v>
                </c:pt>
                <c:pt idx="28">
                  <c:v>0.2269551058866528</c:v>
                </c:pt>
                <c:pt idx="29">
                  <c:v>0.23155469024656194</c:v>
                </c:pt>
                <c:pt idx="30">
                  <c:v>0.24376066788016071</c:v>
                </c:pt>
                <c:pt idx="31">
                  <c:v>0.3263361534090104</c:v>
                </c:pt>
                <c:pt idx="32">
                  <c:v>0.40465179526001771</c:v>
                </c:pt>
                <c:pt idx="33">
                  <c:v>0.48074372694145012</c:v>
                </c:pt>
                <c:pt idx="34">
                  <c:v>0.58613255750195803</c:v>
                </c:pt>
                <c:pt idx="35">
                  <c:v>0.64434565146630718</c:v>
                </c:pt>
                <c:pt idx="36">
                  <c:v>0.49790884980085987</c:v>
                </c:pt>
                <c:pt idx="37">
                  <c:v>0.45757028620637402</c:v>
                </c:pt>
                <c:pt idx="38">
                  <c:v>0.47202503676983021</c:v>
                </c:pt>
                <c:pt idx="39">
                  <c:v>0.60892075824706571</c:v>
                </c:pt>
                <c:pt idx="40">
                  <c:v>0.71742569009324364</c:v>
                </c:pt>
                <c:pt idx="41">
                  <c:v>0.74089041181614435</c:v>
                </c:pt>
                <c:pt idx="42">
                  <c:v>0.66615473015712789</c:v>
                </c:pt>
                <c:pt idx="43">
                  <c:v>0.57072437285520117</c:v>
                </c:pt>
                <c:pt idx="44">
                  <c:v>0.62244476557923334</c:v>
                </c:pt>
                <c:pt idx="45">
                  <c:v>0.71356024345565261</c:v>
                </c:pt>
                <c:pt idx="46">
                  <c:v>0.6593582175515611</c:v>
                </c:pt>
                <c:pt idx="47">
                  <c:v>0.64519546981009634</c:v>
                </c:pt>
                <c:pt idx="48">
                  <c:v>0.58385482323255078</c:v>
                </c:pt>
                <c:pt idx="49">
                  <c:v>0.45968718558610422</c:v>
                </c:pt>
                <c:pt idx="50">
                  <c:v>0.40176290132303533</c:v>
                </c:pt>
                <c:pt idx="51">
                  <c:v>0.43289888036869445</c:v>
                </c:pt>
                <c:pt idx="52">
                  <c:v>0.45977480849137098</c:v>
                </c:pt>
                <c:pt idx="53">
                  <c:v>0.3925187332463736</c:v>
                </c:pt>
                <c:pt idx="54">
                  <c:v>0.17917820663264808</c:v>
                </c:pt>
                <c:pt idx="55">
                  <c:v>0.18775255420903425</c:v>
                </c:pt>
                <c:pt idx="56">
                  <c:v>0.21505786837697677</c:v>
                </c:pt>
                <c:pt idx="57">
                  <c:v>0.55400694236259507</c:v>
                </c:pt>
                <c:pt idx="58">
                  <c:v>0.65887144963901401</c:v>
                </c:pt>
                <c:pt idx="59">
                  <c:v>0.6169816365277192</c:v>
                </c:pt>
                <c:pt idx="60">
                  <c:v>0.50613095827869126</c:v>
                </c:pt>
                <c:pt idx="61">
                  <c:v>0.47091713613118358</c:v>
                </c:pt>
                <c:pt idx="62">
                  <c:v>0.42809813322124329</c:v>
                </c:pt>
                <c:pt idx="63">
                  <c:v>0.46361622966990762</c:v>
                </c:pt>
                <c:pt idx="64">
                  <c:v>0.50365657396247165</c:v>
                </c:pt>
                <c:pt idx="65">
                  <c:v>0.51806629278546323</c:v>
                </c:pt>
                <c:pt idx="66">
                  <c:v>0.44719285616182425</c:v>
                </c:pt>
                <c:pt idx="67">
                  <c:v>0.48448114613969034</c:v>
                </c:pt>
                <c:pt idx="68">
                  <c:v>0.52734308428986232</c:v>
                </c:pt>
                <c:pt idx="69">
                  <c:v>0.64607597570090047</c:v>
                </c:pt>
                <c:pt idx="70">
                  <c:v>0.67392114470982822</c:v>
                </c:pt>
                <c:pt idx="71">
                  <c:v>0.66178046299744986</c:v>
                </c:pt>
                <c:pt idx="72">
                  <c:v>0.56866605776303403</c:v>
                </c:pt>
                <c:pt idx="73">
                  <c:v>0.48537816529935368</c:v>
                </c:pt>
                <c:pt idx="74">
                  <c:v>0.51515627609107806</c:v>
                </c:pt>
                <c:pt idx="75">
                  <c:v>0.61851584963151118</c:v>
                </c:pt>
                <c:pt idx="76">
                  <c:v>0.64576891847702145</c:v>
                </c:pt>
                <c:pt idx="77">
                  <c:v>0.61857363436225332</c:v>
                </c:pt>
                <c:pt idx="78">
                  <c:v>0.50095758776103128</c:v>
                </c:pt>
                <c:pt idx="79">
                  <c:v>0.53273979260035897</c:v>
                </c:pt>
                <c:pt idx="80">
                  <c:v>0.61265233928314655</c:v>
                </c:pt>
                <c:pt idx="81">
                  <c:v>0.71280909507352086</c:v>
                </c:pt>
                <c:pt idx="82">
                  <c:v>0.69871211836249303</c:v>
                </c:pt>
                <c:pt idx="83">
                  <c:v>0.67879772208276801</c:v>
                </c:pt>
                <c:pt idx="84">
                  <c:v>0.64627607468408721</c:v>
                </c:pt>
                <c:pt idx="85">
                  <c:v>0.58044737792672851</c:v>
                </c:pt>
                <c:pt idx="86">
                  <c:v>0.60461139192908442</c:v>
                </c:pt>
                <c:pt idx="87">
                  <c:v>0.65771035918019394</c:v>
                </c:pt>
                <c:pt idx="88">
                  <c:v>0.69375267333566637</c:v>
                </c:pt>
                <c:pt idx="89">
                  <c:v>0.6946597052430975</c:v>
                </c:pt>
                <c:pt idx="90">
                  <c:v>0.65025673262607153</c:v>
                </c:pt>
                <c:pt idx="91">
                  <c:v>0.51455554389552727</c:v>
                </c:pt>
                <c:pt idx="92">
                  <c:v>0.57801706631234506</c:v>
                </c:pt>
                <c:pt idx="93">
                  <c:v>0.66645183803861985</c:v>
                </c:pt>
                <c:pt idx="94">
                  <c:v>0.70285362083572123</c:v>
                </c:pt>
                <c:pt idx="95">
                  <c:v>0.70367224137284734</c:v>
                </c:pt>
                <c:pt idx="96">
                  <c:v>0.68969028769823704</c:v>
                </c:pt>
                <c:pt idx="97">
                  <c:v>0.6592887126316811</c:v>
                </c:pt>
                <c:pt idx="98">
                  <c:v>0.61712649090808225</c:v>
                </c:pt>
                <c:pt idx="99">
                  <c:v>0.61313347721239786</c:v>
                </c:pt>
                <c:pt idx="100">
                  <c:v>0.60542778172469802</c:v>
                </c:pt>
                <c:pt idx="101">
                  <c:v>0.57314273743093358</c:v>
                </c:pt>
                <c:pt idx="102">
                  <c:v>0.47979942492805977</c:v>
                </c:pt>
                <c:pt idx="103">
                  <c:v>0.46822876821457599</c:v>
                </c:pt>
                <c:pt idx="104">
                  <c:v>0.51221989727469874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D0-40C2-B3C1-EAA12B4DC1D4}"/>
            </c:ext>
          </c:extLst>
        </c:ser>
        <c:ser>
          <c:idx val="1"/>
          <c:order val="1"/>
          <c:tx>
            <c:strRef>
              <c:f>'面板-景气指数'!$A$165</c:f>
              <c:strCache>
                <c:ptCount val="1"/>
                <c:pt idx="0">
                  <c:v>物流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'面板-景气指数'!$F$165:$DF$165</c:f>
              <c:numCache>
                <c:formatCode>0.0%</c:formatCode>
                <c:ptCount val="105"/>
                <c:pt idx="0">
                  <c:v>0.20775000000000002</c:v>
                </c:pt>
                <c:pt idx="1">
                  <c:v>0.187</c:v>
                </c:pt>
                <c:pt idx="2">
                  <c:v>0.20199999999999999</c:v>
                </c:pt>
                <c:pt idx="3">
                  <c:v>0.20150000000000001</c:v>
                </c:pt>
                <c:pt idx="4">
                  <c:v>0.25950000000000001</c:v>
                </c:pt>
                <c:pt idx="5">
                  <c:v>0.25275000000000003</c:v>
                </c:pt>
                <c:pt idx="6">
                  <c:v>0.32400000000000001</c:v>
                </c:pt>
                <c:pt idx="7">
                  <c:v>0.39475000000000005</c:v>
                </c:pt>
                <c:pt idx="8">
                  <c:v>0.45524999999999993</c:v>
                </c:pt>
                <c:pt idx="9">
                  <c:v>0.40500000000000003</c:v>
                </c:pt>
                <c:pt idx="10">
                  <c:v>0.39050000000000007</c:v>
                </c:pt>
                <c:pt idx="11">
                  <c:v>0.43050000000000005</c:v>
                </c:pt>
                <c:pt idx="12">
                  <c:v>0.36000000000000004</c:v>
                </c:pt>
                <c:pt idx="13">
                  <c:v>0.28824999999999995</c:v>
                </c:pt>
                <c:pt idx="14">
                  <c:v>0.23349999999999999</c:v>
                </c:pt>
                <c:pt idx="15">
                  <c:v>0.22600000000000001</c:v>
                </c:pt>
                <c:pt idx="16">
                  <c:v>0.28875000000000001</c:v>
                </c:pt>
                <c:pt idx="17">
                  <c:v>0.38275000000000003</c:v>
                </c:pt>
                <c:pt idx="18">
                  <c:v>0.33300000000000002</c:v>
                </c:pt>
                <c:pt idx="19">
                  <c:v>0.1885</c:v>
                </c:pt>
                <c:pt idx="20">
                  <c:v>0.14874999999999999</c:v>
                </c:pt>
                <c:pt idx="21">
                  <c:v>0.13824999999999998</c:v>
                </c:pt>
                <c:pt idx="22">
                  <c:v>9.4750000000000001E-2</c:v>
                </c:pt>
                <c:pt idx="23">
                  <c:v>0.11975</c:v>
                </c:pt>
                <c:pt idx="24">
                  <c:v>0.13725000000000001</c:v>
                </c:pt>
                <c:pt idx="25">
                  <c:v>0.17274999999999999</c:v>
                </c:pt>
                <c:pt idx="26">
                  <c:v>0.17600000000000002</c:v>
                </c:pt>
                <c:pt idx="27">
                  <c:v>0.17475000000000002</c:v>
                </c:pt>
                <c:pt idx="28">
                  <c:v>0.11949999999999998</c:v>
                </c:pt>
                <c:pt idx="29">
                  <c:v>0.11325000000000002</c:v>
                </c:pt>
                <c:pt idx="30">
                  <c:v>0.12425</c:v>
                </c:pt>
                <c:pt idx="31">
                  <c:v>0.23625000000000002</c:v>
                </c:pt>
                <c:pt idx="32">
                  <c:v>0.32224999999999998</c:v>
                </c:pt>
                <c:pt idx="33">
                  <c:v>0.41749999999999998</c:v>
                </c:pt>
                <c:pt idx="34">
                  <c:v>0.53275000000000006</c:v>
                </c:pt>
                <c:pt idx="35">
                  <c:v>0.58574999999999999</c:v>
                </c:pt>
                <c:pt idx="36">
                  <c:v>0.37775000000000003</c:v>
                </c:pt>
                <c:pt idx="37">
                  <c:v>0.31900000000000006</c:v>
                </c:pt>
                <c:pt idx="38">
                  <c:v>0.33674999999999999</c:v>
                </c:pt>
                <c:pt idx="39">
                  <c:v>0.52449999999999986</c:v>
                </c:pt>
                <c:pt idx="40">
                  <c:v>0.66949999999999998</c:v>
                </c:pt>
                <c:pt idx="41">
                  <c:v>0.70599999999999996</c:v>
                </c:pt>
                <c:pt idx="42">
                  <c:v>0.628</c:v>
                </c:pt>
                <c:pt idx="43">
                  <c:v>0.58325000000000005</c:v>
                </c:pt>
                <c:pt idx="44">
                  <c:v>0.68049999999999999</c:v>
                </c:pt>
                <c:pt idx="45">
                  <c:v>0.82800000000000007</c:v>
                </c:pt>
                <c:pt idx="46">
                  <c:v>0.78199999999999992</c:v>
                </c:pt>
                <c:pt idx="47">
                  <c:v>0.76675000000000015</c:v>
                </c:pt>
                <c:pt idx="48">
                  <c:v>0.68625000000000003</c:v>
                </c:pt>
                <c:pt idx="49">
                  <c:v>0.52100000000000002</c:v>
                </c:pt>
                <c:pt idx="50">
                  <c:v>0.45274999999999999</c:v>
                </c:pt>
                <c:pt idx="51">
                  <c:v>0.52149999999999996</c:v>
                </c:pt>
                <c:pt idx="52">
                  <c:v>0.57274999999999998</c:v>
                </c:pt>
                <c:pt idx="53">
                  <c:v>0.48149999999999998</c:v>
                </c:pt>
                <c:pt idx="54">
                  <c:v>0.17699999999999999</c:v>
                </c:pt>
                <c:pt idx="55">
                  <c:v>0.16350000000000001</c:v>
                </c:pt>
                <c:pt idx="56">
                  <c:v>0.183</c:v>
                </c:pt>
                <c:pt idx="57">
                  <c:v>0.63524999999999998</c:v>
                </c:pt>
                <c:pt idx="58">
                  <c:v>0.76575000000000004</c:v>
                </c:pt>
                <c:pt idx="59">
                  <c:v>0.70850000000000002</c:v>
                </c:pt>
                <c:pt idx="60">
                  <c:v>0.54575000000000007</c:v>
                </c:pt>
                <c:pt idx="61">
                  <c:v>0.48399999999999999</c:v>
                </c:pt>
                <c:pt idx="62">
                  <c:v>0.43324999999999997</c:v>
                </c:pt>
                <c:pt idx="63">
                  <c:v>0.50075000000000003</c:v>
                </c:pt>
                <c:pt idx="64">
                  <c:v>0.57400000000000007</c:v>
                </c:pt>
                <c:pt idx="65">
                  <c:v>0.59275</c:v>
                </c:pt>
                <c:pt idx="66">
                  <c:v>0.47675000000000001</c:v>
                </c:pt>
                <c:pt idx="67">
                  <c:v>0.48750000000000004</c:v>
                </c:pt>
                <c:pt idx="68">
                  <c:v>0.52700000000000002</c:v>
                </c:pt>
                <c:pt idx="69">
                  <c:v>0.69599999999999995</c:v>
                </c:pt>
                <c:pt idx="70">
                  <c:v>0.75100000000000011</c:v>
                </c:pt>
                <c:pt idx="71">
                  <c:v>0.72850000000000004</c:v>
                </c:pt>
                <c:pt idx="72">
                  <c:v>0.59575</c:v>
                </c:pt>
                <c:pt idx="73">
                  <c:v>0.48549999999999993</c:v>
                </c:pt>
                <c:pt idx="74">
                  <c:v>0.53475000000000006</c:v>
                </c:pt>
                <c:pt idx="75">
                  <c:v>0.69725000000000004</c:v>
                </c:pt>
                <c:pt idx="76">
                  <c:v>0.748</c:v>
                </c:pt>
                <c:pt idx="77">
                  <c:v>0.71975000000000011</c:v>
                </c:pt>
                <c:pt idx="78">
                  <c:v>0.56899999999999995</c:v>
                </c:pt>
                <c:pt idx="79">
                  <c:v>0.60575000000000001</c:v>
                </c:pt>
                <c:pt idx="80">
                  <c:v>0.71325000000000005</c:v>
                </c:pt>
                <c:pt idx="81">
                  <c:v>0.85075000000000001</c:v>
                </c:pt>
                <c:pt idx="82">
                  <c:v>0.80650000000000011</c:v>
                </c:pt>
                <c:pt idx="83">
                  <c:v>0.78049999999999997</c:v>
                </c:pt>
                <c:pt idx="84">
                  <c:v>0.72975000000000012</c:v>
                </c:pt>
                <c:pt idx="85">
                  <c:v>0.62475000000000003</c:v>
                </c:pt>
                <c:pt idx="86">
                  <c:v>0.65349999999999997</c:v>
                </c:pt>
                <c:pt idx="87">
                  <c:v>0.7257499999999999</c:v>
                </c:pt>
                <c:pt idx="88">
                  <c:v>0.77600000000000002</c:v>
                </c:pt>
                <c:pt idx="89">
                  <c:v>0.78299999999999992</c:v>
                </c:pt>
                <c:pt idx="90">
                  <c:v>0.71849999999999992</c:v>
                </c:pt>
                <c:pt idx="91">
                  <c:v>0.52850000000000008</c:v>
                </c:pt>
                <c:pt idx="92">
                  <c:v>0.62</c:v>
                </c:pt>
                <c:pt idx="93">
                  <c:v>0.75475000000000003</c:v>
                </c:pt>
                <c:pt idx="94">
                  <c:v>0.83874999999999988</c:v>
                </c:pt>
                <c:pt idx="95">
                  <c:v>0.84599999999999997</c:v>
                </c:pt>
                <c:pt idx="96">
                  <c:v>0.83849999999999991</c:v>
                </c:pt>
                <c:pt idx="97">
                  <c:v>0.80025000000000002</c:v>
                </c:pt>
                <c:pt idx="98">
                  <c:v>0.74475000000000002</c:v>
                </c:pt>
                <c:pt idx="99">
                  <c:v>0.74249999999999994</c:v>
                </c:pt>
                <c:pt idx="100">
                  <c:v>0.7327499999999999</c:v>
                </c:pt>
                <c:pt idx="101">
                  <c:v>0.68700000000000006</c:v>
                </c:pt>
                <c:pt idx="102">
                  <c:v>0.54549999999999998</c:v>
                </c:pt>
                <c:pt idx="103">
                  <c:v>0.51175000000000004</c:v>
                </c:pt>
                <c:pt idx="104">
                  <c:v>0.56700000000000006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D0-40C2-B3C1-EAA12B4DC1D4}"/>
            </c:ext>
          </c:extLst>
        </c:ser>
        <c:ser>
          <c:idx val="2"/>
          <c:order val="2"/>
          <c:tx>
            <c:strRef>
              <c:f>'面板-景气指数'!$A$166</c:f>
              <c:strCache>
                <c:ptCount val="1"/>
                <c:pt idx="0">
                  <c:v>铁路公路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'面板-景气指数'!$F$166:$DF$166</c:f>
              <c:numCache>
                <c:formatCode>0.0%</c:formatCode>
                <c:ptCount val="105"/>
                <c:pt idx="0">
                  <c:v>0.5402499999999999</c:v>
                </c:pt>
                <c:pt idx="1">
                  <c:v>0.54049999999999998</c:v>
                </c:pt>
                <c:pt idx="2">
                  <c:v>0.54999999999999993</c:v>
                </c:pt>
                <c:pt idx="3">
                  <c:v>0.55249999999999999</c:v>
                </c:pt>
                <c:pt idx="4">
                  <c:v>0.54275000000000007</c:v>
                </c:pt>
                <c:pt idx="5">
                  <c:v>0.54525000000000001</c:v>
                </c:pt>
                <c:pt idx="6">
                  <c:v>0.59099999999999997</c:v>
                </c:pt>
                <c:pt idx="7">
                  <c:v>0.61499999999999999</c:v>
                </c:pt>
                <c:pt idx="8">
                  <c:v>0.71350000000000002</c:v>
                </c:pt>
                <c:pt idx="9">
                  <c:v>0.75924999999999998</c:v>
                </c:pt>
                <c:pt idx="10">
                  <c:v>0.74724999999999997</c:v>
                </c:pt>
                <c:pt idx="11">
                  <c:v>0.71599999999999986</c:v>
                </c:pt>
                <c:pt idx="12">
                  <c:v>0.69674999999999998</c:v>
                </c:pt>
                <c:pt idx="13">
                  <c:v>0.67025000000000001</c:v>
                </c:pt>
                <c:pt idx="14">
                  <c:v>0.66749999999999998</c:v>
                </c:pt>
                <c:pt idx="15">
                  <c:v>0.68450000000000011</c:v>
                </c:pt>
                <c:pt idx="16">
                  <c:v>0.70625000000000004</c:v>
                </c:pt>
                <c:pt idx="17">
                  <c:v>0.66774999999999995</c:v>
                </c:pt>
                <c:pt idx="18">
                  <c:v>0.62675000000000003</c:v>
                </c:pt>
                <c:pt idx="19">
                  <c:v>0.53350000000000009</c:v>
                </c:pt>
                <c:pt idx="20">
                  <c:v>0.34324999999999994</c:v>
                </c:pt>
                <c:pt idx="21">
                  <c:v>0.21099999999999999</c:v>
                </c:pt>
                <c:pt idx="22">
                  <c:v>0.23049999999999998</c:v>
                </c:pt>
                <c:pt idx="23">
                  <c:v>0.24950000000000006</c:v>
                </c:pt>
                <c:pt idx="24">
                  <c:v>0.26150000000000001</c:v>
                </c:pt>
                <c:pt idx="25">
                  <c:v>0.25900000000000001</c:v>
                </c:pt>
                <c:pt idx="26">
                  <c:v>0.23749999999999999</c:v>
                </c:pt>
                <c:pt idx="27">
                  <c:v>0.21350000000000002</c:v>
                </c:pt>
                <c:pt idx="28">
                  <c:v>0.22075</c:v>
                </c:pt>
                <c:pt idx="29">
                  <c:v>0.24024999999999996</c:v>
                </c:pt>
                <c:pt idx="30">
                  <c:v>0.24475000000000002</c:v>
                </c:pt>
                <c:pt idx="31">
                  <c:v>0.247</c:v>
                </c:pt>
                <c:pt idx="32">
                  <c:v>0.41799999999999998</c:v>
                </c:pt>
                <c:pt idx="33">
                  <c:v>0.54525000000000001</c:v>
                </c:pt>
                <c:pt idx="34">
                  <c:v>0.63400000000000012</c:v>
                </c:pt>
                <c:pt idx="35">
                  <c:v>0.65825</c:v>
                </c:pt>
                <c:pt idx="36">
                  <c:v>0.67749999999999999</c:v>
                </c:pt>
                <c:pt idx="37">
                  <c:v>0.70150000000000001</c:v>
                </c:pt>
                <c:pt idx="38">
                  <c:v>0.7350000000000001</c:v>
                </c:pt>
                <c:pt idx="39">
                  <c:v>0.76875000000000004</c:v>
                </c:pt>
                <c:pt idx="40">
                  <c:v>0.84574999999999989</c:v>
                </c:pt>
                <c:pt idx="41">
                  <c:v>0.88674999999999993</c:v>
                </c:pt>
                <c:pt idx="42">
                  <c:v>0.77600000000000002</c:v>
                </c:pt>
                <c:pt idx="43">
                  <c:v>0.59599999999999997</c:v>
                </c:pt>
                <c:pt idx="44">
                  <c:v>0.52600000000000002</c:v>
                </c:pt>
                <c:pt idx="45">
                  <c:v>0.42975000000000002</c:v>
                </c:pt>
                <c:pt idx="46">
                  <c:v>0.20599999999999999</c:v>
                </c:pt>
                <c:pt idx="47">
                  <c:v>0.1895</c:v>
                </c:pt>
                <c:pt idx="48">
                  <c:v>0.17474999999999999</c:v>
                </c:pt>
                <c:pt idx="49">
                  <c:v>0.14875000000000002</c:v>
                </c:pt>
                <c:pt idx="50">
                  <c:v>0.1245</c:v>
                </c:pt>
                <c:pt idx="51">
                  <c:v>9.8250000000000004E-2</c:v>
                </c:pt>
                <c:pt idx="52">
                  <c:v>6.925000000000002E-2</c:v>
                </c:pt>
                <c:pt idx="53">
                  <c:v>5.7499999999999996E-2</c:v>
                </c:pt>
                <c:pt idx="54">
                  <c:v>8.1250000000000003E-2</c:v>
                </c:pt>
                <c:pt idx="55">
                  <c:v>0.10299999999999999</c:v>
                </c:pt>
                <c:pt idx="56">
                  <c:v>0.2205</c:v>
                </c:pt>
                <c:pt idx="57">
                  <c:v>0.32649999999999996</c:v>
                </c:pt>
                <c:pt idx="58">
                  <c:v>0.51125000000000009</c:v>
                </c:pt>
                <c:pt idx="59">
                  <c:v>0.52600000000000002</c:v>
                </c:pt>
                <c:pt idx="60">
                  <c:v>0.52574999999999994</c:v>
                </c:pt>
                <c:pt idx="61">
                  <c:v>0.54775000000000007</c:v>
                </c:pt>
                <c:pt idx="62">
                  <c:v>0.53574999999999995</c:v>
                </c:pt>
                <c:pt idx="63">
                  <c:v>0.52100000000000002</c:v>
                </c:pt>
                <c:pt idx="64">
                  <c:v>0.48275000000000007</c:v>
                </c:pt>
                <c:pt idx="65">
                  <c:v>0.47299999999999992</c:v>
                </c:pt>
                <c:pt idx="66">
                  <c:v>0.51874999999999993</c:v>
                </c:pt>
                <c:pt idx="67">
                  <c:v>0.59099999999999997</c:v>
                </c:pt>
                <c:pt idx="68">
                  <c:v>0.64850000000000008</c:v>
                </c:pt>
                <c:pt idx="69">
                  <c:v>0.6147499999999998</c:v>
                </c:pt>
                <c:pt idx="70">
                  <c:v>0.57150000000000001</c:v>
                </c:pt>
                <c:pt idx="71">
                  <c:v>0.57175000000000009</c:v>
                </c:pt>
                <c:pt idx="72">
                  <c:v>0.54525000000000001</c:v>
                </c:pt>
                <c:pt idx="73">
                  <c:v>0.52849999999999997</c:v>
                </c:pt>
                <c:pt idx="74">
                  <c:v>0.51875000000000004</c:v>
                </c:pt>
                <c:pt idx="75">
                  <c:v>0.52625000000000011</c:v>
                </c:pt>
                <c:pt idx="76">
                  <c:v>0.51849999999999996</c:v>
                </c:pt>
                <c:pt idx="77">
                  <c:v>0.50649999999999995</c:v>
                </c:pt>
                <c:pt idx="78">
                  <c:v>0.48250000000000004</c:v>
                </c:pt>
                <c:pt idx="79">
                  <c:v>0.54774999999999996</c:v>
                </c:pt>
                <c:pt idx="80">
                  <c:v>0.56925000000000003</c:v>
                </c:pt>
                <c:pt idx="81">
                  <c:v>0.59074999999999989</c:v>
                </c:pt>
                <c:pt idx="82">
                  <c:v>0.64849999999999997</c:v>
                </c:pt>
                <c:pt idx="83">
                  <c:v>0.65099999999999991</c:v>
                </c:pt>
                <c:pt idx="84">
                  <c:v>0.67500000000000004</c:v>
                </c:pt>
                <c:pt idx="85">
                  <c:v>0.71825000000000006</c:v>
                </c:pt>
                <c:pt idx="86">
                  <c:v>0.74475000000000002</c:v>
                </c:pt>
                <c:pt idx="87">
                  <c:v>0.75450000000000006</c:v>
                </c:pt>
                <c:pt idx="88">
                  <c:v>0.75675000000000003</c:v>
                </c:pt>
                <c:pt idx="89">
                  <c:v>0.74224999999999997</c:v>
                </c:pt>
                <c:pt idx="90">
                  <c:v>0.74224999999999997</c:v>
                </c:pt>
                <c:pt idx="91">
                  <c:v>0.68700000000000006</c:v>
                </c:pt>
                <c:pt idx="92">
                  <c:v>0.65100000000000002</c:v>
                </c:pt>
                <c:pt idx="93">
                  <c:v>0.53324999999999989</c:v>
                </c:pt>
                <c:pt idx="94">
                  <c:v>0.46124999999999999</c:v>
                </c:pt>
                <c:pt idx="95">
                  <c:v>0.42274999999999996</c:v>
                </c:pt>
                <c:pt idx="96">
                  <c:v>0.39600000000000002</c:v>
                </c:pt>
                <c:pt idx="97">
                  <c:v>0.38425000000000004</c:v>
                </c:pt>
                <c:pt idx="98">
                  <c:v>0.377</c:v>
                </c:pt>
                <c:pt idx="99">
                  <c:v>0.37700000000000006</c:v>
                </c:pt>
                <c:pt idx="100">
                  <c:v>0.38175000000000003</c:v>
                </c:pt>
                <c:pt idx="101">
                  <c:v>0.41025</c:v>
                </c:pt>
                <c:pt idx="102">
                  <c:v>0.41299999999999998</c:v>
                </c:pt>
                <c:pt idx="103">
                  <c:v>0.43675000000000003</c:v>
                </c:pt>
                <c:pt idx="104">
                  <c:v>0.44925000000000004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D0-40C2-B3C1-EAA12B4DC1D4}"/>
            </c:ext>
          </c:extLst>
        </c:ser>
        <c:ser>
          <c:idx val="3"/>
          <c:order val="3"/>
          <c:tx>
            <c:strRef>
              <c:f>'面板-景气指数'!$A$167</c:f>
              <c:strCache>
                <c:ptCount val="1"/>
                <c:pt idx="0">
                  <c:v>航空机场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'面板-景气指数'!$F$167:$DF$167</c:f>
              <c:numCache>
                <c:formatCode>0.0%</c:formatCode>
                <c:ptCount val="105"/>
                <c:pt idx="0">
                  <c:v>0.75</c:v>
                </c:pt>
                <c:pt idx="1">
                  <c:v>0.75900000000000001</c:v>
                </c:pt>
                <c:pt idx="2">
                  <c:v>0.76900000000000002</c:v>
                </c:pt>
                <c:pt idx="3">
                  <c:v>0.77800000000000002</c:v>
                </c:pt>
                <c:pt idx="4">
                  <c:v>0.78800000000000003</c:v>
                </c:pt>
                <c:pt idx="5">
                  <c:v>0.80700000000000005</c:v>
                </c:pt>
                <c:pt idx="6">
                  <c:v>0.82599999999999996</c:v>
                </c:pt>
                <c:pt idx="7">
                  <c:v>0.84599999999999997</c:v>
                </c:pt>
                <c:pt idx="8">
                  <c:v>0.91300000000000003</c:v>
                </c:pt>
                <c:pt idx="9">
                  <c:v>1</c:v>
                </c:pt>
                <c:pt idx="10">
                  <c:v>0.99</c:v>
                </c:pt>
                <c:pt idx="11">
                  <c:v>0.97100000000000009</c:v>
                </c:pt>
                <c:pt idx="12">
                  <c:v>0.94199999999999995</c:v>
                </c:pt>
                <c:pt idx="13">
                  <c:v>0.93200000000000016</c:v>
                </c:pt>
                <c:pt idx="14">
                  <c:v>0.95099999999999985</c:v>
                </c:pt>
                <c:pt idx="15">
                  <c:v>0.98</c:v>
                </c:pt>
                <c:pt idx="16">
                  <c:v>0.96100000000000008</c:v>
                </c:pt>
                <c:pt idx="17">
                  <c:v>0.92300000000000004</c:v>
                </c:pt>
                <c:pt idx="18">
                  <c:v>0.90300000000000002</c:v>
                </c:pt>
                <c:pt idx="19">
                  <c:v>0.85499999999999998</c:v>
                </c:pt>
                <c:pt idx="20">
                  <c:v>0.24</c:v>
                </c:pt>
                <c:pt idx="21">
                  <c:v>0.11499999999999999</c:v>
                </c:pt>
                <c:pt idx="22">
                  <c:v>0.105</c:v>
                </c:pt>
                <c:pt idx="23">
                  <c:v>0.125</c:v>
                </c:pt>
                <c:pt idx="24">
                  <c:v>0.13400000000000001</c:v>
                </c:pt>
                <c:pt idx="25">
                  <c:v>8.5999999999999993E-2</c:v>
                </c:pt>
                <c:pt idx="26">
                  <c:v>6.7000000000000004E-2</c:v>
                </c:pt>
                <c:pt idx="27">
                  <c:v>3.7999999999999999E-2</c:v>
                </c:pt>
                <c:pt idx="28">
                  <c:v>5.7000000000000009E-2</c:v>
                </c:pt>
                <c:pt idx="29">
                  <c:v>0.14399999999999999</c:v>
                </c:pt>
                <c:pt idx="30">
                  <c:v>0.20100000000000001</c:v>
                </c:pt>
                <c:pt idx="31">
                  <c:v>0.221</c:v>
                </c:pt>
                <c:pt idx="32">
                  <c:v>0.26900000000000002</c:v>
                </c:pt>
                <c:pt idx="33">
                  <c:v>0.25900000000000001</c:v>
                </c:pt>
                <c:pt idx="34">
                  <c:v>0.47099999999999997</c:v>
                </c:pt>
                <c:pt idx="35">
                  <c:v>0.74</c:v>
                </c:pt>
                <c:pt idx="36">
                  <c:v>0.79800000000000004</c:v>
                </c:pt>
                <c:pt idx="37">
                  <c:v>0.83599999999999997</c:v>
                </c:pt>
                <c:pt idx="38">
                  <c:v>0.86499999999999999</c:v>
                </c:pt>
                <c:pt idx="39">
                  <c:v>0.88400000000000001</c:v>
                </c:pt>
                <c:pt idx="40">
                  <c:v>0.89400000000000002</c:v>
                </c:pt>
                <c:pt idx="41">
                  <c:v>0.875</c:v>
                </c:pt>
                <c:pt idx="42">
                  <c:v>0.81699999999999995</c:v>
                </c:pt>
                <c:pt idx="43">
                  <c:v>0.22999999999999998</c:v>
                </c:pt>
                <c:pt idx="44">
                  <c:v>0.192</c:v>
                </c:pt>
                <c:pt idx="45">
                  <c:v>0.16300000000000001</c:v>
                </c:pt>
                <c:pt idx="46">
                  <c:v>0.17299999999999999</c:v>
                </c:pt>
                <c:pt idx="47">
                  <c:v>0.153</c:v>
                </c:pt>
                <c:pt idx="48">
                  <c:v>9.6000000000000002E-2</c:v>
                </c:pt>
                <c:pt idx="49">
                  <c:v>6.7000000000000004E-2</c:v>
                </c:pt>
                <c:pt idx="50">
                  <c:v>4.8000000000000001E-2</c:v>
                </c:pt>
                <c:pt idx="51">
                  <c:v>1.9E-2</c:v>
                </c:pt>
                <c:pt idx="52">
                  <c:v>0</c:v>
                </c:pt>
                <c:pt idx="53">
                  <c:v>8.9999999999999993E-3</c:v>
                </c:pt>
                <c:pt idx="54">
                  <c:v>2.8000000000000001E-2</c:v>
                </c:pt>
                <c:pt idx="55">
                  <c:v>0.182</c:v>
                </c:pt>
                <c:pt idx="56">
                  <c:v>0.21099999999999999</c:v>
                </c:pt>
                <c:pt idx="57">
                  <c:v>0.25</c:v>
                </c:pt>
                <c:pt idx="58">
                  <c:v>0.27800000000000002</c:v>
                </c:pt>
                <c:pt idx="59">
                  <c:v>0.28799999999999998</c:v>
                </c:pt>
                <c:pt idx="60">
                  <c:v>0.307</c:v>
                </c:pt>
                <c:pt idx="61">
                  <c:v>0.33600000000000002</c:v>
                </c:pt>
                <c:pt idx="62">
                  <c:v>0.32600000000000001</c:v>
                </c:pt>
                <c:pt idx="63">
                  <c:v>0.307</c:v>
                </c:pt>
                <c:pt idx="64">
                  <c:v>0.29799999999999999</c:v>
                </c:pt>
                <c:pt idx="65">
                  <c:v>0.35499999999999998</c:v>
                </c:pt>
                <c:pt idx="66">
                  <c:v>0.375</c:v>
                </c:pt>
                <c:pt idx="67">
                  <c:v>0.59599999999999997</c:v>
                </c:pt>
                <c:pt idx="68">
                  <c:v>0.63400000000000001</c:v>
                </c:pt>
                <c:pt idx="69">
                  <c:v>0.56699999999999995</c:v>
                </c:pt>
                <c:pt idx="70">
                  <c:v>0.46100000000000008</c:v>
                </c:pt>
                <c:pt idx="71">
                  <c:v>0.49</c:v>
                </c:pt>
                <c:pt idx="72">
                  <c:v>0.51900000000000002</c:v>
                </c:pt>
                <c:pt idx="73">
                  <c:v>0.52800000000000002</c:v>
                </c:pt>
                <c:pt idx="74">
                  <c:v>0.54800000000000004</c:v>
                </c:pt>
                <c:pt idx="75">
                  <c:v>0.55700000000000005</c:v>
                </c:pt>
                <c:pt idx="76">
                  <c:v>0.57599999999999996</c:v>
                </c:pt>
                <c:pt idx="77">
                  <c:v>0.53800000000000003</c:v>
                </c:pt>
                <c:pt idx="78">
                  <c:v>0.442</c:v>
                </c:pt>
                <c:pt idx="79">
                  <c:v>0.34599999999999997</c:v>
                </c:pt>
                <c:pt idx="80">
                  <c:v>0.36499999999999999</c:v>
                </c:pt>
                <c:pt idx="81">
                  <c:v>0.38400000000000001</c:v>
                </c:pt>
                <c:pt idx="82">
                  <c:v>0.61499999999999999</c:v>
                </c:pt>
                <c:pt idx="83">
                  <c:v>0.60499999999999998</c:v>
                </c:pt>
                <c:pt idx="84">
                  <c:v>0.58599999999999997</c:v>
                </c:pt>
                <c:pt idx="85">
                  <c:v>0.625</c:v>
                </c:pt>
                <c:pt idx="86">
                  <c:v>0.65300000000000002</c:v>
                </c:pt>
                <c:pt idx="87">
                  <c:v>0.68200000000000005</c:v>
                </c:pt>
                <c:pt idx="88">
                  <c:v>0.67300000000000004</c:v>
                </c:pt>
                <c:pt idx="89">
                  <c:v>0.68200000000000005</c:v>
                </c:pt>
                <c:pt idx="90">
                  <c:v>0.70099999999999996</c:v>
                </c:pt>
                <c:pt idx="91">
                  <c:v>0.73</c:v>
                </c:pt>
                <c:pt idx="92">
                  <c:v>0.72099999999999997</c:v>
                </c:pt>
                <c:pt idx="93">
                  <c:v>0.71099999999999997</c:v>
                </c:pt>
                <c:pt idx="94">
                  <c:v>0.5</c:v>
                </c:pt>
                <c:pt idx="95">
                  <c:v>0.48</c:v>
                </c:pt>
                <c:pt idx="96">
                  <c:v>0.442</c:v>
                </c:pt>
                <c:pt idx="97">
                  <c:v>0.432</c:v>
                </c:pt>
                <c:pt idx="98">
                  <c:v>0.42299999999999999</c:v>
                </c:pt>
                <c:pt idx="99">
                  <c:v>0.40300000000000002</c:v>
                </c:pt>
                <c:pt idx="100">
                  <c:v>0.40300000000000002</c:v>
                </c:pt>
                <c:pt idx="101">
                  <c:v>0.39400000000000002</c:v>
                </c:pt>
                <c:pt idx="102">
                  <c:v>0.50900000000000001</c:v>
                </c:pt>
                <c:pt idx="103">
                  <c:v>0.64400000000000002</c:v>
                </c:pt>
                <c:pt idx="104">
                  <c:v>0.66300000000000003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D0-40C2-B3C1-EAA12B4DC1D4}"/>
            </c:ext>
          </c:extLst>
        </c:ser>
        <c:ser>
          <c:idx val="4"/>
          <c:order val="4"/>
          <c:tx>
            <c:strRef>
              <c:f>'面板-景气指数'!$A$168</c:f>
              <c:strCache>
                <c:ptCount val="1"/>
                <c:pt idx="0">
                  <c:v>航运港口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'面板-景气指数'!$F$36:$DF$36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'面板-景气指数'!$F$168:$DF$168</c:f>
              <c:numCache>
                <c:formatCode>0.0%</c:formatCode>
                <c:ptCount val="105"/>
                <c:pt idx="0">
                  <c:v>0.82874999999999999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0.83599999999999997</c:v>
                </c:pt>
                <c:pt idx="4">
                  <c:v>0.80249999999999999</c:v>
                </c:pt>
                <c:pt idx="5">
                  <c:v>0.79749999999999999</c:v>
                </c:pt>
                <c:pt idx="6">
                  <c:v>0.78075000000000006</c:v>
                </c:pt>
                <c:pt idx="7">
                  <c:v>0.77100000000000002</c:v>
                </c:pt>
                <c:pt idx="8">
                  <c:v>0.76649999999999996</c:v>
                </c:pt>
                <c:pt idx="9">
                  <c:v>0.752</c:v>
                </c:pt>
                <c:pt idx="10">
                  <c:v>0.68924999999999992</c:v>
                </c:pt>
                <c:pt idx="11">
                  <c:v>0.63675000000000004</c:v>
                </c:pt>
                <c:pt idx="12">
                  <c:v>0.622</c:v>
                </c:pt>
                <c:pt idx="13">
                  <c:v>0.59099999999999997</c:v>
                </c:pt>
                <c:pt idx="14">
                  <c:v>0.57425000000000004</c:v>
                </c:pt>
                <c:pt idx="15">
                  <c:v>0.59325000000000006</c:v>
                </c:pt>
                <c:pt idx="16">
                  <c:v>0.61499999999999999</c:v>
                </c:pt>
                <c:pt idx="17">
                  <c:v>0.62924999999999998</c:v>
                </c:pt>
                <c:pt idx="18">
                  <c:v>0.58350000000000002</c:v>
                </c:pt>
                <c:pt idx="19">
                  <c:v>0.56199999999999994</c:v>
                </c:pt>
                <c:pt idx="20">
                  <c:v>0.57425000000000004</c:v>
                </c:pt>
                <c:pt idx="21">
                  <c:v>0.63649999999999995</c:v>
                </c:pt>
                <c:pt idx="22">
                  <c:v>0.70650000000000013</c:v>
                </c:pt>
                <c:pt idx="23">
                  <c:v>0.73975000000000002</c:v>
                </c:pt>
                <c:pt idx="24">
                  <c:v>0.76375000000000004</c:v>
                </c:pt>
                <c:pt idx="25">
                  <c:v>0.79050000000000009</c:v>
                </c:pt>
                <c:pt idx="26">
                  <c:v>0.83875</c:v>
                </c:pt>
                <c:pt idx="27">
                  <c:v>0.87200000000000011</c:v>
                </c:pt>
                <c:pt idx="28">
                  <c:v>0.86724999999999997</c:v>
                </c:pt>
                <c:pt idx="29">
                  <c:v>0.87924999999999998</c:v>
                </c:pt>
                <c:pt idx="30">
                  <c:v>0.87925000000000009</c:v>
                </c:pt>
                <c:pt idx="31">
                  <c:v>0.88175000000000003</c:v>
                </c:pt>
                <c:pt idx="32">
                  <c:v>0.8892500000000001</c:v>
                </c:pt>
                <c:pt idx="33">
                  <c:v>0.88400000000000001</c:v>
                </c:pt>
                <c:pt idx="34">
                  <c:v>0.89400000000000002</c:v>
                </c:pt>
                <c:pt idx="35">
                  <c:v>0.89124999999999999</c:v>
                </c:pt>
                <c:pt idx="36">
                  <c:v>0.877</c:v>
                </c:pt>
                <c:pt idx="37">
                  <c:v>0.86025000000000007</c:v>
                </c:pt>
                <c:pt idx="38">
                  <c:v>0.84100000000000008</c:v>
                </c:pt>
                <c:pt idx="39">
                  <c:v>0.82650000000000001</c:v>
                </c:pt>
                <c:pt idx="40">
                  <c:v>0.81199999999999994</c:v>
                </c:pt>
                <c:pt idx="41">
                  <c:v>0.78074999999999994</c:v>
                </c:pt>
                <c:pt idx="42">
                  <c:v>0.73250000000000004</c:v>
                </c:pt>
                <c:pt idx="43">
                  <c:v>0.66300000000000003</c:v>
                </c:pt>
                <c:pt idx="44">
                  <c:v>0.58599999999999997</c:v>
                </c:pt>
                <c:pt idx="45">
                  <c:v>0.54050000000000009</c:v>
                </c:pt>
                <c:pt idx="46">
                  <c:v>0.49699999999999994</c:v>
                </c:pt>
                <c:pt idx="47">
                  <c:v>0.49249999999999999</c:v>
                </c:pt>
                <c:pt idx="48">
                  <c:v>0.50424999999999998</c:v>
                </c:pt>
                <c:pt idx="49">
                  <c:v>0.49499999999999983</c:v>
                </c:pt>
                <c:pt idx="50">
                  <c:v>0.45400000000000001</c:v>
                </c:pt>
                <c:pt idx="51">
                  <c:v>0.35025000000000001</c:v>
                </c:pt>
                <c:pt idx="52">
                  <c:v>0.30249999999999999</c:v>
                </c:pt>
                <c:pt idx="53">
                  <c:v>0.29299999999999998</c:v>
                </c:pt>
                <c:pt idx="54">
                  <c:v>0.31450000000000006</c:v>
                </c:pt>
                <c:pt idx="55">
                  <c:v>0.35774999999999996</c:v>
                </c:pt>
                <c:pt idx="56">
                  <c:v>0.37924999999999992</c:v>
                </c:pt>
                <c:pt idx="57">
                  <c:v>0.40100000000000002</c:v>
                </c:pt>
                <c:pt idx="58">
                  <c:v>0.37225000000000003</c:v>
                </c:pt>
                <c:pt idx="59">
                  <c:v>0.35525000000000001</c:v>
                </c:pt>
                <c:pt idx="60">
                  <c:v>0.39150000000000001</c:v>
                </c:pt>
                <c:pt idx="61">
                  <c:v>0.43224999999999997</c:v>
                </c:pt>
                <c:pt idx="62">
                  <c:v>0.39850000000000002</c:v>
                </c:pt>
                <c:pt idx="63">
                  <c:v>0.32174999999999998</c:v>
                </c:pt>
                <c:pt idx="64">
                  <c:v>0.2545</c:v>
                </c:pt>
                <c:pt idx="65">
                  <c:v>0.23750000000000002</c:v>
                </c:pt>
                <c:pt idx="66">
                  <c:v>0.29525000000000001</c:v>
                </c:pt>
                <c:pt idx="67">
                  <c:v>0.36025000000000001</c:v>
                </c:pt>
                <c:pt idx="68">
                  <c:v>0.41550000000000004</c:v>
                </c:pt>
                <c:pt idx="69">
                  <c:v>0.44424999999999998</c:v>
                </c:pt>
                <c:pt idx="70">
                  <c:v>0.43450000000000005</c:v>
                </c:pt>
                <c:pt idx="71">
                  <c:v>0.44900000000000007</c:v>
                </c:pt>
                <c:pt idx="72">
                  <c:v>0.46575000000000005</c:v>
                </c:pt>
                <c:pt idx="73">
                  <c:v>0.442</c:v>
                </c:pt>
                <c:pt idx="74">
                  <c:v>0.39624999999999999</c:v>
                </c:pt>
                <c:pt idx="75">
                  <c:v>0.29025000000000001</c:v>
                </c:pt>
                <c:pt idx="76">
                  <c:v>0.21824999999999997</c:v>
                </c:pt>
                <c:pt idx="77">
                  <c:v>0.19425000000000001</c:v>
                </c:pt>
                <c:pt idx="78">
                  <c:v>0.18949999999999997</c:v>
                </c:pt>
                <c:pt idx="79">
                  <c:v>0.24249999999999997</c:v>
                </c:pt>
                <c:pt idx="80">
                  <c:v>0.24</c:v>
                </c:pt>
                <c:pt idx="81">
                  <c:v>0.22774999999999998</c:v>
                </c:pt>
                <c:pt idx="82">
                  <c:v>0.21099999999999999</c:v>
                </c:pt>
                <c:pt idx="83">
                  <c:v>0.20624999999999999</c:v>
                </c:pt>
                <c:pt idx="84">
                  <c:v>0.23249999999999996</c:v>
                </c:pt>
                <c:pt idx="85">
                  <c:v>0.26149999999999995</c:v>
                </c:pt>
                <c:pt idx="86">
                  <c:v>0.25900000000000006</c:v>
                </c:pt>
                <c:pt idx="87">
                  <c:v>0.24725</c:v>
                </c:pt>
                <c:pt idx="88">
                  <c:v>0.24950000000000006</c:v>
                </c:pt>
                <c:pt idx="89">
                  <c:v>0.22275</c:v>
                </c:pt>
                <c:pt idx="90">
                  <c:v>0.22800000000000001</c:v>
                </c:pt>
                <c:pt idx="91">
                  <c:v>0.24950000000000006</c:v>
                </c:pt>
                <c:pt idx="92">
                  <c:v>0.25450000000000006</c:v>
                </c:pt>
                <c:pt idx="93">
                  <c:v>0.25674999999999998</c:v>
                </c:pt>
                <c:pt idx="94">
                  <c:v>0.22549999999999998</c:v>
                </c:pt>
                <c:pt idx="95">
                  <c:v>0.22324999999999998</c:v>
                </c:pt>
                <c:pt idx="96">
                  <c:v>0.19425000000000001</c:v>
                </c:pt>
                <c:pt idx="97">
                  <c:v>0.18475</c:v>
                </c:pt>
                <c:pt idx="98">
                  <c:v>0.17724999999999999</c:v>
                </c:pt>
                <c:pt idx="99">
                  <c:v>0.17024999999999998</c:v>
                </c:pt>
                <c:pt idx="100">
                  <c:v>0.16300000000000001</c:v>
                </c:pt>
                <c:pt idx="101">
                  <c:v>0.158</c:v>
                </c:pt>
                <c:pt idx="102">
                  <c:v>0.16075</c:v>
                </c:pt>
                <c:pt idx="103">
                  <c:v>0.17274999999999999</c:v>
                </c:pt>
                <c:pt idx="104">
                  <c:v>0.18699999999999997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2D0-40C2-B3C1-EAA12B4D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2209338388671005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'面板-景气指数'!$A$33</c:f>
              <c:strCache>
                <c:ptCount val="1"/>
                <c:pt idx="0">
                  <c:v>全行业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'面板-景气指数'!$F$33:$DF$33</c:f>
              <c:numCache>
                <c:formatCode>0.0%</c:formatCode>
                <c:ptCount val="105"/>
                <c:pt idx="0">
                  <c:v>0.38089379747550128</c:v>
                </c:pt>
                <c:pt idx="1">
                  <c:v>0.3814022650699887</c:v>
                </c:pt>
                <c:pt idx="2">
                  <c:v>0.38922965097209794</c:v>
                </c:pt>
                <c:pt idx="3">
                  <c:v>0.39023839175508546</c:v>
                </c:pt>
                <c:pt idx="4">
                  <c:v>0.39739768697177474</c:v>
                </c:pt>
                <c:pt idx="5">
                  <c:v>0.39278558290712479</c:v>
                </c:pt>
                <c:pt idx="6">
                  <c:v>0.40195204007089125</c:v>
                </c:pt>
                <c:pt idx="7">
                  <c:v>0.392220426451032</c:v>
                </c:pt>
                <c:pt idx="8">
                  <c:v>0.40290938079602717</c:v>
                </c:pt>
                <c:pt idx="9">
                  <c:v>0.40678363297372394</c:v>
                </c:pt>
                <c:pt idx="10">
                  <c:v>0.41594553113873228</c:v>
                </c:pt>
                <c:pt idx="11">
                  <c:v>0.42537567429298734</c:v>
                </c:pt>
                <c:pt idx="12">
                  <c:v>0.41657481776345617</c:v>
                </c:pt>
                <c:pt idx="13">
                  <c:v>0.39628275909834149</c:v>
                </c:pt>
                <c:pt idx="14">
                  <c:v>0.37409951615480264</c:v>
                </c:pt>
                <c:pt idx="15">
                  <c:v>0.36920332665721289</c:v>
                </c:pt>
                <c:pt idx="16">
                  <c:v>0.39549417890329291</c:v>
                </c:pt>
                <c:pt idx="17">
                  <c:v>0.39200416471127336</c:v>
                </c:pt>
                <c:pt idx="18">
                  <c:v>0.39027321286177757</c:v>
                </c:pt>
                <c:pt idx="19">
                  <c:v>0.34510102453135022</c:v>
                </c:pt>
                <c:pt idx="20">
                  <c:v>0.3242206793588418</c:v>
                </c:pt>
                <c:pt idx="21">
                  <c:v>0.3134868840149253</c:v>
                </c:pt>
                <c:pt idx="22">
                  <c:v>0.33747921966247885</c:v>
                </c:pt>
                <c:pt idx="23">
                  <c:v>0.35422213523755935</c:v>
                </c:pt>
                <c:pt idx="24">
                  <c:v>0.36831981191427254</c:v>
                </c:pt>
                <c:pt idx="25">
                  <c:v>0.37043569841602764</c:v>
                </c:pt>
                <c:pt idx="26">
                  <c:v>0.37757039397293207</c:v>
                </c:pt>
                <c:pt idx="27">
                  <c:v>0.37014705010337784</c:v>
                </c:pt>
                <c:pt idx="28">
                  <c:v>0.37395702195971314</c:v>
                </c:pt>
                <c:pt idx="29">
                  <c:v>0.39070650475827035</c:v>
                </c:pt>
                <c:pt idx="30">
                  <c:v>0.43123898592851995</c:v>
                </c:pt>
                <c:pt idx="31">
                  <c:v>0.47666455606608765</c:v>
                </c:pt>
                <c:pt idx="32">
                  <c:v>0.51121822108142378</c:v>
                </c:pt>
                <c:pt idx="33">
                  <c:v>0.51614817681309555</c:v>
                </c:pt>
                <c:pt idx="34">
                  <c:v>0.53604494851881412</c:v>
                </c:pt>
                <c:pt idx="35">
                  <c:v>0.54601472509962079</c:v>
                </c:pt>
                <c:pt idx="36">
                  <c:v>0.55267350189083331</c:v>
                </c:pt>
                <c:pt idx="37">
                  <c:v>0.54244244255530671</c:v>
                </c:pt>
                <c:pt idx="38">
                  <c:v>0.54247900712528219</c:v>
                </c:pt>
                <c:pt idx="39">
                  <c:v>0.55528688339749299</c:v>
                </c:pt>
                <c:pt idx="40">
                  <c:v>0.56704899044249157</c:v>
                </c:pt>
                <c:pt idx="41">
                  <c:v>0.57788695772290655</c:v>
                </c:pt>
                <c:pt idx="42">
                  <c:v>0.58245236486037544</c:v>
                </c:pt>
                <c:pt idx="43">
                  <c:v>0.57934068075212253</c:v>
                </c:pt>
                <c:pt idx="44">
                  <c:v>0.55930606947220918</c:v>
                </c:pt>
                <c:pt idx="45">
                  <c:v>0.48054465750930825</c:v>
                </c:pt>
                <c:pt idx="46">
                  <c:v>0.43375277242998589</c:v>
                </c:pt>
                <c:pt idx="47">
                  <c:v>0.40215406266138665</c:v>
                </c:pt>
                <c:pt idx="48">
                  <c:v>0.36211490748192215</c:v>
                </c:pt>
                <c:pt idx="49">
                  <c:v>0.33907029842440928</c:v>
                </c:pt>
                <c:pt idx="50">
                  <c:v>0.33426334509681249</c:v>
                </c:pt>
                <c:pt idx="51">
                  <c:v>0.32154428656121553</c:v>
                </c:pt>
                <c:pt idx="52">
                  <c:v>0.30960229408271078</c:v>
                </c:pt>
                <c:pt idx="53">
                  <c:v>0.28442340458900189</c:v>
                </c:pt>
                <c:pt idx="54">
                  <c:v>0.24646275123081715</c:v>
                </c:pt>
                <c:pt idx="55">
                  <c:v>0.25179413112966725</c:v>
                </c:pt>
                <c:pt idx="56">
                  <c:v>0.29195439868872747</c:v>
                </c:pt>
                <c:pt idx="57">
                  <c:v>0.36236544989487418</c:v>
                </c:pt>
                <c:pt idx="58">
                  <c:v>0.38997274150356709</c:v>
                </c:pt>
                <c:pt idx="59">
                  <c:v>0.38153499038465993</c:v>
                </c:pt>
                <c:pt idx="60">
                  <c:v>0.37416970020245416</c:v>
                </c:pt>
                <c:pt idx="61">
                  <c:v>0.37473242790986405</c:v>
                </c:pt>
                <c:pt idx="62">
                  <c:v>0.37917671141444798</c:v>
                </c:pt>
                <c:pt idx="63">
                  <c:v>0.39291052057079995</c:v>
                </c:pt>
                <c:pt idx="64">
                  <c:v>0.40203562039798246</c:v>
                </c:pt>
                <c:pt idx="65">
                  <c:v>0.40522937015548743</c:v>
                </c:pt>
                <c:pt idx="66">
                  <c:v>0.39412285685913012</c:v>
                </c:pt>
                <c:pt idx="67">
                  <c:v>0.403290148964147</c:v>
                </c:pt>
                <c:pt idx="68">
                  <c:v>0.40922807459197919</c:v>
                </c:pt>
                <c:pt idx="69">
                  <c:v>0.43314043933000873</c:v>
                </c:pt>
                <c:pt idx="70">
                  <c:v>0.43489532005865006</c:v>
                </c:pt>
                <c:pt idx="71">
                  <c:v>0.45491984843542815</c:v>
                </c:pt>
                <c:pt idx="72">
                  <c:v>0.4565460437536733</c:v>
                </c:pt>
                <c:pt idx="73">
                  <c:v>0.46512650915362935</c:v>
                </c:pt>
                <c:pt idx="74">
                  <c:v>0.47826974059066024</c:v>
                </c:pt>
                <c:pt idx="75">
                  <c:v>0.49991045073850759</c:v>
                </c:pt>
                <c:pt idx="76">
                  <c:v>0.50578374801220227</c:v>
                </c:pt>
                <c:pt idx="77">
                  <c:v>0.50445732839455881</c:v>
                </c:pt>
                <c:pt idx="78">
                  <c:v>0.49383605722482043</c:v>
                </c:pt>
                <c:pt idx="79">
                  <c:v>0.51428434110877419</c:v>
                </c:pt>
                <c:pt idx="80">
                  <c:v>0.5244841828810074</c:v>
                </c:pt>
                <c:pt idx="81">
                  <c:v>0.53863617934174635</c:v>
                </c:pt>
                <c:pt idx="82">
                  <c:v>0.54195137314787944</c:v>
                </c:pt>
                <c:pt idx="83">
                  <c:v>0.5438652793285802</c:v>
                </c:pt>
                <c:pt idx="84">
                  <c:v>0.54804448307525222</c:v>
                </c:pt>
                <c:pt idx="85">
                  <c:v>0.54490429170514831</c:v>
                </c:pt>
                <c:pt idx="86">
                  <c:v>0.53575563994008035</c:v>
                </c:pt>
                <c:pt idx="87">
                  <c:v>0.52748801591765526</c:v>
                </c:pt>
                <c:pt idx="88">
                  <c:v>0.52008378400245914</c:v>
                </c:pt>
                <c:pt idx="89">
                  <c:v>0.51047790458367315</c:v>
                </c:pt>
                <c:pt idx="90">
                  <c:v>0.50089874981442617</c:v>
                </c:pt>
                <c:pt idx="91">
                  <c:v>0.47594202501886967</c:v>
                </c:pt>
                <c:pt idx="92">
                  <c:v>0.47915751969979525</c:v>
                </c:pt>
                <c:pt idx="93">
                  <c:v>0.484820916445592</c:v>
                </c:pt>
                <c:pt idx="94">
                  <c:v>0.48313380765067865</c:v>
                </c:pt>
                <c:pt idx="95">
                  <c:v>0.46846036838126548</c:v>
                </c:pt>
                <c:pt idx="96">
                  <c:v>0.45514845617639282</c:v>
                </c:pt>
                <c:pt idx="97">
                  <c:v>0.435752467187971</c:v>
                </c:pt>
                <c:pt idx="98">
                  <c:v>0.41963217903025501</c:v>
                </c:pt>
                <c:pt idx="99">
                  <c:v>0.40251552072764296</c:v>
                </c:pt>
                <c:pt idx="100">
                  <c:v>0.41516728658765106</c:v>
                </c:pt>
                <c:pt idx="101">
                  <c:v>0.42144598978024234</c:v>
                </c:pt>
                <c:pt idx="102">
                  <c:v>0.40342594255708664</c:v>
                </c:pt>
                <c:pt idx="103">
                  <c:v>0.38183370212217704</c:v>
                </c:pt>
                <c:pt idx="104">
                  <c:v>0.35621608168045354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1-4B23-80A9-A76CD609ECC9}"/>
            </c:ext>
          </c:extLst>
        </c:ser>
        <c:ser>
          <c:idx val="1"/>
          <c:order val="1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'面板-景气指数'!$F$34:$DF$34</c:f>
              <c:numCache>
                <c:formatCode>0.0%</c:formatCode>
                <c:ptCount val="105"/>
                <c:pt idx="0">
                  <c:v>0.35939764515550943</c:v>
                </c:pt>
                <c:pt idx="1">
                  <c:v>0.36488504477450873</c:v>
                </c:pt>
                <c:pt idx="2">
                  <c:v>0.37662779385311435</c:v>
                </c:pt>
                <c:pt idx="3">
                  <c:v>0.37949885430251629</c:v>
                </c:pt>
                <c:pt idx="4">
                  <c:v>0.38498435308326112</c:v>
                </c:pt>
                <c:pt idx="5">
                  <c:v>0.37798790504232993</c:v>
                </c:pt>
                <c:pt idx="6">
                  <c:v>0.38735528679000475</c:v>
                </c:pt>
                <c:pt idx="7">
                  <c:v>0.37558363573145009</c:v>
                </c:pt>
                <c:pt idx="8">
                  <c:v>0.39187026480097348</c:v>
                </c:pt>
                <c:pt idx="9">
                  <c:v>0.39763807873121981</c:v>
                </c:pt>
                <c:pt idx="10">
                  <c:v>0.40715238786126356</c:v>
                </c:pt>
                <c:pt idx="11">
                  <c:v>0.41623627974827404</c:v>
                </c:pt>
                <c:pt idx="12">
                  <c:v>0.4042617348517844</c:v>
                </c:pt>
                <c:pt idx="13">
                  <c:v>0.37954103047290455</c:v>
                </c:pt>
                <c:pt idx="14">
                  <c:v>0.35362595879612502</c:v>
                </c:pt>
                <c:pt idx="15">
                  <c:v>0.34681946490059723</c:v>
                </c:pt>
                <c:pt idx="16">
                  <c:v>0.37677780377382109</c:v>
                </c:pt>
                <c:pt idx="17">
                  <c:v>0.37474291599078996</c:v>
                </c:pt>
                <c:pt idx="18">
                  <c:v>0.37342647776236526</c:v>
                </c:pt>
                <c:pt idx="19">
                  <c:v>0.32487158642194386</c:v>
                </c:pt>
                <c:pt idx="20">
                  <c:v>0.30446198418404324</c:v>
                </c:pt>
                <c:pt idx="21">
                  <c:v>0.29066302353278517</c:v>
                </c:pt>
                <c:pt idx="22">
                  <c:v>0.31915760969932155</c:v>
                </c:pt>
                <c:pt idx="23">
                  <c:v>0.34047355733818441</c:v>
                </c:pt>
                <c:pt idx="24">
                  <c:v>0.35917729624043349</c:v>
                </c:pt>
                <c:pt idx="25">
                  <c:v>0.36111492372146503</c:v>
                </c:pt>
                <c:pt idx="26">
                  <c:v>0.36647261548272525</c:v>
                </c:pt>
                <c:pt idx="27">
                  <c:v>0.36173202249850922</c:v>
                </c:pt>
                <c:pt idx="28">
                  <c:v>0.36758606178369091</c:v>
                </c:pt>
                <c:pt idx="29">
                  <c:v>0.39101006864260612</c:v>
                </c:pt>
                <c:pt idx="30">
                  <c:v>0.43602635430345621</c:v>
                </c:pt>
                <c:pt idx="31">
                  <c:v>0.48721369198636072</c:v>
                </c:pt>
                <c:pt idx="32">
                  <c:v>0.52625057727171176</c:v>
                </c:pt>
                <c:pt idx="33">
                  <c:v>0.53074123073241986</c:v>
                </c:pt>
                <c:pt idx="34">
                  <c:v>0.54422527802636289</c:v>
                </c:pt>
                <c:pt idx="35">
                  <c:v>0.55883895123595362</c:v>
                </c:pt>
                <c:pt idx="36">
                  <c:v>0.56764458030004228</c:v>
                </c:pt>
                <c:pt idx="37">
                  <c:v>0.55981701364137515</c:v>
                </c:pt>
                <c:pt idx="38">
                  <c:v>0.56021626352520193</c:v>
                </c:pt>
                <c:pt idx="39">
                  <c:v>0.57332898733992821</c:v>
                </c:pt>
                <c:pt idx="40">
                  <c:v>0.5832148178396549</c:v>
                </c:pt>
                <c:pt idx="41">
                  <c:v>0.58965073130054679</c:v>
                </c:pt>
                <c:pt idx="42">
                  <c:v>0.59374651394565914</c:v>
                </c:pt>
                <c:pt idx="43">
                  <c:v>0.58407853509863217</c:v>
                </c:pt>
                <c:pt idx="44">
                  <c:v>0.56156443977195358</c:v>
                </c:pt>
                <c:pt idx="45">
                  <c:v>0.4719774196173156</c:v>
                </c:pt>
                <c:pt idx="46">
                  <c:v>0.42276157763225147</c:v>
                </c:pt>
                <c:pt idx="47">
                  <c:v>0.38964163033928539</c:v>
                </c:pt>
                <c:pt idx="48">
                  <c:v>0.3455650634084666</c:v>
                </c:pt>
                <c:pt idx="49">
                  <c:v>0.32095425622299739</c:v>
                </c:pt>
                <c:pt idx="50">
                  <c:v>0.31352289845407566</c:v>
                </c:pt>
                <c:pt idx="51">
                  <c:v>0.30305985201994745</c:v>
                </c:pt>
                <c:pt idx="52">
                  <c:v>0.28911559969197065</c:v>
                </c:pt>
                <c:pt idx="53">
                  <c:v>0.26172424388768112</c:v>
                </c:pt>
                <c:pt idx="54">
                  <c:v>0.21787403127546787</c:v>
                </c:pt>
                <c:pt idx="55">
                  <c:v>0.22238519093681536</c:v>
                </c:pt>
                <c:pt idx="56">
                  <c:v>0.25722214661001791</c:v>
                </c:pt>
                <c:pt idx="57">
                  <c:v>0.32955058093328343</c:v>
                </c:pt>
                <c:pt idx="58">
                  <c:v>0.34849464788740558</c:v>
                </c:pt>
                <c:pt idx="59">
                  <c:v>0.3397693739598393</c:v>
                </c:pt>
                <c:pt idx="60">
                  <c:v>0.32931810008732976</c:v>
                </c:pt>
                <c:pt idx="61">
                  <c:v>0.32912928189202073</c:v>
                </c:pt>
                <c:pt idx="62">
                  <c:v>0.33432698692299445</c:v>
                </c:pt>
                <c:pt idx="63">
                  <c:v>0.34865315239730704</c:v>
                </c:pt>
                <c:pt idx="64">
                  <c:v>0.3569156484068336</c:v>
                </c:pt>
                <c:pt idx="65">
                  <c:v>0.36257190689467184</c:v>
                </c:pt>
                <c:pt idx="66">
                  <c:v>0.34868871659466932</c:v>
                </c:pt>
                <c:pt idx="67">
                  <c:v>0.35654568658547459</c:v>
                </c:pt>
                <c:pt idx="68">
                  <c:v>0.36976945580578996</c:v>
                </c:pt>
                <c:pt idx="69">
                  <c:v>0.40947921807520626</c:v>
                </c:pt>
                <c:pt idx="70">
                  <c:v>0.42734196322298462</c:v>
                </c:pt>
                <c:pt idx="71">
                  <c:v>0.44852869715936938</c:v>
                </c:pt>
                <c:pt idx="72">
                  <c:v>0.45378623470269408</c:v>
                </c:pt>
                <c:pt idx="73">
                  <c:v>0.46521181649276527</c:v>
                </c:pt>
                <c:pt idx="74">
                  <c:v>0.48585707429090513</c:v>
                </c:pt>
                <c:pt idx="75">
                  <c:v>0.5111455161065932</c:v>
                </c:pt>
                <c:pt idx="76">
                  <c:v>0.52432515821449543</c:v>
                </c:pt>
                <c:pt idx="77">
                  <c:v>0.52344765838395158</c:v>
                </c:pt>
                <c:pt idx="78">
                  <c:v>0.51451820463099929</c:v>
                </c:pt>
                <c:pt idx="79">
                  <c:v>0.53458462824612696</c:v>
                </c:pt>
                <c:pt idx="80">
                  <c:v>0.54450343198832907</c:v>
                </c:pt>
                <c:pt idx="81">
                  <c:v>0.55039587682056224</c:v>
                </c:pt>
                <c:pt idx="82">
                  <c:v>0.54043323702678547</c:v>
                </c:pt>
                <c:pt idx="83">
                  <c:v>0.5437592719829446</c:v>
                </c:pt>
                <c:pt idx="84">
                  <c:v>0.54911017726841826</c:v>
                </c:pt>
                <c:pt idx="85">
                  <c:v>0.54383180378911022</c:v>
                </c:pt>
                <c:pt idx="86">
                  <c:v>0.5357300725520332</c:v>
                </c:pt>
                <c:pt idx="87">
                  <c:v>0.53077524233180251</c:v>
                </c:pt>
                <c:pt idx="88">
                  <c:v>0.52626349984424803</c:v>
                </c:pt>
                <c:pt idx="89">
                  <c:v>0.51623606186545978</c:v>
                </c:pt>
                <c:pt idx="90">
                  <c:v>0.50492141114901723</c:v>
                </c:pt>
                <c:pt idx="91">
                  <c:v>0.47586228477297604</c:v>
                </c:pt>
                <c:pt idx="92">
                  <c:v>0.48210662544935412</c:v>
                </c:pt>
                <c:pt idx="93">
                  <c:v>0.48579757587989353</c:v>
                </c:pt>
                <c:pt idx="94">
                  <c:v>0.48556702226053444</c:v>
                </c:pt>
                <c:pt idx="95">
                  <c:v>0.46490503611672651</c:v>
                </c:pt>
                <c:pt idx="96">
                  <c:v>0.44662718489588576</c:v>
                </c:pt>
                <c:pt idx="97">
                  <c:v>0.42504386372426606</c:v>
                </c:pt>
                <c:pt idx="98">
                  <c:v>0.40657483577087655</c:v>
                </c:pt>
                <c:pt idx="99">
                  <c:v>0.38832252358472757</c:v>
                </c:pt>
                <c:pt idx="100">
                  <c:v>0.39945769946805842</c:v>
                </c:pt>
                <c:pt idx="101">
                  <c:v>0.40252259179839228</c:v>
                </c:pt>
                <c:pt idx="102">
                  <c:v>0.38331548044137792</c:v>
                </c:pt>
                <c:pt idx="103">
                  <c:v>0.362888691728666</c:v>
                </c:pt>
                <c:pt idx="104">
                  <c:v>0.33260584031515272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1-4B23-80A9-A76CD609E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700503137056701"/>
          <c:h val="6.98292592592592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4307240197780897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'面板-景气指数'!$F$24:$DF$24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'面板-景气指数'!$F$34:$DF$34</c:f>
              <c:numCache>
                <c:formatCode>0.0%</c:formatCode>
                <c:ptCount val="105"/>
                <c:pt idx="0">
                  <c:v>0.35939764515550943</c:v>
                </c:pt>
                <c:pt idx="1">
                  <c:v>0.36488504477450873</c:v>
                </c:pt>
                <c:pt idx="2">
                  <c:v>0.37662779385311435</c:v>
                </c:pt>
                <c:pt idx="3">
                  <c:v>0.37949885430251629</c:v>
                </c:pt>
                <c:pt idx="4">
                  <c:v>0.38498435308326112</c:v>
                </c:pt>
                <c:pt idx="5">
                  <c:v>0.37798790504232993</c:v>
                </c:pt>
                <c:pt idx="6">
                  <c:v>0.38735528679000475</c:v>
                </c:pt>
                <c:pt idx="7">
                  <c:v>0.37558363573145009</c:v>
                </c:pt>
                <c:pt idx="8">
                  <c:v>0.39187026480097348</c:v>
                </c:pt>
                <c:pt idx="9">
                  <c:v>0.39763807873121981</c:v>
                </c:pt>
                <c:pt idx="10">
                  <c:v>0.40715238786126356</c:v>
                </c:pt>
                <c:pt idx="11">
                  <c:v>0.41623627974827404</c:v>
                </c:pt>
                <c:pt idx="12">
                  <c:v>0.4042617348517844</c:v>
                </c:pt>
                <c:pt idx="13">
                  <c:v>0.37954103047290455</c:v>
                </c:pt>
                <c:pt idx="14">
                  <c:v>0.35362595879612502</c:v>
                </c:pt>
                <c:pt idx="15">
                  <c:v>0.34681946490059723</c:v>
                </c:pt>
                <c:pt idx="16">
                  <c:v>0.37677780377382109</c:v>
                </c:pt>
                <c:pt idx="17">
                  <c:v>0.37474291599078996</c:v>
                </c:pt>
                <c:pt idx="18">
                  <c:v>0.37342647776236526</c:v>
                </c:pt>
                <c:pt idx="19">
                  <c:v>0.32487158642194386</c:v>
                </c:pt>
                <c:pt idx="20">
                  <c:v>0.30446198418404324</c:v>
                </c:pt>
                <c:pt idx="21">
                  <c:v>0.29066302353278517</c:v>
                </c:pt>
                <c:pt idx="22">
                  <c:v>0.31915760969932155</c:v>
                </c:pt>
                <c:pt idx="23">
                  <c:v>0.34047355733818441</c:v>
                </c:pt>
                <c:pt idx="24">
                  <c:v>0.35917729624043349</c:v>
                </c:pt>
                <c:pt idx="25">
                  <c:v>0.36111492372146503</c:v>
                </c:pt>
                <c:pt idx="26">
                  <c:v>0.36647261548272525</c:v>
                </c:pt>
                <c:pt idx="27">
                  <c:v>0.36173202249850922</c:v>
                </c:pt>
                <c:pt idx="28">
                  <c:v>0.36758606178369091</c:v>
                </c:pt>
                <c:pt idx="29">
                  <c:v>0.39101006864260612</c:v>
                </c:pt>
                <c:pt idx="30">
                  <c:v>0.43602635430345621</c:v>
                </c:pt>
                <c:pt idx="31">
                  <c:v>0.48721369198636072</c:v>
                </c:pt>
                <c:pt idx="32">
                  <c:v>0.52625057727171176</c:v>
                </c:pt>
                <c:pt idx="33">
                  <c:v>0.53074123073241986</c:v>
                </c:pt>
                <c:pt idx="34">
                  <c:v>0.54422527802636289</c:v>
                </c:pt>
                <c:pt idx="35">
                  <c:v>0.55883895123595362</c:v>
                </c:pt>
                <c:pt idx="36">
                  <c:v>0.56764458030004228</c:v>
                </c:pt>
                <c:pt idx="37">
                  <c:v>0.55981701364137515</c:v>
                </c:pt>
                <c:pt idx="38">
                  <c:v>0.56021626352520193</c:v>
                </c:pt>
                <c:pt idx="39">
                  <c:v>0.57332898733992821</c:v>
                </c:pt>
                <c:pt idx="40">
                  <c:v>0.5832148178396549</c:v>
                </c:pt>
                <c:pt idx="41">
                  <c:v>0.58965073130054679</c:v>
                </c:pt>
                <c:pt idx="42">
                  <c:v>0.59374651394565914</c:v>
                </c:pt>
                <c:pt idx="43">
                  <c:v>0.58407853509863217</c:v>
                </c:pt>
                <c:pt idx="44">
                  <c:v>0.56156443977195358</c:v>
                </c:pt>
                <c:pt idx="45">
                  <c:v>0.4719774196173156</c:v>
                </c:pt>
                <c:pt idx="46">
                  <c:v>0.42276157763225147</c:v>
                </c:pt>
                <c:pt idx="47">
                  <c:v>0.38964163033928539</c:v>
                </c:pt>
                <c:pt idx="48">
                  <c:v>0.3455650634084666</c:v>
                </c:pt>
                <c:pt idx="49">
                  <c:v>0.32095425622299739</c:v>
                </c:pt>
                <c:pt idx="50">
                  <c:v>0.31352289845407566</c:v>
                </c:pt>
                <c:pt idx="51">
                  <c:v>0.30305985201994745</c:v>
                </c:pt>
                <c:pt idx="52">
                  <c:v>0.28911559969197065</c:v>
                </c:pt>
                <c:pt idx="53">
                  <c:v>0.26172424388768112</c:v>
                </c:pt>
                <c:pt idx="54">
                  <c:v>0.21787403127546787</c:v>
                </c:pt>
                <c:pt idx="55">
                  <c:v>0.22238519093681536</c:v>
                </c:pt>
                <c:pt idx="56">
                  <c:v>0.25722214661001791</c:v>
                </c:pt>
                <c:pt idx="57">
                  <c:v>0.32955058093328343</c:v>
                </c:pt>
                <c:pt idx="58">
                  <c:v>0.34849464788740558</c:v>
                </c:pt>
                <c:pt idx="59">
                  <c:v>0.3397693739598393</c:v>
                </c:pt>
                <c:pt idx="60">
                  <c:v>0.32931810008732976</c:v>
                </c:pt>
                <c:pt idx="61">
                  <c:v>0.32912928189202073</c:v>
                </c:pt>
                <c:pt idx="62">
                  <c:v>0.33432698692299445</c:v>
                </c:pt>
                <c:pt idx="63">
                  <c:v>0.34865315239730704</c:v>
                </c:pt>
                <c:pt idx="64">
                  <c:v>0.3569156484068336</c:v>
                </c:pt>
                <c:pt idx="65">
                  <c:v>0.36257190689467184</c:v>
                </c:pt>
                <c:pt idx="66">
                  <c:v>0.34868871659466932</c:v>
                </c:pt>
                <c:pt idx="67">
                  <c:v>0.35654568658547459</c:v>
                </c:pt>
                <c:pt idx="68">
                  <c:v>0.36976945580578996</c:v>
                </c:pt>
                <c:pt idx="69">
                  <c:v>0.40947921807520626</c:v>
                </c:pt>
                <c:pt idx="70">
                  <c:v>0.42734196322298462</c:v>
                </c:pt>
                <c:pt idx="71">
                  <c:v>0.44852869715936938</c:v>
                </c:pt>
                <c:pt idx="72">
                  <c:v>0.45378623470269408</c:v>
                </c:pt>
                <c:pt idx="73">
                  <c:v>0.46521181649276527</c:v>
                </c:pt>
                <c:pt idx="74">
                  <c:v>0.48585707429090513</c:v>
                </c:pt>
                <c:pt idx="75">
                  <c:v>0.5111455161065932</c:v>
                </c:pt>
                <c:pt idx="76">
                  <c:v>0.52432515821449543</c:v>
                </c:pt>
                <c:pt idx="77">
                  <c:v>0.52344765838395158</c:v>
                </c:pt>
                <c:pt idx="78">
                  <c:v>0.51451820463099929</c:v>
                </c:pt>
                <c:pt idx="79">
                  <c:v>0.53458462824612696</c:v>
                </c:pt>
                <c:pt idx="80">
                  <c:v>0.54450343198832907</c:v>
                </c:pt>
                <c:pt idx="81">
                  <c:v>0.55039587682056224</c:v>
                </c:pt>
                <c:pt idx="82">
                  <c:v>0.54043323702678547</c:v>
                </c:pt>
                <c:pt idx="83">
                  <c:v>0.5437592719829446</c:v>
                </c:pt>
                <c:pt idx="84">
                  <c:v>0.54911017726841826</c:v>
                </c:pt>
                <c:pt idx="85">
                  <c:v>0.54383180378911022</c:v>
                </c:pt>
                <c:pt idx="86">
                  <c:v>0.5357300725520332</c:v>
                </c:pt>
                <c:pt idx="87">
                  <c:v>0.53077524233180251</c:v>
                </c:pt>
                <c:pt idx="88">
                  <c:v>0.52626349984424803</c:v>
                </c:pt>
                <c:pt idx="89">
                  <c:v>0.51623606186545978</c:v>
                </c:pt>
                <c:pt idx="90">
                  <c:v>0.50492141114901723</c:v>
                </c:pt>
                <c:pt idx="91">
                  <c:v>0.47586228477297604</c:v>
                </c:pt>
                <c:pt idx="92">
                  <c:v>0.48210662544935412</c:v>
                </c:pt>
                <c:pt idx="93">
                  <c:v>0.48579757587989353</c:v>
                </c:pt>
                <c:pt idx="94">
                  <c:v>0.48556702226053444</c:v>
                </c:pt>
                <c:pt idx="95">
                  <c:v>0.46490503611672651</c:v>
                </c:pt>
                <c:pt idx="96">
                  <c:v>0.44662718489588576</c:v>
                </c:pt>
                <c:pt idx="97">
                  <c:v>0.42504386372426606</c:v>
                </c:pt>
                <c:pt idx="98">
                  <c:v>0.40657483577087655</c:v>
                </c:pt>
                <c:pt idx="99">
                  <c:v>0.38832252358472757</c:v>
                </c:pt>
                <c:pt idx="100">
                  <c:v>0.39945769946805842</c:v>
                </c:pt>
                <c:pt idx="101">
                  <c:v>0.40252259179839228</c:v>
                </c:pt>
                <c:pt idx="102">
                  <c:v>0.38331548044137792</c:v>
                </c:pt>
                <c:pt idx="103">
                  <c:v>0.362888691728666</c:v>
                </c:pt>
                <c:pt idx="104">
                  <c:v>0.33260584031515272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8-4789-9ACA-AE30DDDE2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958583880718604"/>
          <c:h val="0.127472295129775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'面板-景气指数'!$A$67</c:f>
              <c:strCache>
                <c:ptCount val="1"/>
                <c:pt idx="0">
                  <c:v>建筑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'面板-景气指数'!$F$67:$DF$67</c:f>
              <c:numCache>
                <c:formatCode>0.0%</c:formatCode>
                <c:ptCount val="105"/>
                <c:pt idx="0">
                  <c:v>0.155725</c:v>
                </c:pt>
                <c:pt idx="1">
                  <c:v>0.15925</c:v>
                </c:pt>
                <c:pt idx="2">
                  <c:v>0.16677500000000001</c:v>
                </c:pt>
                <c:pt idx="3">
                  <c:v>0.18975000000000003</c:v>
                </c:pt>
                <c:pt idx="4">
                  <c:v>0.26035000000000003</c:v>
                </c:pt>
                <c:pt idx="5">
                  <c:v>0.32352500000000001</c:v>
                </c:pt>
                <c:pt idx="6">
                  <c:v>0.31037500000000001</c:v>
                </c:pt>
                <c:pt idx="7">
                  <c:v>0.3019</c:v>
                </c:pt>
                <c:pt idx="8">
                  <c:v>0.29952500000000004</c:v>
                </c:pt>
                <c:pt idx="9">
                  <c:v>0.32274999999999993</c:v>
                </c:pt>
                <c:pt idx="10">
                  <c:v>0.29762500000000003</c:v>
                </c:pt>
                <c:pt idx="11">
                  <c:v>0.34910000000000008</c:v>
                </c:pt>
                <c:pt idx="12">
                  <c:v>0.35402499999999998</c:v>
                </c:pt>
                <c:pt idx="13">
                  <c:v>0.32215000000000005</c:v>
                </c:pt>
                <c:pt idx="14">
                  <c:v>0.25542500000000001</c:v>
                </c:pt>
                <c:pt idx="15">
                  <c:v>0.25774999999999998</c:v>
                </c:pt>
                <c:pt idx="16">
                  <c:v>0.38067500000000004</c:v>
                </c:pt>
                <c:pt idx="17">
                  <c:v>0.58294999999999997</c:v>
                </c:pt>
                <c:pt idx="18">
                  <c:v>0.64707500000000007</c:v>
                </c:pt>
                <c:pt idx="19">
                  <c:v>0.50812500000000005</c:v>
                </c:pt>
                <c:pt idx="20">
                  <c:v>0.31574999999999998</c:v>
                </c:pt>
                <c:pt idx="21">
                  <c:v>0.24792500000000001</c:v>
                </c:pt>
                <c:pt idx="22">
                  <c:v>0.34212500000000001</c:v>
                </c:pt>
                <c:pt idx="23">
                  <c:v>0.39924999999999999</c:v>
                </c:pt>
                <c:pt idx="24">
                  <c:v>0.39290000000000003</c:v>
                </c:pt>
                <c:pt idx="25">
                  <c:v>0.37992499999999996</c:v>
                </c:pt>
                <c:pt idx="26">
                  <c:v>0.36064999999999997</c:v>
                </c:pt>
                <c:pt idx="27">
                  <c:v>0.33634999999999993</c:v>
                </c:pt>
                <c:pt idx="28">
                  <c:v>0.331125</c:v>
                </c:pt>
                <c:pt idx="29">
                  <c:v>0.34337500000000004</c:v>
                </c:pt>
                <c:pt idx="30">
                  <c:v>0.4008000000000001</c:v>
                </c:pt>
                <c:pt idx="31">
                  <c:v>0.44472500000000009</c:v>
                </c:pt>
                <c:pt idx="32">
                  <c:v>0.43225000000000002</c:v>
                </c:pt>
                <c:pt idx="33">
                  <c:v>0.41970000000000007</c:v>
                </c:pt>
                <c:pt idx="34">
                  <c:v>0.37664999999999998</c:v>
                </c:pt>
                <c:pt idx="35">
                  <c:v>0.38055</c:v>
                </c:pt>
                <c:pt idx="36">
                  <c:v>0.42552500000000004</c:v>
                </c:pt>
                <c:pt idx="37">
                  <c:v>0.47302500000000003</c:v>
                </c:pt>
                <c:pt idx="38">
                  <c:v>0.5520250000000001</c:v>
                </c:pt>
                <c:pt idx="39">
                  <c:v>0.56690000000000007</c:v>
                </c:pt>
                <c:pt idx="40">
                  <c:v>0.62034999999999996</c:v>
                </c:pt>
                <c:pt idx="41">
                  <c:v>0.74932500000000002</c:v>
                </c:pt>
                <c:pt idx="42">
                  <c:v>0.70952500000000007</c:v>
                </c:pt>
                <c:pt idx="43">
                  <c:v>0.71044999999999991</c:v>
                </c:pt>
                <c:pt idx="44">
                  <c:v>0.64210000000000012</c:v>
                </c:pt>
                <c:pt idx="45">
                  <c:v>0.67272500000000002</c:v>
                </c:pt>
                <c:pt idx="46">
                  <c:v>0.62590000000000001</c:v>
                </c:pt>
                <c:pt idx="47">
                  <c:v>0.60807500000000003</c:v>
                </c:pt>
                <c:pt idx="48">
                  <c:v>0.58087500000000014</c:v>
                </c:pt>
                <c:pt idx="49">
                  <c:v>0.59105000000000019</c:v>
                </c:pt>
                <c:pt idx="50">
                  <c:v>0.54120000000000001</c:v>
                </c:pt>
                <c:pt idx="51">
                  <c:v>0.49032500000000007</c:v>
                </c:pt>
                <c:pt idx="52">
                  <c:v>0.44285000000000008</c:v>
                </c:pt>
                <c:pt idx="53">
                  <c:v>0.33717500000000006</c:v>
                </c:pt>
                <c:pt idx="54">
                  <c:v>0.15530000000000002</c:v>
                </c:pt>
                <c:pt idx="55">
                  <c:v>0.155775</c:v>
                </c:pt>
                <c:pt idx="56">
                  <c:v>0.17197499999999999</c:v>
                </c:pt>
                <c:pt idx="57">
                  <c:v>0.37270000000000009</c:v>
                </c:pt>
                <c:pt idx="58">
                  <c:v>0.44162499999999999</c:v>
                </c:pt>
                <c:pt idx="59">
                  <c:v>0.44302500000000006</c:v>
                </c:pt>
                <c:pt idx="60">
                  <c:v>0.47950000000000009</c:v>
                </c:pt>
                <c:pt idx="61">
                  <c:v>0.40122500000000011</c:v>
                </c:pt>
                <c:pt idx="62">
                  <c:v>0.41050000000000014</c:v>
                </c:pt>
                <c:pt idx="63">
                  <c:v>0.35502500000000003</c:v>
                </c:pt>
                <c:pt idx="64">
                  <c:v>0.38320000000000004</c:v>
                </c:pt>
                <c:pt idx="65">
                  <c:v>0.46980000000000005</c:v>
                </c:pt>
                <c:pt idx="66">
                  <c:v>0.54097500000000009</c:v>
                </c:pt>
                <c:pt idx="67">
                  <c:v>0.65064999999999995</c:v>
                </c:pt>
                <c:pt idx="68">
                  <c:v>0.6464000000000002</c:v>
                </c:pt>
                <c:pt idx="69">
                  <c:v>0.58715000000000006</c:v>
                </c:pt>
                <c:pt idx="70">
                  <c:v>0.55347500000000005</c:v>
                </c:pt>
                <c:pt idx="71">
                  <c:v>0.55945</c:v>
                </c:pt>
                <c:pt idx="72">
                  <c:v>0.54137500000000005</c:v>
                </c:pt>
                <c:pt idx="73">
                  <c:v>0.47610000000000008</c:v>
                </c:pt>
                <c:pt idx="74">
                  <c:v>0.38132500000000003</c:v>
                </c:pt>
                <c:pt idx="75">
                  <c:v>0.43270000000000008</c:v>
                </c:pt>
                <c:pt idx="76">
                  <c:v>0.60250000000000004</c:v>
                </c:pt>
                <c:pt idx="77">
                  <c:v>0.6543500000000001</c:v>
                </c:pt>
                <c:pt idx="78">
                  <c:v>0.63882500000000009</c:v>
                </c:pt>
                <c:pt idx="79">
                  <c:v>0.70015000000000005</c:v>
                </c:pt>
                <c:pt idx="80">
                  <c:v>0.77695000000000003</c:v>
                </c:pt>
                <c:pt idx="81">
                  <c:v>0.81632500000000008</c:v>
                </c:pt>
                <c:pt idx="82">
                  <c:v>0.72597500000000004</c:v>
                </c:pt>
                <c:pt idx="83">
                  <c:v>0.66932500000000006</c:v>
                </c:pt>
                <c:pt idx="84">
                  <c:v>0.61175000000000002</c:v>
                </c:pt>
                <c:pt idx="85">
                  <c:v>0.72380000000000011</c:v>
                </c:pt>
                <c:pt idx="86">
                  <c:v>0.74882500000000007</c:v>
                </c:pt>
                <c:pt idx="87">
                  <c:v>0.77747500000000014</c:v>
                </c:pt>
                <c:pt idx="88">
                  <c:v>0.74777500000000008</c:v>
                </c:pt>
                <c:pt idx="89">
                  <c:v>0.70242500000000019</c:v>
                </c:pt>
                <c:pt idx="90">
                  <c:v>0.71100000000000019</c:v>
                </c:pt>
                <c:pt idx="91">
                  <c:v>0.68162500000000015</c:v>
                </c:pt>
                <c:pt idx="92">
                  <c:v>0.72060000000000002</c:v>
                </c:pt>
                <c:pt idx="93">
                  <c:v>0.723325</c:v>
                </c:pt>
                <c:pt idx="94">
                  <c:v>0.78562500000000013</c:v>
                </c:pt>
                <c:pt idx="95">
                  <c:v>0.7899250000000001</c:v>
                </c:pt>
                <c:pt idx="96">
                  <c:v>0.73182500000000006</c:v>
                </c:pt>
                <c:pt idx="97">
                  <c:v>0.71610000000000007</c:v>
                </c:pt>
                <c:pt idx="98">
                  <c:v>0.73697500000000005</c:v>
                </c:pt>
                <c:pt idx="99">
                  <c:v>0.80420000000000014</c:v>
                </c:pt>
                <c:pt idx="100">
                  <c:v>0.75437500000000013</c:v>
                </c:pt>
                <c:pt idx="101">
                  <c:v>0.69162500000000005</c:v>
                </c:pt>
                <c:pt idx="102">
                  <c:v>0.57552500000000018</c:v>
                </c:pt>
                <c:pt idx="103">
                  <c:v>0.3620000000000001</c:v>
                </c:pt>
                <c:pt idx="104">
                  <c:v>0.306425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8D-473E-A1C8-49BFF1CD0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'面板-景气指数'!$A$66</c:f>
              <c:strCache>
                <c:ptCount val="1"/>
                <c:pt idx="0">
                  <c:v>环保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'面板-景气指数'!$F$69:$DF$69</c:f>
              <c:numCache>
                <c:formatCode>[$-409]mmm\-yy;@</c:formatCode>
                <c:ptCount val="105"/>
                <c:pt idx="0">
                  <c:v>45565</c:v>
                </c:pt>
                <c:pt idx="1">
                  <c:v>45535</c:v>
                </c:pt>
                <c:pt idx="2">
                  <c:v>45504</c:v>
                </c:pt>
                <c:pt idx="3">
                  <c:v>45473</c:v>
                </c:pt>
                <c:pt idx="4">
                  <c:v>45443</c:v>
                </c:pt>
                <c:pt idx="5">
                  <c:v>45412</c:v>
                </c:pt>
                <c:pt idx="6">
                  <c:v>45382</c:v>
                </c:pt>
                <c:pt idx="7">
                  <c:v>45351</c:v>
                </c:pt>
                <c:pt idx="8">
                  <c:v>45322</c:v>
                </c:pt>
                <c:pt idx="9">
                  <c:v>45291</c:v>
                </c:pt>
                <c:pt idx="10">
                  <c:v>45260</c:v>
                </c:pt>
                <c:pt idx="11">
                  <c:v>45230</c:v>
                </c:pt>
                <c:pt idx="12">
                  <c:v>45199</c:v>
                </c:pt>
                <c:pt idx="13">
                  <c:v>45169</c:v>
                </c:pt>
                <c:pt idx="14">
                  <c:v>45138</c:v>
                </c:pt>
                <c:pt idx="15">
                  <c:v>45107</c:v>
                </c:pt>
                <c:pt idx="16">
                  <c:v>45077</c:v>
                </c:pt>
                <c:pt idx="17">
                  <c:v>45046</c:v>
                </c:pt>
                <c:pt idx="18">
                  <c:v>45016</c:v>
                </c:pt>
                <c:pt idx="19">
                  <c:v>44985</c:v>
                </c:pt>
                <c:pt idx="20">
                  <c:v>44957</c:v>
                </c:pt>
                <c:pt idx="21">
                  <c:v>44926</c:v>
                </c:pt>
                <c:pt idx="22">
                  <c:v>44895</c:v>
                </c:pt>
                <c:pt idx="23">
                  <c:v>44865</c:v>
                </c:pt>
                <c:pt idx="24">
                  <c:v>44834</c:v>
                </c:pt>
                <c:pt idx="25">
                  <c:v>44804</c:v>
                </c:pt>
                <c:pt idx="26">
                  <c:v>44773</c:v>
                </c:pt>
                <c:pt idx="27">
                  <c:v>44742</c:v>
                </c:pt>
                <c:pt idx="28">
                  <c:v>44712</c:v>
                </c:pt>
                <c:pt idx="29">
                  <c:v>44681</c:v>
                </c:pt>
                <c:pt idx="30">
                  <c:v>44651</c:v>
                </c:pt>
                <c:pt idx="31">
                  <c:v>44620</c:v>
                </c:pt>
                <c:pt idx="32">
                  <c:v>44592</c:v>
                </c:pt>
                <c:pt idx="33">
                  <c:v>44561</c:v>
                </c:pt>
                <c:pt idx="34">
                  <c:v>44530</c:v>
                </c:pt>
                <c:pt idx="35">
                  <c:v>44500</c:v>
                </c:pt>
                <c:pt idx="36">
                  <c:v>44469</c:v>
                </c:pt>
                <c:pt idx="37">
                  <c:v>44439</c:v>
                </c:pt>
                <c:pt idx="38">
                  <c:v>44408</c:v>
                </c:pt>
                <c:pt idx="39">
                  <c:v>44377</c:v>
                </c:pt>
                <c:pt idx="40">
                  <c:v>44347</c:v>
                </c:pt>
                <c:pt idx="41">
                  <c:v>44316</c:v>
                </c:pt>
                <c:pt idx="42">
                  <c:v>44286</c:v>
                </c:pt>
                <c:pt idx="43">
                  <c:v>44255</c:v>
                </c:pt>
                <c:pt idx="44">
                  <c:v>44227</c:v>
                </c:pt>
                <c:pt idx="45">
                  <c:v>44196</c:v>
                </c:pt>
                <c:pt idx="46">
                  <c:v>44165</c:v>
                </c:pt>
                <c:pt idx="47">
                  <c:v>44135</c:v>
                </c:pt>
                <c:pt idx="48">
                  <c:v>44104</c:v>
                </c:pt>
                <c:pt idx="49">
                  <c:v>44074</c:v>
                </c:pt>
                <c:pt idx="50">
                  <c:v>44043</c:v>
                </c:pt>
                <c:pt idx="51">
                  <c:v>44012</c:v>
                </c:pt>
                <c:pt idx="52">
                  <c:v>43982</c:v>
                </c:pt>
                <c:pt idx="53">
                  <c:v>43951</c:v>
                </c:pt>
                <c:pt idx="54">
                  <c:v>43921</c:v>
                </c:pt>
                <c:pt idx="55">
                  <c:v>43890</c:v>
                </c:pt>
                <c:pt idx="56">
                  <c:v>43861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43496</c:v>
                </c:pt>
                <c:pt idx="69">
                  <c:v>43465</c:v>
                </c:pt>
                <c:pt idx="70">
                  <c:v>43434</c:v>
                </c:pt>
                <c:pt idx="71">
                  <c:v>43404</c:v>
                </c:pt>
                <c:pt idx="72">
                  <c:v>43373</c:v>
                </c:pt>
                <c:pt idx="73">
                  <c:v>43343</c:v>
                </c:pt>
                <c:pt idx="74">
                  <c:v>43312</c:v>
                </c:pt>
                <c:pt idx="75">
                  <c:v>43281</c:v>
                </c:pt>
                <c:pt idx="76">
                  <c:v>43251</c:v>
                </c:pt>
                <c:pt idx="77">
                  <c:v>43220</c:v>
                </c:pt>
                <c:pt idx="78">
                  <c:v>43190</c:v>
                </c:pt>
                <c:pt idx="79">
                  <c:v>43159</c:v>
                </c:pt>
                <c:pt idx="80">
                  <c:v>43131</c:v>
                </c:pt>
                <c:pt idx="81">
                  <c:v>43100</c:v>
                </c:pt>
                <c:pt idx="82">
                  <c:v>43069</c:v>
                </c:pt>
                <c:pt idx="83">
                  <c:v>43039</c:v>
                </c:pt>
                <c:pt idx="84">
                  <c:v>43008</c:v>
                </c:pt>
                <c:pt idx="85">
                  <c:v>42978</c:v>
                </c:pt>
                <c:pt idx="86">
                  <c:v>42947</c:v>
                </c:pt>
                <c:pt idx="87">
                  <c:v>42916</c:v>
                </c:pt>
                <c:pt idx="88">
                  <c:v>42886</c:v>
                </c:pt>
                <c:pt idx="89">
                  <c:v>42855</c:v>
                </c:pt>
                <c:pt idx="90">
                  <c:v>42825</c:v>
                </c:pt>
                <c:pt idx="91">
                  <c:v>42794</c:v>
                </c:pt>
                <c:pt idx="92">
                  <c:v>42766</c:v>
                </c:pt>
                <c:pt idx="93">
                  <c:v>42735</c:v>
                </c:pt>
                <c:pt idx="94">
                  <c:v>42704</c:v>
                </c:pt>
                <c:pt idx="95">
                  <c:v>42674</c:v>
                </c:pt>
                <c:pt idx="96">
                  <c:v>42643</c:v>
                </c:pt>
                <c:pt idx="97">
                  <c:v>42613</c:v>
                </c:pt>
                <c:pt idx="98">
                  <c:v>42582</c:v>
                </c:pt>
                <c:pt idx="99">
                  <c:v>42551</c:v>
                </c:pt>
                <c:pt idx="100">
                  <c:v>42521</c:v>
                </c:pt>
                <c:pt idx="101">
                  <c:v>42490</c:v>
                </c:pt>
                <c:pt idx="102">
                  <c:v>42460</c:v>
                </c:pt>
                <c:pt idx="103">
                  <c:v>42429</c:v>
                </c:pt>
                <c:pt idx="104">
                  <c:v>42400</c:v>
                </c:pt>
              </c:numCache>
            </c:numRef>
          </c:cat>
          <c:val>
            <c:numRef>
              <c:f>'面板-景气指数'!$F$66:$DF$66</c:f>
              <c:numCache>
                <c:formatCode>0.0%</c:formatCode>
                <c:ptCount val="105"/>
                <c:pt idx="0">
                  <c:v>0.14899999999999999</c:v>
                </c:pt>
                <c:pt idx="1">
                  <c:v>0.1875</c:v>
                </c:pt>
                <c:pt idx="2">
                  <c:v>0.1825</c:v>
                </c:pt>
                <c:pt idx="3">
                  <c:v>0.23549999999999999</c:v>
                </c:pt>
                <c:pt idx="4">
                  <c:v>0.21149999999999999</c:v>
                </c:pt>
                <c:pt idx="5">
                  <c:v>0.17749999999999999</c:v>
                </c:pt>
                <c:pt idx="6">
                  <c:v>0.221</c:v>
                </c:pt>
                <c:pt idx="7">
                  <c:v>0.216</c:v>
                </c:pt>
                <c:pt idx="8">
                  <c:v>0.3075</c:v>
                </c:pt>
                <c:pt idx="9">
                  <c:v>0.27400000000000002</c:v>
                </c:pt>
                <c:pt idx="10">
                  <c:v>0.26900000000000002</c:v>
                </c:pt>
                <c:pt idx="11">
                  <c:v>0.245</c:v>
                </c:pt>
                <c:pt idx="12">
                  <c:v>0.24</c:v>
                </c:pt>
                <c:pt idx="13">
                  <c:v>0.20649999999999999</c:v>
                </c:pt>
                <c:pt idx="14">
                  <c:v>0.17299999999999999</c:v>
                </c:pt>
                <c:pt idx="15">
                  <c:v>0.1535</c:v>
                </c:pt>
                <c:pt idx="16">
                  <c:v>0.14399999999999999</c:v>
                </c:pt>
                <c:pt idx="17">
                  <c:v>0.13900000000000001</c:v>
                </c:pt>
                <c:pt idx="18">
                  <c:v>0.1295</c:v>
                </c:pt>
                <c:pt idx="19">
                  <c:v>0.1105</c:v>
                </c:pt>
                <c:pt idx="20">
                  <c:v>0.1055</c:v>
                </c:pt>
                <c:pt idx="21">
                  <c:v>0.115</c:v>
                </c:pt>
                <c:pt idx="22">
                  <c:v>0.115</c:v>
                </c:pt>
                <c:pt idx="23">
                  <c:v>0.125</c:v>
                </c:pt>
                <c:pt idx="24">
                  <c:v>0.13450000000000001</c:v>
                </c:pt>
                <c:pt idx="25">
                  <c:v>0.1585</c:v>
                </c:pt>
                <c:pt idx="26">
                  <c:v>0.16800000000000001</c:v>
                </c:pt>
                <c:pt idx="27">
                  <c:v>0.19700000000000001</c:v>
                </c:pt>
                <c:pt idx="28">
                  <c:v>0.22550000000000001</c:v>
                </c:pt>
                <c:pt idx="29">
                  <c:v>0.25950000000000001</c:v>
                </c:pt>
                <c:pt idx="30">
                  <c:v>0.33150000000000002</c:v>
                </c:pt>
                <c:pt idx="31">
                  <c:v>5.2499999999999998E-2</c:v>
                </c:pt>
                <c:pt idx="32">
                  <c:v>5.2499999999999998E-2</c:v>
                </c:pt>
                <c:pt idx="33">
                  <c:v>5.2499999999999998E-2</c:v>
                </c:pt>
                <c:pt idx="34">
                  <c:v>5.2499999999999998E-2</c:v>
                </c:pt>
                <c:pt idx="35">
                  <c:v>9.0999999999999998E-2</c:v>
                </c:pt>
                <c:pt idx="36">
                  <c:v>8.6499999999999994E-2</c:v>
                </c:pt>
                <c:pt idx="37">
                  <c:v>7.6499999999999999E-2</c:v>
                </c:pt>
                <c:pt idx="38">
                  <c:v>7.1999999999999995E-2</c:v>
                </c:pt>
                <c:pt idx="39">
                  <c:v>8.1500000000000003E-2</c:v>
                </c:pt>
                <c:pt idx="40">
                  <c:v>0.10050000000000001</c:v>
                </c:pt>
                <c:pt idx="41">
                  <c:v>0.22550000000000001</c:v>
                </c:pt>
                <c:pt idx="42">
                  <c:v>0.30249999999999999</c:v>
                </c:pt>
                <c:pt idx="43">
                  <c:v>4.4999999999999997E-3</c:v>
                </c:pt>
                <c:pt idx="44">
                  <c:v>4.4999999999999997E-3</c:v>
                </c:pt>
                <c:pt idx="45">
                  <c:v>4.4999999999999997E-3</c:v>
                </c:pt>
                <c:pt idx="46">
                  <c:v>4.4999999999999997E-3</c:v>
                </c:pt>
                <c:pt idx="47">
                  <c:v>0</c:v>
                </c:pt>
                <c:pt idx="48">
                  <c:v>2.4E-2</c:v>
                </c:pt>
                <c:pt idx="49">
                  <c:v>3.3500000000000002E-2</c:v>
                </c:pt>
                <c:pt idx="50">
                  <c:v>2.8500000000000001E-2</c:v>
                </c:pt>
                <c:pt idx="51">
                  <c:v>3.7999999999999999E-2</c:v>
                </c:pt>
                <c:pt idx="52">
                  <c:v>4.2999999999999997E-2</c:v>
                </c:pt>
                <c:pt idx="53">
                  <c:v>4.8000000000000001E-2</c:v>
                </c:pt>
                <c:pt idx="54">
                  <c:v>9.6000000000000002E-2</c:v>
                </c:pt>
                <c:pt idx="55">
                  <c:v>0.40350000000000003</c:v>
                </c:pt>
                <c:pt idx="56">
                  <c:v>0.40350000000000003</c:v>
                </c:pt>
                <c:pt idx="57">
                  <c:v>0.40350000000000003</c:v>
                </c:pt>
                <c:pt idx="58">
                  <c:v>0.40350000000000003</c:v>
                </c:pt>
                <c:pt idx="59">
                  <c:v>0.39400000000000002</c:v>
                </c:pt>
                <c:pt idx="60">
                  <c:v>0.38900000000000001</c:v>
                </c:pt>
                <c:pt idx="61">
                  <c:v>0.39900000000000002</c:v>
                </c:pt>
                <c:pt idx="62">
                  <c:v>0.42299999999999999</c:v>
                </c:pt>
                <c:pt idx="63">
                  <c:v>0.4375</c:v>
                </c:pt>
                <c:pt idx="64">
                  <c:v>0.442</c:v>
                </c:pt>
                <c:pt idx="65">
                  <c:v>0.45150000000000001</c:v>
                </c:pt>
                <c:pt idx="66">
                  <c:v>0.46600000000000003</c:v>
                </c:pt>
                <c:pt idx="67">
                  <c:v>0.35549999999999998</c:v>
                </c:pt>
                <c:pt idx="68">
                  <c:v>0.35549999999999998</c:v>
                </c:pt>
                <c:pt idx="69">
                  <c:v>0.35549999999999998</c:v>
                </c:pt>
                <c:pt idx="70">
                  <c:v>0.35549999999999998</c:v>
                </c:pt>
                <c:pt idx="71">
                  <c:v>0.34100000000000003</c:v>
                </c:pt>
                <c:pt idx="72">
                  <c:v>0.34599999999999997</c:v>
                </c:pt>
                <c:pt idx="73">
                  <c:v>0.35049999999999998</c:v>
                </c:pt>
                <c:pt idx="74">
                  <c:v>0.38450000000000001</c:v>
                </c:pt>
                <c:pt idx="75">
                  <c:v>0.375</c:v>
                </c:pt>
                <c:pt idx="76">
                  <c:v>0.33650000000000002</c:v>
                </c:pt>
                <c:pt idx="77">
                  <c:v>0.2545</c:v>
                </c:pt>
                <c:pt idx="78">
                  <c:v>0.3795</c:v>
                </c:pt>
                <c:pt idx="79">
                  <c:v>0.20150000000000001</c:v>
                </c:pt>
                <c:pt idx="80">
                  <c:v>0.32650000000000001</c:v>
                </c:pt>
                <c:pt idx="81">
                  <c:v>0.29799999999999999</c:v>
                </c:pt>
                <c:pt idx="82">
                  <c:v>0.4325</c:v>
                </c:pt>
                <c:pt idx="83">
                  <c:v>0.44700000000000001</c:v>
                </c:pt>
                <c:pt idx="84">
                  <c:v>0.46150000000000002</c:v>
                </c:pt>
                <c:pt idx="85">
                  <c:v>0.47099999999999997</c:v>
                </c:pt>
                <c:pt idx="86">
                  <c:v>0.47549999999999998</c:v>
                </c:pt>
                <c:pt idx="87">
                  <c:v>0.48049999999999998</c:v>
                </c:pt>
                <c:pt idx="88">
                  <c:v>0.48549999999999999</c:v>
                </c:pt>
                <c:pt idx="89">
                  <c:v>0.5</c:v>
                </c:pt>
                <c:pt idx="90">
                  <c:v>0.49</c:v>
                </c:pt>
                <c:pt idx="91">
                  <c:v>0.495</c:v>
                </c:pt>
                <c:pt idx="92">
                  <c:v>0.27850000000000003</c:v>
                </c:pt>
                <c:pt idx="93">
                  <c:v>0.27850000000000003</c:v>
                </c:pt>
                <c:pt idx="94">
                  <c:v>0.27850000000000003</c:v>
                </c:pt>
                <c:pt idx="95">
                  <c:v>0.27850000000000003</c:v>
                </c:pt>
                <c:pt idx="96">
                  <c:v>0.26400000000000001</c:v>
                </c:pt>
                <c:pt idx="97">
                  <c:v>0.3125</c:v>
                </c:pt>
                <c:pt idx="98">
                  <c:v>0.32200000000000001</c:v>
                </c:pt>
                <c:pt idx="99">
                  <c:v>0.317</c:v>
                </c:pt>
                <c:pt idx="100">
                  <c:v>0.25</c:v>
                </c:pt>
                <c:pt idx="101">
                  <c:v>0.16300000000000001</c:v>
                </c:pt>
                <c:pt idx="102">
                  <c:v>0.192</c:v>
                </c:pt>
                <c:pt idx="103">
                  <c:v>0.42749999999999999</c:v>
                </c:pt>
                <c:pt idx="104">
                  <c:v>0.45650000000000002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B7-46AC-8E1B-36D346FA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  <c:max val="45505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26" Type="http://schemas.openxmlformats.org/officeDocument/2006/relationships/chart" Target="../charts/chart30.xml"/><Relationship Id="rId3" Type="http://schemas.openxmlformats.org/officeDocument/2006/relationships/chart" Target="../charts/chart7.xml"/><Relationship Id="rId21" Type="http://schemas.openxmlformats.org/officeDocument/2006/relationships/chart" Target="../charts/chart25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5" Type="http://schemas.openxmlformats.org/officeDocument/2006/relationships/chart" Target="../charts/chart29.xml"/><Relationship Id="rId33" Type="http://schemas.openxmlformats.org/officeDocument/2006/relationships/chart" Target="../charts/chart37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20" Type="http://schemas.openxmlformats.org/officeDocument/2006/relationships/chart" Target="../charts/chart24.xml"/><Relationship Id="rId29" Type="http://schemas.openxmlformats.org/officeDocument/2006/relationships/chart" Target="../charts/chart33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24" Type="http://schemas.openxmlformats.org/officeDocument/2006/relationships/chart" Target="../charts/chart28.xml"/><Relationship Id="rId32" Type="http://schemas.openxmlformats.org/officeDocument/2006/relationships/chart" Target="../charts/chart36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23" Type="http://schemas.openxmlformats.org/officeDocument/2006/relationships/chart" Target="../charts/chart27.xml"/><Relationship Id="rId28" Type="http://schemas.openxmlformats.org/officeDocument/2006/relationships/chart" Target="../charts/chart32.xml"/><Relationship Id="rId10" Type="http://schemas.openxmlformats.org/officeDocument/2006/relationships/chart" Target="../charts/chart14.xml"/><Relationship Id="rId19" Type="http://schemas.openxmlformats.org/officeDocument/2006/relationships/chart" Target="../charts/chart23.xml"/><Relationship Id="rId31" Type="http://schemas.openxmlformats.org/officeDocument/2006/relationships/chart" Target="../charts/chart35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Relationship Id="rId22" Type="http://schemas.openxmlformats.org/officeDocument/2006/relationships/chart" Target="../charts/chart26.xml"/><Relationship Id="rId27" Type="http://schemas.openxmlformats.org/officeDocument/2006/relationships/chart" Target="../charts/chart31.xml"/><Relationship Id="rId30" Type="http://schemas.openxmlformats.org/officeDocument/2006/relationships/chart" Target="../charts/chart34.xml"/><Relationship Id="rId8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79376</xdr:colOff>
      <xdr:row>0</xdr:row>
      <xdr:rowOff>133350</xdr:rowOff>
    </xdr:from>
    <xdr:to>
      <xdr:col>0</xdr:col>
      <xdr:colOff>7546976</xdr:colOff>
      <xdr:row>30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370E0D1-0EA3-40DE-8F0A-6FEFC8D85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0.67815</cdr:x>
      <cdr:y>0.30402</cdr:y>
    </cdr:from>
    <cdr:to>
      <cdr:x>0.95621</cdr:x>
      <cdr:y>0.65665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64124" y="1468166"/>
          <a:ext cx="2076470" cy="1702912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1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爬坡位</a:t>
          </a:r>
        </a:p>
      </cdr:txBody>
    </cdr:sp>
  </cdr:relSizeAnchor>
  <cdr:relSizeAnchor xmlns:cdr="http://schemas.openxmlformats.org/drawingml/2006/chartDrawing">
    <cdr:from>
      <cdr:x>0.03277</cdr:x>
      <cdr:y>0.39249</cdr:y>
    </cdr:from>
    <cdr:to>
      <cdr:x>0.07216</cdr:x>
      <cdr:y>0.55976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244697" y="1894168"/>
          <a:ext cx="294201" cy="807245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中等景气位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0.56914</cdr:y>
    </cdr:from>
    <cdr:to>
      <cdr:x>0.07216</cdr:x>
      <cdr:y>0.73626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244697" y="2746680"/>
          <a:ext cx="294201" cy="80652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中</a:t>
          </a:r>
          <a:r>
            <a:rPr lang="zh-CN" altLang="en-US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低</a:t>
          </a: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景气位</a:t>
          </a:r>
          <a:endParaRPr lang="zh-CN" altLang="zh-CN" sz="800" b="1">
            <a:solidFill>
              <a:schemeClr val="tx1"/>
            </a:solidFill>
            <a:effectLst/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0.74535</cdr:y>
    </cdr:from>
    <cdr:to>
      <cdr:x>0.07216</cdr:x>
      <cdr:y>0.91132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244697" y="3597069"/>
          <a:ext cx="294201" cy="80097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3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低景气位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0.21991</cdr:y>
    </cdr:from>
    <cdr:to>
      <cdr:x>0.07216</cdr:x>
      <cdr:y>0.38137</cdr:y>
    </cdr:to>
    <cdr:sp macro="" textlink="">
      <cdr:nvSpPr>
        <cdr:cNvPr id="6" name="矩形 5"/>
        <cdr:cNvSpPr/>
      </cdr:nvSpPr>
      <cdr:spPr>
        <a:xfrm xmlns:a="http://schemas.openxmlformats.org/drawingml/2006/main">
          <a:off x="244697" y="1061296"/>
          <a:ext cx="294201" cy="77920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0.0386</cdr:y>
    </cdr:from>
    <cdr:to>
      <cdr:x>0.07216</cdr:x>
      <cdr:y>0.20689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244697" y="186294"/>
          <a:ext cx="294201" cy="81216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3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0.40553</cdr:x>
      <cdr:y>0.65527</cdr:y>
    </cdr:from>
    <cdr:to>
      <cdr:x>0.67815</cdr:x>
      <cdr:y>0.92153</cdr:y>
    </cdr:to>
    <cdr:sp macro="" textlink="">
      <cdr:nvSpPr>
        <cdr:cNvPr id="8" name="矩形 7"/>
        <cdr:cNvSpPr/>
      </cdr:nvSpPr>
      <cdr:spPr>
        <a:xfrm xmlns:a="http://schemas.openxmlformats.org/drawingml/2006/main">
          <a:off x="3028336" y="3101999"/>
          <a:ext cx="2035817" cy="126045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筑底位</a:t>
          </a:r>
        </a:p>
      </cdr:txBody>
    </cdr:sp>
  </cdr:relSizeAnchor>
  <cdr:relSizeAnchor xmlns:cdr="http://schemas.openxmlformats.org/drawingml/2006/chartDrawing">
    <cdr:from>
      <cdr:x>0.40464</cdr:x>
      <cdr:y>0.02817</cdr:y>
    </cdr:from>
    <cdr:to>
      <cdr:x>0.67784</cdr:x>
      <cdr:y>0.30132</cdr:y>
    </cdr:to>
    <cdr:sp macro="" textlink="">
      <cdr:nvSpPr>
        <cdr:cNvPr id="9" name="矩形 8"/>
        <cdr:cNvSpPr/>
      </cdr:nvSpPr>
      <cdr:spPr>
        <a:xfrm xmlns:a="http://schemas.openxmlformats.org/drawingml/2006/main">
          <a:off x="3021690" y="133350"/>
          <a:ext cx="2040148" cy="129307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筑顶位</a:t>
          </a:r>
        </a:p>
      </cdr:txBody>
    </cdr:sp>
  </cdr:relSizeAnchor>
  <cdr:relSizeAnchor xmlns:cdr="http://schemas.openxmlformats.org/drawingml/2006/chartDrawing">
    <cdr:from>
      <cdr:x>0.13016</cdr:x>
      <cdr:y>0.29988</cdr:y>
    </cdr:from>
    <cdr:to>
      <cdr:x>0.40519</cdr:x>
      <cdr:y>0.65526</cdr:y>
    </cdr:to>
    <cdr:sp macro="" textlink="">
      <cdr:nvSpPr>
        <cdr:cNvPr id="10" name="矩形 9"/>
        <cdr:cNvSpPr/>
      </cdr:nvSpPr>
      <cdr:spPr>
        <a:xfrm xmlns:a="http://schemas.openxmlformats.org/drawingml/2006/main">
          <a:off x="971982" y="1419609"/>
          <a:ext cx="2053791" cy="1682343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1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 dirty="0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下坡位</a:t>
          </a:r>
        </a:p>
      </cdr:txBody>
    </cdr:sp>
  </cdr:relSizeAnchor>
  <cdr:relSizeAnchor xmlns:cdr="http://schemas.openxmlformats.org/drawingml/2006/chartDrawing">
    <cdr:from>
      <cdr:x>0.26789</cdr:x>
      <cdr:y>0.18026</cdr:y>
    </cdr:from>
    <cdr:to>
      <cdr:x>0.40221</cdr:x>
      <cdr:y>0.29988</cdr:y>
    </cdr:to>
    <cdr:cxnSp macro="">
      <cdr:nvCxnSpPr>
        <cdr:cNvPr id="11" name="直接箭头连接符 10">
          <a:extLst xmlns:a="http://schemas.openxmlformats.org/drawingml/2006/main">
            <a:ext uri="{FF2B5EF4-FFF2-40B4-BE49-F238E27FC236}">
              <a16:creationId xmlns:a16="http://schemas.microsoft.com/office/drawing/2014/main" id="{4EF40215-4438-7390-DE49-4FC42B3F65ED}"/>
            </a:ext>
          </a:extLst>
        </cdr:cNvPr>
        <cdr:cNvCxnSpPr/>
      </cdr:nvCxnSpPr>
      <cdr:spPr>
        <a:xfrm xmlns:a="http://schemas.openxmlformats.org/drawingml/2006/main" flipH="1">
          <a:off x="2000462" y="869950"/>
          <a:ext cx="1003087" cy="57725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0.26767</cdr:x>
      <cdr:y>0.65526</cdr:y>
    </cdr:from>
    <cdr:to>
      <cdr:x>0.40553</cdr:x>
      <cdr:y>0.78211</cdr:y>
    </cdr:to>
    <cdr:cxnSp macro="">
      <cdr:nvCxnSpPr>
        <cdr:cNvPr id="12" name="直接箭头连接符 11">
          <a:extLst xmlns:a="http://schemas.openxmlformats.org/drawingml/2006/main">
            <a:ext uri="{FF2B5EF4-FFF2-40B4-BE49-F238E27FC236}">
              <a16:creationId xmlns:a16="http://schemas.microsoft.com/office/drawing/2014/main" id="{57B74D90-E77B-0158-ED28-D053554E6874}"/>
            </a:ext>
          </a:extLst>
        </cdr:cNvPr>
        <cdr:cNvCxnSpPr>
          <a:stCxn xmlns:a="http://schemas.openxmlformats.org/drawingml/2006/main" id="3" idx="2"/>
          <a:endCxn xmlns:a="http://schemas.openxmlformats.org/drawingml/2006/main" id="9" idx="1"/>
        </cdr:cNvCxnSpPr>
      </cdr:nvCxnSpPr>
      <cdr:spPr>
        <a:xfrm xmlns:a="http://schemas.openxmlformats.org/drawingml/2006/main">
          <a:off x="1998878" y="3101952"/>
          <a:ext cx="1029458" cy="60047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0.67815</cdr:x>
      <cdr:y>0.65665</cdr:y>
    </cdr:from>
    <cdr:to>
      <cdr:x>0.81718</cdr:x>
      <cdr:y>0.78211</cdr:y>
    </cdr:to>
    <cdr:cxnSp macro="">
      <cdr:nvCxnSpPr>
        <cdr:cNvPr id="13" name="直接箭头连接符 12">
          <a:extLst xmlns:a="http://schemas.openxmlformats.org/drawingml/2006/main">
            <a:ext uri="{FF2B5EF4-FFF2-40B4-BE49-F238E27FC236}">
              <a16:creationId xmlns:a16="http://schemas.microsoft.com/office/drawing/2014/main" id="{88580C1D-5801-A54D-5500-5DDC81706DC3}"/>
            </a:ext>
          </a:extLst>
        </cdr:cNvPr>
        <cdr:cNvCxnSpPr>
          <a:stCxn xmlns:a="http://schemas.openxmlformats.org/drawingml/2006/main" id="9" idx="3"/>
          <a:endCxn xmlns:a="http://schemas.openxmlformats.org/drawingml/2006/main" id="2" idx="2"/>
        </cdr:cNvCxnSpPr>
      </cdr:nvCxnSpPr>
      <cdr:spPr>
        <a:xfrm xmlns:a="http://schemas.openxmlformats.org/drawingml/2006/main" flipV="1">
          <a:off x="5064153" y="3171078"/>
          <a:ext cx="1038206" cy="605844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0.67784</cdr:x>
      <cdr:y>0.16475</cdr:y>
    </cdr:from>
    <cdr:to>
      <cdr:x>0.81718</cdr:x>
      <cdr:y>0.30402</cdr:y>
    </cdr:to>
    <cdr:cxnSp macro="">
      <cdr:nvCxnSpPr>
        <cdr:cNvPr id="14" name="直接箭头连接符 13">
          <a:extLst xmlns:a="http://schemas.openxmlformats.org/drawingml/2006/main">
            <a:ext uri="{FF2B5EF4-FFF2-40B4-BE49-F238E27FC236}">
              <a16:creationId xmlns:a16="http://schemas.microsoft.com/office/drawing/2014/main" id="{E8E2523E-A619-E2E5-35D9-FCBF7F733DF0}"/>
            </a:ext>
          </a:extLst>
        </cdr:cNvPr>
        <cdr:cNvCxnSpPr>
          <a:stCxn xmlns:a="http://schemas.openxmlformats.org/drawingml/2006/main" id="2" idx="0"/>
          <a:endCxn xmlns:a="http://schemas.openxmlformats.org/drawingml/2006/main" id="10" idx="3"/>
        </cdr:cNvCxnSpPr>
      </cdr:nvCxnSpPr>
      <cdr:spPr>
        <a:xfrm xmlns:a="http://schemas.openxmlformats.org/drawingml/2006/main" flipH="1" flipV="1">
          <a:off x="5061838" y="795583"/>
          <a:ext cx="1040521" cy="672583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0.26789</cdr:x>
      <cdr:y>0.18026</cdr:y>
    </cdr:from>
    <cdr:to>
      <cdr:x>0.40221</cdr:x>
      <cdr:y>0.29988</cdr:y>
    </cdr:to>
    <cdr:cxnSp macro="">
      <cdr:nvCxnSpPr>
        <cdr:cNvPr id="15" name="直接箭头连接符 14">
          <a:extLst xmlns:a="http://schemas.openxmlformats.org/drawingml/2006/main">
            <a:ext uri="{FF2B5EF4-FFF2-40B4-BE49-F238E27FC236}">
              <a16:creationId xmlns:a16="http://schemas.microsoft.com/office/drawing/2014/main" id="{8734015E-38F7-A58C-CDD7-FC4F4A536AC9}"/>
            </a:ext>
          </a:extLst>
        </cdr:cNvPr>
        <cdr:cNvCxnSpPr/>
      </cdr:nvCxnSpPr>
      <cdr:spPr>
        <a:xfrm xmlns:a="http://schemas.openxmlformats.org/drawingml/2006/main" flipH="1">
          <a:off x="2000462" y="869950"/>
          <a:ext cx="1003087" cy="57725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0.26767</cdr:x>
      <cdr:y>0.65526</cdr:y>
    </cdr:from>
    <cdr:to>
      <cdr:x>0.40553</cdr:x>
      <cdr:y>0.78211</cdr:y>
    </cdr:to>
    <cdr:cxnSp macro="">
      <cdr:nvCxnSpPr>
        <cdr:cNvPr id="16" name="直接箭头连接符 15">
          <a:extLst xmlns:a="http://schemas.openxmlformats.org/drawingml/2006/main">
            <a:ext uri="{FF2B5EF4-FFF2-40B4-BE49-F238E27FC236}">
              <a16:creationId xmlns:a16="http://schemas.microsoft.com/office/drawing/2014/main" id="{62EF5181-F2E5-93D6-8641-A1EBCED81498}"/>
            </a:ext>
          </a:extLst>
        </cdr:cNvPr>
        <cdr:cNvCxnSpPr>
          <a:stCxn xmlns:a="http://schemas.openxmlformats.org/drawingml/2006/main" id="3" idx="2"/>
          <a:endCxn xmlns:a="http://schemas.openxmlformats.org/drawingml/2006/main" id="9" idx="1"/>
        </cdr:cNvCxnSpPr>
      </cdr:nvCxnSpPr>
      <cdr:spPr>
        <a:xfrm xmlns:a="http://schemas.openxmlformats.org/drawingml/2006/main">
          <a:off x="1998878" y="3101952"/>
          <a:ext cx="1029458" cy="60047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0.67815</cdr:x>
      <cdr:y>0.65665</cdr:y>
    </cdr:from>
    <cdr:to>
      <cdr:x>0.81718</cdr:x>
      <cdr:y>0.78211</cdr:y>
    </cdr:to>
    <cdr:cxnSp macro="">
      <cdr:nvCxnSpPr>
        <cdr:cNvPr id="17" name="直接箭头连接符 16">
          <a:extLst xmlns:a="http://schemas.openxmlformats.org/drawingml/2006/main">
            <a:ext uri="{FF2B5EF4-FFF2-40B4-BE49-F238E27FC236}">
              <a16:creationId xmlns:a16="http://schemas.microsoft.com/office/drawing/2014/main" id="{498F4E58-4C3D-D5E0-F057-99CDD905CF71}"/>
            </a:ext>
          </a:extLst>
        </cdr:cNvPr>
        <cdr:cNvCxnSpPr>
          <a:stCxn xmlns:a="http://schemas.openxmlformats.org/drawingml/2006/main" id="9" idx="3"/>
          <a:endCxn xmlns:a="http://schemas.openxmlformats.org/drawingml/2006/main" id="2" idx="2"/>
        </cdr:cNvCxnSpPr>
      </cdr:nvCxnSpPr>
      <cdr:spPr>
        <a:xfrm xmlns:a="http://schemas.openxmlformats.org/drawingml/2006/main" flipV="1">
          <a:off x="5064153" y="3171078"/>
          <a:ext cx="1038206" cy="605844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0.67784</cdr:x>
      <cdr:y>0.16475</cdr:y>
    </cdr:from>
    <cdr:to>
      <cdr:x>0.81718</cdr:x>
      <cdr:y>0.30402</cdr:y>
    </cdr:to>
    <cdr:cxnSp macro="">
      <cdr:nvCxnSpPr>
        <cdr:cNvPr id="18" name="直接箭头连接符 17">
          <a:extLst xmlns:a="http://schemas.openxmlformats.org/drawingml/2006/main">
            <a:ext uri="{FF2B5EF4-FFF2-40B4-BE49-F238E27FC236}">
              <a16:creationId xmlns:a16="http://schemas.microsoft.com/office/drawing/2014/main" id="{FC21E32A-E3B4-1C59-B144-20F5E0FB8A6E}"/>
            </a:ext>
          </a:extLst>
        </cdr:cNvPr>
        <cdr:cNvCxnSpPr>
          <a:stCxn xmlns:a="http://schemas.openxmlformats.org/drawingml/2006/main" id="2" idx="0"/>
          <a:endCxn xmlns:a="http://schemas.openxmlformats.org/drawingml/2006/main" id="10" idx="3"/>
        </cdr:cNvCxnSpPr>
      </cdr:nvCxnSpPr>
      <cdr:spPr>
        <a:xfrm xmlns:a="http://schemas.openxmlformats.org/drawingml/2006/main" flipH="1" flipV="1">
          <a:off x="5061838" y="795583"/>
          <a:ext cx="1040521" cy="672583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0.26789</cdr:x>
      <cdr:y>0.18026</cdr:y>
    </cdr:from>
    <cdr:to>
      <cdr:x>0.40221</cdr:x>
      <cdr:y>0.29988</cdr:y>
    </cdr:to>
    <cdr:cxnSp macro="">
      <cdr:nvCxnSpPr>
        <cdr:cNvPr id="19" name="直接箭头连接符 18">
          <a:extLst xmlns:a="http://schemas.openxmlformats.org/drawingml/2006/main">
            <a:ext uri="{FF2B5EF4-FFF2-40B4-BE49-F238E27FC236}">
              <a16:creationId xmlns:a16="http://schemas.microsoft.com/office/drawing/2014/main" id="{11DE01B5-AACD-3934-696C-5247F6744FC9}"/>
            </a:ext>
          </a:extLst>
        </cdr:cNvPr>
        <cdr:cNvCxnSpPr/>
      </cdr:nvCxnSpPr>
      <cdr:spPr>
        <a:xfrm xmlns:a="http://schemas.openxmlformats.org/drawingml/2006/main" flipH="1">
          <a:off x="2000462" y="869950"/>
          <a:ext cx="1003087" cy="57725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0.26767</cdr:x>
      <cdr:y>0.65526</cdr:y>
    </cdr:from>
    <cdr:to>
      <cdr:x>0.40553</cdr:x>
      <cdr:y>0.78211</cdr:y>
    </cdr:to>
    <cdr:cxnSp macro="">
      <cdr:nvCxnSpPr>
        <cdr:cNvPr id="20" name="直接箭头连接符 19">
          <a:extLst xmlns:a="http://schemas.openxmlformats.org/drawingml/2006/main">
            <a:ext uri="{FF2B5EF4-FFF2-40B4-BE49-F238E27FC236}">
              <a16:creationId xmlns:a16="http://schemas.microsoft.com/office/drawing/2014/main" id="{203111B0-DA9B-8B7D-CE08-5D0E9E596F21}"/>
            </a:ext>
          </a:extLst>
        </cdr:cNvPr>
        <cdr:cNvCxnSpPr>
          <a:stCxn xmlns:a="http://schemas.openxmlformats.org/drawingml/2006/main" id="3" idx="2"/>
          <a:endCxn xmlns:a="http://schemas.openxmlformats.org/drawingml/2006/main" id="9" idx="1"/>
        </cdr:cNvCxnSpPr>
      </cdr:nvCxnSpPr>
      <cdr:spPr>
        <a:xfrm xmlns:a="http://schemas.openxmlformats.org/drawingml/2006/main">
          <a:off x="1998878" y="3101952"/>
          <a:ext cx="1029458" cy="60047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0.67815</cdr:x>
      <cdr:y>0.65665</cdr:y>
    </cdr:from>
    <cdr:to>
      <cdr:x>0.81718</cdr:x>
      <cdr:y>0.78211</cdr:y>
    </cdr:to>
    <cdr:cxnSp macro="">
      <cdr:nvCxnSpPr>
        <cdr:cNvPr id="21" name="直接箭头连接符 20">
          <a:extLst xmlns:a="http://schemas.openxmlformats.org/drawingml/2006/main">
            <a:ext uri="{FF2B5EF4-FFF2-40B4-BE49-F238E27FC236}">
              <a16:creationId xmlns:a16="http://schemas.microsoft.com/office/drawing/2014/main" id="{89F2964A-332B-4B80-6C76-96CF4C9A8F54}"/>
            </a:ext>
          </a:extLst>
        </cdr:cNvPr>
        <cdr:cNvCxnSpPr>
          <a:stCxn xmlns:a="http://schemas.openxmlformats.org/drawingml/2006/main" id="9" idx="3"/>
          <a:endCxn xmlns:a="http://schemas.openxmlformats.org/drawingml/2006/main" id="2" idx="2"/>
        </cdr:cNvCxnSpPr>
      </cdr:nvCxnSpPr>
      <cdr:spPr>
        <a:xfrm xmlns:a="http://schemas.openxmlformats.org/drawingml/2006/main" flipV="1">
          <a:off x="5064153" y="3171078"/>
          <a:ext cx="1038206" cy="605844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0.67784</cdr:x>
      <cdr:y>0.16475</cdr:y>
    </cdr:from>
    <cdr:to>
      <cdr:x>0.81718</cdr:x>
      <cdr:y>0.30402</cdr:y>
    </cdr:to>
    <cdr:cxnSp macro="">
      <cdr:nvCxnSpPr>
        <cdr:cNvPr id="22" name="直接箭头连接符 21">
          <a:extLst xmlns:a="http://schemas.openxmlformats.org/drawingml/2006/main">
            <a:ext uri="{FF2B5EF4-FFF2-40B4-BE49-F238E27FC236}">
              <a16:creationId xmlns:a16="http://schemas.microsoft.com/office/drawing/2014/main" id="{2507340D-B549-47B3-AB07-7A8E6139B2D5}"/>
            </a:ext>
          </a:extLst>
        </cdr:cNvPr>
        <cdr:cNvCxnSpPr>
          <a:stCxn xmlns:a="http://schemas.openxmlformats.org/drawingml/2006/main" id="2" idx="0"/>
          <a:endCxn xmlns:a="http://schemas.openxmlformats.org/drawingml/2006/main" id="10" idx="3"/>
        </cdr:cNvCxnSpPr>
      </cdr:nvCxnSpPr>
      <cdr:spPr>
        <a:xfrm xmlns:a="http://schemas.openxmlformats.org/drawingml/2006/main" flipH="1" flipV="1">
          <a:off x="5061838" y="795583"/>
          <a:ext cx="1040521" cy="672583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95250</xdr:rowOff>
    </xdr:from>
    <xdr:to>
      <xdr:col>0</xdr:col>
      <xdr:colOff>7429500</xdr:colOff>
      <xdr:row>23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DF647D-3689-46E9-BFED-1D99EC8F4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25</xdr:row>
      <xdr:rowOff>28575</xdr:rowOff>
    </xdr:from>
    <xdr:to>
      <xdr:col>0</xdr:col>
      <xdr:colOff>7448550</xdr:colOff>
      <xdr:row>47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97DFAF2-4149-41C2-A52D-B57A91986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49</xdr:row>
      <xdr:rowOff>85725</xdr:rowOff>
    </xdr:from>
    <xdr:to>
      <xdr:col>0</xdr:col>
      <xdr:colOff>7458075</xdr:colOff>
      <xdr:row>72</xdr:row>
      <xdr:rowOff>53975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E05FFC3-98F0-4FAB-8C55-ECBB2C579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0.09761</cdr:x>
      <cdr:y>0.10613</cdr:y>
    </cdr:from>
    <cdr:to>
      <cdr:x>0.11969</cdr:x>
      <cdr:y>0.16409</cdr:y>
    </cdr:to>
    <cdr:sp macro="" textlink="">
      <cdr:nvSpPr>
        <cdr:cNvPr id="2" name="右箭头 1"/>
        <cdr:cNvSpPr/>
      </cdr:nvSpPr>
      <cdr:spPr>
        <a:xfrm xmlns:a="http://schemas.openxmlformats.org/drawingml/2006/main" rot="16200000">
          <a:off x="687411" y="405589"/>
          <a:ext cx="208498" cy="160888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0.1058</cdr:x>
      <cdr:y>0.08296</cdr:y>
    </cdr:from>
    <cdr:to>
      <cdr:x>0.31836</cdr:x>
      <cdr:y>0.18982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765920" y="300256"/>
          <a:ext cx="1538722" cy="386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高配区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股价向前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基本面上行</a:t>
          </a:r>
        </a:p>
      </cdr:txBody>
    </cdr:sp>
  </cdr:relSizeAnchor>
  <cdr:relSizeAnchor xmlns:cdr="http://schemas.openxmlformats.org/drawingml/2006/chartDrawing">
    <cdr:from>
      <cdr:x>0.77126</cdr:x>
      <cdr:y>0.73984</cdr:y>
    </cdr:from>
    <cdr:to>
      <cdr:x>0.98381</cdr:x>
      <cdr:y>0.8467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5619857" y="2661417"/>
          <a:ext cx="1548772" cy="38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低配区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股价尚未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当前基本面，</a:t>
          </a:r>
          <a:endParaRPr lang="en-US" altLang="zh-CN" sz="700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或预期未来基本面下行</a:t>
          </a:r>
        </a:p>
      </cdr:txBody>
    </cdr:sp>
  </cdr:relSizeAnchor>
  <cdr:relSizeAnchor xmlns:cdr="http://schemas.openxmlformats.org/drawingml/2006/chartDrawing">
    <cdr:from>
      <cdr:x>0.69833</cdr:x>
      <cdr:y>0.36723</cdr:y>
    </cdr:from>
    <cdr:to>
      <cdr:x>0.8889</cdr:x>
      <cdr:y>0.47409</cdr:y>
    </cdr:to>
    <cdr:sp macro="" textlink="">
      <cdr:nvSpPr>
        <cdr:cNvPr id="5" name="矩形 4"/>
        <cdr:cNvSpPr/>
      </cdr:nvSpPr>
      <cdr:spPr>
        <a:xfrm xmlns:a="http://schemas.openxmlformats.org/drawingml/2006/main" rot="21060000">
          <a:off x="5055211" y="1329189"/>
          <a:ext cx="1379536" cy="3867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匹配区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股价与当前基本面同步</a:t>
          </a:r>
        </a:p>
      </cdr:txBody>
    </cdr:sp>
  </cdr:relSizeAnchor>
  <cdr:relSizeAnchor xmlns:cdr="http://schemas.openxmlformats.org/drawingml/2006/chartDrawing">
    <cdr:from>
      <cdr:x>0.95509</cdr:x>
      <cdr:y>0.75661</cdr:y>
    </cdr:from>
    <cdr:to>
      <cdr:x>0.97717</cdr:x>
      <cdr:y>0.81458</cdr:y>
    </cdr:to>
    <cdr:sp macro="" textlink="">
      <cdr:nvSpPr>
        <cdr:cNvPr id="6" name="右箭头 5"/>
        <cdr:cNvSpPr/>
      </cdr:nvSpPr>
      <cdr:spPr>
        <a:xfrm xmlns:a="http://schemas.openxmlformats.org/drawingml/2006/main" rot="5400000">
          <a:off x="6888924" y="2763531"/>
          <a:ext cx="209822" cy="159837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0.07843</cdr:x>
      <cdr:y>0.06954</cdr:y>
    </cdr:from>
    <cdr:to>
      <cdr:x>0.10051</cdr:x>
      <cdr:y>0.1275</cdr:y>
    </cdr:to>
    <cdr:sp macro="" textlink="">
      <cdr:nvSpPr>
        <cdr:cNvPr id="2" name="右箭头 1"/>
        <cdr:cNvSpPr/>
      </cdr:nvSpPr>
      <cdr:spPr>
        <a:xfrm xmlns:a="http://schemas.openxmlformats.org/drawingml/2006/main" rot="16200000">
          <a:off x="544925" y="283327"/>
          <a:ext cx="214019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0.10227</cdr:x>
      <cdr:y>0.05064</cdr:y>
    </cdr:from>
    <cdr:to>
      <cdr:x>0.28933</cdr:x>
      <cdr:y>0.1575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745194" y="186991"/>
          <a:ext cx="1363036" cy="39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高配区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股价向前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基本面上行</a:t>
          </a:r>
        </a:p>
      </cdr:txBody>
    </cdr:sp>
  </cdr:relSizeAnchor>
  <cdr:relSizeAnchor xmlns:cdr="http://schemas.openxmlformats.org/drawingml/2006/chartDrawing">
    <cdr:from>
      <cdr:x>0.74004</cdr:x>
      <cdr:y>0.7677</cdr:y>
    </cdr:from>
    <cdr:to>
      <cdr:x>0.95259</cdr:x>
      <cdr:y>0.87456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5392364" y="2834738"/>
          <a:ext cx="1548773" cy="39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低配区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股价尚未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当前基本面，</a:t>
          </a:r>
          <a:endParaRPr lang="en-US" altLang="zh-CN" sz="700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或预期未来基本面下行</a:t>
          </a:r>
        </a:p>
      </cdr:txBody>
    </cdr:sp>
  </cdr:relSizeAnchor>
  <cdr:relSizeAnchor xmlns:cdr="http://schemas.openxmlformats.org/drawingml/2006/chartDrawing">
    <cdr:from>
      <cdr:x>0.68661</cdr:x>
      <cdr:y>0.33245</cdr:y>
    </cdr:from>
    <cdr:to>
      <cdr:x>0.89916</cdr:x>
      <cdr:y>0.43931</cdr:y>
    </cdr:to>
    <cdr:sp macro="" textlink="">
      <cdr:nvSpPr>
        <cdr:cNvPr id="5" name="矩形 4"/>
        <cdr:cNvSpPr/>
      </cdr:nvSpPr>
      <cdr:spPr>
        <a:xfrm xmlns:a="http://schemas.openxmlformats.org/drawingml/2006/main" rot="21300000">
          <a:off x="5003080" y="1227573"/>
          <a:ext cx="1548772" cy="39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匹配区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7" charset="0"/>
            <a:ea typeface="楷体" panose="02010609060101010101" pitchFamily="49" charset="-122"/>
            <a:cs typeface="Arial" panose="020B0604020202020204" pitchFamily="7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rPr>
            <a:t>股价与当前基本面同步</a:t>
          </a:r>
        </a:p>
      </cdr:txBody>
    </cdr:sp>
  </cdr:relSizeAnchor>
  <cdr:relSizeAnchor xmlns:cdr="http://schemas.openxmlformats.org/drawingml/2006/chartDrawing">
    <cdr:from>
      <cdr:x>0.94524</cdr:x>
      <cdr:y>0.79207</cdr:y>
    </cdr:from>
    <cdr:to>
      <cdr:x>0.96732</cdr:x>
      <cdr:y>0.85004</cdr:y>
    </cdr:to>
    <cdr:sp macro="" textlink="">
      <cdr:nvSpPr>
        <cdr:cNvPr id="6" name="右箭头 5"/>
        <cdr:cNvSpPr/>
      </cdr:nvSpPr>
      <cdr:spPr>
        <a:xfrm xmlns:a="http://schemas.openxmlformats.org/drawingml/2006/main" rot="5400000">
          <a:off x="6861049" y="2951313"/>
          <a:ext cx="214055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0</xdr:row>
      <xdr:rowOff>93133</xdr:rowOff>
    </xdr:from>
    <xdr:to>
      <xdr:col>11</xdr:col>
      <xdr:colOff>76199</xdr:colOff>
      <xdr:row>10</xdr:row>
      <xdr:rowOff>237067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975414-B8DB-4893-A8E4-EAA80103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81492</xdr:colOff>
      <xdr:row>11</xdr:row>
      <xdr:rowOff>156633</xdr:rowOff>
    </xdr:from>
    <xdr:to>
      <xdr:col>11</xdr:col>
      <xdr:colOff>79092</xdr:colOff>
      <xdr:row>22</xdr:row>
      <xdr:rowOff>62633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96FDE3-D83D-4E58-B92B-EC97F079C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375537</xdr:colOff>
      <xdr:row>0</xdr:row>
      <xdr:rowOff>74562</xdr:rowOff>
    </xdr:from>
    <xdr:to>
      <xdr:col>23</xdr:col>
      <xdr:colOff>373137</xdr:colOff>
      <xdr:row>10</xdr:row>
      <xdr:rowOff>234562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7693EE1-435F-40BC-BA70-1C03ECE2E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350956</xdr:colOff>
      <xdr:row>11</xdr:row>
      <xdr:rowOff>165100</xdr:rowOff>
    </xdr:from>
    <xdr:to>
      <xdr:col>23</xdr:col>
      <xdr:colOff>348556</xdr:colOff>
      <xdr:row>22</xdr:row>
      <xdr:rowOff>71100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3878910-B179-4F30-879F-15D734DC9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530532</xdr:colOff>
      <xdr:row>0</xdr:row>
      <xdr:rowOff>69919</xdr:rowOff>
    </xdr:from>
    <xdr:to>
      <xdr:col>29</xdr:col>
      <xdr:colOff>528132</xdr:colOff>
      <xdr:row>10</xdr:row>
      <xdr:rowOff>229919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E726AA-A09C-4D1B-BB5D-D08316B36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517832</xdr:colOff>
      <xdr:row>11</xdr:row>
      <xdr:rowOff>147758</xdr:rowOff>
    </xdr:from>
    <xdr:to>
      <xdr:col>29</xdr:col>
      <xdr:colOff>515432</xdr:colOff>
      <xdr:row>22</xdr:row>
      <xdr:rowOff>53758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76E6541-A6F6-4149-B9CB-8BE219ED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45065</xdr:colOff>
      <xdr:row>0</xdr:row>
      <xdr:rowOff>33867</xdr:rowOff>
    </xdr:from>
    <xdr:to>
      <xdr:col>36</xdr:col>
      <xdr:colOff>42665</xdr:colOff>
      <xdr:row>10</xdr:row>
      <xdr:rowOff>193867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1CA14D8-CAD0-4172-93EF-7126CFEC8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246624</xdr:colOff>
      <xdr:row>11</xdr:row>
      <xdr:rowOff>110067</xdr:rowOff>
    </xdr:from>
    <xdr:to>
      <xdr:col>42</xdr:col>
      <xdr:colOff>244224</xdr:colOff>
      <xdr:row>22</xdr:row>
      <xdr:rowOff>16067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6190796-0562-4041-A454-087E0C6FF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385917</xdr:colOff>
      <xdr:row>0</xdr:row>
      <xdr:rowOff>46158</xdr:rowOff>
    </xdr:from>
    <xdr:to>
      <xdr:col>48</xdr:col>
      <xdr:colOff>383517</xdr:colOff>
      <xdr:row>10</xdr:row>
      <xdr:rowOff>206158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6EBBEC3-3113-45AF-98DE-E6BB68B9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381000</xdr:colOff>
      <xdr:row>11</xdr:row>
      <xdr:rowOff>114301</xdr:rowOff>
    </xdr:from>
    <xdr:to>
      <xdr:col>48</xdr:col>
      <xdr:colOff>381058</xdr:colOff>
      <xdr:row>22</xdr:row>
      <xdr:rowOff>12701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1E94ABA5-348C-4970-AB3A-AD1A6AE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570270</xdr:colOff>
      <xdr:row>11</xdr:row>
      <xdr:rowOff>121539</xdr:rowOff>
    </xdr:from>
    <xdr:to>
      <xdr:col>54</xdr:col>
      <xdr:colOff>567870</xdr:colOff>
      <xdr:row>22</xdr:row>
      <xdr:rowOff>27539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76304BB9-D482-4E1C-B944-8F2E17CBC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36871</xdr:colOff>
      <xdr:row>0</xdr:row>
      <xdr:rowOff>59268</xdr:rowOff>
    </xdr:from>
    <xdr:to>
      <xdr:col>61</xdr:col>
      <xdr:colOff>34471</xdr:colOff>
      <xdr:row>10</xdr:row>
      <xdr:rowOff>219268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E5B37135-3662-42CB-9F18-482C06099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55</xdr:col>
      <xdr:colOff>45065</xdr:colOff>
      <xdr:row>11</xdr:row>
      <xdr:rowOff>121538</xdr:rowOff>
    </xdr:from>
    <xdr:to>
      <xdr:col>61</xdr:col>
      <xdr:colOff>42665</xdr:colOff>
      <xdr:row>22</xdr:row>
      <xdr:rowOff>27538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846C0DA4-CEF8-4412-AF3A-FE1A4C2C1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161412</xdr:colOff>
      <xdr:row>0</xdr:row>
      <xdr:rowOff>74016</xdr:rowOff>
    </xdr:from>
    <xdr:to>
      <xdr:col>67</xdr:col>
      <xdr:colOff>159012</xdr:colOff>
      <xdr:row>10</xdr:row>
      <xdr:rowOff>234016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F9D1DCD-64A8-47E9-B705-69AA4E3A8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61</xdr:col>
      <xdr:colOff>163870</xdr:colOff>
      <xdr:row>11</xdr:row>
      <xdr:rowOff>147758</xdr:rowOff>
    </xdr:from>
    <xdr:to>
      <xdr:col>67</xdr:col>
      <xdr:colOff>161470</xdr:colOff>
      <xdr:row>22</xdr:row>
      <xdr:rowOff>53758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9C5F0925-8693-42B1-B9BF-F7B9BB663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67</xdr:col>
      <xdr:colOff>304800</xdr:colOff>
      <xdr:row>0</xdr:row>
      <xdr:rowOff>99416</xdr:rowOff>
    </xdr:from>
    <xdr:to>
      <xdr:col>73</xdr:col>
      <xdr:colOff>302400</xdr:colOff>
      <xdr:row>11</xdr:row>
      <xdr:rowOff>5416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1405A1D4-C2BB-4D5A-BAC2-E976EB0C8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428522</xdr:colOff>
      <xdr:row>0</xdr:row>
      <xdr:rowOff>84668</xdr:rowOff>
    </xdr:from>
    <xdr:to>
      <xdr:col>79</xdr:col>
      <xdr:colOff>426122</xdr:colOff>
      <xdr:row>10</xdr:row>
      <xdr:rowOff>244668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5346FE5-BF33-4513-9A22-CCACD4E55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73</xdr:col>
      <xdr:colOff>428523</xdr:colOff>
      <xdr:row>11</xdr:row>
      <xdr:rowOff>160867</xdr:rowOff>
    </xdr:from>
    <xdr:to>
      <xdr:col>79</xdr:col>
      <xdr:colOff>426123</xdr:colOff>
      <xdr:row>22</xdr:row>
      <xdr:rowOff>38100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F5BBCCD2-56C7-4797-BAEB-933C23A2C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79</xdr:col>
      <xdr:colOff>562896</xdr:colOff>
      <xdr:row>0</xdr:row>
      <xdr:rowOff>110067</xdr:rowOff>
    </xdr:from>
    <xdr:to>
      <xdr:col>85</xdr:col>
      <xdr:colOff>560496</xdr:colOff>
      <xdr:row>11</xdr:row>
      <xdr:rowOff>16067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CC9790E5-5106-45A8-8EB0-23FF38A8C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79</xdr:col>
      <xdr:colOff>585839</xdr:colOff>
      <xdr:row>11</xdr:row>
      <xdr:rowOff>186267</xdr:rowOff>
    </xdr:from>
    <xdr:to>
      <xdr:col>85</xdr:col>
      <xdr:colOff>583439</xdr:colOff>
      <xdr:row>22</xdr:row>
      <xdr:rowOff>38100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F60E8683-3B87-488C-9E8D-D4AD20378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86</xdr:col>
      <xdr:colOff>39329</xdr:colOff>
      <xdr:row>0</xdr:row>
      <xdr:rowOff>135467</xdr:rowOff>
    </xdr:from>
    <xdr:to>
      <xdr:col>92</xdr:col>
      <xdr:colOff>36929</xdr:colOff>
      <xdr:row>11</xdr:row>
      <xdr:rowOff>41467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A4CA1016-7B70-4861-B8EC-BFB4BAE6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86</xdr:col>
      <xdr:colOff>65275</xdr:colOff>
      <xdr:row>11</xdr:row>
      <xdr:rowOff>173978</xdr:rowOff>
    </xdr:from>
    <xdr:to>
      <xdr:col>92</xdr:col>
      <xdr:colOff>62875</xdr:colOff>
      <xdr:row>22</xdr:row>
      <xdr:rowOff>79978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6365FD86-E806-4378-86FA-2BD9BAB53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205315</xdr:colOff>
      <xdr:row>0</xdr:row>
      <xdr:rowOff>84667</xdr:rowOff>
    </xdr:from>
    <xdr:to>
      <xdr:col>17</xdr:col>
      <xdr:colOff>202915</xdr:colOff>
      <xdr:row>10</xdr:row>
      <xdr:rowOff>244667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E1A9C6CF-5BDD-4F23-B63A-4E80229AE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203200</xdr:colOff>
      <xdr:row>11</xdr:row>
      <xdr:rowOff>148167</xdr:rowOff>
    </xdr:from>
    <xdr:to>
      <xdr:col>17</xdr:col>
      <xdr:colOff>200800</xdr:colOff>
      <xdr:row>22</xdr:row>
      <xdr:rowOff>54167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7D89F4D3-196B-429C-A761-7A0851659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36</xdr:col>
      <xdr:colOff>254000</xdr:colOff>
      <xdr:row>0</xdr:row>
      <xdr:rowOff>33868</xdr:rowOff>
    </xdr:from>
    <xdr:to>
      <xdr:col>42</xdr:col>
      <xdr:colOff>251600</xdr:colOff>
      <xdr:row>10</xdr:row>
      <xdr:rowOff>193868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EEF55F7D-B5A1-43A4-97C3-3C9E7793B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30</xdr:col>
      <xdr:colOff>50800</xdr:colOff>
      <xdr:row>11</xdr:row>
      <xdr:rowOff>135467</xdr:rowOff>
    </xdr:from>
    <xdr:to>
      <xdr:col>36</xdr:col>
      <xdr:colOff>48400</xdr:colOff>
      <xdr:row>22</xdr:row>
      <xdr:rowOff>41467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E5BC8459-708F-4BB4-9EED-863A9904E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48</xdr:col>
      <xdr:colOff>584200</xdr:colOff>
      <xdr:row>0</xdr:row>
      <xdr:rowOff>33867</xdr:rowOff>
    </xdr:from>
    <xdr:to>
      <xdr:col>54</xdr:col>
      <xdr:colOff>581800</xdr:colOff>
      <xdr:row>10</xdr:row>
      <xdr:rowOff>193867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B992E63-C6DB-43A7-A002-09E782130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67</xdr:col>
      <xdr:colOff>279400</xdr:colOff>
      <xdr:row>11</xdr:row>
      <xdr:rowOff>135467</xdr:rowOff>
    </xdr:from>
    <xdr:to>
      <xdr:col>73</xdr:col>
      <xdr:colOff>277000</xdr:colOff>
      <xdr:row>22</xdr:row>
      <xdr:rowOff>41467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EA380430-D47B-4A2E-8CF6-3360AC6FF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92</xdr:col>
      <xdr:colOff>228600</xdr:colOff>
      <xdr:row>0</xdr:row>
      <xdr:rowOff>135467</xdr:rowOff>
    </xdr:from>
    <xdr:to>
      <xdr:col>98</xdr:col>
      <xdr:colOff>247651</xdr:colOff>
      <xdr:row>10</xdr:row>
      <xdr:rowOff>237067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A38F865A-12E0-4DEE-A814-89402B0CD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76200</xdr:colOff>
      <xdr:row>0</xdr:row>
      <xdr:rowOff>97366</xdr:rowOff>
    </xdr:from>
    <xdr:to>
      <xdr:col>2</xdr:col>
      <xdr:colOff>626534</xdr:colOff>
      <xdr:row>11</xdr:row>
      <xdr:rowOff>3366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E690E184-D25A-4BF5-AD79-48CBA5C12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59266</xdr:colOff>
      <xdr:row>11</xdr:row>
      <xdr:rowOff>156632</xdr:rowOff>
    </xdr:from>
    <xdr:to>
      <xdr:col>2</xdr:col>
      <xdr:colOff>609600</xdr:colOff>
      <xdr:row>22</xdr:row>
      <xdr:rowOff>62632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C71F1E5-A5C0-4661-A191-7107F46ED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98</xdr:col>
      <xdr:colOff>406400</xdr:colOff>
      <xdr:row>0</xdr:row>
      <xdr:rowOff>127000</xdr:rowOff>
    </xdr:from>
    <xdr:to>
      <xdr:col>104</xdr:col>
      <xdr:colOff>404000</xdr:colOff>
      <xdr:row>11</xdr:row>
      <xdr:rowOff>33000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DCDD84A5-D328-43F3-A18C-326F3690D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92</xdr:col>
      <xdr:colOff>228600</xdr:colOff>
      <xdr:row>11</xdr:row>
      <xdr:rowOff>152400</xdr:rowOff>
    </xdr:from>
    <xdr:to>
      <xdr:col>98</xdr:col>
      <xdr:colOff>226200</xdr:colOff>
      <xdr:row>22</xdr:row>
      <xdr:rowOff>58400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A2353290-4E7E-4A02-BEFD-8748D9A1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FACTSET DEMO">
    <a:dk1>
      <a:srgbClr val="000000"/>
    </a:dk1>
    <a:lt1>
      <a:srgbClr val="FFFFFF"/>
    </a:lt1>
    <a:dk2>
      <a:srgbClr val="4B4B4B"/>
    </a:dk2>
    <a:lt2>
      <a:srgbClr val="E1E1E1"/>
    </a:lt2>
    <a:accent1>
      <a:srgbClr val="00AEEF"/>
    </a:accent1>
    <a:accent2>
      <a:srgbClr val="004988"/>
    </a:accent2>
    <a:accent3>
      <a:srgbClr val="7CBA0C"/>
    </a:accent3>
    <a:accent4>
      <a:srgbClr val="AFAFAF"/>
    </a:accent4>
    <a:accent5>
      <a:srgbClr val="182A54"/>
    </a:accent5>
    <a:accent6>
      <a:srgbClr val="863484"/>
    </a:accent6>
    <a:hlink>
      <a:srgbClr val="00AEEF"/>
    </a:hlink>
    <a:folHlink>
      <a:srgbClr val="00AEEF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599C-2EC7-4EB7-8FAB-15FA841277C5}">
  <sheetPr>
    <tabColor rgb="FFC00000"/>
  </sheetPr>
  <dimension ref="A1:AX101"/>
  <sheetViews>
    <sheetView showGridLines="0" tabSelected="1" zoomScale="75" zoomScaleNormal="75" workbookViewId="0">
      <selection activeCell="P12" sqref="P12"/>
    </sheetView>
  </sheetViews>
  <sheetFormatPr defaultColWidth="8.5" defaultRowHeight="14.25" x14ac:dyDescent="0.2"/>
  <cols>
    <col min="1" max="1" width="12.25" style="2" customWidth="1"/>
    <col min="2" max="14" width="10.5" style="2" customWidth="1"/>
    <col min="15" max="15" width="4.5" style="2" customWidth="1"/>
    <col min="16" max="16" width="6.5" style="2" customWidth="1"/>
    <col min="17" max="17" width="3.375" style="2" customWidth="1"/>
    <col min="18" max="18" width="18.5" style="2" customWidth="1"/>
    <col min="19" max="28" width="8.5" style="2"/>
    <col min="29" max="31" width="8.75" style="2" customWidth="1"/>
    <col min="32" max="32" width="4.5" style="2" customWidth="1"/>
    <col min="33" max="33" width="6.5" style="2" customWidth="1"/>
    <col min="34" max="34" width="2.5" style="2" customWidth="1"/>
    <col min="35" max="35" width="18.5" style="2" customWidth="1"/>
    <col min="36" max="48" width="8.5" style="2"/>
    <col min="49" max="49" width="4.375" style="2" customWidth="1"/>
    <col min="50" max="50" width="5" style="2" customWidth="1"/>
    <col min="51" max="16384" width="8.5" style="2"/>
  </cols>
  <sheetData>
    <row r="1" spans="1:50" ht="21" customHeight="1" x14ac:dyDescent="0.2">
      <c r="A1" s="1" t="s">
        <v>0</v>
      </c>
      <c r="R1" s="1" t="s">
        <v>1</v>
      </c>
      <c r="AI1" s="1" t="s">
        <v>2</v>
      </c>
    </row>
    <row r="2" spans="1:50" ht="21" customHeight="1" x14ac:dyDescent="0.2">
      <c r="A2" s="3" t="s">
        <v>3</v>
      </c>
      <c r="B2" s="4">
        <v>45199</v>
      </c>
      <c r="C2" s="4">
        <v>45230</v>
      </c>
      <c r="D2" s="4">
        <v>45260</v>
      </c>
      <c r="E2" s="4">
        <v>45291</v>
      </c>
      <c r="F2" s="4">
        <v>45322</v>
      </c>
      <c r="G2" s="4">
        <v>45351</v>
      </c>
      <c r="H2" s="4">
        <v>45382</v>
      </c>
      <c r="I2" s="4">
        <v>45412</v>
      </c>
      <c r="J2" s="4">
        <v>45443</v>
      </c>
      <c r="K2" s="4">
        <v>45473</v>
      </c>
      <c r="L2" s="4">
        <v>45504</v>
      </c>
      <c r="M2" s="4">
        <v>45535</v>
      </c>
      <c r="N2" s="4">
        <v>45565</v>
      </c>
      <c r="O2" s="5" t="s">
        <v>4</v>
      </c>
      <c r="P2" s="5"/>
      <c r="R2" s="3" t="s">
        <v>3</v>
      </c>
      <c r="S2" s="4">
        <v>45199</v>
      </c>
      <c r="T2" s="4">
        <v>45230</v>
      </c>
      <c r="U2" s="4">
        <v>45260</v>
      </c>
      <c r="V2" s="4">
        <v>45291</v>
      </c>
      <c r="W2" s="4">
        <v>45322</v>
      </c>
      <c r="X2" s="4">
        <v>45351</v>
      </c>
      <c r="Y2" s="4">
        <v>45382</v>
      </c>
      <c r="Z2" s="4">
        <v>45412</v>
      </c>
      <c r="AA2" s="4">
        <v>45443</v>
      </c>
      <c r="AB2" s="4">
        <v>45473</v>
      </c>
      <c r="AC2" s="4">
        <v>45504</v>
      </c>
      <c r="AD2" s="4">
        <v>45535</v>
      </c>
      <c r="AE2" s="4">
        <v>45565</v>
      </c>
      <c r="AF2" s="5" t="s">
        <v>4</v>
      </c>
      <c r="AG2" s="5"/>
      <c r="AI2" s="3" t="s">
        <v>3</v>
      </c>
      <c r="AJ2" s="4">
        <v>45199</v>
      </c>
      <c r="AK2" s="4">
        <v>45230</v>
      </c>
      <c r="AL2" s="4">
        <v>45260</v>
      </c>
      <c r="AM2" s="4">
        <v>45291</v>
      </c>
      <c r="AN2" s="4">
        <v>45322</v>
      </c>
      <c r="AO2" s="4">
        <v>45351</v>
      </c>
      <c r="AP2" s="4">
        <v>45382</v>
      </c>
      <c r="AQ2" s="4">
        <v>45412</v>
      </c>
      <c r="AR2" s="4">
        <v>45443</v>
      </c>
      <c r="AS2" s="4">
        <v>45473</v>
      </c>
      <c r="AT2" s="4">
        <v>45504</v>
      </c>
      <c r="AU2" s="4">
        <v>45535</v>
      </c>
      <c r="AV2" s="4">
        <v>45565</v>
      </c>
      <c r="AW2" s="5" t="s">
        <v>4</v>
      </c>
      <c r="AX2" s="5"/>
    </row>
    <row r="3" spans="1:50" ht="21" customHeight="1" x14ac:dyDescent="0.2">
      <c r="A3" s="6" t="s">
        <v>5</v>
      </c>
      <c r="B3" s="7">
        <f>INDEX('面板-景气指数'!$37:$244,MATCH('面板-总览'!$A3,'面板-景气指数'!$A$37:$A$244,0),MATCH('面板-总览'!B$2,'面板-景气指数'!$36:$36,0))</f>
        <v>0.81040000000000001</v>
      </c>
      <c r="C3" s="7">
        <f>INDEX('面板-景气指数'!$37:$244,MATCH('面板-总览'!$A3,'面板-景气指数'!$A$37:$A$244,0),MATCH('面板-总览'!C$2,'面板-景气指数'!$36:$36,0))</f>
        <v>0.73639999999999994</v>
      </c>
      <c r="D3" s="7">
        <f>INDEX('面板-景气指数'!$37:$244,MATCH('面板-总览'!$A3,'面板-景气指数'!$A$37:$A$244,0),MATCH('面板-总览'!D$2,'面板-景气指数'!$36:$36,0))</f>
        <v>0.56204999999999994</v>
      </c>
      <c r="E3" s="7">
        <f>INDEX('面板-景气指数'!$37:$244,MATCH('面板-总览'!$A3,'面板-景气指数'!$A$37:$A$244,0),MATCH('面板-总览'!E$2,'面板-景气指数'!$36:$36,0))</f>
        <v>0.43189999999999995</v>
      </c>
      <c r="F3" s="7">
        <f>INDEX('面板-景气指数'!$37:$244,MATCH('面板-总览'!$A3,'面板-景气指数'!$A$37:$A$244,0),MATCH('面板-总览'!F$2,'面板-景气指数'!$36:$36,0))</f>
        <v>0.46545000000000003</v>
      </c>
      <c r="G3" s="7">
        <f>INDEX('面板-景气指数'!$37:$244,MATCH('面板-总览'!$A3,'面板-景气指数'!$A$37:$A$244,0),MATCH('面板-总览'!G$2,'面板-景气指数'!$36:$36,0))</f>
        <v>0.58419999999999994</v>
      </c>
      <c r="H3" s="7">
        <f>INDEX('面板-景气指数'!$37:$244,MATCH('面板-总览'!$A3,'面板-景气指数'!$A$37:$A$244,0),MATCH('面板-总览'!H$2,'面板-景气指数'!$36:$36,0))</f>
        <v>0.62770000000000004</v>
      </c>
      <c r="I3" s="7">
        <f>INDEX('面板-景气指数'!$37:$244,MATCH('面板-总览'!$A3,'面板-景气指数'!$A$37:$A$244,0),MATCH('面板-总览'!I$2,'面板-景气指数'!$36:$36,0))</f>
        <v>0.54020000000000001</v>
      </c>
      <c r="J3" s="7">
        <f>INDEX('面板-景气指数'!$37:$244,MATCH('面板-总览'!$A3,'面板-景气指数'!$A$37:$A$244,0),MATCH('面板-总览'!J$2,'面板-景气指数'!$36:$36,0))</f>
        <v>0.60539999999999994</v>
      </c>
      <c r="K3" s="7">
        <f>INDEX('面板-景气指数'!$37:$244,MATCH('面板-总览'!$A3,'面板-景气指数'!$A$37:$A$244,0),MATCH('面板-总览'!K$2,'面板-景气指数'!$36:$36,0))</f>
        <v>0.61424999999999996</v>
      </c>
      <c r="L3" s="7">
        <f>INDEX('面板-景气指数'!$37:$244,MATCH('面板-总览'!$A3,'面板-景气指数'!$A$37:$A$244,0),MATCH('面板-总览'!L$2,'面板-景气指数'!$36:$36,0))</f>
        <v>0.62769999999999992</v>
      </c>
      <c r="M3" s="7">
        <f>INDEX('面板-景气指数'!$37:$244,MATCH('面板-总览'!$A3,'面板-景气指数'!$A$37:$A$244,0),MATCH('面板-总览'!M$2,'面板-景气指数'!$36:$36,0))</f>
        <v>0.57725000000000004</v>
      </c>
      <c r="N3" s="7">
        <f>INDEX('面板-景气指数'!$37:$244,MATCH('面板-总览'!$A3,'面板-景气指数'!$A$37:$A$244,0),MATCH('面板-总览'!N$2,'面板-景气指数'!$36:$36,0))</f>
        <v>0.57969999999999999</v>
      </c>
      <c r="O3" s="8"/>
      <c r="P3" s="9">
        <f>N3-K3</f>
        <v>-3.454999999999997E-2</v>
      </c>
      <c r="Q3" s="10"/>
      <c r="R3" s="6" t="s">
        <v>6</v>
      </c>
      <c r="S3" s="7">
        <f>INDEX('面板-景气指数'!$37:$244,MATCH('面板-总览'!$R3,'面板-景气指数'!$A$37:$A$244,0),MATCH('面板-总览'!S$2,'面板-景气指数'!$36:$36,0))</f>
        <v>0.76592307692307682</v>
      </c>
      <c r="T3" s="7">
        <f>INDEX('面板-景气指数'!$37:$244,MATCH('面板-总览'!$R3,'面板-景气指数'!$A$37:$A$244,0),MATCH('面板-总览'!T$2,'面板-景气指数'!$36:$36,0))</f>
        <v>0.72046153846153826</v>
      </c>
      <c r="U3" s="7">
        <f>INDEX('面板-景气指数'!$37:$244,MATCH('面板-总览'!$R3,'面板-景气指数'!$A$37:$A$244,0),MATCH('面板-总览'!U$2,'面板-景气指数'!$36:$36,0))</f>
        <v>0.67138461538461514</v>
      </c>
      <c r="V3" s="7">
        <f>INDEX('面板-景气指数'!$37:$244,MATCH('面板-总览'!$R3,'面板-景气指数'!$A$37:$A$244,0),MATCH('面板-总览'!V$2,'面板-景气指数'!$36:$36,0))</f>
        <v>0.63861538461538447</v>
      </c>
      <c r="W3" s="7">
        <f>INDEX('面板-景气指数'!$37:$244,MATCH('面板-总览'!$R3,'面板-景气指数'!$A$37:$A$244,0),MATCH('面板-总览'!W$2,'面板-景气指数'!$36:$36,0))</f>
        <v>0.64338461538461533</v>
      </c>
      <c r="X3" s="7">
        <f>INDEX('面板-景气指数'!$37:$244,MATCH('面板-总览'!$R3,'面板-景气指数'!$A$37:$A$244,0),MATCH('面板-总览'!X$2,'面板-景气指数'!$36:$36,0))</f>
        <v>0.66884615384615365</v>
      </c>
      <c r="Y3" s="7">
        <f>INDEX('面板-景气指数'!$37:$244,MATCH('面板-总览'!$R3,'面板-景气指数'!$A$37:$A$244,0),MATCH('面板-总览'!Y$2,'面板-景气指数'!$36:$36,0))</f>
        <v>0.72015384615384603</v>
      </c>
      <c r="Z3" s="7">
        <f>INDEX('面板-景气指数'!$37:$244,MATCH('面板-总览'!$R3,'面板-景气指数'!$A$37:$A$244,0),MATCH('面板-总览'!Z$2,'面板-景气指数'!$36:$36,0))</f>
        <v>0.71099999999999985</v>
      </c>
      <c r="AA3" s="7">
        <f>INDEX('面板-景气指数'!$37:$244,MATCH('面板-总览'!$R3,'面板-景气指数'!$A$37:$A$244,0),MATCH('面板-总览'!AA$2,'面板-景气指数'!$36:$36,0))</f>
        <v>0.69123076923076909</v>
      </c>
      <c r="AB3" s="7">
        <f>INDEX('面板-景气指数'!$37:$244,MATCH('面板-总览'!$R3,'面板-景气指数'!$A$37:$A$244,0),MATCH('面板-总览'!AB$2,'面板-景气指数'!$36:$36,0))</f>
        <v>0.65799999999999992</v>
      </c>
      <c r="AC3" s="7">
        <f>INDEX('面板-景气指数'!$37:$244,MATCH('面板-总览'!$R3,'面板-景气指数'!$A$37:$A$244,0),MATCH('面板-总览'!AC$2,'面板-景气指数'!$36:$36,0))</f>
        <v>0.64207692307692288</v>
      </c>
      <c r="AD3" s="7">
        <f>INDEX('面板-景气指数'!$37:$244,MATCH('面板-总览'!$R3,'面板-景气指数'!$A$37:$A$244,0),MATCH('面板-总览'!AD$2,'面板-景气指数'!$36:$36,0))</f>
        <v>0.55369230769230759</v>
      </c>
      <c r="AE3" s="7">
        <f>INDEX('面板-景气指数'!$37:$244,MATCH('面板-总览'!$R3,'面板-景气指数'!$A$37:$A$244,0),MATCH('面板-总览'!AE$2,'面板-景气指数'!$36:$36,0))</f>
        <v>0.54723076923076919</v>
      </c>
      <c r="AF3" s="11"/>
      <c r="AG3" s="12">
        <f>AE3-AB3</f>
        <v>-0.11076923076923073</v>
      </c>
      <c r="AI3" s="6" t="s">
        <v>7</v>
      </c>
      <c r="AJ3" s="7">
        <f>INDEX('面板-景气指数'!$37:$244,MATCH('面板-总览'!$AI3,'面板-景气指数'!$A$37:$A$244,0),MATCH('面板-总览'!AJ$2,'面板-景气指数'!$36:$36,0))</f>
        <v>0.54800000000000004</v>
      </c>
      <c r="AK3" s="7">
        <f>INDEX('面板-景气指数'!$37:$244,MATCH('面板-总览'!$AI3,'面板-景气指数'!$A$37:$A$244,0),MATCH('面板-总览'!AK$2,'面板-景气指数'!$36:$36,0))</f>
        <v>0.51900000000000002</v>
      </c>
      <c r="AL3" s="7">
        <f>INDEX('面板-景气指数'!$37:$244,MATCH('面板-总览'!$AI3,'面板-景气指数'!$A$37:$A$244,0),MATCH('面板-总览'!AL$2,'面板-景气指数'!$36:$36,0))</f>
        <v>0.48</v>
      </c>
      <c r="AM3" s="7">
        <f>INDEX('面板-景气指数'!$37:$244,MATCH('面板-总览'!$AI3,'面板-景气指数'!$A$37:$A$244,0),MATCH('面板-总览'!AM$2,'面板-景气指数'!$36:$36,0))</f>
        <v>0.46100000000000002</v>
      </c>
      <c r="AN3" s="7">
        <f>INDEX('面板-景气指数'!$37:$244,MATCH('面板-总览'!$AI3,'面板-景气指数'!$A$37:$A$244,0),MATCH('面板-总览'!AN$2,'面板-景气指数'!$36:$36,0))</f>
        <v>0.432</v>
      </c>
      <c r="AO3" s="7">
        <f>INDEX('面板-景气指数'!$37:$244,MATCH('面板-总览'!$AI3,'面板-景气指数'!$A$37:$A$244,0),MATCH('面板-总览'!AO$2,'面板-景气指数'!$36:$36,0))</f>
        <v>0.42299999999999999</v>
      </c>
      <c r="AP3" s="7">
        <f>INDEX('面板-景气指数'!$37:$244,MATCH('面板-总览'!$AI3,'面板-景气指数'!$A$37:$A$244,0),MATCH('面板-总览'!AP$2,'面板-景气指数'!$36:$36,0))</f>
        <v>0.5</v>
      </c>
      <c r="AQ3" s="7">
        <f>INDEX('面板-景气指数'!$37:$244,MATCH('面板-总览'!$AI3,'面板-景气指数'!$A$37:$A$244,0),MATCH('面板-总览'!AQ$2,'面板-景气指数'!$36:$36,0))</f>
        <v>0.68200000000000005</v>
      </c>
      <c r="AR3" s="7">
        <f>INDEX('面板-景气指数'!$37:$244,MATCH('面板-总览'!$AI3,'面板-景气指数'!$A$37:$A$244,0),MATCH('面板-总览'!AR$2,'面板-景气指数'!$36:$36,0))</f>
        <v>0.75</v>
      </c>
      <c r="AS3" s="7">
        <f>INDEX('面板-景气指数'!$37:$244,MATCH('面板-总览'!$AI3,'面板-景气指数'!$A$37:$A$244,0),MATCH('面板-总览'!AS$2,'面板-景气指数'!$36:$36,0))</f>
        <v>0.76900000000000002</v>
      </c>
      <c r="AT3" s="7">
        <f>INDEX('面板-景气指数'!$37:$244,MATCH('面板-总览'!$AI3,'面板-景气指数'!$A$37:$A$244,0),MATCH('面板-总览'!AT$2,'面板-景气指数'!$36:$36,0))</f>
        <v>0.65300000000000002</v>
      </c>
      <c r="AU3" s="7">
        <f>INDEX('面板-景气指数'!$37:$244,MATCH('面板-总览'!$AI3,'面板-景气指数'!$A$37:$A$244,0),MATCH('面板-总览'!AU$2,'面板-景气指数'!$36:$36,0))</f>
        <v>0.55700000000000005</v>
      </c>
      <c r="AV3" s="7">
        <f>INDEX('面板-景气指数'!$37:$244,MATCH('面板-总览'!$AI3,'面板-景气指数'!$A$37:$A$244,0),MATCH('面板-总览'!AV$2,'面板-景气指数'!$36:$36,0))</f>
        <v>0.53800000000000003</v>
      </c>
      <c r="AW3" s="11"/>
      <c r="AX3" s="12">
        <f>AV3-AS3</f>
        <v>-0.23099999999999998</v>
      </c>
    </row>
    <row r="4" spans="1:50" ht="21" customHeight="1" x14ac:dyDescent="0.2">
      <c r="A4" s="6" t="s">
        <v>8</v>
      </c>
      <c r="B4" s="7">
        <f>INDEX('面板-景气指数'!$37:$244,MATCH('面板-总览'!$A4,'面板-景气指数'!$A$37:$A$244,0),MATCH('面板-总览'!B$2,'面板-景气指数'!$36:$36,0))</f>
        <v>0.64150000000000063</v>
      </c>
      <c r="C4" s="7">
        <f>INDEX('面板-景气指数'!$37:$244,MATCH('面板-总览'!$A4,'面板-景气指数'!$A$37:$A$244,0),MATCH('面板-总览'!C$2,'面板-景气指数'!$36:$36,0))</f>
        <v>0.66950000000000065</v>
      </c>
      <c r="D4" s="7">
        <f>INDEX('面板-景气指数'!$37:$244,MATCH('面板-总览'!$A4,'面板-景气指数'!$A$37:$A$244,0),MATCH('面板-总览'!D$2,'面板-景气指数'!$36:$36,0))</f>
        <v>0.70050000000000068</v>
      </c>
      <c r="E4" s="7">
        <f>INDEX('面板-景气指数'!$37:$244,MATCH('面板-总览'!$A4,'面板-景气指数'!$A$37:$A$244,0),MATCH('面板-总览'!E$2,'面板-景气指数'!$36:$36,0))</f>
        <v>0.72783333333333411</v>
      </c>
      <c r="F4" s="7">
        <f>INDEX('面板-景气指数'!$37:$244,MATCH('面板-总览'!$A4,'面板-景气指数'!$A$37:$A$244,0),MATCH('面板-总览'!F$2,'面板-景气指数'!$36:$36,0))</f>
        <v>0.6716666666666673</v>
      </c>
      <c r="G4" s="7">
        <f>INDEX('面板-景气指数'!$37:$244,MATCH('面板-总览'!$A4,'面板-景气指数'!$A$37:$A$244,0),MATCH('面板-总览'!G$2,'面板-景气指数'!$36:$36,0))</f>
        <v>0.65750000000000064</v>
      </c>
      <c r="H4" s="7">
        <f>INDEX('面板-景气指数'!$37:$244,MATCH('面板-总览'!$A4,'面板-景气指数'!$A$37:$A$244,0),MATCH('面板-总览'!H$2,'面板-景气指数'!$36:$36,0))</f>
        <v>0.64333333333333387</v>
      </c>
      <c r="I4" s="7">
        <f>INDEX('面板-景气指数'!$37:$244,MATCH('面板-总览'!$A4,'面板-景气指数'!$A$37:$A$244,0),MATCH('面板-总览'!I$2,'面板-景气指数'!$36:$36,0))</f>
        <v>0.6221666666666672</v>
      </c>
      <c r="J4" s="7">
        <f>INDEX('面板-景气指数'!$37:$244,MATCH('面板-总览'!$A4,'面板-景气指数'!$A$37:$A$244,0),MATCH('面板-总览'!J$2,'面板-景气指数'!$36:$36,0))</f>
        <v>0.60766666666666724</v>
      </c>
      <c r="K4" s="7">
        <f>INDEX('面板-景气指数'!$37:$244,MATCH('面板-总览'!$A4,'面板-景气指数'!$A$37:$A$244,0),MATCH('面板-总览'!K$2,'面板-景气指数'!$36:$36,0))</f>
        <v>0.61916666666666731</v>
      </c>
      <c r="L4" s="7">
        <f>INDEX('面板-景气指数'!$37:$244,MATCH('面板-总览'!$A4,'面板-景气指数'!$A$37:$A$244,0),MATCH('面板-总览'!L$2,'面板-景气指数'!$36:$36,0))</f>
        <v>0.61600000000000055</v>
      </c>
      <c r="M4" s="7">
        <f>INDEX('面板-景气指数'!$37:$244,MATCH('面板-总览'!$A4,'面板-景气指数'!$A$37:$A$244,0),MATCH('面板-总览'!M$2,'面板-景气指数'!$36:$36,0))</f>
        <v>0.55466666666666709</v>
      </c>
      <c r="N4" s="7">
        <f>INDEX('面板-景气指数'!$37:$244,MATCH('面板-总览'!$A4,'面板-景气指数'!$A$37:$A$244,0),MATCH('面板-总览'!N$2,'面板-景气指数'!$36:$36,0))</f>
        <v>0.52933333333333377</v>
      </c>
      <c r="O4" s="8"/>
      <c r="P4" s="9">
        <f t="shared" ref="P4:P31" si="0">N4-K4</f>
        <v>-8.9833333333333543E-2</v>
      </c>
      <c r="R4" s="6" t="s">
        <v>9</v>
      </c>
      <c r="S4" s="7">
        <f>INDEX('面板-景气指数'!$37:$244,MATCH('面板-总览'!$R4,'面板-景气指数'!$A$37:$A$244,0),MATCH('面板-总览'!S$2,'面板-景气指数'!$36:$36,0))</f>
        <v>0.89300000000000002</v>
      </c>
      <c r="T4" s="7">
        <f>INDEX('面板-景气指数'!$37:$244,MATCH('面板-总览'!$R4,'面板-景气指数'!$A$37:$A$244,0),MATCH('面板-总览'!T$2,'面板-景气指数'!$36:$36,0))</f>
        <v>0.76600000000000001</v>
      </c>
      <c r="U4" s="7">
        <f>INDEX('面板-景气指数'!$37:$244,MATCH('面板-总览'!$R4,'面板-景气指数'!$A$37:$A$244,0),MATCH('面板-总览'!U$2,'面板-景气指数'!$36:$36,0))</f>
        <v>0.35899999999999999</v>
      </c>
      <c r="V4" s="7">
        <f>INDEX('面板-景气指数'!$37:$244,MATCH('面板-总览'!$R4,'面板-景气指数'!$A$37:$A$244,0),MATCH('面板-总览'!V$2,'面板-景气指数'!$36:$36,0))</f>
        <v>4.8000000000000001E-2</v>
      </c>
      <c r="W4" s="7">
        <f>INDEX('面板-景气指数'!$37:$244,MATCH('面板-总览'!$R4,'面板-景气指数'!$A$37:$A$244,0),MATCH('面板-总览'!W$2,'面板-景气指数'!$36:$36,0))</f>
        <v>0.13500000000000001</v>
      </c>
      <c r="X4" s="7">
        <f>INDEX('面板-景气指数'!$37:$244,MATCH('面板-总览'!$R4,'面板-景气指数'!$A$37:$A$244,0),MATCH('面板-总览'!X$2,'面板-景气指数'!$36:$36,0))</f>
        <v>0.42700000000000005</v>
      </c>
      <c r="Y4" s="7">
        <f>INDEX('面板-景气指数'!$37:$244,MATCH('面板-总览'!$R4,'面板-景气指数'!$A$37:$A$244,0),MATCH('面板-总览'!Y$2,'面板-景气指数'!$36:$36,0))</f>
        <v>0.45600000000000002</v>
      </c>
      <c r="Z4" s="7">
        <f>INDEX('面板-景气指数'!$37:$244,MATCH('面板-总览'!$R4,'面板-景气指数'!$A$37:$A$244,0),MATCH('面板-总览'!Z$2,'面板-景气指数'!$36:$36,0))</f>
        <v>0.223</v>
      </c>
      <c r="AA4" s="7">
        <f>INDEX('面板-景气指数'!$37:$244,MATCH('面板-总览'!$R4,'面板-景气指数'!$A$37:$A$244,0),MATCH('面板-总览'!AA$2,'面板-景气指数'!$36:$36,0))</f>
        <v>0.44600000000000001</v>
      </c>
      <c r="AB4" s="7">
        <f>INDEX('面板-景气指数'!$37:$244,MATCH('面板-总览'!$R4,'面板-景气指数'!$A$37:$A$244,0),MATCH('面板-总览'!AB$2,'面板-景气指数'!$36:$36,0))</f>
        <v>0.53300000000000003</v>
      </c>
      <c r="AC4" s="7">
        <f>INDEX('面板-景气指数'!$37:$244,MATCH('面板-总览'!$R4,'面板-景气指数'!$A$37:$A$244,0),MATCH('面板-总览'!AC$2,'面板-景气指数'!$36:$36,0))</f>
        <v>0.60099999999999998</v>
      </c>
      <c r="AD4" s="7">
        <f>INDEX('面板-景气指数'!$37:$244,MATCH('面板-总览'!$R4,'面板-景气指数'!$A$37:$A$244,0),MATCH('面板-总览'!AD$2,'面板-景气指数'!$36:$36,0))</f>
        <v>0.621</v>
      </c>
      <c r="AE4" s="7">
        <f>INDEX('面板-景气指数'!$37:$244,MATCH('面板-总览'!$R4,'面板-景气指数'!$A$37:$A$244,0),MATCH('面板-总览'!AE$2,'面板-景气指数'!$36:$36,0))</f>
        <v>0.64</v>
      </c>
      <c r="AF4" s="11"/>
      <c r="AG4" s="12">
        <f t="shared" ref="AG4:AG50" si="1">AE4-AB4</f>
        <v>0.10699999999999998</v>
      </c>
      <c r="AI4" s="6" t="s">
        <v>10</v>
      </c>
      <c r="AJ4" s="7">
        <f>INDEX('面板-景气指数'!$37:$244,MATCH('面板-总览'!$AI4,'面板-景气指数'!$A$37:$A$244,0),MATCH('面板-总览'!AJ$2,'面板-景气指数'!$36:$36,0))</f>
        <v>0.49</v>
      </c>
      <c r="AK4" s="7">
        <f>INDEX('面板-景气指数'!$37:$244,MATCH('面板-总览'!$AI4,'面板-景气指数'!$A$37:$A$244,0),MATCH('面板-总览'!AK$2,'面板-景气指数'!$36:$36,0))</f>
        <v>0.5</v>
      </c>
      <c r="AL4" s="7">
        <f>INDEX('面板-景气指数'!$37:$244,MATCH('面板-总览'!$AI4,'面板-景气指数'!$A$37:$A$244,0),MATCH('面板-总览'!AL$2,'面板-景气指数'!$36:$36,0))</f>
        <v>0.38400000000000001</v>
      </c>
      <c r="AM4" s="7">
        <f>INDEX('面板-景气指数'!$37:$244,MATCH('面板-总览'!$AI4,'面板-景气指数'!$A$37:$A$244,0),MATCH('面板-总览'!AM$2,'面板-景气指数'!$36:$36,0))</f>
        <v>0.40300000000000002</v>
      </c>
      <c r="AN4" s="7">
        <f>INDEX('面板-景气指数'!$37:$244,MATCH('面板-总览'!$AI4,'面板-景气指数'!$A$37:$A$244,0),MATCH('面板-总览'!AN$2,'面板-景气指数'!$36:$36,0))</f>
        <v>0.39400000000000002</v>
      </c>
      <c r="AO4" s="7">
        <f>INDEX('面板-景气指数'!$37:$244,MATCH('面板-总览'!$AI4,'面板-景气指数'!$A$37:$A$244,0),MATCH('面板-总览'!AO$2,'面板-景气指数'!$36:$36,0))</f>
        <v>0.48000000000000004</v>
      </c>
      <c r="AP4" s="7">
        <f>INDEX('面板-景气指数'!$37:$244,MATCH('面板-总览'!$AI4,'面板-景气指数'!$A$37:$A$244,0),MATCH('面板-总览'!AP$2,'面板-景气指数'!$36:$36,0))</f>
        <v>0.56699999999999995</v>
      </c>
      <c r="AQ4" s="7">
        <f>INDEX('面板-景气指数'!$37:$244,MATCH('面板-总览'!$AI4,'面板-景气指数'!$A$37:$A$244,0),MATCH('面板-总览'!AQ$2,'面板-景气指数'!$36:$36,0))</f>
        <v>0.65300000000000002</v>
      </c>
      <c r="AR4" s="7">
        <f>INDEX('面板-景气指数'!$37:$244,MATCH('面板-总览'!$AI4,'面板-景气指数'!$A$37:$A$244,0),MATCH('面板-总览'!AR$2,'面板-景气指数'!$36:$36,0))</f>
        <v>0.69199999999999995</v>
      </c>
      <c r="AS4" s="7">
        <f>INDEX('面板-景气指数'!$37:$244,MATCH('面板-总览'!$AI4,'面板-景气指数'!$A$37:$A$244,0),MATCH('面板-总览'!AS$2,'面板-景气指数'!$36:$36,0))</f>
        <v>0.68200000000000005</v>
      </c>
      <c r="AT4" s="7">
        <f>INDEX('面板-景气指数'!$37:$244,MATCH('面板-总览'!$AI4,'面板-景气指数'!$A$37:$A$244,0),MATCH('面板-总览'!AT$2,'面板-景气指数'!$36:$36,0))</f>
        <v>0.625</v>
      </c>
      <c r="AU4" s="7">
        <f>INDEX('面板-景气指数'!$37:$244,MATCH('面板-总览'!$AI4,'面板-景气指数'!$A$37:$A$244,0),MATCH('面板-总览'!AU$2,'面板-景气指数'!$36:$36,0))</f>
        <v>0.52800000000000002</v>
      </c>
      <c r="AV4" s="7">
        <f>INDEX('面板-景气指数'!$37:$244,MATCH('面板-总览'!$AI4,'面板-景气指数'!$A$37:$A$244,0),MATCH('面板-总览'!AV$2,'面板-景气指数'!$36:$36,0))</f>
        <v>0.42300000000000004</v>
      </c>
      <c r="AX4" s="12">
        <f t="shared" ref="AX4:AX67" si="2">AV4-AS4</f>
        <v>-0.25900000000000001</v>
      </c>
    </row>
    <row r="5" spans="1:50" ht="21" customHeight="1" x14ac:dyDescent="0.2">
      <c r="A5" s="6" t="s">
        <v>11</v>
      </c>
      <c r="B5" s="7">
        <f>INDEX('面板-景气指数'!$37:$244,MATCH('面板-总览'!$A5,'面板-景气指数'!$A$37:$A$244,0),MATCH('面板-总览'!B$2,'面板-景气指数'!$36:$36,0))</f>
        <v>0.54875983374106896</v>
      </c>
      <c r="C5" s="7">
        <f>INDEX('面板-景气指数'!$37:$244,MATCH('面板-总览'!$A5,'面板-景气指数'!$A$37:$A$244,0),MATCH('面板-总览'!C$2,'面板-景气指数'!$36:$36,0))</f>
        <v>0.54575121382119007</v>
      </c>
      <c r="D5" s="7">
        <f>INDEX('面板-景气指数'!$37:$244,MATCH('面板-总览'!$A5,'面板-景气指数'!$A$37:$A$244,0),MATCH('面板-总览'!D$2,'面板-景气指数'!$36:$36,0))</f>
        <v>0.47491314986514233</v>
      </c>
      <c r="E5" s="7">
        <f>INDEX('面板-景气指数'!$37:$244,MATCH('面板-总览'!$A5,'面板-景气指数'!$A$37:$A$244,0),MATCH('面板-总览'!E$2,'面板-景气指数'!$36:$36,0))</f>
        <v>0.44749714288275061</v>
      </c>
      <c r="F5" s="7">
        <f>INDEX('面板-景气指数'!$37:$244,MATCH('面板-总览'!$A5,'面板-景气指数'!$A$37:$A$244,0),MATCH('面板-总览'!F$2,'面板-景气指数'!$36:$36,0))</f>
        <v>0.41348719078850255</v>
      </c>
      <c r="G5" s="7">
        <f>INDEX('面板-景气指数'!$37:$244,MATCH('面板-总览'!$A5,'面板-景气指数'!$A$37:$A$244,0),MATCH('面板-总览'!G$2,'面板-景气指数'!$36:$36,0))</f>
        <v>0.44850183682152167</v>
      </c>
      <c r="H5" s="7">
        <f>INDEX('面板-景气指数'!$37:$244,MATCH('面板-总览'!$A5,'面板-景气指数'!$A$37:$A$244,0),MATCH('面板-总览'!H$2,'面板-景气指数'!$36:$36,0))</f>
        <v>0.5085526031951606</v>
      </c>
      <c r="I5" s="7">
        <f>INDEX('面板-景气指数'!$37:$244,MATCH('面板-总览'!$A5,'面板-景气指数'!$A$37:$A$244,0),MATCH('面板-总览'!I$2,'面板-景气指数'!$36:$36,0))</f>
        <v>0.61090603864695869</v>
      </c>
      <c r="J5" s="7">
        <f>INDEX('面板-景气指数'!$37:$244,MATCH('面板-总览'!$A5,'面板-景气指数'!$A$37:$A$244,0),MATCH('面板-总览'!J$2,'面板-景气指数'!$36:$36,0))</f>
        <v>0.67832471018009277</v>
      </c>
      <c r="K5" s="7">
        <f>INDEX('面板-景气指数'!$37:$244,MATCH('面板-总览'!$A5,'面板-景气指数'!$A$37:$A$244,0),MATCH('面板-总览'!K$2,'面板-景气指数'!$36:$36,0))</f>
        <v>0.70990817627971425</v>
      </c>
      <c r="L5" s="7">
        <f>INDEX('面板-景气指数'!$37:$244,MATCH('面板-总览'!$A5,'面板-景气指数'!$A$37:$A$244,0),MATCH('面板-总览'!L$2,'面板-景气指数'!$36:$36,0))</f>
        <v>0.66638763562709113</v>
      </c>
      <c r="M5" s="7">
        <f>INDEX('面板-景气指数'!$37:$244,MATCH('面板-总览'!$A5,'面板-景气指数'!$A$37:$A$244,0),MATCH('面板-总览'!M$2,'面板-景气指数'!$36:$36,0))</f>
        <v>0.63251058857247999</v>
      </c>
      <c r="N5" s="7">
        <f>INDEX('面板-景气指数'!$37:$244,MATCH('面板-总览'!$A5,'面板-景气指数'!$A$37:$A$244,0),MATCH('面板-总览'!N$2,'面板-景气指数'!$36:$36,0))</f>
        <v>0.60105748747137111</v>
      </c>
      <c r="O5" s="8"/>
      <c r="P5" s="9">
        <f t="shared" si="0"/>
        <v>-0.10885068880834314</v>
      </c>
      <c r="R5" s="6" t="s">
        <v>12</v>
      </c>
      <c r="S5" s="7">
        <f>INDEX('面板-景气指数'!$37:$244,MATCH('面板-总览'!$R5,'面板-景气指数'!$A$37:$A$244,0),MATCH('面板-总览'!S$2,'面板-景气指数'!$36:$36,0))</f>
        <v>0.68200000000000005</v>
      </c>
      <c r="T5" s="7">
        <f>INDEX('面板-景气指数'!$37:$244,MATCH('面板-总览'!$R5,'面板-景气指数'!$A$37:$A$244,0),MATCH('面板-总览'!T$2,'面板-景气指数'!$36:$36,0))</f>
        <v>0.70099999999999996</v>
      </c>
      <c r="U5" s="7">
        <f>INDEX('面板-景气指数'!$37:$244,MATCH('面板-总览'!$R5,'面板-景气指数'!$A$37:$A$244,0),MATCH('面板-总览'!U$2,'面板-景气指数'!$36:$36,0))</f>
        <v>0.74</v>
      </c>
      <c r="V5" s="7">
        <f>INDEX('面板-景气指数'!$37:$244,MATCH('面板-总览'!$R5,'面板-景气指数'!$A$37:$A$244,0),MATCH('面板-总览'!V$2,'面板-景气指数'!$36:$36,0))</f>
        <v>0.72099999999999997</v>
      </c>
      <c r="W5" s="7">
        <f>INDEX('面板-景气指数'!$37:$244,MATCH('面板-总览'!$R5,'面板-景气指数'!$A$37:$A$244,0),MATCH('面板-总览'!W$2,'面板-景气指数'!$36:$36,0))</f>
        <v>0.70099999999999996</v>
      </c>
      <c r="X5" s="7">
        <f>INDEX('面板-景气指数'!$37:$244,MATCH('面板-总览'!$R5,'面板-景气指数'!$A$37:$A$244,0),MATCH('面板-总览'!X$2,'面板-景气指数'!$36:$36,0))</f>
        <v>0.69199999999999995</v>
      </c>
      <c r="Y5" s="7">
        <f>INDEX('面板-景气指数'!$37:$244,MATCH('面板-总览'!$R5,'面板-景气指数'!$A$37:$A$244,0),MATCH('面板-总览'!Y$2,'面板-景气指数'!$36:$36,0))</f>
        <v>0.67300000000000004</v>
      </c>
      <c r="Z5" s="7">
        <f>INDEX('面板-景气指数'!$37:$244,MATCH('面板-总览'!$R5,'面板-景气指数'!$A$37:$A$244,0),MATCH('面板-总览'!Z$2,'面板-景气指数'!$36:$36,0))</f>
        <v>0.63400000000000001</v>
      </c>
      <c r="AA5" s="7">
        <f>INDEX('面板-景气指数'!$37:$244,MATCH('面板-总览'!$R5,'面板-景气指数'!$A$37:$A$244,0),MATCH('面板-总览'!AA$2,'面板-景气指数'!$36:$36,0))</f>
        <v>0.58599999999999997</v>
      </c>
      <c r="AB5" s="7">
        <f>INDEX('面板-景气指数'!$37:$244,MATCH('面板-总览'!$R5,'面板-景气指数'!$A$37:$A$244,0),MATCH('面板-总览'!AB$2,'面板-景气指数'!$36:$36,0))</f>
        <v>0.59599999999999997</v>
      </c>
      <c r="AC5" s="7">
        <f>INDEX('面板-景气指数'!$37:$244,MATCH('面板-总览'!$R5,'面板-景气指数'!$A$37:$A$244,0),MATCH('面板-总览'!AC$2,'面板-景气指数'!$36:$36,0))</f>
        <v>0.61499999999999999</v>
      </c>
      <c r="AD5" s="7">
        <f>INDEX('面板-景气指数'!$37:$244,MATCH('面板-总览'!$R5,'面板-景气指数'!$A$37:$A$244,0),MATCH('面板-总览'!AD$2,'面板-景气指数'!$36:$36,0))</f>
        <v>0.57599999999999996</v>
      </c>
      <c r="AE5" s="7">
        <f>INDEX('面板-景气指数'!$37:$244,MATCH('面板-总览'!$R5,'面板-景气指数'!$A$37:$A$244,0),MATCH('面板-总览'!AE$2,'面板-景气指数'!$36:$36,0))</f>
        <v>0.56699999999999995</v>
      </c>
      <c r="AF5" s="11"/>
      <c r="AG5" s="12">
        <f t="shared" si="1"/>
        <v>-2.9000000000000026E-2</v>
      </c>
      <c r="AI5" s="6" t="s">
        <v>13</v>
      </c>
      <c r="AJ5" s="7">
        <f>INDEX('面板-景气指数'!$37:$244,MATCH('面板-总览'!$AI5,'面板-景气指数'!$A$37:$A$244,0),MATCH('面板-总览'!AJ$2,'面板-景气指数'!$36:$36,0))</f>
        <v>0.46150000000000008</v>
      </c>
      <c r="AK5" s="7">
        <f>INDEX('面板-景气指数'!$37:$244,MATCH('面板-总览'!$AI5,'面板-景气指数'!$A$37:$A$244,0),MATCH('面板-总览'!AK$2,'面板-景气指数'!$36:$36,0))</f>
        <v>0.50949999999999995</v>
      </c>
      <c r="AL5" s="7">
        <f>INDEX('面板-景气指数'!$37:$244,MATCH('面板-总览'!$AI5,'面板-景气指数'!$A$37:$A$244,0),MATCH('面板-总览'!AL$2,'面板-景气指数'!$36:$36,0))</f>
        <v>0.432</v>
      </c>
      <c r="AM5" s="7">
        <f>INDEX('面板-景气指数'!$37:$244,MATCH('面板-总览'!$AI5,'面板-景气指数'!$A$37:$A$244,0),MATCH('面板-总览'!AM$2,'面板-景气指数'!$36:$36,0))</f>
        <v>0.442</v>
      </c>
      <c r="AN5" s="7">
        <f>INDEX('面板-景气指数'!$37:$244,MATCH('面板-总览'!$AI5,'面板-景气指数'!$A$37:$A$244,0),MATCH('面板-总览'!AN$2,'面板-景气指数'!$36:$36,0))</f>
        <v>0.42749999999999999</v>
      </c>
      <c r="AO5" s="7">
        <f>INDEX('面板-景气指数'!$37:$244,MATCH('面板-总览'!$AI5,'面板-景气指数'!$A$37:$A$244,0),MATCH('面板-总览'!AO$2,'面板-景气指数'!$36:$36,0))</f>
        <v>0.51900000000000013</v>
      </c>
      <c r="AP5" s="7">
        <f>INDEX('面板-景气指数'!$37:$244,MATCH('面板-总览'!$AI5,'面板-景气指数'!$A$37:$A$244,0),MATCH('面板-总览'!AP$2,'面板-景气指数'!$36:$36,0))</f>
        <v>0.55700000000000005</v>
      </c>
      <c r="AQ5" s="7">
        <f>INDEX('面板-景气指数'!$37:$244,MATCH('面板-总览'!$AI5,'面板-景气指数'!$A$37:$A$244,0),MATCH('面板-总览'!AQ$2,'面板-景气指数'!$36:$36,0))</f>
        <v>0.63400000000000001</v>
      </c>
      <c r="AR5" s="7">
        <f>INDEX('面板-景气指数'!$37:$244,MATCH('面板-总览'!$AI5,'面板-景气指数'!$A$37:$A$244,0),MATCH('面板-总览'!AR$2,'面板-景气指数'!$36:$36,0))</f>
        <v>0.72049999999999992</v>
      </c>
      <c r="AS5" s="7">
        <f>INDEX('面板-景气指数'!$37:$244,MATCH('面板-总览'!$AI5,'面板-景气指数'!$A$37:$A$244,0),MATCH('面板-总览'!AS$2,'面板-景气指数'!$36:$36,0))</f>
        <v>0.79249999999999998</v>
      </c>
      <c r="AT5" s="7">
        <f>INDEX('面板-景气指数'!$37:$244,MATCH('面板-总览'!$AI5,'面板-景气指数'!$A$37:$A$244,0),MATCH('面板-总览'!AT$2,'面板-景气指数'!$36:$36,0))</f>
        <v>0.76400000000000001</v>
      </c>
      <c r="AU5" s="7">
        <f>INDEX('面板-景气指数'!$37:$244,MATCH('面板-总览'!$AI5,'面板-景气指数'!$A$37:$A$244,0),MATCH('面板-总览'!AU$2,'面板-景气指数'!$36:$36,0))</f>
        <v>0.72550000000000003</v>
      </c>
      <c r="AV5" s="7">
        <f>INDEX('面板-景气指数'!$37:$244,MATCH('面板-总览'!$AI5,'面板-景气指数'!$A$37:$A$244,0),MATCH('面板-总览'!AV$2,'面板-景气指数'!$36:$36,0))</f>
        <v>0.6339999999999999</v>
      </c>
      <c r="AX5" s="12">
        <f t="shared" si="2"/>
        <v>-0.15850000000000009</v>
      </c>
    </row>
    <row r="6" spans="1:50" ht="21" customHeight="1" x14ac:dyDescent="0.2">
      <c r="A6" s="6" t="s">
        <v>14</v>
      </c>
      <c r="B6" s="7">
        <f>INDEX('面板-景气指数'!$37:$244,MATCH('面板-总览'!$A6,'面板-景气指数'!$A$37:$A$244,0),MATCH('面板-总览'!B$2,'面板-景气指数'!$36:$36,0))</f>
        <v>0.37710010687044698</v>
      </c>
      <c r="C6" s="7">
        <f>INDEX('面板-景气指数'!$37:$244,MATCH('面板-总览'!$A6,'面板-景气指数'!$A$37:$A$244,0),MATCH('面板-总览'!C$2,'面板-景气指数'!$36:$36,0))</f>
        <v>0.37416285435586893</v>
      </c>
      <c r="D6" s="7">
        <f>INDEX('面板-景气指数'!$37:$244,MATCH('面板-总览'!$A6,'面板-景气指数'!$A$37:$A$244,0),MATCH('面板-总览'!D$2,'面板-景气指数'!$36:$36,0))</f>
        <v>0.37532624539586634</v>
      </c>
      <c r="E6" s="7">
        <f>INDEX('面板-景气指数'!$37:$244,MATCH('面板-总览'!$A6,'面板-景气指数'!$A$37:$A$244,0),MATCH('面板-总览'!E$2,'面板-景气指数'!$36:$36,0))</f>
        <v>0.34536085174566183</v>
      </c>
      <c r="F6" s="7">
        <f>INDEX('面板-景气指数'!$37:$244,MATCH('面板-总览'!$A6,'面板-景气指数'!$A$37:$A$244,0),MATCH('面板-总览'!F$2,'面板-景气指数'!$36:$36,0))</f>
        <v>0.32295038429350342</v>
      </c>
      <c r="G6" s="7">
        <f>INDEX('面板-景气指数'!$37:$244,MATCH('面板-总览'!$A6,'面板-景气指数'!$A$37:$A$244,0),MATCH('面板-总览'!G$2,'面板-景气指数'!$36:$36,0))</f>
        <v>0.28960631738978915</v>
      </c>
      <c r="H6" s="7">
        <f>INDEX('面板-景气指数'!$37:$244,MATCH('面板-总览'!$A6,'面板-景气指数'!$A$37:$A$244,0),MATCH('面板-总览'!H$2,'面板-景气指数'!$36:$36,0))</f>
        <v>0.32157046711274345</v>
      </c>
      <c r="I6" s="7">
        <f>INDEX('面板-景气指数'!$37:$244,MATCH('面板-总览'!$A6,'面板-景气指数'!$A$37:$A$244,0),MATCH('面板-总览'!I$2,'面板-景气指数'!$36:$36,0))</f>
        <v>0.3706670524892231</v>
      </c>
      <c r="J6" s="7">
        <f>INDEX('面板-景气指数'!$37:$244,MATCH('面板-总览'!$A6,'面板-景气指数'!$A$37:$A$244,0),MATCH('面板-总览'!J$2,'面板-景气指数'!$36:$36,0))</f>
        <v>0.39835063243387658</v>
      </c>
      <c r="K6" s="7">
        <f>INDEX('面板-景气指数'!$37:$244,MATCH('面板-总览'!$A6,'面板-景气指数'!$A$37:$A$244,0),MATCH('面板-总览'!K$2,'面板-景气指数'!$36:$36,0))</f>
        <v>0.39021334300307181</v>
      </c>
      <c r="L6" s="7">
        <f>INDEX('面板-景气指数'!$37:$244,MATCH('面板-总览'!$A6,'面板-景气指数'!$A$37:$A$244,0),MATCH('面板-总览'!L$2,'面板-景气指数'!$36:$36,0))</f>
        <v>0.33221221914557897</v>
      </c>
      <c r="M6" s="7">
        <f>INDEX('面板-景气指数'!$37:$244,MATCH('面板-总览'!$A6,'面板-景气指数'!$A$37:$A$244,0),MATCH('面板-总览'!M$2,'面板-景气指数'!$36:$36,0))</f>
        <v>0.29138178051869801</v>
      </c>
      <c r="N6" s="7">
        <f>INDEX('面板-景气指数'!$37:$244,MATCH('面板-总览'!$A6,'面板-景气指数'!$A$37:$A$244,0),MATCH('面板-总览'!N$2,'面板-景气指数'!$36:$36,0))</f>
        <v>0.27327123568178846</v>
      </c>
      <c r="O6" s="8"/>
      <c r="P6" s="9">
        <f t="shared" si="0"/>
        <v>-0.11694210732128335</v>
      </c>
      <c r="R6" s="6" t="s">
        <v>15</v>
      </c>
      <c r="S6" s="7">
        <f>INDEX('面板-景气指数'!$37:$244,MATCH('面板-总览'!$R6,'面板-景气指数'!$A$37:$A$244,0),MATCH('面板-总览'!S$2,'面板-景气指数'!$36:$36,0))</f>
        <v>0.67300000000000004</v>
      </c>
      <c r="T6" s="7">
        <f>INDEX('面板-景气指数'!$37:$244,MATCH('面板-总览'!$R6,'面板-景气指数'!$A$37:$A$244,0),MATCH('面板-总览'!T$2,'面板-景气指数'!$36:$36,0))</f>
        <v>0.73</v>
      </c>
      <c r="U6" s="7">
        <f>INDEX('面板-景气指数'!$37:$244,MATCH('面板-总览'!$R6,'面板-景气指数'!$A$37:$A$244,0),MATCH('面板-总览'!U$2,'面板-景气指数'!$36:$36,0))</f>
        <v>0.75900000000000001</v>
      </c>
      <c r="V6" s="7">
        <f>INDEX('面板-景气指数'!$37:$244,MATCH('面板-总览'!$R6,'面板-景气指数'!$A$37:$A$244,0),MATCH('面板-总览'!V$2,'面板-景气指数'!$36:$36,0))</f>
        <v>0.78800000000000014</v>
      </c>
      <c r="W6" s="7">
        <f>INDEX('面板-景气指数'!$37:$244,MATCH('面板-总览'!$R6,'面板-景气指数'!$A$37:$A$244,0),MATCH('面板-总览'!W$2,'面板-景气指数'!$36:$36,0))</f>
        <v>0.79800000000000004</v>
      </c>
      <c r="X6" s="7">
        <f>INDEX('面板-景气指数'!$37:$244,MATCH('面板-总览'!$R6,'面板-景气指数'!$A$37:$A$244,0),MATCH('面板-总览'!X$2,'面板-景气指数'!$36:$36,0))</f>
        <v>0.77800000000000002</v>
      </c>
      <c r="Y6" s="7">
        <f>INDEX('面板-景气指数'!$37:$244,MATCH('面板-总览'!$R6,'面板-景气指数'!$A$37:$A$244,0),MATCH('面板-总览'!Y$2,'面板-景气指数'!$36:$36,0))</f>
        <v>0.74</v>
      </c>
      <c r="Z6" s="7">
        <f>INDEX('面板-景气指数'!$37:$244,MATCH('面板-总览'!$R6,'面板-景气指数'!$A$37:$A$244,0),MATCH('面板-总览'!Z$2,'面板-景气指数'!$36:$36,0))</f>
        <v>0.71099999999999997</v>
      </c>
      <c r="AA6" s="7">
        <f>INDEX('面板-景气指数'!$37:$244,MATCH('面板-总览'!$R6,'面板-景气指数'!$A$37:$A$244,0),MATCH('面板-总览'!AA$2,'面板-景气指数'!$36:$36,0))</f>
        <v>0.70099999999999996</v>
      </c>
      <c r="AB6" s="7">
        <f>INDEX('面板-景气指数'!$37:$244,MATCH('面板-总览'!$R6,'面板-景气指数'!$A$37:$A$244,0),MATCH('面板-总览'!AB$2,'面板-景气指数'!$36:$36,0))</f>
        <v>0.69199999999999995</v>
      </c>
      <c r="AC6" s="7">
        <f>INDEX('面板-景气指数'!$37:$244,MATCH('面板-总览'!$R6,'面板-景气指数'!$A$37:$A$244,0),MATCH('面板-总览'!AC$2,'面板-景气指数'!$36:$36,0))</f>
        <v>0.625</v>
      </c>
      <c r="AD6" s="7">
        <f>INDEX('面板-景气指数'!$37:$244,MATCH('面板-总览'!$R6,'面板-景气指数'!$A$37:$A$244,0),MATCH('面板-总览'!AD$2,'面板-景气指数'!$36:$36,0))</f>
        <v>0.42299999999999999</v>
      </c>
      <c r="AE6" s="7">
        <f>INDEX('面板-景气指数'!$37:$244,MATCH('面板-总览'!$R6,'面板-景气指数'!$A$37:$A$244,0),MATCH('面板-总览'!AE$2,'面板-景气指数'!$36:$36,0))</f>
        <v>0.317</v>
      </c>
      <c r="AF6" s="11"/>
      <c r="AG6" s="12">
        <f t="shared" si="1"/>
        <v>-0.37499999999999994</v>
      </c>
      <c r="AI6" s="6" t="s">
        <v>16</v>
      </c>
      <c r="AJ6" s="7">
        <f>INDEX('面板-景气指数'!$37:$244,MATCH('面板-总览'!$AI6,'面板-景气指数'!$A$37:$A$244,0),MATCH('面板-总览'!AJ$2,'面板-景气指数'!$36:$36,0))</f>
        <v>0.69199999999999995</v>
      </c>
      <c r="AK6" s="7">
        <f>INDEX('面板-景气指数'!$37:$244,MATCH('面板-总览'!$AI6,'面板-景气指数'!$A$37:$A$244,0),MATCH('面板-总览'!AK$2,'面板-景气指数'!$36:$36,0))</f>
        <v>0.73</v>
      </c>
      <c r="AL6" s="7">
        <f>INDEX('面板-景气指数'!$37:$244,MATCH('面板-总览'!$AI6,'面板-景气指数'!$A$37:$A$244,0),MATCH('面板-总览'!AL$2,'面板-景气指数'!$36:$36,0))</f>
        <v>0.72099999999999997</v>
      </c>
      <c r="AM6" s="7">
        <f>INDEX('面板-景气指数'!$37:$244,MATCH('面板-总览'!$AI6,'面板-景气指数'!$A$37:$A$244,0),MATCH('面板-总览'!AM$2,'面板-景气指数'!$36:$36,0))</f>
        <v>0.66300000000000003</v>
      </c>
      <c r="AN6" s="7">
        <f>INDEX('面板-景气指数'!$37:$244,MATCH('面板-总览'!$AI6,'面板-景气指数'!$A$37:$A$244,0),MATCH('面板-总览'!AN$2,'面板-景气指数'!$36:$36,0))</f>
        <v>0.60499999999999998</v>
      </c>
      <c r="AO6" s="7">
        <f>INDEX('面板-景气指数'!$37:$244,MATCH('面板-总览'!$AI6,'面板-景气指数'!$A$37:$A$244,0),MATCH('面板-总览'!AO$2,'面板-景气指数'!$36:$36,0))</f>
        <v>0.61499999999999999</v>
      </c>
      <c r="AP6" s="7">
        <f>INDEX('面板-景气指数'!$37:$244,MATCH('面板-总览'!$AI6,'面板-景气指数'!$A$37:$A$244,0),MATCH('面板-总览'!AP$2,'面板-景气指数'!$36:$36,0))</f>
        <v>0.68200000000000005</v>
      </c>
      <c r="AQ6" s="7">
        <f>INDEX('面板-景气指数'!$37:$244,MATCH('面板-总览'!$AI6,'面板-景气指数'!$A$37:$A$244,0),MATCH('面板-总览'!AQ$2,'面板-景气指数'!$36:$36,0))</f>
        <v>0.75900000000000001</v>
      </c>
      <c r="AR6" s="7">
        <f>INDEX('面板-景气指数'!$37:$244,MATCH('面板-总览'!$AI6,'面板-景气指数'!$A$37:$A$244,0),MATCH('面板-总览'!AR$2,'面板-景气指数'!$36:$36,0))</f>
        <v>0.77800000000000002</v>
      </c>
      <c r="AS6" s="7">
        <f>INDEX('面板-景气指数'!$37:$244,MATCH('面板-总览'!$AI6,'面板-景气指数'!$A$37:$A$244,0),MATCH('面板-总览'!AS$2,'面板-景气指数'!$36:$36,0))</f>
        <v>0.82599999999999996</v>
      </c>
      <c r="AT6" s="7">
        <f>INDEX('面板-景气指数'!$37:$244,MATCH('面板-总览'!$AI6,'面板-景气指数'!$A$37:$A$244,0),MATCH('面板-总览'!AT$2,'面板-景气指数'!$36:$36,0))</f>
        <v>0.875</v>
      </c>
      <c r="AU6" s="7">
        <f>INDEX('面板-景气指数'!$37:$244,MATCH('面板-总览'!$AI6,'面板-景气指数'!$A$37:$A$244,0),MATCH('面板-总览'!AU$2,'面板-景气指数'!$36:$36,0))</f>
        <v>0.94199999999999995</v>
      </c>
      <c r="AV6" s="7">
        <f>INDEX('面板-景气指数'!$37:$244,MATCH('面板-总览'!$AI6,'面板-景气指数'!$A$37:$A$244,0),MATCH('面板-总览'!AV$2,'面板-景气指数'!$36:$36,0))</f>
        <v>0.98999999999999988</v>
      </c>
      <c r="AX6" s="12">
        <f t="shared" si="2"/>
        <v>0.16399999999999992</v>
      </c>
    </row>
    <row r="7" spans="1:50" ht="21" customHeight="1" x14ac:dyDescent="0.2">
      <c r="A7" s="6" t="s">
        <v>17</v>
      </c>
      <c r="B7" s="7">
        <f>INDEX('面板-景气指数'!$37:$244,MATCH('面板-总览'!$A7,'面板-景气指数'!$A$37:$A$244,0),MATCH('面板-总览'!B$2,'面板-景气指数'!$36:$36,0))</f>
        <v>0.37704823875232318</v>
      </c>
      <c r="C7" s="7">
        <f>INDEX('面板-景气指数'!$37:$244,MATCH('面板-总览'!$A7,'面板-景气指数'!$A$37:$A$244,0),MATCH('面板-总览'!C$2,'面板-景气指数'!$36:$36,0))</f>
        <v>0.38678485439988486</v>
      </c>
      <c r="D7" s="7">
        <f>INDEX('面板-景气指数'!$37:$244,MATCH('面板-总览'!$A7,'面板-景气指数'!$A$37:$A$244,0),MATCH('面板-总览'!D$2,'面板-景气指数'!$36:$36,0))</f>
        <v>0.39858746290100122</v>
      </c>
      <c r="E7" s="7">
        <f>INDEX('面板-景气指数'!$37:$244,MATCH('面板-总览'!$A7,'面板-景气指数'!$A$37:$A$244,0),MATCH('面板-总览'!E$2,'面板-景气指数'!$36:$36,0))</f>
        <v>0.37331074990695617</v>
      </c>
      <c r="F7" s="7">
        <f>INDEX('面板-景气指数'!$37:$244,MATCH('面板-总览'!$A7,'面板-景气指数'!$A$37:$A$244,0),MATCH('面板-总览'!F$2,'面板-景气指数'!$36:$36,0))</f>
        <v>0.32578492126534936</v>
      </c>
      <c r="G7" s="7">
        <f>INDEX('面板-景气指数'!$37:$244,MATCH('面板-总览'!$A7,'面板-景气指数'!$A$37:$A$244,0),MATCH('面板-总览'!G$2,'面板-景气指数'!$36:$36,0))</f>
        <v>0.26191318745347808</v>
      </c>
      <c r="H7" s="7">
        <f>INDEX('面板-景气指数'!$37:$244,MATCH('面板-总览'!$A7,'面板-景气指数'!$A$37:$A$244,0),MATCH('面板-总览'!H$2,'面板-景气指数'!$36:$36,0))</f>
        <v>0.24570715296427115</v>
      </c>
      <c r="I7" s="7">
        <f>INDEX('面板-景气指数'!$37:$244,MATCH('面板-总览'!$A7,'面板-景气指数'!$A$37:$A$244,0),MATCH('面板-总览'!I$2,'面板-景气指数'!$36:$36,0))</f>
        <v>0.28660648412262596</v>
      </c>
      <c r="J7" s="7">
        <f>INDEX('面板-景气指数'!$37:$244,MATCH('面板-总览'!$A7,'面板-景气指数'!$A$37:$A$244,0),MATCH('面板-总览'!J$2,'面板-景气指数'!$36:$36,0))</f>
        <v>0.30805314361183289</v>
      </c>
      <c r="K7" s="7">
        <f>INDEX('面板-景气指数'!$37:$244,MATCH('面板-总览'!$A7,'面板-景气指数'!$A$37:$A$244,0),MATCH('面板-总览'!K$2,'面板-景气指数'!$36:$36,0))</f>
        <v>0.30065604194640672</v>
      </c>
      <c r="L7" s="7">
        <f>INDEX('面板-景气指数'!$37:$244,MATCH('面板-总览'!$A7,'面板-景气指数'!$A$37:$A$244,0),MATCH('面板-总览'!L$2,'面板-景气指数'!$36:$36,0))</f>
        <v>0.22520953479996164</v>
      </c>
      <c r="M7" s="7">
        <f>INDEX('面板-景气指数'!$37:$244,MATCH('面板-总览'!$A7,'面板-景气指数'!$A$37:$A$244,0),MATCH('面板-总览'!M$2,'面板-景气指数'!$36:$36,0))</f>
        <v>0.18407775714644514</v>
      </c>
      <c r="N7" s="7">
        <f>INDEX('面板-景气指数'!$37:$244,MATCH('面板-总览'!$A7,'面板-景气指数'!$A$37:$A$244,0),MATCH('面板-总览'!N$2,'面板-景气指数'!$36:$36,0))</f>
        <v>0.16136377081782605</v>
      </c>
      <c r="O7" s="8"/>
      <c r="P7" s="9">
        <f t="shared" si="0"/>
        <v>-0.13929227112858067</v>
      </c>
      <c r="R7" s="6" t="s">
        <v>18</v>
      </c>
      <c r="S7" s="7">
        <f>INDEX('面板-景气指数'!$37:$244,MATCH('面板-总览'!$R7,'面板-景气指数'!$A$37:$A$244,0),MATCH('面板-总览'!S$2,'面板-景气指数'!$36:$36,0))</f>
        <v>0.73</v>
      </c>
      <c r="T7" s="7">
        <f>INDEX('面板-景气指数'!$37:$244,MATCH('面板-总览'!$R7,'面板-景气指数'!$A$37:$A$244,0),MATCH('面板-总览'!T$2,'面板-景气指数'!$36:$36,0))</f>
        <v>0.76900000000000013</v>
      </c>
      <c r="U7" s="7">
        <f>INDEX('面板-景气指数'!$37:$244,MATCH('面板-总览'!$R7,'面板-景气指数'!$A$37:$A$244,0),MATCH('面板-总览'!U$2,'面板-景气指数'!$36:$36,0))</f>
        <v>0.77800000000000002</v>
      </c>
      <c r="V7" s="7">
        <f>INDEX('面板-景气指数'!$37:$244,MATCH('面板-总览'!$R7,'面板-景气指数'!$A$37:$A$244,0),MATCH('面板-总览'!V$2,'面板-景气指数'!$36:$36,0))</f>
        <v>0.66300000000000003</v>
      </c>
      <c r="W7" s="7">
        <f>INDEX('面板-景气指数'!$37:$244,MATCH('面板-总览'!$R7,'面板-景气指数'!$A$37:$A$244,0),MATCH('面板-总览'!W$2,'面板-景气指数'!$36:$36,0))</f>
        <v>0.65300000000000002</v>
      </c>
      <c r="X7" s="7">
        <f>INDEX('面板-景气指数'!$37:$244,MATCH('面板-总览'!$R7,'面板-景气指数'!$A$37:$A$244,0),MATCH('面板-总览'!X$2,'面板-景气指数'!$36:$36,0))</f>
        <v>0.61499999999999999</v>
      </c>
      <c r="Y7" s="7">
        <f>INDEX('面板-景气指数'!$37:$244,MATCH('面板-总览'!$R7,'面板-景气指数'!$A$37:$A$244,0),MATCH('面板-总览'!Y$2,'面板-景气指数'!$36:$36,0))</f>
        <v>0.625</v>
      </c>
      <c r="Z7" s="7">
        <f>INDEX('面板-景气指数'!$37:$244,MATCH('面板-总览'!$R7,'面板-景气指数'!$A$37:$A$244,0),MATCH('面板-总览'!Z$2,'面板-景气指数'!$36:$36,0))</f>
        <v>0.64400000000000002</v>
      </c>
      <c r="AA7" s="7">
        <f>INDEX('面板-景气指数'!$37:$244,MATCH('面板-总览'!$R7,'面板-景气指数'!$A$37:$A$244,0),MATCH('面板-总览'!AA$2,'面板-景气指数'!$36:$36,0))</f>
        <v>0.71099999999999997</v>
      </c>
      <c r="AB7" s="7">
        <f>INDEX('面板-景气指数'!$37:$244,MATCH('面板-总览'!$R7,'面板-景气指数'!$A$37:$A$244,0),MATCH('面板-总览'!AB$2,'面板-景气指数'!$36:$36,0))</f>
        <v>0.75900000000000001</v>
      </c>
      <c r="AC7" s="7">
        <f>INDEX('面板-景气指数'!$37:$244,MATCH('面板-总览'!$R7,'面板-景气指数'!$A$37:$A$244,0),MATCH('面板-总览'!AC$2,'面板-景气指数'!$36:$36,0))</f>
        <v>0.75</v>
      </c>
      <c r="AD7" s="7">
        <f>INDEX('面板-景气指数'!$37:$244,MATCH('面板-总览'!$R7,'面板-景气指数'!$A$37:$A$244,0),MATCH('面板-总览'!AD$2,'面板-景气指数'!$36:$36,0))</f>
        <v>0.70099999999999996</v>
      </c>
      <c r="AE7" s="7">
        <f>INDEX('面板-景气指数'!$37:$244,MATCH('面板-总览'!$R7,'面板-景气指数'!$A$37:$A$244,0),MATCH('面板-总览'!AE$2,'面板-景气指数'!$36:$36,0))</f>
        <v>0.68200000000000005</v>
      </c>
      <c r="AF7" s="11"/>
      <c r="AG7" s="12">
        <f t="shared" si="1"/>
        <v>-7.6999999999999957E-2</v>
      </c>
      <c r="AI7" s="6" t="s">
        <v>19</v>
      </c>
      <c r="AJ7" s="7">
        <f>INDEX('面板-景气指数'!$37:$244,MATCH('面板-总览'!$AI7,'面板-景气指数'!$A$37:$A$244,0),MATCH('面板-总览'!AJ$2,'面板-景气指数'!$36:$36,0))</f>
        <v>0.75900000000000001</v>
      </c>
      <c r="AK7" s="7">
        <f>INDEX('面板-景气指数'!$37:$244,MATCH('面板-总览'!$AI7,'面板-景气指数'!$A$37:$A$244,0),MATCH('面板-总览'!AK$2,'面板-景气指数'!$36:$36,0))</f>
        <v>0.69199999999999995</v>
      </c>
      <c r="AL7" s="7">
        <f>INDEX('面板-景气指数'!$37:$244,MATCH('面板-总览'!$AI7,'面板-景气指数'!$A$37:$A$244,0),MATCH('面板-总览'!AL$2,'面板-景气指数'!$36:$36,0))</f>
        <v>0.59599999999999997</v>
      </c>
      <c r="AM7" s="7">
        <f>INDEX('面板-景气指数'!$37:$244,MATCH('面板-总览'!$AI7,'面板-景气指数'!$A$37:$A$244,0),MATCH('面板-总览'!AM$2,'面板-景气指数'!$36:$36,0))</f>
        <v>0.51900000000000002</v>
      </c>
      <c r="AN7" s="7">
        <f>INDEX('面板-景气指数'!$37:$244,MATCH('面板-总览'!$AI7,'面板-景气指数'!$A$37:$A$244,0),MATCH('面板-总览'!AN$2,'面板-景气指数'!$36:$36,0))</f>
        <v>0.48</v>
      </c>
      <c r="AO7" s="7">
        <f>INDEX('面板-景气指数'!$37:$244,MATCH('面板-总览'!$AI7,'面板-景气指数'!$A$37:$A$244,0),MATCH('面板-总览'!AO$2,'面板-景气指数'!$36:$36,0))</f>
        <v>0.52800000000000002</v>
      </c>
      <c r="AP7" s="7">
        <f>INDEX('面板-景气指数'!$37:$244,MATCH('面板-总览'!$AI7,'面板-景气指数'!$A$37:$A$244,0),MATCH('面板-总览'!AP$2,'面板-景气指数'!$36:$36,0))</f>
        <v>0.57599999999999996</v>
      </c>
      <c r="AQ7" s="7">
        <f>INDEX('面板-景气指数'!$37:$244,MATCH('面板-总览'!$AI7,'面板-景气指数'!$A$37:$A$244,0),MATCH('面板-总览'!AQ$2,'面板-景气指数'!$36:$36,0))</f>
        <v>0.61499999999999999</v>
      </c>
      <c r="AR7" s="7">
        <f>INDEX('面板-景气指数'!$37:$244,MATCH('面板-总览'!$AI7,'面板-景气指数'!$A$37:$A$244,0),MATCH('面板-总览'!AR$2,'面板-景气指数'!$36:$36,0))</f>
        <v>0.72099999999999997</v>
      </c>
      <c r="AS7" s="7">
        <f>INDEX('面板-景气指数'!$37:$244,MATCH('面板-总览'!$AI7,'面板-景气指数'!$A$37:$A$244,0),MATCH('面板-总览'!AS$2,'面板-景气指数'!$36:$36,0))</f>
        <v>0.81699999999999995</v>
      </c>
      <c r="AT7" s="7">
        <f>INDEX('面板-景气指数'!$37:$244,MATCH('面板-总览'!$AI7,'面板-景气指数'!$A$37:$A$244,0),MATCH('面板-总览'!AT$2,'面板-景气指数'!$36:$36,0))</f>
        <v>0.82599999999999996</v>
      </c>
      <c r="AU7" s="7">
        <f>INDEX('面板-景气指数'!$37:$244,MATCH('面板-总览'!$AI7,'面板-景气指数'!$A$37:$A$244,0),MATCH('面板-总览'!AU$2,'面板-景气指数'!$36:$36,0))</f>
        <v>0.85499999999999998</v>
      </c>
      <c r="AV7" s="7">
        <f>INDEX('面板-景气指数'!$37:$244,MATCH('面板-总览'!$AI7,'面板-景气指数'!$A$37:$A$244,0),MATCH('面板-总览'!AV$2,'面板-景气指数'!$36:$36,0))</f>
        <v>0.875</v>
      </c>
      <c r="AX7" s="12">
        <f t="shared" si="2"/>
        <v>5.8000000000000052E-2</v>
      </c>
    </row>
    <row r="8" spans="1:50" ht="21" customHeight="1" x14ac:dyDescent="0.2">
      <c r="A8" s="6" t="s">
        <v>20</v>
      </c>
      <c r="B8" s="7">
        <f>INDEX('面板-景气指数'!$37:$244,MATCH('面板-总览'!$A8,'面板-景气指数'!$A$37:$A$244,0),MATCH('面板-总览'!B$2,'面板-景气指数'!$36:$36,0))</f>
        <v>0.25350935274266956</v>
      </c>
      <c r="C8" s="7">
        <f>INDEX('面板-景气指数'!$37:$244,MATCH('面板-总览'!$A8,'面板-景气指数'!$A$37:$A$244,0),MATCH('面板-总览'!C$2,'面板-景气指数'!$36:$36,0))</f>
        <v>0.26314281438537945</v>
      </c>
      <c r="D8" s="7">
        <f>INDEX('面板-景气指数'!$37:$244,MATCH('面板-总览'!$A8,'面板-景气指数'!$A$37:$A$244,0),MATCH('面板-总览'!D$2,'面板-景气指数'!$36:$36,0))</f>
        <v>0.29998686202054575</v>
      </c>
      <c r="E8" s="7">
        <f>INDEX('面板-景气指数'!$37:$244,MATCH('面板-总览'!$A8,'面板-景气指数'!$A$37:$A$244,0),MATCH('面板-总览'!E$2,'面板-景气指数'!$36:$36,0))</f>
        <v>0.32513938882475157</v>
      </c>
      <c r="F8" s="7">
        <f>INDEX('面板-景气指数'!$37:$244,MATCH('面板-总览'!$A8,'面板-景气指数'!$A$37:$A$244,0),MATCH('面板-总览'!F$2,'面板-景气指数'!$36:$36,0))</f>
        <v>0.32065609282809787</v>
      </c>
      <c r="G8" s="7">
        <f>INDEX('面板-景气指数'!$37:$244,MATCH('面板-总览'!$A8,'面板-景气指数'!$A$37:$A$244,0),MATCH('面板-总览'!G$2,'面板-景气指数'!$36:$36,0))</f>
        <v>0.28661188896895584</v>
      </c>
      <c r="H8" s="7">
        <f>INDEX('面板-景气指数'!$37:$244,MATCH('面板-总览'!$A8,'面板-景气指数'!$A$37:$A$244,0),MATCH('面板-总览'!H$2,'面板-景气指数'!$36:$36,0))</f>
        <v>0.25047061244637908</v>
      </c>
      <c r="I8" s="7">
        <f>INDEX('面板-景气指数'!$37:$244,MATCH('面板-总览'!$A8,'面板-景气指数'!$A$37:$A$244,0),MATCH('面板-总览'!I$2,'面板-景气指数'!$36:$36,0))</f>
        <v>0.27370379985813986</v>
      </c>
      <c r="J8" s="7">
        <f>INDEX('面板-景气指数'!$37:$244,MATCH('面板-总览'!$A8,'面板-景气指数'!$A$37:$A$244,0),MATCH('面板-总览'!J$2,'面板-景气指数'!$36:$36,0))</f>
        <v>0.34313763345223502</v>
      </c>
      <c r="K8" s="7">
        <f>INDEX('面板-景气指数'!$37:$244,MATCH('面板-总览'!$A8,'面板-景气指数'!$A$37:$A$244,0),MATCH('面板-总览'!K$2,'面板-景气指数'!$36:$36,0))</f>
        <v>0.4323223220078693</v>
      </c>
      <c r="L8" s="7">
        <f>INDEX('面板-景气指数'!$37:$244,MATCH('面板-总览'!$A8,'面板-景气指数'!$A$37:$A$244,0),MATCH('面板-总览'!L$2,'面板-景气指数'!$36:$36,0))</f>
        <v>0.43805365077752961</v>
      </c>
      <c r="M8" s="7">
        <f>INDEX('面板-景气指数'!$37:$244,MATCH('面板-总览'!$A8,'面板-景气指数'!$A$37:$A$244,0),MATCH('面板-总览'!M$2,'面板-景气指数'!$36:$36,0))</f>
        <v>0.41504922888658002</v>
      </c>
      <c r="N8" s="7">
        <f>INDEX('面板-景气指数'!$37:$244,MATCH('面板-总览'!$A8,'面板-景气指数'!$A$37:$A$244,0),MATCH('面板-总览'!N$2,'面板-景气指数'!$36:$36,0))</f>
        <v>0.39886621831531494</v>
      </c>
      <c r="O8" s="8"/>
      <c r="P8" s="9">
        <f t="shared" si="0"/>
        <v>-3.3456103692554362E-2</v>
      </c>
      <c r="R8" s="6" t="s">
        <v>21</v>
      </c>
      <c r="S8" s="7">
        <f>INDEX('面板-景气指数'!$37:$244,MATCH('面板-总览'!$R8,'面板-景气指数'!$A$37:$A$244,0),MATCH('面板-总览'!S$2,'面板-景气指数'!$36:$36,0))</f>
        <v>0.49711190921426474</v>
      </c>
      <c r="T8" s="7">
        <f>INDEX('面板-景气指数'!$37:$244,MATCH('面板-总览'!$R8,'面板-景气指数'!$A$37:$A$244,0),MATCH('面板-总览'!T$2,'面板-景气指数'!$36:$36,0))</f>
        <v>0.51173467040599063</v>
      </c>
      <c r="U8" s="7">
        <f>INDEX('面板-景气指数'!$37:$244,MATCH('面板-总览'!$R8,'面板-景气指数'!$A$37:$A$244,0),MATCH('面板-总览'!U$2,'面板-景气指数'!$36:$36,0))</f>
        <v>0.44329096626184755</v>
      </c>
      <c r="V8" s="7">
        <f>INDEX('面板-景气指数'!$37:$244,MATCH('面板-总览'!$R8,'面板-景气指数'!$A$37:$A$244,0),MATCH('面板-总览'!V$2,'面板-景气指数'!$36:$36,0))</f>
        <v>0.443814619577797</v>
      </c>
      <c r="W8" s="7">
        <f>INDEX('面板-景气指数'!$37:$244,MATCH('面板-总览'!$R8,'面板-景气指数'!$A$37:$A$244,0),MATCH('面板-总览'!W$2,'面板-景气指数'!$36:$36,0))</f>
        <v>0.42470918229748084</v>
      </c>
      <c r="X8" s="7">
        <f>INDEX('面板-景气指数'!$37:$244,MATCH('面板-总览'!$R8,'面板-景气指数'!$A$37:$A$244,0),MATCH('面板-总览'!X$2,'面板-景气指数'!$36:$36,0))</f>
        <v>0.47849869914556026</v>
      </c>
      <c r="Y8" s="7">
        <f>INDEX('面板-景气指数'!$37:$244,MATCH('面板-总览'!$R8,'面板-景气指数'!$A$37:$A$244,0),MATCH('面板-总览'!Y$2,'面板-景气指数'!$36:$36,0))</f>
        <v>0.53735338266372268</v>
      </c>
      <c r="Z8" s="7">
        <f>INDEX('面板-景气指数'!$37:$244,MATCH('面板-总览'!$R8,'面板-景气指数'!$A$37:$A$244,0),MATCH('面板-总览'!Z$2,'面板-景气指数'!$36:$36,0))</f>
        <v>0.65418428239636517</v>
      </c>
      <c r="AA8" s="7">
        <f>INDEX('面板-景气指数'!$37:$244,MATCH('面板-总览'!$R8,'面板-景气指数'!$A$37:$A$244,0),MATCH('面板-总览'!AA$2,'面板-景气指数'!$36:$36,0))</f>
        <v>0.72757197574346966</v>
      </c>
      <c r="AB8" s="7">
        <f>INDEX('面板-景气指数'!$37:$244,MATCH('面板-总览'!$R8,'面板-景气指数'!$A$37:$A$244,0),MATCH('面板-总览'!AB$2,'面板-景气指数'!$36:$36,0))</f>
        <v>0.76918549883193499</v>
      </c>
      <c r="AC8" s="7">
        <f>INDEX('面板-景气指数'!$37:$244,MATCH('面板-总览'!$R8,'面板-景气指数'!$A$37:$A$244,0),MATCH('面板-总览'!AC$2,'面板-景气指数'!$36:$36,0))</f>
        <v>0.70470562509217261</v>
      </c>
      <c r="AD8" s="7">
        <f>INDEX('面板-景气指数'!$37:$244,MATCH('面板-总览'!$R8,'面板-景气指数'!$A$37:$A$244,0),MATCH('面板-总览'!AD$2,'面板-景气指数'!$36:$36,0))</f>
        <v>0.63728260526606484</v>
      </c>
      <c r="AE8" s="7">
        <f>INDEX('面板-景气指数'!$37:$244,MATCH('面板-总览'!$R8,'面板-景气指数'!$A$37:$A$244,0),MATCH('面板-总览'!AE$2,'面板-景气指数'!$36:$36,0))</f>
        <v>0.57066809653157446</v>
      </c>
      <c r="AF8" s="11"/>
      <c r="AG8" s="12">
        <f t="shared" si="1"/>
        <v>-0.19851740230036052</v>
      </c>
      <c r="AI8" s="6" t="s">
        <v>22</v>
      </c>
      <c r="AJ8" s="7">
        <f>INDEX('面板-景气指数'!$37:$244,MATCH('面板-总览'!$AI8,'面板-景气指数'!$A$37:$A$244,0),MATCH('面板-总览'!AJ$2,'面板-景气指数'!$36:$36,0))</f>
        <v>0.75</v>
      </c>
      <c r="AK8" s="7">
        <f>INDEX('面板-景气指数'!$37:$244,MATCH('面板-总览'!$AI8,'面板-景气指数'!$A$37:$A$244,0),MATCH('面板-总览'!AK$2,'面板-景气指数'!$36:$36,0))</f>
        <v>0.76900000000000002</v>
      </c>
      <c r="AL8" s="7">
        <f>INDEX('面板-景气指数'!$37:$244,MATCH('面板-总览'!$AI8,'面板-景气指数'!$A$37:$A$244,0),MATCH('面板-总览'!AL$2,'面板-景气指数'!$36:$36,0))</f>
        <v>0.74</v>
      </c>
      <c r="AM8" s="7">
        <f>INDEX('面板-景气指数'!$37:$244,MATCH('面板-总览'!$AI8,'面板-景气指数'!$A$37:$A$244,0),MATCH('面板-总览'!AM$2,'面板-景气指数'!$36:$36,0))</f>
        <v>0.67300000000000004</v>
      </c>
      <c r="AN8" s="7">
        <f>INDEX('面板-景气指数'!$37:$244,MATCH('面板-总览'!$AI8,'面板-景气指数'!$A$37:$A$244,0),MATCH('面板-总览'!AN$2,'面板-景气指数'!$36:$36,0))</f>
        <v>0.65300000000000002</v>
      </c>
      <c r="AO8" s="7">
        <f>INDEX('面板-景气指数'!$37:$244,MATCH('面板-总览'!$AI8,'面板-景气指数'!$A$37:$A$244,0),MATCH('面板-总览'!AO$2,'面板-景气指数'!$36:$36,0))</f>
        <v>0.58599999999999997</v>
      </c>
      <c r="AP8" s="7">
        <f>INDEX('面板-景气指数'!$37:$244,MATCH('面板-总览'!$AI8,'面板-景气指数'!$A$37:$A$244,0),MATCH('面板-总览'!AP$2,'面板-景气指数'!$36:$36,0))</f>
        <v>0.54800000000000004</v>
      </c>
      <c r="AQ8" s="7">
        <f>INDEX('面板-景气指数'!$37:$244,MATCH('面板-总览'!$AI8,'面板-景气指数'!$A$37:$A$244,0),MATCH('面板-总览'!AQ$2,'面板-景气指数'!$36:$36,0))</f>
        <v>0.59599999999999997</v>
      </c>
      <c r="AR8" s="7">
        <f>INDEX('面板-景气指数'!$37:$244,MATCH('面板-总览'!$AI8,'面板-景气指数'!$A$37:$A$244,0),MATCH('面板-总览'!AR$2,'面板-景气指数'!$36:$36,0))</f>
        <v>0.625</v>
      </c>
      <c r="AS8" s="7">
        <f>INDEX('面板-景气指数'!$37:$244,MATCH('面板-总览'!$AI8,'面板-景气指数'!$A$37:$A$244,0),MATCH('面板-总览'!AS$2,'面板-景气指数'!$36:$36,0))</f>
        <v>0.56699999999999995</v>
      </c>
      <c r="AT8" s="7">
        <f>INDEX('面板-景气指数'!$37:$244,MATCH('面板-总览'!$AI8,'面板-景气指数'!$A$37:$A$244,0),MATCH('面板-总览'!AT$2,'面板-景气指数'!$36:$36,0))</f>
        <v>0.52800000000000002</v>
      </c>
      <c r="AU8" s="7">
        <f>INDEX('面板-景气指数'!$37:$244,MATCH('面板-总览'!$AI8,'面板-景气指数'!$A$37:$A$244,0),MATCH('面板-总览'!AU$2,'面板-景气指数'!$36:$36,0))</f>
        <v>0.55700000000000005</v>
      </c>
      <c r="AV8" s="7">
        <f>INDEX('面板-景气指数'!$37:$244,MATCH('面板-总览'!$AI8,'面板-景气指数'!$A$37:$A$244,0),MATCH('面板-总览'!AV$2,'面板-景气指数'!$36:$36,0))</f>
        <v>0.61499999999999999</v>
      </c>
      <c r="AX8" s="12">
        <f t="shared" si="2"/>
        <v>4.8000000000000043E-2</v>
      </c>
    </row>
    <row r="9" spans="1:50" ht="21" customHeight="1" x14ac:dyDescent="0.2">
      <c r="A9" s="6" t="s">
        <v>23</v>
      </c>
      <c r="B9" s="7">
        <f>INDEX('面板-景气指数'!$37:$244,MATCH('面板-总览'!$A9,'面板-景气指数'!$A$37:$A$244,0),MATCH('面板-总览'!B$2,'面板-景气指数'!$36:$36,0))</f>
        <v>0.36061111577600591</v>
      </c>
      <c r="C9" s="7">
        <f>INDEX('面板-景气指数'!$37:$244,MATCH('面板-总览'!$A9,'面板-景气指数'!$A$37:$A$244,0),MATCH('面板-总览'!C$2,'面板-景气指数'!$36:$36,0))</f>
        <v>0.43480873491752714</v>
      </c>
      <c r="D9" s="7">
        <f>INDEX('面板-景气指数'!$37:$244,MATCH('面板-总览'!$A9,'面板-景气指数'!$A$37:$A$244,0),MATCH('面板-总览'!D$2,'面板-景气指数'!$36:$36,0))</f>
        <v>0.50520541811288067</v>
      </c>
      <c r="E9" s="7">
        <f>INDEX('面板-景气指数'!$37:$244,MATCH('面板-总览'!$A9,'面板-景气指数'!$A$37:$A$244,0),MATCH('面板-总览'!E$2,'面板-景气指数'!$36:$36,0))</f>
        <v>0.53714327636524817</v>
      </c>
      <c r="F9" s="7">
        <f>INDEX('面板-景气指数'!$37:$244,MATCH('面板-总览'!$A9,'面板-景气指数'!$A$37:$A$244,0),MATCH('面板-总览'!F$2,'面板-景气指数'!$36:$36,0))</f>
        <v>0.48888551419667142</v>
      </c>
      <c r="G9" s="7">
        <f>INDEX('面板-景气指数'!$37:$244,MATCH('面板-总览'!$A9,'面板-景气指数'!$A$37:$A$244,0),MATCH('面板-总览'!G$2,'面板-景气指数'!$36:$36,0))</f>
        <v>0.35140681949969083</v>
      </c>
      <c r="H9" s="7">
        <f>INDEX('面板-景气指数'!$37:$244,MATCH('面板-总览'!$A9,'面板-景气指数'!$A$37:$A$244,0),MATCH('面板-总览'!H$2,'面板-景气指数'!$36:$36,0))</f>
        <v>0.38926409787338262</v>
      </c>
      <c r="I9" s="7">
        <f>INDEX('面板-景气指数'!$37:$244,MATCH('面板-总览'!$A9,'面板-景气指数'!$A$37:$A$244,0),MATCH('面板-总览'!I$2,'面板-景气指数'!$36:$36,0))</f>
        <v>0.41475806257461584</v>
      </c>
      <c r="J9" s="7">
        <f>INDEX('面板-景气指数'!$37:$244,MATCH('面板-总览'!$A9,'面板-景气指数'!$A$37:$A$244,0),MATCH('面板-总览'!J$2,'面板-景气指数'!$36:$36,0))</f>
        <v>0.51589487715891924</v>
      </c>
      <c r="K9" s="7">
        <f>INDEX('面板-景气指数'!$37:$244,MATCH('面板-总览'!$A9,'面板-景气指数'!$A$37:$A$244,0),MATCH('面板-总览'!K$2,'面板-景气指数'!$36:$36,0))</f>
        <v>0.55289142388354784</v>
      </c>
      <c r="L9" s="7">
        <f>INDEX('面板-景气指数'!$37:$244,MATCH('面板-总览'!$A9,'面板-景气指数'!$A$37:$A$244,0),MATCH('面板-总览'!L$2,'面板-景气指数'!$36:$36,0))</f>
        <v>0.60100057273764285</v>
      </c>
      <c r="M9" s="7">
        <f>INDEX('面板-景气指数'!$37:$244,MATCH('面板-总览'!$A9,'面板-景气指数'!$A$37:$A$244,0),MATCH('面板-总览'!M$2,'面板-景气指数'!$36:$36,0))</f>
        <v>0.63312526972171423</v>
      </c>
      <c r="N9" s="7">
        <f>INDEX('面板-景气指数'!$37:$244,MATCH('面板-总览'!$A9,'面板-景气指数'!$A$37:$A$244,0),MATCH('面板-总览'!N$2,'面板-景气指数'!$36:$36,0))</f>
        <v>0.62291137453176304</v>
      </c>
      <c r="O9" s="8"/>
      <c r="P9" s="9">
        <f t="shared" si="0"/>
        <v>7.0019950648215201E-2</v>
      </c>
      <c r="R9" s="6" t="s">
        <v>24</v>
      </c>
      <c r="S9" s="7">
        <f>INDEX('面板-景气指数'!$37:$244,MATCH('面板-总览'!$R9,'面板-景气指数'!$A$37:$A$244,0),MATCH('面板-总览'!S$2,'面板-景气指数'!$36:$36,0))</f>
        <v>0.72550000000000003</v>
      </c>
      <c r="T9" s="7">
        <f>INDEX('面板-景气指数'!$37:$244,MATCH('面板-总览'!$R9,'面板-景气指数'!$A$37:$A$244,0),MATCH('面板-总览'!T$2,'面板-景气指数'!$36:$36,0))</f>
        <v>0.71099999999999997</v>
      </c>
      <c r="U9" s="7">
        <f>INDEX('面板-景气指数'!$37:$244,MATCH('面板-总览'!$R9,'面板-景气指数'!$A$37:$A$244,0),MATCH('面板-总览'!U$2,'面板-景气指数'!$36:$36,0))</f>
        <v>0.65849999999999997</v>
      </c>
      <c r="V9" s="7">
        <f>INDEX('面板-景气指数'!$37:$244,MATCH('面板-总览'!$R9,'面板-景气指数'!$A$37:$A$244,0),MATCH('面板-总览'!V$2,'面板-景气指数'!$36:$36,0))</f>
        <v>0.59100000000000008</v>
      </c>
      <c r="W9" s="7">
        <f>INDEX('面板-景气指数'!$37:$244,MATCH('面板-总览'!$R9,'面板-景气指数'!$A$37:$A$244,0),MATCH('面板-总览'!W$2,'面板-景气指数'!$36:$36,0))</f>
        <v>0.54249999999999998</v>
      </c>
      <c r="X9" s="7">
        <f>INDEX('面板-景气指数'!$37:$244,MATCH('面板-总览'!$R9,'面板-景气指数'!$A$37:$A$244,0),MATCH('面板-总览'!X$2,'面板-景气指数'!$36:$36,0))</f>
        <v>0.57150000000000001</v>
      </c>
      <c r="Y9" s="7">
        <f>INDEX('面板-景气指数'!$37:$244,MATCH('面板-总览'!$R9,'面板-景气指数'!$A$37:$A$244,0),MATCH('面板-总览'!Y$2,'面板-景气指数'!$36:$36,0))</f>
        <v>0.629</v>
      </c>
      <c r="Z9" s="7">
        <f>INDEX('面板-景气指数'!$37:$244,MATCH('面板-总览'!$R9,'面板-景气指数'!$A$37:$A$244,0),MATCH('面板-总览'!Z$2,'面板-景气指数'!$36:$36,0))</f>
        <v>0.68700000000000006</v>
      </c>
      <c r="AA9" s="7">
        <f>INDEX('面板-景气指数'!$37:$244,MATCH('面板-总览'!$R9,'面板-景气指数'!$A$37:$A$244,0),MATCH('面板-总览'!AA$2,'面板-景气指数'!$36:$36,0))</f>
        <v>0.74950000000000006</v>
      </c>
      <c r="AB9" s="7">
        <f>INDEX('面板-景气指数'!$37:$244,MATCH('面板-总览'!$R9,'面板-景气指数'!$A$37:$A$244,0),MATCH('面板-总览'!AB$2,'面板-景气指数'!$36:$36,0))</f>
        <v>0.82150000000000001</v>
      </c>
      <c r="AC9" s="7">
        <f>INDEX('面板-景气指数'!$37:$244,MATCH('面板-总览'!$R9,'面板-景气指数'!$A$37:$A$244,0),MATCH('面板-总览'!AC$2,'面板-景气指数'!$36:$36,0))</f>
        <v>0.85050000000000003</v>
      </c>
      <c r="AD9" s="7">
        <f>INDEX('面板-景气指数'!$37:$244,MATCH('面板-总览'!$R9,'面板-景气指数'!$A$37:$A$244,0),MATCH('面板-总览'!AD$2,'面板-景气指数'!$36:$36,0))</f>
        <v>0.89850000000000008</v>
      </c>
      <c r="AE9" s="7">
        <f>INDEX('面板-景气指数'!$37:$244,MATCH('面板-总览'!$R9,'面板-景气指数'!$A$37:$A$244,0),MATCH('面板-总览'!AE$2,'面板-景气指数'!$36:$36,0))</f>
        <v>0.9325</v>
      </c>
      <c r="AF9" s="11"/>
      <c r="AG9" s="12">
        <f t="shared" si="1"/>
        <v>0.11099999999999999</v>
      </c>
      <c r="AI9" s="6" t="s">
        <v>25</v>
      </c>
      <c r="AJ9" s="7">
        <f>INDEX('面板-景气指数'!$37:$244,MATCH('面板-总览'!$AI9,'面板-景气指数'!$A$37:$A$244,0),MATCH('面板-总览'!AJ$2,'面板-景气指数'!$36:$36,0))</f>
        <v>0.48</v>
      </c>
      <c r="AK9" s="7">
        <f>INDEX('面板-景气指数'!$37:$244,MATCH('面板-总览'!$AI9,'面板-景气指数'!$A$37:$A$244,0),MATCH('面板-总览'!AK$2,'面板-景气指数'!$36:$36,0))</f>
        <v>0.51900000000000002</v>
      </c>
      <c r="AL9" s="7">
        <f>INDEX('面板-景气指数'!$37:$244,MATCH('面板-总览'!$AI9,'面板-景气指数'!$A$37:$A$244,0),MATCH('面板-总览'!AL$2,'面板-景气指数'!$36:$36,0))</f>
        <v>0.57599999999999996</v>
      </c>
      <c r="AM9" s="7">
        <f>INDEX('面板-景气指数'!$37:$244,MATCH('面板-总览'!$AI9,'面板-景气指数'!$A$37:$A$244,0),MATCH('面板-总览'!AM$2,'面板-景气指数'!$36:$36,0))</f>
        <v>0.52800000000000002</v>
      </c>
      <c r="AN9" s="7">
        <f>INDEX('面板-景气指数'!$37:$244,MATCH('面板-总览'!$AI9,'面板-景气指数'!$A$37:$A$244,0),MATCH('面板-总览'!AN$2,'面板-景气指数'!$36:$36,0))</f>
        <v>0.45100000000000001</v>
      </c>
      <c r="AO9" s="7">
        <f>INDEX('面板-景气指数'!$37:$244,MATCH('面板-总览'!$AI9,'面板-景气指数'!$A$37:$A$244,0),MATCH('面板-总览'!AO$2,'面板-景气指数'!$36:$36,0))</f>
        <v>0.432</v>
      </c>
      <c r="AP9" s="7">
        <f>INDEX('面板-景气指数'!$37:$244,MATCH('面板-总览'!$AI9,'面板-景气指数'!$A$37:$A$244,0),MATCH('面板-总览'!AP$2,'面板-景气指数'!$36:$36,0))</f>
        <v>0.53800000000000003</v>
      </c>
      <c r="AQ9" s="7">
        <f>INDEX('面板-景气指数'!$37:$244,MATCH('面板-总览'!$AI9,'面板-景气指数'!$A$37:$A$244,0),MATCH('面板-总览'!AQ$2,'面板-景气指数'!$36:$36,0))</f>
        <v>0.67300000000000004</v>
      </c>
      <c r="AR9" s="7">
        <f>INDEX('面板-景气指数'!$37:$244,MATCH('面板-总览'!$AI9,'面板-景气指数'!$A$37:$A$244,0),MATCH('面板-总览'!AR$2,'面板-景气指数'!$36:$36,0))</f>
        <v>0.75900000000000012</v>
      </c>
      <c r="AS9" s="7">
        <f>INDEX('面板-景气指数'!$37:$244,MATCH('面板-总览'!$AI9,'面板-景气指数'!$A$37:$A$244,0),MATCH('面板-总览'!AS$2,'面板-景气指数'!$36:$36,0))</f>
        <v>0.74</v>
      </c>
      <c r="AT9" s="7">
        <f>INDEX('面板-景气指数'!$37:$244,MATCH('面板-总览'!$AI9,'面板-景气指数'!$A$37:$A$244,0),MATCH('面板-总览'!AT$2,'面板-景气指数'!$36:$36,0))</f>
        <v>0.64400000000000002</v>
      </c>
      <c r="AU9" s="7">
        <f>INDEX('面板-景气指数'!$37:$244,MATCH('面板-总览'!$AI9,'面板-景气指数'!$A$37:$A$244,0),MATCH('面板-总览'!AU$2,'面板-景气指数'!$36:$36,0))</f>
        <v>0.61499999999999999</v>
      </c>
      <c r="AV9" s="7">
        <f>INDEX('面板-景气指数'!$37:$244,MATCH('面板-总览'!$AI9,'面板-景气指数'!$A$37:$A$244,0),MATCH('面板-总览'!AV$2,'面板-景气指数'!$36:$36,0))</f>
        <v>0.625</v>
      </c>
      <c r="AX9" s="12">
        <f t="shared" si="2"/>
        <v>-0.11499999999999999</v>
      </c>
    </row>
    <row r="10" spans="1:50" ht="21" customHeight="1" x14ac:dyDescent="0.2">
      <c r="A10" s="6" t="s">
        <v>26</v>
      </c>
      <c r="B10" s="7">
        <f>INDEX('面板-景气指数'!$37:$244,MATCH('面板-总览'!$A10,'面板-景气指数'!$A$37:$A$244,0),MATCH('面板-总览'!B$2,'面板-景气指数'!$36:$36,0))</f>
        <v>0.4513943754634222</v>
      </c>
      <c r="C10" s="7">
        <f>INDEX('面板-景气指数'!$37:$244,MATCH('面板-总览'!$A10,'面板-景气指数'!$A$37:$A$244,0),MATCH('面板-总览'!C$2,'面板-景气指数'!$36:$36,0))</f>
        <v>0.46906961288916482</v>
      </c>
      <c r="D10" s="7">
        <f>INDEX('面板-景气指数'!$37:$244,MATCH('面板-总览'!$A10,'面板-景气指数'!$A$37:$A$244,0),MATCH('面板-总览'!D$2,'面板-景气指数'!$36:$36,0))</f>
        <v>0.49384102966314514</v>
      </c>
      <c r="E10" s="7">
        <f>INDEX('面板-景气指数'!$37:$244,MATCH('面板-总览'!$A10,'面板-景气指数'!$A$37:$A$244,0),MATCH('面板-总览'!E$2,'面板-景气指数'!$36:$36,0))</f>
        <v>0.50740977486160588</v>
      </c>
      <c r="F10" s="7">
        <f>INDEX('面板-景气指数'!$37:$244,MATCH('面板-总览'!$A10,'面板-景气指数'!$A$37:$A$244,0),MATCH('面板-总览'!F$2,'面板-景气指数'!$36:$36,0))</f>
        <v>0.49636199465067166</v>
      </c>
      <c r="G10" s="7">
        <f>INDEX('面板-景气指数'!$37:$244,MATCH('面板-总览'!$A10,'面板-景气指数'!$A$37:$A$244,0),MATCH('面板-总览'!G$2,'面板-景气指数'!$36:$36,0))</f>
        <v>0.47957166027086839</v>
      </c>
      <c r="H10" s="7">
        <f>INDEX('面板-景气指数'!$37:$244,MATCH('面板-总览'!$A10,'面板-景气指数'!$A$37:$A$244,0),MATCH('面板-总览'!H$2,'面板-景气指数'!$36:$36,0))</f>
        <v>0.48177897697534977</v>
      </c>
      <c r="I10" s="7">
        <f>INDEX('面板-景气指数'!$37:$244,MATCH('面板-总览'!$A10,'面板-景气指数'!$A$37:$A$244,0),MATCH('面板-总览'!I$2,'面板-景气指数'!$36:$36,0))</f>
        <v>0.44575453724851999</v>
      </c>
      <c r="J10" s="7">
        <f>INDEX('面板-景气指数'!$37:$244,MATCH('面板-总览'!$A10,'面板-景气指数'!$A$37:$A$244,0),MATCH('面板-总览'!J$2,'面板-景气指数'!$36:$36,0))</f>
        <v>0.44954703673087637</v>
      </c>
      <c r="K10" s="7">
        <f>INDEX('面板-景气指数'!$37:$244,MATCH('面板-总览'!$A10,'面板-景气指数'!$A$37:$A$244,0),MATCH('面板-总览'!K$2,'面板-景气指数'!$36:$36,0))</f>
        <v>0.44212989891151189</v>
      </c>
      <c r="L10" s="7">
        <f>INDEX('面板-景气指数'!$37:$244,MATCH('面板-总览'!$A10,'面板-景气指数'!$A$37:$A$244,0),MATCH('面板-总览'!L$2,'面板-景气指数'!$36:$36,0))</f>
        <v>0.44255089139561332</v>
      </c>
      <c r="M10" s="7">
        <f>INDEX('面板-景气指数'!$37:$244,MATCH('面板-总览'!$A10,'面板-景气指数'!$A$37:$A$244,0),MATCH('面板-总览'!M$2,'面板-景气指数'!$36:$36,0))</f>
        <v>0.44595162342226524</v>
      </c>
      <c r="N10" s="7">
        <f>INDEX('面板-景气指数'!$37:$244,MATCH('面板-总览'!$A10,'面板-景气指数'!$A$37:$A$244,0),MATCH('面板-总览'!N$2,'面板-景气指数'!$36:$36,0))</f>
        <v>0.4587709748867414</v>
      </c>
      <c r="O10" s="8"/>
      <c r="P10" s="9">
        <f t="shared" si="0"/>
        <v>1.6641075975229513E-2</v>
      </c>
      <c r="R10" s="6" t="s">
        <v>27</v>
      </c>
      <c r="S10" s="7">
        <f>INDEX('面板-景气指数'!$37:$244,MATCH('面板-总览'!$R10,'面板-景气指数'!$A$37:$A$244,0),MATCH('面板-总览'!S$2,'面板-景气指数'!$36:$36,0))</f>
        <v>0.66774999999999995</v>
      </c>
      <c r="T10" s="7">
        <f>INDEX('面板-景气指数'!$37:$244,MATCH('面板-总览'!$R10,'面板-景气指数'!$A$37:$A$244,0),MATCH('面板-总览'!T$2,'面板-景气指数'!$36:$36,0))</f>
        <v>0.63425000000000009</v>
      </c>
      <c r="U10" s="7">
        <f>INDEX('面板-景气指数'!$37:$244,MATCH('面板-总览'!$R10,'面板-景气指数'!$A$37:$A$244,0),MATCH('面板-总览'!U$2,'面板-景气指数'!$36:$36,0))</f>
        <v>0.54049999999999987</v>
      </c>
      <c r="V10" s="7">
        <f>INDEX('面板-景气指数'!$37:$244,MATCH('面板-总览'!$R10,'面板-景气指数'!$A$37:$A$244,0),MATCH('面板-总览'!V$2,'面板-景气指数'!$36:$36,0))</f>
        <v>0.45874999999999999</v>
      </c>
      <c r="W10" s="7">
        <f>INDEX('面板-景气指数'!$37:$244,MATCH('面板-总览'!$R10,'面板-景气指数'!$A$37:$A$244,0),MATCH('面板-总览'!W$2,'面板-景气指数'!$36:$36,0))</f>
        <v>0.38399999999999995</v>
      </c>
      <c r="X10" s="7">
        <f>INDEX('面板-景气指数'!$37:$244,MATCH('面板-总览'!$R10,'面板-景气指数'!$A$37:$A$244,0),MATCH('面板-总览'!X$2,'面板-景气指数'!$36:$36,0))</f>
        <v>0.37425000000000003</v>
      </c>
      <c r="Y10" s="7">
        <f>INDEX('面板-景气指数'!$37:$244,MATCH('面板-总览'!$R10,'面板-景气指数'!$A$37:$A$244,0),MATCH('面板-总览'!Y$2,'面板-景气指数'!$36:$36,0))</f>
        <v>0.45174999999999998</v>
      </c>
      <c r="Z10" s="7">
        <f>INDEX('面板-景气指数'!$37:$244,MATCH('面板-总览'!$R10,'面板-景气指数'!$A$37:$A$244,0),MATCH('面板-总览'!Z$2,'面板-景气指数'!$36:$36,0))</f>
        <v>0.57175000000000009</v>
      </c>
      <c r="AA10" s="7">
        <f>INDEX('面板-景气指数'!$37:$244,MATCH('面板-总览'!$R10,'面板-景气指数'!$A$37:$A$244,0),MATCH('面板-总览'!AA$2,'面板-景气指数'!$36:$36,0))</f>
        <v>0.63424999999999998</v>
      </c>
      <c r="AB10" s="7">
        <f>INDEX('面板-景气指数'!$37:$244,MATCH('面板-总览'!$R10,'面板-景气指数'!$A$37:$A$244,0),MATCH('面板-总览'!AB$2,'面板-景气指数'!$36:$36,0))</f>
        <v>0.59799999999999998</v>
      </c>
      <c r="AC10" s="7">
        <f>INDEX('面板-景气指数'!$37:$244,MATCH('面板-总览'!$R10,'面板-景气指数'!$A$37:$A$244,0),MATCH('面板-总览'!AC$2,'面板-景气指数'!$36:$36,0))</f>
        <v>0.53550000000000009</v>
      </c>
      <c r="AD10" s="7">
        <f>INDEX('面板-景气指数'!$37:$244,MATCH('面板-总览'!$R10,'面板-景气指数'!$A$37:$A$244,0),MATCH('面板-总览'!AD$2,'面板-景气指数'!$36:$36,0))</f>
        <v>0.51375000000000004</v>
      </c>
      <c r="AE10" s="7">
        <f>INDEX('面板-景气指数'!$37:$244,MATCH('面板-总览'!$R10,'面板-景气指数'!$A$37:$A$244,0),MATCH('面板-总览'!AE$2,'面板-景气指数'!$36:$36,0))</f>
        <v>0.50700000000000001</v>
      </c>
      <c r="AF10" s="11"/>
      <c r="AG10" s="12">
        <f t="shared" si="1"/>
        <v>-9.099999999999997E-2</v>
      </c>
      <c r="AI10" s="6" t="s">
        <v>28</v>
      </c>
      <c r="AJ10" s="7">
        <f>INDEX('面板-景气指数'!$37:$244,MATCH('面板-总览'!$AI10,'面板-景气指数'!$A$37:$A$244,0),MATCH('面板-总览'!AJ$2,'面板-景气指数'!$36:$36,0))</f>
        <v>0.77800000000000002</v>
      </c>
      <c r="AK10" s="7">
        <f>INDEX('面板-景气指数'!$37:$244,MATCH('面板-总览'!$AI10,'面板-景气指数'!$A$37:$A$244,0),MATCH('面板-总览'!AK$2,'面板-景气指数'!$36:$36,0))</f>
        <v>0.57599999999999996</v>
      </c>
      <c r="AL10" s="7">
        <f>INDEX('面板-景气指数'!$37:$244,MATCH('面板-总览'!$AI10,'面板-景气指数'!$A$37:$A$244,0),MATCH('面板-总览'!AL$2,'面板-景气指数'!$36:$36,0))</f>
        <v>0.221</v>
      </c>
      <c r="AM10" s="7">
        <f>INDEX('面板-景气指数'!$37:$244,MATCH('面板-总览'!$AI10,'面板-景气指数'!$A$37:$A$244,0),MATCH('面板-总览'!AM$2,'面板-景气指数'!$36:$36,0))</f>
        <v>9.5999999999999988E-2</v>
      </c>
      <c r="AN10" s="7">
        <f>INDEX('面板-景气指数'!$37:$244,MATCH('面板-总览'!$AI10,'面板-景气指数'!$A$37:$A$244,0),MATCH('面板-总览'!AN$2,'面板-景气指数'!$36:$36,0))</f>
        <v>3.7999999999999999E-2</v>
      </c>
      <c r="AO10" s="7">
        <f>INDEX('面板-景气指数'!$37:$244,MATCH('面板-总览'!$AI10,'面板-景气指数'!$A$37:$A$244,0),MATCH('面板-总览'!AO$2,'面板-景气指数'!$36:$36,0))</f>
        <v>2.7999999999999997E-2</v>
      </c>
      <c r="AP10" s="7">
        <f>INDEX('面板-景气指数'!$37:$244,MATCH('面板-总览'!$AI10,'面板-景气指数'!$A$37:$A$244,0),MATCH('面板-总览'!AP$2,'面板-景气指数'!$36:$36,0))</f>
        <v>0.125</v>
      </c>
      <c r="AQ10" s="7">
        <f>INDEX('面板-景气指数'!$37:$244,MATCH('面板-总览'!$AI10,'面板-景气指数'!$A$37:$A$244,0),MATCH('面板-总览'!AQ$2,'面板-景气指数'!$36:$36,0))</f>
        <v>0.317</v>
      </c>
      <c r="AR10" s="7">
        <f>INDEX('面板-景气指数'!$37:$244,MATCH('面板-总览'!$AI10,'面板-景气指数'!$A$37:$A$244,0),MATCH('面板-总览'!AR$2,'面板-景气指数'!$36:$36,0))</f>
        <v>0.41299999999999998</v>
      </c>
      <c r="AS10" s="7">
        <f>INDEX('面板-景气指数'!$37:$244,MATCH('面板-总览'!$AI10,'面板-景气指数'!$A$37:$A$244,0),MATCH('面板-总览'!AS$2,'面板-景气指数'!$36:$36,0))</f>
        <v>0.32600000000000001</v>
      </c>
      <c r="AT10" s="7">
        <f>INDEX('面板-景气指数'!$37:$244,MATCH('面板-总览'!$AI10,'面板-景气指数'!$A$37:$A$244,0),MATCH('面板-总览'!AT$2,'面板-景气指数'!$36:$36,0))</f>
        <v>0.25900000000000001</v>
      </c>
      <c r="AU10" s="7">
        <f>INDEX('面板-景气指数'!$37:$244,MATCH('面板-总览'!$AI10,'面板-景气指数'!$A$37:$A$244,0),MATCH('面板-总览'!AU$2,'面板-景气指数'!$36:$36,0))</f>
        <v>0.20100000000000004</v>
      </c>
      <c r="AV10" s="7">
        <f>INDEX('面板-景气指数'!$37:$244,MATCH('面板-总览'!$AI10,'面板-景气指数'!$A$37:$A$244,0),MATCH('面板-总览'!AV$2,'面板-景气指数'!$36:$36,0))</f>
        <v>0.14399999999999999</v>
      </c>
      <c r="AX10" s="12">
        <f t="shared" si="2"/>
        <v>-0.18200000000000002</v>
      </c>
    </row>
    <row r="11" spans="1:50" ht="21" customHeight="1" x14ac:dyDescent="0.2">
      <c r="A11" s="6" t="s">
        <v>29</v>
      </c>
      <c r="B11" s="7">
        <f>INDEX('面板-景气指数'!$37:$244,MATCH('面板-总览'!$A11,'面板-景气指数'!$A$37:$A$244,0),MATCH('面板-总览'!B$2,'面板-景气指数'!$36:$36,0))</f>
        <v>0.27027071007117565</v>
      </c>
      <c r="C11" s="7">
        <f>INDEX('面板-景气指数'!$37:$244,MATCH('面板-总览'!$A11,'面板-景气指数'!$A$37:$A$244,0),MATCH('面板-总览'!C$2,'面板-景气指数'!$36:$36,0))</f>
        <v>0.27291822106268743</v>
      </c>
      <c r="D11" s="7">
        <f>INDEX('面板-景气指数'!$37:$244,MATCH('面板-总览'!$A11,'面板-景气指数'!$A$37:$A$244,0),MATCH('面板-总览'!D$2,'面板-景气指数'!$36:$36,0))</f>
        <v>0.27936613826116286</v>
      </c>
      <c r="E11" s="7">
        <f>INDEX('面板-景气指数'!$37:$244,MATCH('面板-总览'!$A11,'面板-景气指数'!$A$37:$A$244,0),MATCH('面板-总览'!E$2,'面板-景气指数'!$36:$36,0))</f>
        <v>0.30122389127764454</v>
      </c>
      <c r="F11" s="7">
        <f>INDEX('面板-景气指数'!$37:$244,MATCH('面板-总览'!$A11,'面板-景气指数'!$A$37:$A$244,0),MATCH('面板-总览'!F$2,'面板-景气指数'!$36:$36,0))</f>
        <v>0.32360826455335445</v>
      </c>
      <c r="G11" s="7">
        <f>INDEX('面板-景气指数'!$37:$244,MATCH('面板-总览'!$A11,'面板-景气指数'!$A$37:$A$244,0),MATCH('面板-总览'!G$2,'面板-景气指数'!$36:$36,0))</f>
        <v>0.35693495311257506</v>
      </c>
      <c r="H11" s="7">
        <f>INDEX('面板-景气指数'!$37:$244,MATCH('面板-总览'!$A11,'面板-景气指数'!$A$37:$A$244,0),MATCH('面板-总览'!H$2,'面板-景气指数'!$36:$36,0))</f>
        <v>0.37055023352782307</v>
      </c>
      <c r="I11" s="7">
        <f>INDEX('面板-景气指数'!$37:$244,MATCH('面板-总览'!$A11,'面板-景气指数'!$A$37:$A$244,0),MATCH('面板-总览'!I$2,'面板-景气指数'!$36:$36,0))</f>
        <v>0.42115442464663516</v>
      </c>
      <c r="J11" s="7">
        <f>INDEX('面板-景气指数'!$37:$244,MATCH('面板-总览'!$A11,'面板-景气指数'!$A$37:$A$244,0),MATCH('面板-总览'!J$2,'面板-景气指数'!$36:$36,0))</f>
        <v>0.44219309165144843</v>
      </c>
      <c r="K11" s="7">
        <f>INDEX('面板-景气指数'!$37:$244,MATCH('面板-总览'!$A11,'面板-景气指数'!$A$37:$A$244,0),MATCH('面板-总览'!K$2,'面板-景气指数'!$36:$36,0))</f>
        <v>0.45022900634787555</v>
      </c>
      <c r="L11" s="7">
        <f>INDEX('面板-景气指数'!$37:$244,MATCH('面板-总览'!$A11,'面板-景气指数'!$A$37:$A$244,0),MATCH('面板-总览'!L$2,'面板-景气指数'!$36:$36,0))</f>
        <v>0.47449646532614609</v>
      </c>
      <c r="M11" s="7">
        <f>INDEX('面板-景气指数'!$37:$244,MATCH('面板-总览'!$A11,'面板-景气指数'!$A$37:$A$244,0),MATCH('面板-总览'!M$2,'面板-景气指数'!$36:$36,0))</f>
        <v>0.4667022441268146</v>
      </c>
      <c r="N11" s="7">
        <f>INDEX('面板-景气指数'!$37:$244,MATCH('面板-总览'!$A11,'面板-景气指数'!$A$37:$A$244,0),MATCH('面板-总览'!N$2,'面板-景气指数'!$36:$36,0))</f>
        <v>0.46612586175121967</v>
      </c>
      <c r="O11" s="8"/>
      <c r="P11" s="9">
        <f t="shared" si="0"/>
        <v>1.5896855403344123E-2</v>
      </c>
      <c r="R11" s="6" t="s">
        <v>30</v>
      </c>
      <c r="S11" s="7">
        <f>INDEX('面板-景气指数'!$37:$244,MATCH('面板-总览'!$R11,'面板-景气指数'!$A$37:$A$244,0),MATCH('面板-总览'!S$2,'面板-景气指数'!$36:$36,0))</f>
        <v>0.185</v>
      </c>
      <c r="T11" s="7">
        <f>INDEX('面板-景气指数'!$37:$244,MATCH('面板-总览'!$R11,'面板-景气指数'!$A$37:$A$244,0),MATCH('面板-总览'!T$2,'面板-景气指数'!$36:$36,0))</f>
        <v>0.14366666666666669</v>
      </c>
      <c r="U11" s="7">
        <f>INDEX('面板-景气指数'!$37:$244,MATCH('面板-总览'!$R11,'面板-景气指数'!$A$37:$A$244,0),MATCH('面板-总览'!U$2,'面板-景气指数'!$36:$36,0))</f>
        <v>0.11266666666666668</v>
      </c>
      <c r="V11" s="7">
        <f>INDEX('面板-景气指数'!$37:$244,MATCH('面板-总览'!$R11,'面板-景气指数'!$A$37:$A$244,0),MATCH('面板-总览'!V$2,'面板-景气指数'!$36:$36,0))</f>
        <v>0.11366666666666665</v>
      </c>
      <c r="W11" s="7">
        <f>INDEX('面板-景气指数'!$37:$244,MATCH('面板-总览'!$R11,'面板-景气指数'!$A$37:$A$244,0),MATCH('面板-总览'!W$2,'面板-景气指数'!$36:$36,0))</f>
        <v>0.13</v>
      </c>
      <c r="X11" s="7">
        <f>INDEX('面板-景气指数'!$37:$244,MATCH('面板-总览'!$R11,'面板-景气指数'!$A$37:$A$244,0),MATCH('面板-总览'!X$2,'面板-景气指数'!$36:$36,0))</f>
        <v>0.14966666666666667</v>
      </c>
      <c r="Y11" s="7">
        <f>INDEX('面板-景气指数'!$37:$244,MATCH('面板-总览'!$R11,'面板-景气指数'!$A$37:$A$244,0),MATCH('面板-总览'!Y$2,'面板-景气指数'!$36:$36,0))</f>
        <v>0.20133333333333334</v>
      </c>
      <c r="Z11" s="7">
        <f>INDEX('面板-景气指数'!$37:$244,MATCH('面板-总览'!$R11,'面板-景气指数'!$A$37:$A$244,0),MATCH('面板-总览'!Z$2,'面板-景气指数'!$36:$36,0))</f>
        <v>0.23399999999999999</v>
      </c>
      <c r="AA11" s="7">
        <f>INDEX('面板-景气指数'!$37:$244,MATCH('面板-总览'!$R11,'面板-景气指数'!$A$37:$A$244,0),MATCH('面板-总览'!AA$2,'面板-景气指数'!$36:$36,0))</f>
        <v>0.25733333333333336</v>
      </c>
      <c r="AB11" s="7">
        <f>INDEX('面板-景气指数'!$37:$244,MATCH('面板-总览'!$R11,'面板-景气指数'!$A$37:$A$244,0),MATCH('面板-总览'!AB$2,'面板-景气指数'!$36:$36,0))</f>
        <v>0.23766666666666664</v>
      </c>
      <c r="AC11" s="7">
        <f>INDEX('面板-景气指数'!$37:$244,MATCH('面板-总览'!$R11,'面板-景气指数'!$A$37:$A$244,0),MATCH('面板-总览'!AC$2,'面板-景气指数'!$36:$36,0))</f>
        <v>0.21233333333333332</v>
      </c>
      <c r="AD11" s="7">
        <f>INDEX('面板-景气指数'!$37:$244,MATCH('面板-总览'!$R11,'面板-景气指数'!$A$37:$A$244,0),MATCH('面板-总览'!AD$2,'面板-景气指数'!$36:$36,0))</f>
        <v>0.21533333333333332</v>
      </c>
      <c r="AE11" s="7">
        <f>INDEX('面板-景气指数'!$37:$244,MATCH('面板-总览'!$R11,'面板-景气指数'!$A$37:$A$244,0),MATCH('面板-总览'!AE$2,'面板-景气指数'!$36:$36,0))</f>
        <v>0.24266666666666667</v>
      </c>
      <c r="AF11" s="11"/>
      <c r="AG11" s="12">
        <f t="shared" si="1"/>
        <v>5.0000000000000322E-3</v>
      </c>
      <c r="AI11" s="6" t="s">
        <v>31</v>
      </c>
      <c r="AJ11" s="7">
        <f>INDEX('面板-景气指数'!$37:$244,MATCH('面板-总览'!$AI11,'面板-景气指数'!$A$37:$A$244,0),MATCH('面板-总览'!AJ$2,'面板-景气指数'!$36:$36,0))</f>
        <v>0.66300000000000003</v>
      </c>
      <c r="AK11" s="7">
        <f>INDEX('面板-景气指数'!$37:$244,MATCH('面板-总览'!$AI11,'面板-景气指数'!$A$37:$A$244,0),MATCH('面板-总览'!AK$2,'面板-景气指数'!$36:$36,0))</f>
        <v>0.67300000000000004</v>
      </c>
      <c r="AL11" s="7">
        <f>INDEX('面板-景气指数'!$37:$244,MATCH('面板-总览'!$AI11,'面板-景气指数'!$A$37:$A$244,0),MATCH('面板-总览'!AL$2,'面板-景气指数'!$36:$36,0))</f>
        <v>0.625</v>
      </c>
      <c r="AM11" s="7">
        <f>INDEX('面板-景气指数'!$37:$244,MATCH('面板-总览'!$AI11,'面板-景气指数'!$A$37:$A$244,0),MATCH('面板-总览'!AM$2,'面板-景气指数'!$36:$36,0))</f>
        <v>0.53800000000000003</v>
      </c>
      <c r="AN11" s="7">
        <f>INDEX('面板-景气指数'!$37:$244,MATCH('面板-总览'!$AI11,'面板-景气指数'!$A$37:$A$244,0),MATCH('面板-总览'!AN$2,'面板-景气指数'!$36:$36,0))</f>
        <v>0.39400000000000002</v>
      </c>
      <c r="AO11" s="7">
        <f>INDEX('面板-景气指数'!$37:$244,MATCH('面板-总览'!$AI11,'面板-景气指数'!$A$37:$A$244,0),MATCH('面板-总览'!AO$2,'面板-景气指数'!$36:$36,0))</f>
        <v>0.45100000000000001</v>
      </c>
      <c r="AP11" s="7">
        <f>INDEX('面板-景气指数'!$37:$244,MATCH('面板-总览'!$AI11,'面板-景气指数'!$A$37:$A$244,0),MATCH('面板-总览'!AP$2,'面板-景气指数'!$36:$36,0))</f>
        <v>0.59599999999999997</v>
      </c>
      <c r="AQ11" s="7">
        <f>INDEX('面板-景气指数'!$37:$244,MATCH('面板-总览'!$AI11,'面板-景气指数'!$A$37:$A$244,0),MATCH('面板-总览'!AQ$2,'面板-景气指数'!$36:$36,0))</f>
        <v>0.70099999999999996</v>
      </c>
      <c r="AR11" s="7">
        <f>INDEX('面板-景气指数'!$37:$244,MATCH('面板-总览'!$AI11,'面板-景气指数'!$A$37:$A$244,0),MATCH('面板-总览'!AR$2,'面板-景气指数'!$36:$36,0))</f>
        <v>0.74</v>
      </c>
      <c r="AS11" s="7">
        <f>INDEX('面板-景气指数'!$37:$244,MATCH('面板-总览'!$AI11,'面板-景气指数'!$A$37:$A$244,0),MATCH('面板-总览'!AS$2,'面板-景气指数'!$36:$36,0))</f>
        <v>0.75900000000000012</v>
      </c>
      <c r="AT11" s="7">
        <f>INDEX('面板-景气指数'!$37:$244,MATCH('面板-总览'!$AI11,'面板-景气指数'!$A$37:$A$244,0),MATCH('面板-总览'!AT$2,'面板-景气指数'!$36:$36,0))</f>
        <v>0.71099999999999997</v>
      </c>
      <c r="AU11" s="7">
        <f>INDEX('面板-景气指数'!$37:$244,MATCH('面板-总览'!$AI11,'面板-景气指数'!$A$37:$A$244,0),MATCH('面板-总览'!AU$2,'面板-景气指数'!$36:$36,0))</f>
        <v>0.68200000000000005</v>
      </c>
      <c r="AV11" s="7">
        <f>INDEX('面板-景气指数'!$37:$244,MATCH('面板-总览'!$AI11,'面板-景气指数'!$A$37:$A$244,0),MATCH('面板-总览'!AV$2,'面板-景气指数'!$36:$36,0))</f>
        <v>0.64400000000000002</v>
      </c>
      <c r="AX11" s="12">
        <f t="shared" si="2"/>
        <v>-0.1150000000000001</v>
      </c>
    </row>
    <row r="12" spans="1:50" ht="21" customHeight="1" x14ac:dyDescent="0.2">
      <c r="A12" s="6" t="s">
        <v>32</v>
      </c>
      <c r="B12" s="7">
        <f>INDEX('面板-景气指数'!$37:$244,MATCH('面板-总览'!$A12,'面板-景气指数'!$A$37:$A$244,0),MATCH('面板-总览'!B$2,'面板-景气指数'!$36:$36,0))</f>
        <v>0.20829772153676837</v>
      </c>
      <c r="C12" s="7">
        <f>INDEX('面板-景气指数'!$37:$244,MATCH('面板-总览'!$A12,'面板-景气指数'!$A$37:$A$244,0),MATCH('面板-总览'!C$2,'面板-景气指数'!$36:$36,0))</f>
        <v>0.15816532341767833</v>
      </c>
      <c r="D12" s="7">
        <f>INDEX('面板-景气指数'!$37:$244,MATCH('面板-总览'!$A12,'面板-景气指数'!$A$37:$A$244,0),MATCH('面板-总览'!D$2,'面板-景气指数'!$36:$36,0))</f>
        <v>0.13632548318285972</v>
      </c>
      <c r="E12" s="7">
        <f>INDEX('面板-景气指数'!$37:$244,MATCH('面板-总览'!$A12,'面板-景气指数'!$A$37:$A$244,0),MATCH('面板-总览'!E$2,'面板-景气指数'!$36:$36,0))</f>
        <v>0.1364375051384796</v>
      </c>
      <c r="F12" s="7">
        <f>INDEX('面板-景气指数'!$37:$244,MATCH('面板-总览'!$A12,'面板-景气指数'!$A$37:$A$244,0),MATCH('面板-总览'!F$2,'面板-景气指数'!$36:$36,0))</f>
        <v>0.13544071943325989</v>
      </c>
      <c r="G12" s="7">
        <f>INDEX('面板-景气指数'!$37:$244,MATCH('面板-总览'!$A12,'面板-景气指数'!$A$37:$A$244,0),MATCH('面板-总览'!G$2,'面板-景气指数'!$36:$36,0))</f>
        <v>0.17570142197537578</v>
      </c>
      <c r="H12" s="7">
        <f>INDEX('面板-景气指数'!$37:$244,MATCH('面板-总览'!$A12,'面板-景气指数'!$A$37:$A$244,0),MATCH('面板-总览'!H$2,'面板-景气指数'!$36:$36,0))</f>
        <v>0.17258462002089237</v>
      </c>
      <c r="I12" s="7">
        <f>INDEX('面板-景气指数'!$37:$244,MATCH('面板-总览'!$A12,'面板-景气指数'!$A$37:$A$244,0),MATCH('面板-总览'!I$2,'面板-景气指数'!$36:$36,0))</f>
        <v>0.19502475295973173</v>
      </c>
      <c r="J12" s="7">
        <f>INDEX('面板-景气指数'!$37:$244,MATCH('面板-总览'!$A12,'面板-景气指数'!$A$37:$A$244,0),MATCH('面板-总览'!J$2,'面板-景气指数'!$36:$36,0))</f>
        <v>0.22319502651647083</v>
      </c>
      <c r="K12" s="7">
        <f>INDEX('面板-景气指数'!$37:$244,MATCH('面板-总览'!$A12,'面板-景气指数'!$A$37:$A$244,0),MATCH('面板-总览'!K$2,'面板-景气指数'!$36:$36,0))</f>
        <v>0.26388230748788238</v>
      </c>
      <c r="L12" s="7">
        <f>INDEX('面板-景气指数'!$37:$244,MATCH('面板-总览'!$A12,'面板-景气指数'!$A$37:$A$244,0),MATCH('面板-总览'!L$2,'面板-景气指数'!$36:$36,0))</f>
        <v>0.29211784394202345</v>
      </c>
      <c r="M12" s="7">
        <f>INDEX('面板-景气指数'!$37:$244,MATCH('面板-总览'!$A12,'面板-景气指数'!$A$37:$A$244,0),MATCH('面板-总览'!M$2,'面板-景气指数'!$36:$36,0))</f>
        <v>0.27309771438656205</v>
      </c>
      <c r="N12" s="7">
        <f>INDEX('面板-景气指数'!$37:$244,MATCH('面板-总览'!$A12,'面板-景气指数'!$A$37:$A$244,0),MATCH('面板-总览'!N$2,'面板-景气指数'!$36:$36,0))</f>
        <v>0.26707845633322025</v>
      </c>
      <c r="O12" s="8"/>
      <c r="P12" s="9">
        <f t="shared" si="0"/>
        <v>3.196148845337865E-3</v>
      </c>
      <c r="R12" s="6" t="s">
        <v>33</v>
      </c>
      <c r="S12" s="7">
        <f>INDEX('面板-景气指数'!$37:$244,MATCH('面板-总览'!$R12,'面板-景气指数'!$A$37:$A$244,0),MATCH('面板-总览'!S$2,'面板-景气指数'!$36:$36,0))</f>
        <v>0.221</v>
      </c>
      <c r="T12" s="7">
        <f>INDEX('面板-景气指数'!$37:$244,MATCH('面板-总览'!$R12,'面板-景气指数'!$A$37:$A$244,0),MATCH('面板-总览'!T$2,'面板-景气指数'!$36:$36,0))</f>
        <v>0.16300000000000001</v>
      </c>
      <c r="U12" s="7">
        <f>INDEX('面板-景气指数'!$37:$244,MATCH('面板-总览'!$R12,'面板-景气指数'!$A$37:$A$244,0),MATCH('面板-总览'!U$2,'面板-景气指数'!$36:$36,0))</f>
        <v>7.5999999999999998E-2</v>
      </c>
      <c r="V12" s="7">
        <f>INDEX('面板-景气指数'!$37:$244,MATCH('面板-总览'!$R12,'面板-景气指数'!$A$37:$A$244,0),MATCH('面板-总览'!V$2,'面板-景气指数'!$36:$36,0))</f>
        <v>3.7999999999999999E-2</v>
      </c>
      <c r="W12" s="7">
        <f>INDEX('面板-景气指数'!$37:$244,MATCH('面板-总览'!$R12,'面板-景气指数'!$A$37:$A$244,0),MATCH('面板-总览'!W$2,'面板-景气指数'!$36:$36,0))</f>
        <v>8.9999999999999993E-3</v>
      </c>
      <c r="X12" s="7">
        <f>INDEX('面板-景气指数'!$37:$244,MATCH('面板-总览'!$R12,'面板-景气指数'!$A$37:$A$244,0),MATCH('面板-总览'!X$2,'面板-景气指数'!$36:$36,0))</f>
        <v>0</v>
      </c>
      <c r="Y12" s="7">
        <f>INDEX('面板-景气指数'!$37:$244,MATCH('面板-总览'!$R12,'面板-景气指数'!$A$37:$A$244,0),MATCH('面板-总览'!Y$2,'面板-景气指数'!$36:$36,0))</f>
        <v>2.8000000000000001E-2</v>
      </c>
      <c r="Z12" s="7">
        <f>INDEX('面板-景气指数'!$37:$244,MATCH('面板-总览'!$R12,'面板-景气指数'!$A$37:$A$244,0),MATCH('面板-总览'!Z$2,'面板-景气指数'!$36:$36,0))</f>
        <v>6.7000000000000004E-2</v>
      </c>
      <c r="AA12" s="7">
        <f>INDEX('面板-景气指数'!$37:$244,MATCH('面板-总览'!$R12,'面板-景气指数'!$A$37:$A$244,0),MATCH('面板-总览'!AA$2,'面板-景气指数'!$36:$36,0))</f>
        <v>0.105</v>
      </c>
      <c r="AB12" s="7">
        <f>INDEX('面板-景气指数'!$37:$244,MATCH('面板-总览'!$R12,'面板-景气指数'!$A$37:$A$244,0),MATCH('面板-总览'!AB$2,'面板-景气指数'!$36:$36,0))</f>
        <v>0.11500000000000002</v>
      </c>
      <c r="AC12" s="7">
        <f>INDEX('面板-景气指数'!$37:$244,MATCH('面板-总览'!$R12,'面板-景气指数'!$A$37:$A$244,0),MATCH('面板-总览'!AC$2,'面板-景气指数'!$36:$36,0))</f>
        <v>0.125</v>
      </c>
      <c r="AD12" s="7">
        <f>INDEX('面板-景气指数'!$37:$244,MATCH('面板-总览'!$R12,'面板-景气指数'!$A$37:$A$244,0),MATCH('面板-总览'!AD$2,'面板-景气指数'!$36:$36,0))</f>
        <v>0.153</v>
      </c>
      <c r="AE12" s="7">
        <f>INDEX('面板-景气指数'!$37:$244,MATCH('面板-总览'!$R12,'面板-景气指数'!$A$37:$A$244,0),MATCH('面板-总览'!AE$2,'面板-景气指数'!$36:$36,0))</f>
        <v>0.21099999999999999</v>
      </c>
      <c r="AF12" s="11"/>
      <c r="AG12" s="12">
        <f t="shared" si="1"/>
        <v>9.5999999999999974E-2</v>
      </c>
      <c r="AI12" s="6" t="s">
        <v>34</v>
      </c>
      <c r="AJ12" s="7">
        <f>INDEX('面板-景气指数'!$37:$244,MATCH('面板-总览'!$AI12,'面板-景气指数'!$A$37:$A$244,0),MATCH('面板-总览'!AJ$2,'面板-景气指数'!$36:$36,0))</f>
        <v>0.123</v>
      </c>
      <c r="AK12" s="7">
        <f>INDEX('面板-景气指数'!$37:$244,MATCH('面板-总览'!$AI12,'面板-景气指数'!$A$37:$A$244,0),MATCH('面板-总览'!AK$2,'面板-景气指数'!$36:$36,0))</f>
        <v>6.0999999999999992E-2</v>
      </c>
      <c r="AL12" s="7">
        <f>INDEX('面板-景气指数'!$37:$244,MATCH('面板-总览'!$AI12,'面板-景气指数'!$A$37:$A$244,0),MATCH('面板-总览'!AL$2,'面板-景气指数'!$36:$36,0))</f>
        <v>3.6999999999999998E-2</v>
      </c>
      <c r="AM12" s="7">
        <f>INDEX('面板-景气指数'!$37:$244,MATCH('面板-总览'!$AI12,'面板-景气指数'!$A$37:$A$244,0),MATCH('面板-总览'!AM$2,'面板-景气指数'!$36:$36,0))</f>
        <v>1.2E-2</v>
      </c>
      <c r="AN12" s="7">
        <f>INDEX('面板-景气指数'!$37:$244,MATCH('面板-总览'!$AI12,'面板-景气指数'!$A$37:$A$244,0),MATCH('面板-总览'!AN$2,'面板-景气指数'!$36:$36,0))</f>
        <v>0</v>
      </c>
      <c r="AO12" s="7">
        <f>INDEX('面板-景气指数'!$37:$244,MATCH('面板-总览'!$AI12,'面板-景气指数'!$A$37:$A$244,0),MATCH('面板-总览'!AO$2,'面板-景气指数'!$36:$36,0))</f>
        <v>2.4E-2</v>
      </c>
      <c r="AP12" s="7">
        <f>INDEX('面板-景气指数'!$37:$244,MATCH('面板-总览'!$AI12,'面板-景气指数'!$A$37:$A$244,0),MATCH('面板-总览'!AP$2,'面板-景气指数'!$36:$36,0))</f>
        <v>0.111</v>
      </c>
      <c r="AQ12" s="7">
        <f>INDEX('面板-景气指数'!$37:$244,MATCH('面板-总览'!$AI12,'面板-景气指数'!$A$37:$A$244,0),MATCH('面板-总览'!AQ$2,'面板-景气指数'!$36:$36,0))</f>
        <v>0.14799999999999999</v>
      </c>
      <c r="AR12" s="7">
        <f>INDEX('面板-景气指数'!$37:$244,MATCH('面板-总览'!$AI12,'面板-景气指数'!$A$37:$A$244,0),MATCH('面板-总览'!AR$2,'面板-景气指数'!$36:$36,0))</f>
        <v>0.13500000000000001</v>
      </c>
      <c r="AS12" s="7">
        <f>INDEX('面板-景气指数'!$37:$244,MATCH('面板-总览'!$AI12,'面板-景气指数'!$A$37:$A$244,0),MATCH('面板-总览'!AS$2,'面板-景气指数'!$36:$36,0))</f>
        <v>8.5999999999999993E-2</v>
      </c>
      <c r="AT12" s="7">
        <f>INDEX('面板-景气指数'!$37:$244,MATCH('面板-总览'!$AI12,'面板-景气指数'!$A$37:$A$244,0),MATCH('面板-总览'!AT$2,'面板-景气指数'!$36:$36,0))</f>
        <v>4.9000000000000002E-2</v>
      </c>
      <c r="AU12" s="7">
        <f>INDEX('面板-景气指数'!$37:$244,MATCH('面板-总览'!$AI12,'面板-景气指数'!$A$37:$A$244,0),MATCH('面板-总览'!AU$2,'面板-景气指数'!$36:$36,0))</f>
        <v>7.3999999999999996E-2</v>
      </c>
      <c r="AV12" s="7">
        <f>INDEX('面板-景气指数'!$37:$244,MATCH('面板-总览'!$AI12,'面板-景气指数'!$A$37:$A$244,0),MATCH('面板-总览'!AV$2,'面板-景气指数'!$36:$36,0))</f>
        <v>9.8000000000000004E-2</v>
      </c>
      <c r="AX12" s="12">
        <f t="shared" si="2"/>
        <v>1.2000000000000011E-2</v>
      </c>
    </row>
    <row r="13" spans="1:50" ht="21" customHeight="1" x14ac:dyDescent="0.2">
      <c r="A13" s="6" t="s">
        <v>35</v>
      </c>
      <c r="B13" s="7">
        <f>INDEX('面板-景气指数'!$37:$244,MATCH('面板-总览'!$A13,'面板-景气指数'!$A$37:$A$244,0),MATCH('面板-总览'!B$2,'面板-景气指数'!$36:$36,0))</f>
        <v>0.30511594302819789</v>
      </c>
      <c r="C13" s="7">
        <f>INDEX('面板-景气指数'!$37:$244,MATCH('面板-总览'!$A13,'面板-景气指数'!$A$37:$A$244,0),MATCH('面板-总览'!C$2,'面板-景气指数'!$36:$36,0))</f>
        <v>0.34685360850051888</v>
      </c>
      <c r="D13" s="7">
        <f>INDEX('面板-景气指数'!$37:$244,MATCH('面板-总览'!$A13,'面板-景气指数'!$A$37:$A$244,0),MATCH('面板-总览'!D$2,'面板-景气指数'!$36:$36,0))</f>
        <v>0.37611402948244282</v>
      </c>
      <c r="E13" s="7">
        <f>INDEX('面板-景气指数'!$37:$244,MATCH('面板-总览'!$A13,'面板-景气指数'!$A$37:$A$244,0),MATCH('面板-总览'!E$2,'面板-景气指数'!$36:$36,0))</f>
        <v>0.38341736423544182</v>
      </c>
      <c r="F13" s="7">
        <f>INDEX('面板-景气指数'!$37:$244,MATCH('面板-总览'!$A13,'面板-景气指数'!$A$37:$A$244,0),MATCH('面板-总览'!F$2,'面板-景气指数'!$36:$36,0))</f>
        <v>0.3798516170340937</v>
      </c>
      <c r="G13" s="7">
        <f>INDEX('面板-景气指数'!$37:$244,MATCH('面板-总览'!$A13,'面板-景气指数'!$A$37:$A$244,0),MATCH('面板-总览'!G$2,'面板-景气指数'!$36:$36,0))</f>
        <v>0.31083860054814294</v>
      </c>
      <c r="H13" s="7">
        <f>INDEX('面板-景气指数'!$37:$244,MATCH('面板-总览'!$A13,'面板-景气指数'!$A$37:$A$244,0),MATCH('面板-总览'!H$2,'面板-景气指数'!$36:$36,0))</f>
        <v>0.28958418055847396</v>
      </c>
      <c r="I13" s="7">
        <f>INDEX('面板-景气指数'!$37:$244,MATCH('面板-总览'!$A13,'面板-景气指数'!$A$37:$A$244,0),MATCH('面板-总览'!I$2,'面板-景气指数'!$36:$36,0))</f>
        <v>0.289294810434922</v>
      </c>
      <c r="J13" s="7">
        <f>INDEX('面板-景气指数'!$37:$244,MATCH('面板-总览'!$A13,'面板-景气指数'!$A$37:$A$244,0),MATCH('面板-总览'!J$2,'面板-景气指数'!$36:$36,0))</f>
        <v>0.29756063195272137</v>
      </c>
      <c r="K13" s="7">
        <f>INDEX('面板-景气指数'!$37:$244,MATCH('面板-总览'!$A13,'面板-景气指数'!$A$37:$A$244,0),MATCH('面板-总览'!K$2,'面板-景气指数'!$36:$36,0))</f>
        <v>0.28536582101868502</v>
      </c>
      <c r="L13" s="7">
        <f>INDEX('面板-景气指数'!$37:$244,MATCH('面板-总览'!$A13,'面板-景气指数'!$A$37:$A$244,0),MATCH('面板-总览'!L$2,'面板-景气指数'!$36:$36,0))</f>
        <v>0.26158121239198073</v>
      </c>
      <c r="M13" s="7">
        <f>INDEX('面板-景气指数'!$37:$244,MATCH('面板-总览'!$A13,'面板-景气指数'!$A$37:$A$244,0),MATCH('面板-总览'!M$2,'面板-景气指数'!$36:$36,0))</f>
        <v>0.24635204113793271</v>
      </c>
      <c r="N13" s="7">
        <f>INDEX('面板-景气指数'!$37:$244,MATCH('面板-总览'!$A13,'面板-景气指数'!$A$37:$A$244,0),MATCH('面板-总览'!N$2,'面板-景气指数'!$36:$36,0))</f>
        <v>0.25307410562242272</v>
      </c>
      <c r="O13" s="8"/>
      <c r="P13" s="9">
        <f t="shared" si="0"/>
        <v>-3.2291715396262299E-2</v>
      </c>
      <c r="R13" s="6" t="s">
        <v>36</v>
      </c>
      <c r="S13" s="7">
        <f>INDEX('面板-景气指数'!$37:$244,MATCH('面板-总览'!$R13,'面板-景气指数'!$A$37:$A$244,0),MATCH('面板-总览'!S$2,'面板-景气指数'!$36:$36,0))</f>
        <v>0.42826653032047091</v>
      </c>
      <c r="T13" s="7">
        <f>INDEX('面板-景气指数'!$37:$244,MATCH('面板-总览'!$R13,'面板-景气指数'!$A$37:$A$244,0),MATCH('面板-总览'!T$2,'面板-景气指数'!$36:$36,0))</f>
        <v>0.44121274619960577</v>
      </c>
      <c r="U13" s="7">
        <f>INDEX('面板-景气指数'!$37:$244,MATCH('面板-总览'!$R13,'面板-景气指数'!$A$37:$A$244,0),MATCH('面板-总览'!U$2,'面板-景气指数'!$36:$36,0))</f>
        <v>0.40729761898927569</v>
      </c>
      <c r="V13" s="7">
        <f>INDEX('面板-景气指数'!$37:$244,MATCH('面板-总览'!$R13,'面板-景气指数'!$A$37:$A$244,0),MATCH('面板-总览'!V$2,'面板-景气指数'!$36:$36,0))</f>
        <v>0.32602118646485473</v>
      </c>
      <c r="W13" s="7">
        <f>INDEX('面板-景气指数'!$37:$244,MATCH('面板-总览'!$R13,'面板-景气指数'!$A$37:$A$244,0),MATCH('面板-总览'!W$2,'面板-景气指数'!$36:$36,0))</f>
        <v>0.29206042052485642</v>
      </c>
      <c r="X13" s="7">
        <f>INDEX('面板-景气指数'!$37:$244,MATCH('面板-总览'!$R13,'面板-景气指数'!$A$37:$A$244,0),MATCH('面板-总览'!X$2,'面板-景气指数'!$36:$36,0))</f>
        <v>0.23924694325770124</v>
      </c>
      <c r="Y13" s="7">
        <f>INDEX('面板-景气指数'!$37:$244,MATCH('面板-总览'!$R13,'面板-景气指数'!$A$37:$A$244,0),MATCH('面板-总览'!Y$2,'面板-景气指数'!$36:$36,0))</f>
        <v>0.2758753982976771</v>
      </c>
      <c r="Z13" s="7">
        <f>INDEX('面板-景气指数'!$37:$244,MATCH('面板-总览'!$R13,'面板-景气指数'!$A$37:$A$244,0),MATCH('面板-总览'!Z$2,'面板-景气指数'!$36:$36,0))</f>
        <v>0.3746793477880902</v>
      </c>
      <c r="AA13" s="7">
        <f>INDEX('面板-景气指数'!$37:$244,MATCH('面板-总览'!$R13,'面板-景气指数'!$A$37:$A$244,0),MATCH('面板-总览'!AA$2,'面板-景气指数'!$36:$36,0))</f>
        <v>0.45510972352235207</v>
      </c>
      <c r="AB13" s="7">
        <f>INDEX('面板-景气指数'!$37:$244,MATCH('面板-总览'!$R13,'面板-景气指数'!$A$37:$A$244,0),MATCH('面板-总览'!AB$2,'面板-景气指数'!$36:$36,0))</f>
        <v>0.42062728328068061</v>
      </c>
      <c r="AC13" s="7">
        <f>INDEX('面板-景气指数'!$37:$244,MATCH('面板-总览'!$R13,'面板-景气指数'!$A$37:$A$244,0),MATCH('面板-总览'!AC$2,'面板-景气指数'!$36:$36,0))</f>
        <v>0.29723608428336012</v>
      </c>
      <c r="AD13" s="7">
        <f>INDEX('面板-景气指数'!$37:$244,MATCH('面板-总览'!$R13,'面板-景气指数'!$A$37:$A$244,0),MATCH('面板-总览'!AD$2,'面板-景气指数'!$36:$36,0))</f>
        <v>0.20795961860169754</v>
      </c>
      <c r="AE13" s="7">
        <f>INDEX('面板-景气指数'!$37:$244,MATCH('面板-总览'!$R13,'面板-景气指数'!$A$37:$A$244,0),MATCH('面板-总览'!AE$2,'面板-景气指数'!$36:$36,0))</f>
        <v>0.1824859297191504</v>
      </c>
      <c r="AF13" s="11"/>
      <c r="AG13" s="12">
        <f t="shared" si="1"/>
        <v>-0.23814135356153021</v>
      </c>
      <c r="AI13" s="6" t="s">
        <v>37</v>
      </c>
      <c r="AJ13" s="7">
        <f>INDEX('面板-景气指数'!$37:$244,MATCH('面板-总览'!$AI13,'面板-景气指数'!$A$37:$A$244,0),MATCH('面板-总览'!AJ$2,'面板-景气指数'!$36:$36,0))</f>
        <v>0.26900000000000002</v>
      </c>
      <c r="AK13" s="7">
        <f>INDEX('面板-景气指数'!$37:$244,MATCH('面板-总览'!$AI13,'面板-景气指数'!$A$37:$A$244,0),MATCH('面板-总览'!AK$2,'面板-景气指数'!$36:$36,0))</f>
        <v>0.217</v>
      </c>
      <c r="AL13" s="7">
        <f>INDEX('面板-景气指数'!$37:$244,MATCH('面板-总览'!$AI13,'面板-景气指数'!$A$37:$A$244,0),MATCH('面板-总览'!AL$2,'面板-景气指数'!$36:$36,0))</f>
        <v>0.20499999999999999</v>
      </c>
      <c r="AM13" s="7">
        <f>INDEX('面板-景气指数'!$37:$244,MATCH('面板-总览'!$AI13,'面板-景气指数'!$A$37:$A$244,0),MATCH('面板-总览'!AM$2,'面板-景气指数'!$36:$36,0))</f>
        <v>0.24299999999999999</v>
      </c>
      <c r="AN13" s="7">
        <f>INDEX('面板-景气指数'!$37:$244,MATCH('面板-总览'!$AI13,'面板-景气指数'!$A$37:$A$244,0),MATCH('面板-总览'!AN$2,'面板-景气指数'!$36:$36,0))</f>
        <v>0.33300000000000002</v>
      </c>
      <c r="AO13" s="7">
        <f>INDEX('面板-景气指数'!$37:$244,MATCH('面板-总览'!$AI13,'面板-景气指数'!$A$37:$A$244,0),MATCH('面板-总览'!AO$2,'面板-景气指数'!$36:$36,0))</f>
        <v>0.39700000000000002</v>
      </c>
      <c r="AP13" s="7">
        <f>INDEX('面板-景气指数'!$37:$244,MATCH('面板-总览'!$AI13,'面板-景气指数'!$A$37:$A$244,0),MATCH('面板-总览'!AP$2,'面板-景气指数'!$36:$36,0))</f>
        <v>0.47399999999999998</v>
      </c>
      <c r="AQ13" s="7">
        <f>INDEX('面板-景气指数'!$37:$244,MATCH('面板-总览'!$AI13,'面板-景气指数'!$A$37:$A$244,0),MATCH('面板-总览'!AQ$2,'面板-景气指数'!$36:$36,0))</f>
        <v>0.48699999999999999</v>
      </c>
      <c r="AR13" s="7">
        <f>INDEX('面板-景气指数'!$37:$244,MATCH('面板-总览'!$AI13,'面板-景气指数'!$A$37:$A$244,0),MATCH('面板-总览'!AR$2,'面板-景气指数'!$36:$36,0))</f>
        <v>0.51200000000000001</v>
      </c>
      <c r="AS13" s="7">
        <f>INDEX('面板-景气指数'!$37:$244,MATCH('面板-总览'!$AI13,'面板-景气指数'!$A$37:$A$244,0),MATCH('面板-总览'!AS$2,'面板-景气指数'!$36:$36,0))</f>
        <v>0.435</v>
      </c>
      <c r="AT13" s="7">
        <f>INDEX('面板-景气指数'!$37:$244,MATCH('面板-总览'!$AI13,'面板-景气指数'!$A$37:$A$244,0),MATCH('面板-总览'!AT$2,'面板-景气指数'!$36:$36,0))</f>
        <v>0.35799999999999998</v>
      </c>
      <c r="AU13" s="7">
        <f>INDEX('面板-景气指数'!$37:$244,MATCH('面板-总览'!$AI13,'面板-景气指数'!$A$37:$A$244,0),MATCH('面板-总览'!AU$2,'面板-景气指数'!$36:$36,0))</f>
        <v>0.371</v>
      </c>
      <c r="AV13" s="7">
        <f>INDEX('面板-景气指数'!$37:$244,MATCH('面板-总览'!$AI13,'面板-景气指数'!$A$37:$A$244,0),MATCH('面板-总览'!AV$2,'面板-景气指数'!$36:$36,0))</f>
        <v>0.44800000000000001</v>
      </c>
      <c r="AX13" s="12">
        <f t="shared" si="2"/>
        <v>1.3000000000000012E-2</v>
      </c>
    </row>
    <row r="14" spans="1:50" ht="21" customHeight="1" x14ac:dyDescent="0.2">
      <c r="A14" s="6" t="s">
        <v>38</v>
      </c>
      <c r="B14" s="7">
        <f>INDEX('面板-景气指数'!$37:$244,MATCH('面板-总览'!$A14,'面板-景气指数'!$A$37:$A$244,0),MATCH('面板-总览'!B$2,'面板-景气指数'!$36:$36,0))</f>
        <v>0.23497622197334639</v>
      </c>
      <c r="C14" s="7">
        <f>INDEX('面板-景气指数'!$37:$244,MATCH('面板-总览'!$A14,'面板-景气指数'!$A$37:$A$244,0),MATCH('面板-总览'!C$2,'面板-景气指数'!$36:$36,0))</f>
        <v>0.26093889282283028</v>
      </c>
      <c r="D14" s="7">
        <f>INDEX('面板-景气指数'!$37:$244,MATCH('面板-总览'!$A14,'面板-景气指数'!$A$37:$A$244,0),MATCH('面板-总览'!D$2,'面板-景气指数'!$36:$36,0))</f>
        <v>0.23271699585047709</v>
      </c>
      <c r="E14" s="7">
        <f>INDEX('面板-景气指数'!$37:$244,MATCH('面板-总览'!$A14,'面板-景气指数'!$A$37:$A$244,0),MATCH('面板-总览'!E$2,'面板-景气指数'!$36:$36,0))</f>
        <v>0.24061863768357677</v>
      </c>
      <c r="F14" s="7">
        <f>INDEX('面板-景气指数'!$37:$244,MATCH('面板-总览'!$A14,'面板-景气指数'!$A$37:$A$244,0),MATCH('面板-总览'!F$2,'面板-景气指数'!$36:$36,0))</f>
        <v>0.25423932198857219</v>
      </c>
      <c r="G14" s="7">
        <f>INDEX('面板-景气指数'!$37:$244,MATCH('面板-总览'!$A14,'面板-景气指数'!$A$37:$A$244,0),MATCH('面板-总览'!G$2,'面板-景气指数'!$36:$36,0))</f>
        <v>0.25112512503794882</v>
      </c>
      <c r="H14" s="7">
        <f>INDEX('面板-景气指数'!$37:$244,MATCH('面板-总览'!$A14,'面板-景气指数'!$A$37:$A$244,0),MATCH('面板-总览'!H$2,'面板-景气指数'!$36:$36,0))</f>
        <v>0.28610818240044722</v>
      </c>
      <c r="I14" s="7">
        <f>INDEX('面板-景气指数'!$37:$244,MATCH('面板-总览'!$A14,'面板-景气指数'!$A$37:$A$244,0),MATCH('面板-总览'!I$2,'面板-景气指数'!$36:$36,0))</f>
        <v>0.31377696580882208</v>
      </c>
      <c r="J14" s="7">
        <f>INDEX('面板-景气指数'!$37:$244,MATCH('面板-总览'!$A14,'面板-景气指数'!$A$37:$A$244,0),MATCH('面板-总览'!J$2,'面板-景气指数'!$36:$36,0))</f>
        <v>0.30229389708059912</v>
      </c>
      <c r="K14" s="7">
        <f>INDEX('面板-景气指数'!$37:$244,MATCH('面板-总览'!$A14,'面板-景气指数'!$A$37:$A$244,0),MATCH('面板-总览'!K$2,'面板-景气指数'!$36:$36,0))</f>
        <v>0.27281828685720927</v>
      </c>
      <c r="L14" s="7">
        <f>INDEX('面板-景气指数'!$37:$244,MATCH('面板-总览'!$A14,'面板-景气指数'!$A$37:$A$244,0),MATCH('面板-总览'!L$2,'面板-景气指数'!$36:$36,0))</f>
        <v>0.24452443272346019</v>
      </c>
      <c r="M14" s="7">
        <f>INDEX('面板-景气指数'!$37:$244,MATCH('面板-总览'!$A14,'面板-景气指数'!$A$37:$A$244,0),MATCH('面板-总览'!M$2,'面板-景气指数'!$36:$36,0))</f>
        <v>0.22945617471892613</v>
      </c>
      <c r="N14" s="7">
        <f>INDEX('面板-景气指数'!$37:$244,MATCH('面板-总览'!$A14,'面板-景气指数'!$A$37:$A$244,0),MATCH('面板-总览'!N$2,'面板-景气指数'!$36:$36,0))</f>
        <v>0.2287067456806085</v>
      </c>
      <c r="O14" s="8"/>
      <c r="P14" s="9">
        <f t="shared" si="0"/>
        <v>-4.4111541176600766E-2</v>
      </c>
      <c r="R14" s="6" t="s">
        <v>39</v>
      </c>
      <c r="S14" s="7">
        <f>INDEX('面板-景气指数'!$37:$244,MATCH('面板-总览'!$R14,'面板-景气指数'!$A$37:$A$244,0),MATCH('面板-总览'!S$2,'面板-景气指数'!$36:$36,0))</f>
        <v>0.47729161466863168</v>
      </c>
      <c r="T14" s="7">
        <f>INDEX('面板-景气指数'!$37:$244,MATCH('面板-总览'!$R14,'面板-景气指数'!$A$37:$A$244,0),MATCH('面板-总览'!T$2,'面板-景气指数'!$36:$36,0))</f>
        <v>0.47738168519050395</v>
      </c>
      <c r="U14" s="7">
        <f>INDEX('面板-景气指数'!$37:$244,MATCH('面板-总览'!$R14,'面板-景气指数'!$A$37:$A$244,0),MATCH('面板-总览'!U$2,'面板-景气指数'!$36:$36,0))</f>
        <v>0.46975869814091709</v>
      </c>
      <c r="V14" s="7">
        <f>INDEX('面板-景气指数'!$37:$244,MATCH('面板-总览'!$R14,'面板-景气指数'!$A$37:$A$244,0),MATCH('面板-总览'!V$2,'面板-景气指数'!$36:$36,0))</f>
        <v>0.46186903540404434</v>
      </c>
      <c r="W14" s="7">
        <f>INDEX('面板-景气指数'!$37:$244,MATCH('面板-总览'!$R14,'面板-景气指数'!$A$37:$A$244,0),MATCH('面板-总览'!W$2,'面板-景气指数'!$36:$36,0))</f>
        <v>0.43956780385939032</v>
      </c>
      <c r="X14" s="7">
        <f>INDEX('面板-景气指数'!$37:$244,MATCH('面板-总览'!$R14,'面板-景气指数'!$A$37:$A$244,0),MATCH('面板-总览'!X$2,'面板-景气指数'!$36:$36,0))</f>
        <v>0.42023230929370708</v>
      </c>
      <c r="Y14" s="7">
        <f>INDEX('面板-景气指数'!$37:$244,MATCH('面板-总览'!$R14,'面板-景气指数'!$A$37:$A$244,0),MATCH('面板-总览'!Y$2,'面板-景气指数'!$36:$36,0))</f>
        <v>0.42070918782639111</v>
      </c>
      <c r="Z14" s="7">
        <f>INDEX('面板-景气指数'!$37:$244,MATCH('面板-总览'!$R14,'面板-景气指数'!$A$37:$A$244,0),MATCH('面板-总览'!Z$2,'面板-景气指数'!$36:$36,0))</f>
        <v>0.42260676433578898</v>
      </c>
      <c r="AA14" s="7">
        <f>INDEX('面板-景气指数'!$37:$244,MATCH('面板-总览'!$R14,'面板-景气指数'!$A$37:$A$244,0),MATCH('面板-总览'!AA$2,'面板-景气指数'!$36:$36,0))</f>
        <v>0.42633869771980465</v>
      </c>
      <c r="AB14" s="7">
        <f>INDEX('面板-景气指数'!$37:$244,MATCH('面板-总览'!$R14,'面板-景气指数'!$A$37:$A$244,0),MATCH('面板-总览'!AB$2,'面板-景气指数'!$36:$36,0))</f>
        <v>0.41017548718412938</v>
      </c>
      <c r="AC14" s="7">
        <f>INDEX('面板-景气指数'!$37:$244,MATCH('面板-总览'!$R14,'面板-景气指数'!$A$37:$A$244,0),MATCH('面板-总览'!AC$2,'面板-景气指数'!$36:$36,0))</f>
        <v>0.41128873752683809</v>
      </c>
      <c r="AD14" s="7">
        <f>INDEX('面板-景气指数'!$37:$244,MATCH('面板-总览'!$R14,'面板-景气指数'!$A$37:$A$244,0),MATCH('面板-总览'!AD$2,'面板-景气指数'!$36:$36,0))</f>
        <v>0.41680277413118588</v>
      </c>
      <c r="AE14" s="7">
        <f>INDEX('面板-景气指数'!$37:$244,MATCH('面板-总览'!$R14,'面板-景气指数'!$A$37:$A$244,0),MATCH('面板-总览'!AE$2,'面板-景气指数'!$36:$36,0))</f>
        <v>0.4259358020726472</v>
      </c>
      <c r="AF14" s="11"/>
      <c r="AG14" s="12">
        <f t="shared" si="1"/>
        <v>1.5760314888517812E-2</v>
      </c>
      <c r="AI14" s="6" t="s">
        <v>40</v>
      </c>
      <c r="AJ14" s="7">
        <f>INDEX('面板-景气指数'!$37:$244,MATCH('面板-总览'!$AI14,'面板-景气指数'!$A$37:$A$244,0),MATCH('面板-总览'!AJ$2,'面板-景气指数'!$36:$36,0))</f>
        <v>0.16300000000000001</v>
      </c>
      <c r="AK14" s="7">
        <f>INDEX('面板-景气指数'!$37:$244,MATCH('面板-总览'!$AI14,'面板-景气指数'!$A$37:$A$244,0),MATCH('面板-总览'!AK$2,'面板-景气指数'!$36:$36,0))</f>
        <v>0.153</v>
      </c>
      <c r="AL14" s="7">
        <f>INDEX('面板-景气指数'!$37:$244,MATCH('面板-总览'!$AI14,'面板-景气指数'!$A$37:$A$244,0),MATCH('面板-总览'!AL$2,'面板-景气指数'!$36:$36,0))</f>
        <v>9.6000000000000002E-2</v>
      </c>
      <c r="AM14" s="7">
        <f>INDEX('面板-景气指数'!$37:$244,MATCH('面板-总览'!$AI14,'面板-景气指数'!$A$37:$A$244,0),MATCH('面板-总览'!AM$2,'面板-景气指数'!$36:$36,0))</f>
        <v>8.5999999999999993E-2</v>
      </c>
      <c r="AN14" s="7">
        <f>INDEX('面板-景气指数'!$37:$244,MATCH('面板-总览'!$AI14,'面板-景气指数'!$A$37:$A$244,0),MATCH('面板-总览'!AN$2,'面板-景气指数'!$36:$36,0))</f>
        <v>5.7000000000000002E-2</v>
      </c>
      <c r="AO14" s="7">
        <f>INDEX('面板-景气指数'!$37:$244,MATCH('面板-总览'!$AI14,'面板-景气指数'!$A$37:$A$244,0),MATCH('面板-总览'!AO$2,'面板-景气指数'!$36:$36,0))</f>
        <v>2.8000000000000001E-2</v>
      </c>
      <c r="AP14" s="7">
        <f>INDEX('面板-景气指数'!$37:$244,MATCH('面板-总览'!$AI14,'面板-景气指数'!$A$37:$A$244,0),MATCH('面板-总览'!AP$2,'面板-景气指数'!$36:$36,0))</f>
        <v>1.9E-2</v>
      </c>
      <c r="AQ14" s="7">
        <f>INDEX('面板-景气指数'!$37:$244,MATCH('面板-总览'!$AI14,'面板-景气指数'!$A$37:$A$244,0),MATCH('面板-总览'!AQ$2,'面板-景气指数'!$36:$36,0))</f>
        <v>6.7000000000000004E-2</v>
      </c>
      <c r="AR14" s="7">
        <f>INDEX('面板-景气指数'!$37:$244,MATCH('面板-总览'!$AI14,'面板-景气指数'!$A$37:$A$244,0),MATCH('面板-总览'!AR$2,'面板-景气指数'!$36:$36,0))</f>
        <v>0.125</v>
      </c>
      <c r="AS14" s="7">
        <f>INDEX('面板-景气指数'!$37:$244,MATCH('面板-总览'!$AI14,'面板-景气指数'!$A$37:$A$244,0),MATCH('面板-总览'!AS$2,'面板-景气指数'!$36:$36,0))</f>
        <v>0.192</v>
      </c>
      <c r="AT14" s="7">
        <f>INDEX('面板-景气指数'!$37:$244,MATCH('面板-总览'!$AI14,'面板-景气指数'!$A$37:$A$244,0),MATCH('面板-总览'!AT$2,'面板-景气指数'!$36:$36,0))</f>
        <v>0.23</v>
      </c>
      <c r="AU14" s="7">
        <f>INDEX('面板-景气指数'!$37:$244,MATCH('面板-总览'!$AI14,'面板-景气指数'!$A$37:$A$244,0),MATCH('面板-总览'!AU$2,'面板-景气指数'!$36:$36,0))</f>
        <v>0.20100000000000001</v>
      </c>
      <c r="AV14" s="7">
        <f>INDEX('面板-景气指数'!$37:$244,MATCH('面板-总览'!$AI14,'面板-景气指数'!$A$37:$A$244,0),MATCH('面板-总览'!AV$2,'面板-景气指数'!$36:$36,0))</f>
        <v>0.182</v>
      </c>
      <c r="AX14" s="12">
        <f t="shared" si="2"/>
        <v>-1.0000000000000009E-2</v>
      </c>
    </row>
    <row r="15" spans="1:50" ht="21" customHeight="1" x14ac:dyDescent="0.2">
      <c r="A15" s="6" t="s">
        <v>41</v>
      </c>
      <c r="B15" s="7">
        <f>INDEX('面板-景气指数'!$37:$244,MATCH('面板-总览'!$A15,'面板-景气指数'!$A$37:$A$244,0),MATCH('面板-总览'!B$2,'面板-景气指数'!$36:$36,0))</f>
        <v>0.53745165075750179</v>
      </c>
      <c r="C15" s="7">
        <f>INDEX('面板-景气指数'!$37:$244,MATCH('面板-总览'!$A15,'面板-景气指数'!$A$37:$A$244,0),MATCH('面板-总览'!C$2,'面板-景气指数'!$36:$36,0))</f>
        <v>0.57373248295151735</v>
      </c>
      <c r="D15" s="7">
        <f>INDEX('面板-景气指数'!$37:$244,MATCH('面板-总览'!$A15,'面板-景气指数'!$A$37:$A$244,0),MATCH('面板-总览'!D$2,'面板-景气指数'!$36:$36,0))</f>
        <v>0.64036921879120157</v>
      </c>
      <c r="E15" s="7">
        <f>INDEX('面板-景气指数'!$37:$244,MATCH('面板-总览'!$A15,'面板-景气指数'!$A$37:$A$244,0),MATCH('面板-总览'!E$2,'面板-景气指数'!$36:$36,0))</f>
        <v>0.67489409711496529</v>
      </c>
      <c r="F15" s="7">
        <f>INDEX('面板-景气指数'!$37:$244,MATCH('面板-总览'!$A15,'面板-景气指数'!$A$37:$A$244,0),MATCH('面板-总览'!F$2,'面板-景气指数'!$36:$36,0))</f>
        <v>0.75509103737440053</v>
      </c>
      <c r="G15" s="7">
        <f>INDEX('面板-景气指数'!$37:$244,MATCH('面板-总览'!$A15,'面板-景气指数'!$A$37:$A$244,0),MATCH('面板-总览'!G$2,'面板-景气指数'!$36:$36,0))</f>
        <v>0.55283549774962581</v>
      </c>
      <c r="H15" s="7">
        <f>INDEX('面板-景气指数'!$37:$244,MATCH('面板-总览'!$A15,'面板-景气指数'!$A$37:$A$244,0),MATCH('面板-总览'!H$2,'面板-景气指数'!$36:$36,0))</f>
        <v>0.53321665414320263</v>
      </c>
      <c r="I15" s="7">
        <f>INDEX('面板-景气指数'!$37:$244,MATCH('面板-总览'!$A15,'面板-景气指数'!$A$37:$A$244,0),MATCH('面板-总览'!I$2,'面板-景气指数'!$36:$36,0))</f>
        <v>0.45894570740712459</v>
      </c>
      <c r="J15" s="7">
        <f>INDEX('面板-景气指数'!$37:$244,MATCH('面板-总览'!$A15,'面板-景气指数'!$A$37:$A$244,0),MATCH('面板-总览'!J$2,'面板-景气指数'!$36:$36,0))</f>
        <v>0.48006638890262082</v>
      </c>
      <c r="K15" s="7">
        <f>INDEX('面板-景气指数'!$37:$244,MATCH('面板-总览'!$A15,'面板-景气指数'!$A$37:$A$244,0),MATCH('面板-总览'!K$2,'面板-景气指数'!$36:$36,0))</f>
        <v>0.43234698239569702</v>
      </c>
      <c r="L15" s="7">
        <f>INDEX('面板-景气指数'!$37:$244,MATCH('面板-总览'!$A15,'面板-景气指数'!$A$37:$A$244,0),MATCH('面板-总览'!L$2,'面板-景气指数'!$36:$36,0))</f>
        <v>0.41546777172997057</v>
      </c>
      <c r="M15" s="7">
        <f>INDEX('面板-景气指数'!$37:$244,MATCH('面板-总览'!$A15,'面板-景气指数'!$A$37:$A$244,0),MATCH('面板-总览'!M$2,'面板-景气指数'!$36:$36,0))</f>
        <v>0.34634799393019838</v>
      </c>
      <c r="N15" s="7">
        <f>INDEX('面板-景气指数'!$37:$244,MATCH('面板-总览'!$A15,'面板-景气指数'!$A$37:$A$244,0),MATCH('面板-总览'!N$2,'面板-景气指数'!$36:$36,0))</f>
        <v>0.34787850864032277</v>
      </c>
      <c r="O15" s="13"/>
      <c r="P15" s="9">
        <f t="shared" si="0"/>
        <v>-8.4468473755374252E-2</v>
      </c>
      <c r="R15" s="6" t="s">
        <v>42</v>
      </c>
      <c r="S15" s="7">
        <f>INDEX('面板-景气指数'!$37:$244,MATCH('面板-总览'!$R15,'面板-景气指数'!$A$37:$A$244,0),MATCH('面板-总览'!S$2,'面板-景气指数'!$36:$36,0))</f>
        <v>0.33085056056529655</v>
      </c>
      <c r="T15" s="7">
        <f>INDEX('面板-景气指数'!$37:$244,MATCH('面板-总览'!$R15,'面板-景气指数'!$A$37:$A$244,0),MATCH('面板-总览'!T$2,'面板-景气指数'!$36:$36,0))</f>
        <v>0.36500180167801766</v>
      </c>
      <c r="U15" s="7">
        <f>INDEX('面板-景气指数'!$37:$244,MATCH('面板-总览'!$R15,'面板-景气指数'!$A$37:$A$244,0),MATCH('面板-总览'!U$2,'面板-景气指数'!$36:$36,0))</f>
        <v>0.43782745583561988</v>
      </c>
      <c r="V15" s="7">
        <f>INDEX('面板-景气指数'!$37:$244,MATCH('面板-总览'!$R15,'面板-景气指数'!$A$37:$A$244,0),MATCH('面板-总览'!V$2,'面板-景气指数'!$36:$36,0))</f>
        <v>0.47379862537113082</v>
      </c>
      <c r="W15" s="7">
        <f>INDEX('面板-景气指数'!$37:$244,MATCH('面板-总览'!$R15,'面板-景气指数'!$A$37:$A$244,0),MATCH('面板-总览'!W$2,'面板-景气指数'!$36:$36,0))</f>
        <v>0.45952144137658574</v>
      </c>
      <c r="X15" s="7">
        <f>INDEX('面板-景气指数'!$37:$244,MATCH('面板-总览'!$R15,'面板-景气指数'!$A$37:$A$244,0),MATCH('面板-总览'!X$2,'面板-景气指数'!$36:$36,0))</f>
        <v>0.367370843936769</v>
      </c>
      <c r="Y15" s="7">
        <f>INDEX('面板-景气指数'!$37:$244,MATCH('面板-总览'!$R15,'面板-景气指数'!$A$37:$A$244,0),MATCH('面板-总览'!Y$2,'面板-景气指数'!$36:$36,0))</f>
        <v>0.35297445574850295</v>
      </c>
      <c r="Z15" s="7">
        <f>INDEX('面板-景气指数'!$37:$244,MATCH('面板-总览'!$R15,'面板-景气指数'!$A$37:$A$244,0),MATCH('面板-总览'!Z$2,'面板-景气指数'!$36:$36,0))</f>
        <v>0.35180370151408441</v>
      </c>
      <c r="AA15" s="7">
        <f>INDEX('面板-景气指数'!$37:$244,MATCH('面板-总览'!$R15,'面板-景气指数'!$A$37:$A$244,0),MATCH('面板-总览'!AA$2,'面板-景气指数'!$36:$36,0))</f>
        <v>0.38647575714657362</v>
      </c>
      <c r="AB15" s="7">
        <f>INDEX('面板-景气指数'!$37:$244,MATCH('面板-总览'!$R15,'面板-景气指数'!$A$37:$A$244,0),MATCH('面板-总览'!AB$2,'面板-景气指数'!$36:$36,0))</f>
        <v>0.39312125477794319</v>
      </c>
      <c r="AC15" s="7">
        <f>INDEX('面板-景气指数'!$37:$244,MATCH('面板-总览'!$R15,'面板-景气指数'!$A$37:$A$244,0),MATCH('面板-总览'!AC$2,'面板-景气指数'!$36:$36,0))</f>
        <v>0.28394681060419813</v>
      </c>
      <c r="AD15" s="7">
        <f>INDEX('面板-景气指数'!$37:$244,MATCH('面板-总览'!$R15,'面板-景气指数'!$A$37:$A$244,0),MATCH('面板-总览'!AD$2,'面板-景气指数'!$36:$36,0))</f>
        <v>0.23128572136857806</v>
      </c>
      <c r="AE15" s="7">
        <f>INDEX('面板-景气指数'!$37:$244,MATCH('面板-总览'!$R15,'面板-景气指数'!$A$37:$A$244,0),MATCH('面板-总览'!AE$2,'面板-景气指数'!$36:$36,0))</f>
        <v>0.17956416863079019</v>
      </c>
      <c r="AF15" s="14"/>
      <c r="AG15" s="12">
        <f t="shared" si="1"/>
        <v>-0.21355708614715299</v>
      </c>
      <c r="AI15" s="6" t="s">
        <v>43</v>
      </c>
      <c r="AJ15" s="7">
        <f>INDEX('面板-景气指数'!$37:$244,MATCH('面板-总览'!$AI15,'面板-景气指数'!$A$37:$A$244,0),MATCH('面板-总览'!AJ$2,'面板-景气指数'!$36:$36,0))</f>
        <v>0.221</v>
      </c>
      <c r="AK15" s="7">
        <f>INDEX('面板-景气指数'!$37:$244,MATCH('面板-总览'!$AI15,'面板-景气指数'!$A$37:$A$244,0),MATCH('面板-总览'!AK$2,'面板-景气指数'!$36:$36,0))</f>
        <v>0.16300000000000001</v>
      </c>
      <c r="AL15" s="7">
        <f>INDEX('面板-景气指数'!$37:$244,MATCH('面板-总览'!$AI15,'面板-景气指数'!$A$37:$A$244,0),MATCH('面板-总览'!AL$2,'面板-景气指数'!$36:$36,0))</f>
        <v>7.5999999999999998E-2</v>
      </c>
      <c r="AM15" s="7">
        <f>INDEX('面板-景气指数'!$37:$244,MATCH('面板-总览'!$AI15,'面板-景气指数'!$A$37:$A$244,0),MATCH('面板-总览'!AM$2,'面板-景气指数'!$36:$36,0))</f>
        <v>3.7999999999999999E-2</v>
      </c>
      <c r="AN15" s="7">
        <f>INDEX('面板-景气指数'!$37:$244,MATCH('面板-总览'!$AI15,'面板-景气指数'!$A$37:$A$244,0),MATCH('面板-总览'!AN$2,'面板-景气指数'!$36:$36,0))</f>
        <v>8.9999999999999993E-3</v>
      </c>
      <c r="AO15" s="7">
        <f>INDEX('面板-景气指数'!$37:$244,MATCH('面板-总览'!$AI15,'面板-景气指数'!$A$37:$A$244,0),MATCH('面板-总览'!AO$2,'面板-景气指数'!$36:$36,0))</f>
        <v>0</v>
      </c>
      <c r="AP15" s="7">
        <f>INDEX('面板-景气指数'!$37:$244,MATCH('面板-总览'!$AI15,'面板-景气指数'!$A$37:$A$244,0),MATCH('面板-总览'!AP$2,'面板-景气指数'!$36:$36,0))</f>
        <v>2.8000000000000001E-2</v>
      </c>
      <c r="AQ15" s="7">
        <f>INDEX('面板-景气指数'!$37:$244,MATCH('面板-总览'!$AI15,'面板-景气指数'!$A$37:$A$244,0),MATCH('面板-总览'!AQ$2,'面板-景气指数'!$36:$36,0))</f>
        <v>6.7000000000000004E-2</v>
      </c>
      <c r="AR15" s="7">
        <f>INDEX('面板-景气指数'!$37:$244,MATCH('面板-总览'!$AI15,'面板-景气指数'!$A$37:$A$244,0),MATCH('面板-总览'!AR$2,'面板-景气指数'!$36:$36,0))</f>
        <v>0.105</v>
      </c>
      <c r="AS15" s="7">
        <f>INDEX('面板-景气指数'!$37:$244,MATCH('面板-总览'!$AI15,'面板-景气指数'!$A$37:$A$244,0),MATCH('面板-总览'!AS$2,'面板-景气指数'!$36:$36,0))</f>
        <v>0.11500000000000002</v>
      </c>
      <c r="AT15" s="7">
        <f>INDEX('面板-景气指数'!$37:$244,MATCH('面板-总览'!$AI15,'面板-景气指数'!$A$37:$A$244,0),MATCH('面板-总览'!AT$2,'面板-景气指数'!$36:$36,0))</f>
        <v>0.125</v>
      </c>
      <c r="AU15" s="7">
        <f>INDEX('面板-景气指数'!$37:$244,MATCH('面板-总览'!$AI15,'面板-景气指数'!$A$37:$A$244,0),MATCH('面板-总览'!AU$2,'面板-景气指数'!$36:$36,0))</f>
        <v>0.153</v>
      </c>
      <c r="AV15" s="7">
        <f>INDEX('面板-景气指数'!$37:$244,MATCH('面板-总览'!$AI15,'面板-景气指数'!$A$37:$A$244,0),MATCH('面板-总览'!AV$2,'面板-景气指数'!$36:$36,0))</f>
        <v>0.21099999999999999</v>
      </c>
      <c r="AX15" s="12">
        <f t="shared" si="2"/>
        <v>9.5999999999999974E-2</v>
      </c>
    </row>
    <row r="16" spans="1:50" ht="21" customHeight="1" x14ac:dyDescent="0.2">
      <c r="A16" s="6" t="s">
        <v>44</v>
      </c>
      <c r="B16" s="7">
        <f>INDEX('面板-景气指数'!$37:$244,MATCH('面板-总览'!$A16,'面板-景气指数'!$A$37:$A$244,0),MATCH('面板-总览'!B$2,'面板-景气指数'!$36:$36,0))</f>
        <v>0.67149999999999999</v>
      </c>
      <c r="C16" s="7">
        <f>INDEX('面板-景气指数'!$37:$244,MATCH('面板-总览'!$A16,'面板-景气指数'!$A$37:$A$244,0),MATCH('面板-总览'!C$2,'面板-景气指数'!$36:$36,0))</f>
        <v>0.78110000000000013</v>
      </c>
      <c r="D16" s="7">
        <f>INDEX('面板-景气指数'!$37:$244,MATCH('面板-总览'!$A16,'面板-景气指数'!$A$37:$A$244,0),MATCH('面板-总览'!D$2,'面板-景气指数'!$36:$36,0))</f>
        <v>0.84525000000000006</v>
      </c>
      <c r="E16" s="7">
        <f>INDEX('面板-景气指数'!$37:$244,MATCH('面板-总览'!$A16,'面板-景气指数'!$A$37:$A$244,0),MATCH('面板-总览'!E$2,'面板-景气指数'!$36:$36,0))</f>
        <v>0.8711000000000001</v>
      </c>
      <c r="F16" s="7">
        <f>INDEX('面板-景气指数'!$37:$244,MATCH('面板-总览'!$A16,'面板-景气指数'!$A$37:$A$244,0),MATCH('面板-总览'!F$2,'面板-景气指数'!$36:$36,0))</f>
        <v>0.83074999999999999</v>
      </c>
      <c r="G16" s="7">
        <f>INDEX('面板-景气指数'!$37:$244,MATCH('面板-总览'!$A16,'面板-景气指数'!$A$37:$A$244,0),MATCH('面板-总览'!G$2,'面板-景气指数'!$36:$36,0))</f>
        <v>0.64980000000000004</v>
      </c>
      <c r="H16" s="7">
        <f>INDEX('面板-景气指数'!$37:$244,MATCH('面板-总览'!$A16,'面板-景气指数'!$A$37:$A$244,0),MATCH('面板-总览'!H$2,'面板-景气指数'!$36:$36,0))</f>
        <v>0.66754999999999998</v>
      </c>
      <c r="I16" s="7">
        <f>INDEX('面板-景气指数'!$37:$244,MATCH('面板-总览'!$A16,'面板-景气指数'!$A$37:$A$244,0),MATCH('面板-总览'!I$2,'面板-景气指数'!$36:$36,0))</f>
        <v>0.60010000000000008</v>
      </c>
      <c r="J16" s="7">
        <f>INDEX('面板-景气指数'!$37:$244,MATCH('面板-总览'!$A16,'面板-景气指数'!$A$37:$A$244,0),MATCH('面板-总览'!J$2,'面板-景气指数'!$36:$36,0))</f>
        <v>0.45665</v>
      </c>
      <c r="K16" s="7">
        <f>INDEX('面板-景气指数'!$37:$244,MATCH('面板-总览'!$A16,'面板-景气指数'!$A$37:$A$244,0),MATCH('面板-总览'!K$2,'面板-景气指数'!$36:$36,0))</f>
        <v>0.36990000000000001</v>
      </c>
      <c r="L16" s="7">
        <f>INDEX('面板-景气指数'!$37:$244,MATCH('面板-总览'!$A16,'面板-景气指数'!$A$37:$A$244,0),MATCH('面板-总览'!L$2,'面板-景气指数'!$36:$36,0))</f>
        <v>0.35475000000000001</v>
      </c>
      <c r="M16" s="7">
        <f>INDEX('面板-景气指数'!$37:$244,MATCH('面板-总览'!$A16,'面板-景气指数'!$A$37:$A$244,0),MATCH('面板-总览'!M$2,'面板-景气指数'!$36:$36,0))</f>
        <v>0.35489999999999999</v>
      </c>
      <c r="N16" s="7">
        <f>INDEX('面板-景气指数'!$37:$244,MATCH('面板-总览'!$A16,'面板-景气指数'!$A$37:$A$244,0),MATCH('面板-总览'!N$2,'面板-景气指数'!$36:$36,0))</f>
        <v>0.31699999999999995</v>
      </c>
      <c r="O16" s="13"/>
      <c r="P16" s="9">
        <f t="shared" si="0"/>
        <v>-5.2900000000000058E-2</v>
      </c>
      <c r="R16" s="6" t="s">
        <v>45</v>
      </c>
      <c r="S16" s="7">
        <f>INDEX('面板-景气指数'!$37:$244,MATCH('面板-总览'!$R16,'面板-景气指数'!$A$37:$A$244,0),MATCH('面板-总览'!S$2,'面板-景气指数'!$36:$36,0))</f>
        <v>0.42560000000000009</v>
      </c>
      <c r="T16" s="7">
        <f>INDEX('面板-景气指数'!$37:$244,MATCH('面板-总览'!$R16,'面板-景气指数'!$A$37:$A$244,0),MATCH('面板-总览'!T$2,'面板-景气指数'!$36:$36,0))</f>
        <v>0.54560000000000008</v>
      </c>
      <c r="U16" s="7">
        <f>INDEX('面板-景气指数'!$37:$244,MATCH('面板-总览'!$R16,'面板-景气指数'!$A$37:$A$244,0),MATCH('面板-总览'!U$2,'面板-景气指数'!$36:$36,0))</f>
        <v>0.56020000000000003</v>
      </c>
      <c r="V16" s="7">
        <f>INDEX('面板-景气指数'!$37:$244,MATCH('面板-总览'!$R16,'面板-景气指数'!$A$37:$A$244,0),MATCH('面板-总览'!V$2,'面板-景气指数'!$36:$36,0))</f>
        <v>0.53200000000000014</v>
      </c>
      <c r="W16" s="7">
        <f>INDEX('面板-景气指数'!$37:$244,MATCH('面板-总览'!$R16,'面板-景气指数'!$A$37:$A$244,0),MATCH('面板-总览'!W$2,'面板-景气指数'!$36:$36,0))</f>
        <v>0.51480000000000004</v>
      </c>
      <c r="X16" s="7">
        <f>INDEX('面板-景气指数'!$37:$244,MATCH('面板-总览'!$R16,'面板-景气指数'!$A$37:$A$244,0),MATCH('面板-总览'!X$2,'面板-景气指数'!$36:$36,0))</f>
        <v>0.57000000000000006</v>
      </c>
      <c r="Y16" s="7">
        <f>INDEX('面板-景气指数'!$37:$244,MATCH('面板-总览'!$R16,'面板-景气指数'!$A$37:$A$244,0),MATCH('面板-总览'!Y$2,'面板-景气指数'!$36:$36,0))</f>
        <v>0.55200000000000005</v>
      </c>
      <c r="Z16" s="7">
        <f>INDEX('面板-景气指数'!$37:$244,MATCH('面板-总览'!$R16,'面板-景气指数'!$A$37:$A$244,0),MATCH('面板-总览'!Z$2,'面板-景气指数'!$36:$36,0))</f>
        <v>0.60020000000000007</v>
      </c>
      <c r="AA16" s="7">
        <f>INDEX('面板-景气指数'!$37:$244,MATCH('面板-总览'!$R16,'面板-景气指数'!$A$37:$A$244,0),MATCH('面板-总览'!AA$2,'面板-景气指数'!$36:$36,0))</f>
        <v>0.55000000000000004</v>
      </c>
      <c r="AB16" s="7">
        <f>INDEX('面板-景气指数'!$37:$244,MATCH('面板-总览'!$R16,'面板-景气指数'!$A$37:$A$244,0),MATCH('面板-总览'!AB$2,'面板-景气指数'!$36:$36,0))</f>
        <v>0.57180000000000009</v>
      </c>
      <c r="AC16" s="7">
        <f>INDEX('面板-景气指数'!$37:$244,MATCH('面板-总览'!$R16,'面板-景气指数'!$A$37:$A$244,0),MATCH('面板-总览'!AC$2,'面板-景气指数'!$36:$36,0))</f>
        <v>0.53239999999999998</v>
      </c>
      <c r="AD16" s="7">
        <f>INDEX('面板-景气指数'!$37:$244,MATCH('面板-总览'!$R16,'面板-景气指数'!$A$37:$A$244,0),MATCH('面板-总览'!AD$2,'面板-景气指数'!$36:$36,0))</f>
        <v>0.52620000000000011</v>
      </c>
      <c r="AE16" s="7">
        <f>INDEX('面板-景气指数'!$37:$244,MATCH('面板-总览'!$R16,'面板-景气指数'!$A$37:$A$244,0),MATCH('面板-总览'!AE$2,'面板-景气指数'!$36:$36,0))</f>
        <v>0.49960000000000004</v>
      </c>
      <c r="AF16" s="14"/>
      <c r="AG16" s="12">
        <f t="shared" si="1"/>
        <v>-7.2200000000000042E-2</v>
      </c>
      <c r="AI16" s="6" t="s">
        <v>46</v>
      </c>
      <c r="AJ16" s="7">
        <f>INDEX('面板-景气指数'!$37:$244,MATCH('面板-总览'!$AI16,'面板-景气指数'!$A$37:$A$244,0),MATCH('面板-总览'!AJ$2,'面板-景气指数'!$36:$36,0))</f>
        <v>0.74</v>
      </c>
      <c r="AK16" s="7">
        <f>INDEX('面板-景气指数'!$37:$244,MATCH('面板-总览'!$AI16,'面板-景气指数'!$A$37:$A$244,0),MATCH('面板-总览'!AK$2,'面板-景气指数'!$36:$36,0))</f>
        <v>0.70150000000000012</v>
      </c>
      <c r="AL16" s="7">
        <f>INDEX('面板-景气指数'!$37:$244,MATCH('面板-总览'!$AI16,'面板-景气指数'!$A$37:$A$244,0),MATCH('面板-总览'!AL$2,'面板-景气指数'!$36:$36,0))</f>
        <v>0.64849999999999997</v>
      </c>
      <c r="AM16" s="7">
        <f>INDEX('面板-景气指数'!$37:$244,MATCH('面板-总览'!$AI16,'面板-景气指数'!$A$37:$A$244,0),MATCH('面板-总览'!AM$2,'面板-景气指数'!$36:$36,0))</f>
        <v>0.5714999999999999</v>
      </c>
      <c r="AN16" s="7">
        <f>INDEX('面板-景气指数'!$37:$244,MATCH('面板-总览'!$AI16,'面板-景气指数'!$A$37:$A$244,0),MATCH('面板-总览'!AN$2,'面板-景气指数'!$36:$36,0))</f>
        <v>0.49950000000000006</v>
      </c>
      <c r="AO16" s="7">
        <f>INDEX('面板-景气指数'!$37:$244,MATCH('面板-总览'!$AI16,'面板-景气指数'!$A$37:$A$244,0),MATCH('面板-总览'!AO$2,'面板-景气指数'!$36:$36,0))</f>
        <v>0.29800000000000004</v>
      </c>
      <c r="AP16" s="7">
        <f>INDEX('面板-景气指数'!$37:$244,MATCH('面板-总览'!$AI16,'面板-景气指数'!$A$37:$A$244,0),MATCH('面板-总览'!AP$2,'面板-景气指数'!$36:$36,0))</f>
        <v>0.23</v>
      </c>
      <c r="AQ16" s="7">
        <f>INDEX('面板-景气指数'!$37:$244,MATCH('面板-总览'!$AI16,'面板-景气指数'!$A$37:$A$244,0),MATCH('面板-总览'!AQ$2,'面板-景气指数'!$36:$36,0))</f>
        <v>0.27350000000000002</v>
      </c>
      <c r="AR16" s="7">
        <f>INDEX('面板-景气指数'!$37:$244,MATCH('面板-总览'!$AI16,'面板-景气指数'!$A$37:$A$244,0),MATCH('面板-总览'!AR$2,'面板-景气指数'!$36:$36,0))</f>
        <v>0.41749999999999998</v>
      </c>
      <c r="AS16" s="7">
        <f>INDEX('面板-景气指数'!$37:$244,MATCH('面板-总览'!$AI16,'面板-景气指数'!$A$37:$A$244,0),MATCH('面板-总览'!AS$2,'面板-景气指数'!$36:$36,0))</f>
        <v>0.50450000000000006</v>
      </c>
      <c r="AT16" s="7">
        <f>INDEX('面板-景气指数'!$37:$244,MATCH('面板-总览'!$AI16,'面板-景气指数'!$A$37:$A$244,0),MATCH('面板-总览'!AT$2,'面板-景气指数'!$36:$36,0))</f>
        <v>0.30249999999999999</v>
      </c>
      <c r="AU16" s="7">
        <f>INDEX('面板-景气指数'!$37:$244,MATCH('面板-总览'!$AI16,'面板-景气指数'!$A$37:$A$244,0),MATCH('面板-总览'!AU$2,'面板-景气指数'!$36:$36,0))</f>
        <v>7.1499999999999994E-2</v>
      </c>
      <c r="AV16" s="7">
        <f>INDEX('面板-景气指数'!$37:$244,MATCH('面板-总览'!$AI16,'面板-景气指数'!$A$37:$A$244,0),MATCH('面板-总览'!AV$2,'面板-景气指数'!$36:$36,0))</f>
        <v>9.4999999999999998E-3</v>
      </c>
      <c r="AX16" s="12">
        <f t="shared" si="2"/>
        <v>-0.49500000000000005</v>
      </c>
    </row>
    <row r="17" spans="1:50" ht="21" customHeight="1" x14ac:dyDescent="0.2">
      <c r="A17" s="6" t="s">
        <v>47</v>
      </c>
      <c r="B17" s="7">
        <f>INDEX('面板-景气指数'!$37:$244,MATCH('面板-总览'!$A17,'面板-景气指数'!$A$37:$A$244,0),MATCH('面板-总览'!B$2,'面板-景气指数'!$36:$36,0))</f>
        <v>0.60102658406273812</v>
      </c>
      <c r="C17" s="7">
        <f>INDEX('面板-景气指数'!$37:$244,MATCH('面板-总览'!$A17,'面板-景气指数'!$A$37:$A$244,0),MATCH('面板-总览'!C$2,'面板-景气指数'!$36:$36,0))</f>
        <v>0.64101347460131863</v>
      </c>
      <c r="D17" s="7">
        <f>INDEX('面板-景气指数'!$37:$244,MATCH('面板-总览'!$A17,'面板-景气指数'!$A$37:$A$244,0),MATCH('面板-总览'!D$2,'面板-景气指数'!$36:$36,0))</f>
        <v>0.72773879306556521</v>
      </c>
      <c r="E17" s="7">
        <f>INDEX('面板-景气指数'!$37:$244,MATCH('面板-总览'!$A17,'面板-景气指数'!$A$37:$A$244,0),MATCH('面板-总览'!E$2,'面板-景气指数'!$36:$36,0))</f>
        <v>0.72818428817245728</v>
      </c>
      <c r="F17" s="7">
        <f>INDEX('面板-景气指数'!$37:$244,MATCH('面板-总览'!$A17,'面板-景气指数'!$A$37:$A$244,0),MATCH('面板-总览'!F$2,'面板-景气指数'!$36:$36,0))</f>
        <v>0.70287730037917973</v>
      </c>
      <c r="G17" s="7">
        <f>INDEX('面板-景气指数'!$37:$244,MATCH('面板-总览'!$A17,'面板-景气指数'!$A$37:$A$244,0),MATCH('面板-总览'!G$2,'面板-景气指数'!$36:$36,0))</f>
        <v>0.62460499571670247</v>
      </c>
      <c r="H17" s="7">
        <f>INDEX('面板-景气指数'!$37:$244,MATCH('面板-总览'!$A17,'面板-景气指数'!$A$37:$A$244,0),MATCH('面板-总览'!H$2,'面板-景气指数'!$36:$36,0))</f>
        <v>0.65788199260668345</v>
      </c>
      <c r="I17" s="7">
        <f>INDEX('面板-景气指数'!$37:$244,MATCH('面板-总览'!$A17,'面板-景气指数'!$A$37:$A$244,0),MATCH('面板-总览'!I$2,'面板-景气指数'!$36:$36,0))</f>
        <v>0.71848252363222909</v>
      </c>
      <c r="J17" s="7">
        <f>INDEX('面板-景气指数'!$37:$244,MATCH('面板-总览'!$A17,'面板-景气指数'!$A$37:$A$244,0),MATCH('面板-总览'!J$2,'面板-景气指数'!$36:$36,0))</f>
        <v>0.69868893935163057</v>
      </c>
      <c r="K17" s="7">
        <f>INDEX('面板-景气指数'!$37:$244,MATCH('面板-总览'!$A17,'面板-景气指数'!$A$37:$A$244,0),MATCH('面板-总览'!K$2,'面板-景气指数'!$36:$36,0))</f>
        <v>0.67439588325372435</v>
      </c>
      <c r="L17" s="7">
        <f>INDEX('面板-景气指数'!$37:$244,MATCH('面板-总览'!$A17,'面板-景气指数'!$A$37:$A$244,0),MATCH('面板-总览'!L$2,'面板-景气指数'!$36:$36,0))</f>
        <v>0.64325373914138184</v>
      </c>
      <c r="M17" s="7">
        <f>INDEX('面板-景气指数'!$37:$244,MATCH('面板-总览'!$A17,'面板-景气指数'!$A$37:$A$244,0),MATCH('面板-总览'!M$2,'面板-景气指数'!$36:$36,0))</f>
        <v>0.61185237310872809</v>
      </c>
      <c r="N17" s="7">
        <f>INDEX('面板-景气指数'!$37:$244,MATCH('面板-总览'!$A17,'面板-景气指数'!$A$37:$A$244,0),MATCH('面板-总览'!N$2,'面板-景气指数'!$36:$36,0))</f>
        <v>0.60690291584724421</v>
      </c>
      <c r="O17" s="13"/>
      <c r="P17" s="9">
        <f t="shared" si="0"/>
        <v>-6.7492967406480142E-2</v>
      </c>
      <c r="R17" s="6" t="s">
        <v>48</v>
      </c>
      <c r="S17" s="7">
        <f>INDEX('面板-景气指数'!$37:$244,MATCH('面板-总览'!$R17,'面板-景气指数'!$A$37:$A$244,0),MATCH('面板-总览'!S$2,'面板-景气指数'!$36:$36,0))</f>
        <v>0.83954214175120367</v>
      </c>
      <c r="T17" s="7">
        <f>INDEX('面板-景气指数'!$37:$244,MATCH('面板-总览'!$R17,'面板-景气指数'!$A$37:$A$244,0),MATCH('面板-总览'!T$2,'面板-景气指数'!$36:$36,0))</f>
        <v>0.8422004560284112</v>
      </c>
      <c r="U17" s="7">
        <f>INDEX('面板-景气指数'!$37:$244,MATCH('面板-总览'!$R17,'面板-景气指数'!$A$37:$A$244,0),MATCH('面板-总览'!U$2,'面板-景气指数'!$36:$36,0))</f>
        <v>0.79664464727025031</v>
      </c>
      <c r="V17" s="7">
        <f>INDEX('面板-景气指数'!$37:$244,MATCH('面板-总览'!$R17,'面板-景气指数'!$A$37:$A$244,0),MATCH('面板-总览'!V$2,'面板-景气指数'!$36:$36,0))</f>
        <v>0.72938041055743075</v>
      </c>
      <c r="W17" s="7">
        <f>INDEX('面板-景气指数'!$37:$244,MATCH('面板-总览'!$R17,'面板-景气指数'!$A$37:$A$244,0),MATCH('面板-总览'!W$2,'面板-景气指数'!$36:$36,0))</f>
        <v>0.7259863329930426</v>
      </c>
      <c r="X17" s="7">
        <f>INDEX('面板-景气指数'!$37:$244,MATCH('面板-总览'!$R17,'面板-景气指数'!$A$37:$A$244,0),MATCH('面板-总览'!X$2,'面板-景气指数'!$36:$36,0))</f>
        <v>0.77159225542865451</v>
      </c>
      <c r="Y17" s="7">
        <f>INDEX('面板-景气指数'!$37:$244,MATCH('面板-总览'!$R17,'面板-景气指数'!$A$37:$A$244,0),MATCH('面板-总览'!Y$2,'面板-景气指数'!$36:$36,0))</f>
        <v>0.760428246070737</v>
      </c>
      <c r="Z17" s="7">
        <f>INDEX('面板-景气指数'!$37:$244,MATCH('面板-总览'!$R17,'面板-景气指数'!$A$37:$A$244,0),MATCH('面板-总览'!Z$2,'面板-景气指数'!$36:$36,0))</f>
        <v>0.75001594517110204</v>
      </c>
      <c r="AA17" s="7">
        <f>INDEX('面板-景气指数'!$37:$244,MATCH('面板-总览'!$R17,'面板-景气指数'!$A$37:$A$244,0),MATCH('面板-总览'!AA$2,'面板-景气指数'!$36:$36,0))</f>
        <v>0.75396355332950638</v>
      </c>
      <c r="AB17" s="7">
        <f>INDEX('面板-景气指数'!$37:$244,MATCH('面板-总览'!$R17,'面板-景气指数'!$A$37:$A$244,0),MATCH('面板-总览'!AB$2,'面板-景气指数'!$36:$36,0))</f>
        <v>0.77023006820647055</v>
      </c>
      <c r="AC17" s="7">
        <f>INDEX('面板-景气指数'!$37:$244,MATCH('面板-总览'!$R17,'面板-景气指数'!$A$37:$A$244,0),MATCH('面板-总览'!AC$2,'面板-景气指数'!$36:$36,0))</f>
        <v>0.82380410029987827</v>
      </c>
      <c r="AD17" s="7">
        <f>INDEX('面板-景气指数'!$37:$244,MATCH('面板-总览'!$R17,'面板-景气指数'!$A$37:$A$244,0),MATCH('面板-总览'!AD$2,'面板-景气指数'!$36:$36,0))</f>
        <v>0.90080410029987845</v>
      </c>
      <c r="AE17" s="7">
        <f>INDEX('面板-景气指数'!$37:$244,MATCH('面板-总览'!$R17,'面板-景气指数'!$A$37:$A$244,0),MATCH('面板-总览'!AE$2,'面板-景气指数'!$36:$36,0))</f>
        <v>0.93955580875816092</v>
      </c>
      <c r="AF17" s="14"/>
      <c r="AG17" s="12">
        <f t="shared" si="1"/>
        <v>0.16932574055169036</v>
      </c>
      <c r="AI17" s="6" t="s">
        <v>49</v>
      </c>
      <c r="AJ17" s="7">
        <f>INDEX('面板-景气指数'!$37:$244,MATCH('面板-总览'!$AI17,'面板-景气指数'!$A$37:$A$244,0),MATCH('面板-总览'!AJ$2,'面板-景气指数'!$36:$36,0))</f>
        <v>0.307</v>
      </c>
      <c r="AK17" s="7">
        <f>INDEX('面板-景气指数'!$37:$244,MATCH('面板-总览'!$AI17,'面板-景气指数'!$A$37:$A$244,0),MATCH('面板-总览'!AK$2,'面板-景气指数'!$36:$36,0))</f>
        <v>0.34549999999999997</v>
      </c>
      <c r="AL17" s="7">
        <f>INDEX('面板-景气指数'!$37:$244,MATCH('面板-总览'!$AI17,'面板-景气指数'!$A$37:$A$244,0),MATCH('面板-总览'!AL$2,'面板-景气指数'!$36:$36,0))</f>
        <v>0.31200000000000006</v>
      </c>
      <c r="AM17" s="7">
        <f>INDEX('面板-景气指数'!$37:$244,MATCH('面板-总览'!$AI17,'面板-景气指数'!$A$37:$A$244,0),MATCH('面板-总览'!AM$2,'面板-景气指数'!$36:$36,0))</f>
        <v>0.21149999999999999</v>
      </c>
      <c r="AN17" s="7">
        <f>INDEX('面板-景气指数'!$37:$244,MATCH('面板-总览'!$AI17,'面板-景气指数'!$A$37:$A$244,0),MATCH('面板-总览'!AN$2,'面板-景气指数'!$36:$36,0))</f>
        <v>0.187</v>
      </c>
      <c r="AO17" s="7">
        <f>INDEX('面板-景气指数'!$37:$244,MATCH('面板-总览'!$AI17,'面板-景气指数'!$A$37:$A$244,0),MATCH('面板-总览'!AO$2,'面板-景气指数'!$36:$36,0))</f>
        <v>0.16300000000000001</v>
      </c>
      <c r="AP17" s="7">
        <f>INDEX('面板-景气指数'!$37:$244,MATCH('面板-总览'!$AI17,'面板-景气指数'!$A$37:$A$244,0),MATCH('面板-总览'!AP$2,'面板-景气指数'!$36:$36,0))</f>
        <v>0.22050000000000003</v>
      </c>
      <c r="AQ17" s="7">
        <f>INDEX('面板-景气指数'!$37:$244,MATCH('面板-总览'!$AI17,'面板-景气指数'!$A$37:$A$244,0),MATCH('面板-总览'!AQ$2,'面板-景气指数'!$36:$36,0))</f>
        <v>0.36499999999999999</v>
      </c>
      <c r="AR17" s="7">
        <f>INDEX('面板-景气指数'!$37:$244,MATCH('面板-总览'!$AI17,'面板-景气指数'!$A$37:$A$244,0),MATCH('面板-总览'!AR$2,'面板-景气指数'!$36:$36,0))</f>
        <v>0.47099999999999997</v>
      </c>
      <c r="AS17" s="7">
        <f>INDEX('面板-景气指数'!$37:$244,MATCH('面板-总览'!$AI17,'面板-景气指数'!$A$37:$A$244,0),MATCH('面板-总览'!AS$2,'面板-景气指数'!$36:$36,0))</f>
        <v>0.41749999999999998</v>
      </c>
      <c r="AT17" s="7">
        <f>INDEX('面板-景气指数'!$37:$244,MATCH('面板-总览'!$AI17,'面板-景气指数'!$A$37:$A$244,0),MATCH('面板-总览'!AT$2,'面板-景气指数'!$36:$36,0))</f>
        <v>0.30249999999999999</v>
      </c>
      <c r="AU17" s="7">
        <f>INDEX('面板-景气指数'!$37:$244,MATCH('面板-总览'!$AI17,'面板-景气指数'!$A$37:$A$244,0),MATCH('面板-总览'!AU$2,'面板-景气指数'!$36:$36,0))</f>
        <v>0.24</v>
      </c>
      <c r="AV17" s="7">
        <f>INDEX('面板-景气指数'!$37:$244,MATCH('面板-总览'!$AI17,'面板-景气指数'!$A$37:$A$244,0),MATCH('面板-总览'!AV$2,'面板-景气指数'!$36:$36,0))</f>
        <v>0.22550000000000001</v>
      </c>
      <c r="AX17" s="12">
        <f t="shared" si="2"/>
        <v>-0.19199999999999998</v>
      </c>
    </row>
    <row r="18" spans="1:50" ht="21" customHeight="1" x14ac:dyDescent="0.2">
      <c r="A18" s="6" t="s">
        <v>50</v>
      </c>
      <c r="B18" s="7">
        <f>INDEX('面板-景气指数'!$37:$244,MATCH('面板-总览'!$A18,'面板-景气指数'!$A$37:$A$244,0),MATCH('面板-总览'!B$2,'面板-景气指数'!$36:$36,0))</f>
        <v>0.36730853591149254</v>
      </c>
      <c r="C18" s="7">
        <f>INDEX('面板-景气指数'!$37:$244,MATCH('面板-总览'!$A18,'面板-景气指数'!$A$37:$A$244,0),MATCH('面板-总览'!C$2,'面板-景气指数'!$36:$36,0))</f>
        <v>0.35564298552821477</v>
      </c>
      <c r="D18" s="7">
        <f>INDEX('面板-景气指数'!$37:$244,MATCH('面板-总览'!$A18,'面板-景气指数'!$A$37:$A$244,0),MATCH('面板-总览'!D$2,'面板-景气指数'!$36:$36,0))</f>
        <v>0.36683440047833682</v>
      </c>
      <c r="E18" s="7">
        <f>INDEX('面板-景气指数'!$37:$244,MATCH('面板-总览'!$A18,'面板-景气指数'!$A$37:$A$244,0),MATCH('面板-总览'!E$2,'面板-景气指数'!$36:$36,0))</f>
        <v>0.35584519458417796</v>
      </c>
      <c r="F18" s="7">
        <f>INDEX('面板-景气指数'!$37:$244,MATCH('面板-总览'!$A18,'面板-景气指数'!$A$37:$A$244,0),MATCH('面板-总览'!F$2,'面板-景气指数'!$36:$36,0))</f>
        <v>0.33372770007472985</v>
      </c>
      <c r="G18" s="7">
        <f>INDEX('面板-景气指数'!$37:$244,MATCH('面板-总览'!$A18,'面板-景气指数'!$A$37:$A$244,0),MATCH('面板-总览'!G$2,'面板-景气指数'!$36:$36,0))</f>
        <v>0.24120635891844577</v>
      </c>
      <c r="H18" s="7">
        <f>INDEX('面板-景气指数'!$37:$244,MATCH('面板-总览'!$A18,'面板-景气指数'!$A$37:$A$244,0),MATCH('面板-总览'!H$2,'面板-景气指数'!$36:$36,0))</f>
        <v>0.22016606256284796</v>
      </c>
      <c r="I18" s="7">
        <f>INDEX('面板-景气指数'!$37:$244,MATCH('面板-总览'!$A18,'面板-景气指数'!$A$37:$A$244,0),MATCH('面板-总览'!I$2,'面板-景气指数'!$36:$36,0))</f>
        <v>0.2632044202269927</v>
      </c>
      <c r="J18" s="7">
        <f>INDEX('面板-景气指数'!$37:$244,MATCH('面板-总览'!$A18,'面板-景气指数'!$A$37:$A$244,0),MATCH('面板-总览'!J$2,'面板-景气指数'!$36:$36,0))</f>
        <v>0.29939106527175541</v>
      </c>
      <c r="K18" s="7">
        <f>INDEX('面板-景气指数'!$37:$244,MATCH('面板-总览'!$A18,'面板-景气指数'!$A$37:$A$244,0),MATCH('面板-总览'!K$2,'面板-景气指数'!$36:$36,0))</f>
        <v>0.32284808600479076</v>
      </c>
      <c r="L18" s="7">
        <f>INDEX('面板-景气指数'!$37:$244,MATCH('面板-总览'!$A18,'面板-景气指数'!$A$37:$A$244,0),MATCH('面板-总览'!L$2,'面板-景气指数'!$36:$36,0))</f>
        <v>0.3665980506109548</v>
      </c>
      <c r="M18" s="7">
        <f>INDEX('面板-景气指数'!$37:$244,MATCH('面板-总览'!$A18,'面板-景气指数'!$A$37:$A$244,0),MATCH('面板-总览'!M$2,'面板-景气指数'!$36:$36,0))</f>
        <v>0.38915915901822917</v>
      </c>
      <c r="N18" s="7">
        <f>INDEX('面板-景气指数'!$37:$244,MATCH('面板-总览'!$A18,'面板-景气指数'!$A$37:$A$244,0),MATCH('面板-总览'!N$2,'面板-景气指数'!$36:$36,0))</f>
        <v>0.40321221679832286</v>
      </c>
      <c r="P18" s="9">
        <f t="shared" si="0"/>
        <v>8.0364130793532107E-2</v>
      </c>
      <c r="R18" s="6" t="s">
        <v>51</v>
      </c>
      <c r="S18" s="7">
        <f>INDEX('面板-景气指数'!$37:$244,MATCH('面板-总览'!$R18,'面板-景气指数'!$A$37:$A$244,0),MATCH('面板-总览'!S$2,'面板-景气指数'!$36:$36,0))</f>
        <v>0.43035714285714288</v>
      </c>
      <c r="T18" s="7">
        <f>INDEX('面板-景气指数'!$37:$244,MATCH('面板-总览'!$R18,'面板-景气指数'!$A$37:$A$244,0),MATCH('面板-总览'!T$2,'面板-景气指数'!$36:$36,0))</f>
        <v>0.37328571428571433</v>
      </c>
      <c r="U18" s="7">
        <f>INDEX('面板-景气指数'!$37:$244,MATCH('面板-总览'!$R18,'面板-景气指数'!$A$37:$A$244,0),MATCH('面板-总览'!U$2,'面板-景气指数'!$36:$36,0))</f>
        <v>0.36357142857142855</v>
      </c>
      <c r="V18" s="7">
        <f>INDEX('面板-景气指数'!$37:$244,MATCH('面板-总览'!$R18,'面板-景气指数'!$A$37:$A$244,0),MATCH('面板-总览'!V$2,'面板-景气指数'!$36:$36,0))</f>
        <v>0.26792857142857146</v>
      </c>
      <c r="W18" s="7">
        <f>INDEX('面板-景气指数'!$37:$244,MATCH('面板-总览'!$R18,'面板-景气指数'!$A$37:$A$244,0),MATCH('面板-总览'!W$2,'面板-景气指数'!$36:$36,0))</f>
        <v>0.21785714285714286</v>
      </c>
      <c r="X18" s="7">
        <f>INDEX('面板-景气指数'!$37:$244,MATCH('面板-总览'!$R18,'面板-景气指数'!$A$37:$A$244,0),MATCH('面板-总览'!X$2,'面板-景气指数'!$36:$36,0))</f>
        <v>0.14221428571428571</v>
      </c>
      <c r="Y18" s="7">
        <f>INDEX('面板-景气指数'!$37:$244,MATCH('面板-总览'!$R18,'面板-景气指数'!$A$37:$A$244,0),MATCH('面板-总览'!Y$2,'面板-景气指数'!$36:$36,0))</f>
        <v>0.20671428571428571</v>
      </c>
      <c r="Z18" s="7">
        <f>INDEX('面板-景气指数'!$37:$244,MATCH('面板-总览'!$R18,'面板-景气指数'!$A$37:$A$244,0),MATCH('面板-总览'!Z$2,'面板-景气指数'!$36:$36,0))</f>
        <v>0.3274285714285714</v>
      </c>
      <c r="AA18" s="7">
        <f>INDEX('面板-景气指数'!$37:$244,MATCH('面板-总览'!$R18,'面板-景气指数'!$A$37:$A$244,0),MATCH('面板-总览'!AA$2,'面板-景气指数'!$36:$36,0))</f>
        <v>0.48499999999999993</v>
      </c>
      <c r="AB18" s="7">
        <f>INDEX('面板-景气指数'!$37:$244,MATCH('面板-总览'!$R18,'面板-景气指数'!$A$37:$A$244,0),MATCH('面板-总览'!AB$2,'面板-景气指数'!$36:$36,0))</f>
        <v>0.51957142857142857</v>
      </c>
      <c r="AC18" s="7">
        <f>INDEX('面板-景气指数'!$37:$244,MATCH('面板-总览'!$R18,'面板-景气指数'!$A$37:$A$244,0),MATCH('面板-总览'!AC$2,'面板-景气指数'!$36:$36,0))</f>
        <v>0.39564285714285718</v>
      </c>
      <c r="AD18" s="7">
        <f>INDEX('面板-景气指数'!$37:$244,MATCH('面板-总览'!$R18,'面板-景气指数'!$A$37:$A$244,0),MATCH('面板-总览'!AD$2,'面板-景气指数'!$36:$36,0))</f>
        <v>0.22485714285714284</v>
      </c>
      <c r="AE18" s="7">
        <f>INDEX('面板-景气指数'!$37:$244,MATCH('面板-总览'!$R18,'面板-景气指数'!$A$37:$A$244,0),MATCH('面板-总览'!AE$2,'面板-景气指数'!$36:$36,0))</f>
        <v>0.16357142857142859</v>
      </c>
      <c r="AF18" s="15"/>
      <c r="AG18" s="12">
        <f t="shared" si="1"/>
        <v>-0.35599999999999998</v>
      </c>
      <c r="AI18" s="6" t="s">
        <v>52</v>
      </c>
      <c r="AJ18" s="7">
        <f>INDEX('面板-景气指数'!$37:$244,MATCH('面板-总览'!$AI18,'面板-景气指数'!$A$37:$A$244,0),MATCH('面板-总览'!AJ$2,'面板-景气指数'!$36:$36,0))</f>
        <v>0.64400000000000002</v>
      </c>
      <c r="AK18" s="7">
        <f>INDEX('面板-景气指数'!$37:$244,MATCH('面板-总览'!$AI18,'面板-景气指数'!$A$37:$A$244,0),MATCH('面板-总览'!AK$2,'面板-景气指数'!$36:$36,0))</f>
        <v>0.60499999999999998</v>
      </c>
      <c r="AL18" s="7">
        <f>INDEX('面板-景气指数'!$37:$244,MATCH('面板-总览'!$AI18,'面板-景气指数'!$A$37:$A$244,0),MATCH('面板-总览'!AL$2,'面板-景气指数'!$36:$36,0))</f>
        <v>0.57599999999999996</v>
      </c>
      <c r="AM18" s="7">
        <f>INDEX('面板-景气指数'!$37:$244,MATCH('面板-总览'!$AI18,'面板-景气指数'!$A$37:$A$244,0),MATCH('面板-总览'!AM$2,'面板-景气指数'!$36:$36,0))</f>
        <v>0.54800000000000004</v>
      </c>
      <c r="AN18" s="7">
        <f>INDEX('面板-景气指数'!$37:$244,MATCH('面板-总览'!$AI18,'面板-景气指数'!$A$37:$A$244,0),MATCH('面板-总览'!AN$2,'面板-景气指数'!$36:$36,0))</f>
        <v>0.48</v>
      </c>
      <c r="AO18" s="7">
        <f>INDEX('面板-景气指数'!$37:$244,MATCH('面板-总览'!$AI18,'面板-景气指数'!$A$37:$A$244,0),MATCH('面板-总览'!AO$2,'面板-景气指数'!$36:$36,0))</f>
        <v>0.39400000000000002</v>
      </c>
      <c r="AP18" s="7">
        <f>INDEX('面板-景气指数'!$37:$244,MATCH('面板-总览'!$AI18,'面板-景气指数'!$A$37:$A$244,0),MATCH('面板-总览'!AP$2,'面板-景气指数'!$36:$36,0))</f>
        <v>0.40300000000000002</v>
      </c>
      <c r="AQ18" s="7">
        <f>INDEX('面板-景气指数'!$37:$244,MATCH('面板-总览'!$AI18,'面板-景气指数'!$A$37:$A$244,0),MATCH('面板-总览'!AQ$2,'面板-景气指数'!$36:$36,0))</f>
        <v>0.37499999999999994</v>
      </c>
      <c r="AR18" s="7">
        <f>INDEX('面板-景气指数'!$37:$244,MATCH('面板-总览'!$AI18,'面板-景气指数'!$A$37:$A$244,0),MATCH('面板-总览'!AR$2,'面板-景气指数'!$36:$36,0))</f>
        <v>0.32600000000000001</v>
      </c>
      <c r="AS18" s="7">
        <f>INDEX('面板-景气指数'!$37:$244,MATCH('面板-总览'!$AI18,'面板-景气指数'!$A$37:$A$244,0),MATCH('面板-总览'!AS$2,'面板-景气指数'!$36:$36,0))</f>
        <v>0.25</v>
      </c>
      <c r="AT18" s="7">
        <f>INDEX('面板-景气指数'!$37:$244,MATCH('面板-总览'!$AI18,'面板-景气指数'!$A$37:$A$244,0),MATCH('面板-总览'!AT$2,'面板-景气指数'!$36:$36,0))</f>
        <v>0.17299999999999999</v>
      </c>
      <c r="AU18" s="7">
        <f>INDEX('面板-景气指数'!$37:$244,MATCH('面板-总览'!$AI18,'面板-景气指数'!$A$37:$A$244,0),MATCH('面板-总览'!AU$2,'面板-景气指数'!$36:$36,0))</f>
        <v>0.115</v>
      </c>
      <c r="AV18" s="7">
        <f>INDEX('面板-景气指数'!$37:$244,MATCH('面板-总览'!$AI18,'面板-景气指数'!$A$37:$A$244,0),MATCH('面板-总览'!AV$2,'面板-景气指数'!$36:$36,0))</f>
        <v>8.5999999999999993E-2</v>
      </c>
      <c r="AX18" s="12">
        <f t="shared" si="2"/>
        <v>-0.16400000000000001</v>
      </c>
    </row>
    <row r="19" spans="1:50" ht="21" customHeight="1" x14ac:dyDescent="0.2">
      <c r="A19" s="6" t="s">
        <v>53</v>
      </c>
      <c r="B19" s="7">
        <f>INDEX('面板-景气指数'!$37:$244,MATCH('面板-总览'!$A19,'面板-景气指数'!$A$37:$A$244,0),MATCH('面板-总览'!B$2,'面板-景气指数'!$36:$36,0))</f>
        <v>0.52318478630232879</v>
      </c>
      <c r="C19" s="7">
        <f>INDEX('面板-景气指数'!$37:$244,MATCH('面板-总览'!$A19,'面板-景气指数'!$A$37:$A$244,0),MATCH('面板-总览'!C$2,'面板-景气指数'!$36:$36,0))</f>
        <v>0.53779095304571278</v>
      </c>
      <c r="D19" s="7">
        <f>INDEX('面板-景气指数'!$37:$244,MATCH('面板-总览'!$A19,'面板-景气指数'!$A$37:$A$244,0),MATCH('面板-总览'!D$2,'面板-景气指数'!$36:$36,0))</f>
        <v>0.54582687178437406</v>
      </c>
      <c r="E19" s="7">
        <f>INDEX('面板-景气指数'!$37:$244,MATCH('面板-总览'!$A19,'面板-景气指数'!$A$37:$A$244,0),MATCH('面板-总览'!E$2,'面板-景气指数'!$36:$36,0))</f>
        <v>0.55493301295419928</v>
      </c>
      <c r="F19" s="7">
        <f>INDEX('面板-景气指数'!$37:$244,MATCH('面板-总览'!$A19,'面板-景气指数'!$A$37:$A$244,0),MATCH('面板-总览'!F$2,'面板-景气指数'!$36:$36,0))</f>
        <v>0.51964297850173169</v>
      </c>
      <c r="G19" s="7">
        <f>INDEX('面板-景气指数'!$37:$244,MATCH('面板-总览'!$A19,'面板-景气指数'!$A$37:$A$244,0),MATCH('面板-总览'!G$2,'面板-景气指数'!$36:$36,0))</f>
        <v>0.48121411283189541</v>
      </c>
      <c r="H19" s="7">
        <f>INDEX('面板-景气指数'!$37:$244,MATCH('面板-总览'!$A19,'面板-景气指数'!$A$37:$A$244,0),MATCH('面板-总览'!H$2,'面板-景气指数'!$36:$36,0))</f>
        <v>0.4640894075177992</v>
      </c>
      <c r="I19" s="7">
        <f>INDEX('面板-景气指数'!$37:$244,MATCH('面板-总览'!$A19,'面板-景气指数'!$A$37:$A$244,0),MATCH('面板-总览'!I$2,'面板-景气指数'!$36:$36,0))</f>
        <v>0.41046416149506909</v>
      </c>
      <c r="J19" s="7">
        <f>INDEX('面板-景气指数'!$37:$244,MATCH('面板-总览'!$A19,'面板-景气指数'!$A$37:$A$244,0),MATCH('面板-总览'!J$2,'面板-景气指数'!$36:$36,0))</f>
        <v>0.39231783806303727</v>
      </c>
      <c r="K19" s="7">
        <f>INDEX('面板-景气指数'!$37:$244,MATCH('面板-总览'!$A19,'面板-景气指数'!$A$37:$A$244,0),MATCH('面板-总览'!K$2,'面板-景气指数'!$36:$36,0))</f>
        <v>0.36445960451753556</v>
      </c>
      <c r="L19" s="7">
        <f>INDEX('面板-景气指数'!$37:$244,MATCH('面板-总览'!$A19,'面板-景气指数'!$A$37:$A$244,0),MATCH('面板-总览'!L$2,'面板-景气指数'!$36:$36,0))</f>
        <v>0.33038824468818528</v>
      </c>
      <c r="M19" s="7">
        <f>INDEX('面板-景气指数'!$37:$244,MATCH('面板-总览'!$A19,'面板-景气指数'!$A$37:$A$244,0),MATCH('面板-总览'!M$2,'面板-景气指数'!$36:$36,0))</f>
        <v>0.31537758813029149</v>
      </c>
      <c r="N19" s="7">
        <f>INDEX('面板-景气指数'!$37:$244,MATCH('面板-总览'!$A19,'面板-景气指数'!$A$37:$A$244,0),MATCH('面板-总览'!N$2,'面板-景气指数'!$36:$36,0))</f>
        <v>0.3014723454025916</v>
      </c>
      <c r="P19" s="9">
        <f t="shared" si="0"/>
        <v>-6.2987259114943961E-2</v>
      </c>
      <c r="R19" s="6" t="s">
        <v>54</v>
      </c>
      <c r="S19" s="7">
        <f>INDEX('面板-景气指数'!$37:$244,MATCH('面板-总览'!$R19,'面板-景气指数'!$A$37:$A$244,0),MATCH('面板-总览'!S$2,'面板-景气指数'!$36:$36,0))</f>
        <v>5.7000000000000002E-2</v>
      </c>
      <c r="T19" s="7">
        <f>INDEX('面板-景气指数'!$37:$244,MATCH('面板-总览'!$R19,'面板-景气指数'!$A$37:$A$244,0),MATCH('面板-总览'!T$2,'面板-景气指数'!$36:$36,0))</f>
        <v>0.17299999999999999</v>
      </c>
      <c r="U19" s="7">
        <f>INDEX('面板-景气指数'!$37:$244,MATCH('面板-总览'!$R19,'面板-景气指数'!$A$37:$A$244,0),MATCH('面板-总览'!U$2,'面板-景气指数'!$36:$36,0))</f>
        <v>0.153</v>
      </c>
      <c r="V19" s="7">
        <f>INDEX('面板-景气指数'!$37:$244,MATCH('面板-总览'!$R19,'面板-景气指数'!$A$37:$A$244,0),MATCH('面板-总览'!V$2,'面板-景气指数'!$36:$36,0))</f>
        <v>9.6000000000000002E-2</v>
      </c>
      <c r="W19" s="7">
        <f>INDEX('面板-景气指数'!$37:$244,MATCH('面板-总览'!$R19,'面板-景气指数'!$A$37:$A$244,0),MATCH('面板-总览'!W$2,'面板-景气指数'!$36:$36,0))</f>
        <v>7.5999999999999998E-2</v>
      </c>
      <c r="X19" s="7">
        <f>INDEX('面板-景气指数'!$37:$244,MATCH('面板-总览'!$R19,'面板-景气指数'!$A$37:$A$244,0),MATCH('面板-总览'!X$2,'面板-景气指数'!$36:$36,0))</f>
        <v>0.105</v>
      </c>
      <c r="Y19" s="7">
        <f>INDEX('面板-景气指数'!$37:$244,MATCH('面板-总览'!$R19,'面板-景气指数'!$A$37:$A$244,0),MATCH('面板-总览'!Y$2,'面板-景气指数'!$36:$36,0))</f>
        <v>0.24</v>
      </c>
      <c r="Z19" s="7">
        <f>INDEX('面板-景气指数'!$37:$244,MATCH('面板-总览'!$R19,'面板-景气指数'!$A$37:$A$244,0),MATCH('面板-总览'!Z$2,'面板-景气指数'!$36:$36,0))</f>
        <v>0.442</v>
      </c>
      <c r="AA19" s="7">
        <f>INDEX('面板-景气指数'!$37:$244,MATCH('面板-总览'!$R19,'面板-景气指数'!$A$37:$A$244,0),MATCH('面板-总览'!AA$2,'面板-景气指数'!$36:$36,0))</f>
        <v>0.50900000000000001</v>
      </c>
      <c r="AB19" s="7">
        <f>INDEX('面板-景气指数'!$37:$244,MATCH('面板-总览'!$R19,'面板-景气指数'!$A$37:$A$244,0),MATCH('面板-总览'!AB$2,'面板-景气指数'!$36:$36,0))</f>
        <v>0.60499999999999998</v>
      </c>
      <c r="AC19" s="7">
        <f>INDEX('面板-景气指数'!$37:$244,MATCH('面板-总览'!$R19,'面板-景气指数'!$A$37:$A$244,0),MATCH('面板-总览'!AC$2,'面板-景气指数'!$36:$36,0))</f>
        <v>0.63400000000000001</v>
      </c>
      <c r="AD19" s="7">
        <f>INDEX('面板-景气指数'!$37:$244,MATCH('面板-总览'!$R19,'面板-景气指数'!$A$37:$A$244,0),MATCH('面板-总览'!AD$2,'面板-景气指数'!$36:$36,0))</f>
        <v>0.75900000000000001</v>
      </c>
      <c r="AE19" s="7">
        <f>INDEX('面板-景气指数'!$37:$244,MATCH('面板-总览'!$R19,'面板-景气指数'!$A$37:$A$244,0),MATCH('面板-总览'!AE$2,'面板-景气指数'!$36:$36,0))</f>
        <v>0.77800000000000002</v>
      </c>
      <c r="AF19" s="15"/>
      <c r="AG19" s="12">
        <f t="shared" si="1"/>
        <v>0.17300000000000004</v>
      </c>
      <c r="AI19" s="6" t="s">
        <v>55</v>
      </c>
      <c r="AJ19" s="7">
        <f>INDEX('面板-景气指数'!$37:$244,MATCH('面板-总览'!$AI19,'面板-景气指数'!$A$37:$A$244,0),MATCH('面板-总览'!AJ$2,'面板-景气指数'!$36:$36,0))</f>
        <v>0.4375</v>
      </c>
      <c r="AK19" s="7">
        <f>INDEX('面板-景气指数'!$37:$244,MATCH('面板-总览'!$AI19,'面板-景气指数'!$A$37:$A$244,0),MATCH('面板-总览'!AK$2,'面板-景气指数'!$36:$36,0))</f>
        <v>0.34599999999999997</v>
      </c>
      <c r="AL19" s="7">
        <f>INDEX('面板-景气指数'!$37:$244,MATCH('面板-总览'!$AI19,'面板-景气指数'!$A$37:$A$244,0),MATCH('面板-总览'!AL$2,'面板-景气指数'!$36:$36,0))</f>
        <v>0.33100000000000002</v>
      </c>
      <c r="AM19" s="7">
        <f>INDEX('面板-景气指数'!$37:$244,MATCH('面板-总览'!$AI19,'面板-景气指数'!$A$37:$A$244,0),MATCH('面板-总览'!AM$2,'面板-景气指数'!$36:$36,0))</f>
        <v>0.29250000000000004</v>
      </c>
      <c r="AN19" s="7">
        <f>INDEX('面板-景气指数'!$37:$244,MATCH('面板-总览'!$AI19,'面板-景气指数'!$A$37:$A$244,0),MATCH('面板-总览'!AN$2,'面板-景气指数'!$36:$36,0))</f>
        <v>0.28299999999999997</v>
      </c>
      <c r="AO19" s="7">
        <f>INDEX('面板-景气指数'!$37:$244,MATCH('面板-总览'!$AI19,'面板-景气指数'!$A$37:$A$244,0),MATCH('面板-总览'!AO$2,'面板-景气指数'!$36:$36,0))</f>
        <v>0.26850000000000002</v>
      </c>
      <c r="AP19" s="7">
        <f>INDEX('面板-景气指数'!$37:$244,MATCH('面板-总览'!$AI19,'面板-景气指数'!$A$37:$A$244,0),MATCH('面板-总览'!AP$2,'面板-景气指数'!$36:$36,0))</f>
        <v>0.3745</v>
      </c>
      <c r="AQ19" s="7">
        <f>INDEX('面板-景气指数'!$37:$244,MATCH('面板-总览'!$AI19,'面板-景气指数'!$A$37:$A$244,0),MATCH('面板-总览'!AQ$2,'面板-景气指数'!$36:$36,0))</f>
        <v>0.50950000000000006</v>
      </c>
      <c r="AR19" s="7">
        <f>INDEX('面板-景气指数'!$37:$244,MATCH('面板-总览'!$AI19,'面板-景气指数'!$A$37:$A$244,0),MATCH('面板-总览'!AR$2,'面板-景气指数'!$36:$36,0))</f>
        <v>0.61</v>
      </c>
      <c r="AS19" s="7">
        <f>INDEX('面板-景气指数'!$37:$244,MATCH('面板-总览'!$AI19,'面板-景气指数'!$A$37:$A$244,0),MATCH('面板-总览'!AS$2,'面板-景气指数'!$36:$36,0))</f>
        <v>0.59599999999999997</v>
      </c>
      <c r="AT19" s="7">
        <f>INDEX('面板-景气指数'!$37:$244,MATCH('面板-总览'!$AI19,'面板-景气指数'!$A$37:$A$244,0),MATCH('面板-总览'!AT$2,'面板-景气指数'!$36:$36,0))</f>
        <v>0.43199999999999994</v>
      </c>
      <c r="AU19" s="7">
        <f>INDEX('面板-景气指数'!$37:$244,MATCH('面板-总览'!$AI19,'面板-景气指数'!$A$37:$A$244,0),MATCH('面板-总览'!AU$2,'面板-景气指数'!$36:$36,0))</f>
        <v>0.312</v>
      </c>
      <c r="AV19" s="7">
        <f>INDEX('面板-景气指数'!$37:$244,MATCH('面板-总览'!$AI19,'面板-景气指数'!$A$37:$A$244,0),MATCH('面板-总览'!AV$2,'面板-景气指数'!$36:$36,0))</f>
        <v>0.26850000000000002</v>
      </c>
      <c r="AX19" s="12">
        <f t="shared" si="2"/>
        <v>-0.32749999999999996</v>
      </c>
    </row>
    <row r="20" spans="1:50" ht="21" customHeight="1" x14ac:dyDescent="0.2">
      <c r="A20" s="6" t="s">
        <v>56</v>
      </c>
      <c r="B20" s="7">
        <f>INDEX('面板-景气指数'!$37:$244,MATCH('面板-总览'!$A20,'面板-景气指数'!$A$37:$A$244,0),MATCH('面板-总览'!B$2,'面板-景气指数'!$36:$36,0))</f>
        <v>0.82871959404174533</v>
      </c>
      <c r="C20" s="7">
        <f>INDEX('面板-景气指数'!$37:$244,MATCH('面板-总览'!$A20,'面板-景气指数'!$A$37:$A$244,0),MATCH('面板-总览'!C$2,'面板-景气指数'!$36:$36,0))</f>
        <v>0.84547397866090646</v>
      </c>
      <c r="D20" s="7">
        <f>INDEX('面板-景气指数'!$37:$244,MATCH('面板-总览'!$A20,'面板-景气指数'!$A$37:$A$244,0),MATCH('面板-总览'!D$2,'面板-景气指数'!$36:$36,0))</f>
        <v>0.8426970685338373</v>
      </c>
      <c r="E20" s="7">
        <f>INDEX('面板-景气指数'!$37:$244,MATCH('面板-总览'!$A20,'面板-景气指数'!$A$37:$A$244,0),MATCH('面板-总览'!E$2,'面板-景气指数'!$36:$36,0))</f>
        <v>0.83097134195733824</v>
      </c>
      <c r="F20" s="7">
        <f>INDEX('面板-景气指数'!$37:$244,MATCH('面板-总览'!$A20,'面板-景气指数'!$A$37:$A$244,0),MATCH('面板-总览'!F$2,'面板-景气指数'!$36:$36,0))</f>
        <v>0.8007029146927187</v>
      </c>
      <c r="G20" s="7">
        <f>INDEX('面板-景气指数'!$37:$244,MATCH('面板-总览'!$A20,'面板-景气指数'!$A$37:$A$244,0),MATCH('面板-总览'!G$2,'面板-景气指数'!$36:$36,0))</f>
        <v>0.74756244630452395</v>
      </c>
      <c r="H20" s="7">
        <f>INDEX('面板-景气指数'!$37:$244,MATCH('面板-总览'!$A20,'面板-景气指数'!$A$37:$A$244,0),MATCH('面板-总览'!H$2,'面板-景气指数'!$36:$36,0))</f>
        <v>0.75383504340640006</v>
      </c>
      <c r="I20" s="7">
        <f>INDEX('面板-景气指数'!$37:$244,MATCH('面板-总览'!$A20,'面板-景气指数'!$A$37:$A$244,0),MATCH('面板-总览'!I$2,'面板-景气指数'!$36:$36,0))</f>
        <v>0.60503393144979833</v>
      </c>
      <c r="J20" s="7">
        <f>INDEX('面板-景气指数'!$37:$244,MATCH('面板-总览'!$A20,'面板-景气指数'!$A$37:$A$244,0),MATCH('面板-总览'!J$2,'面板-景气指数'!$36:$36,0))</f>
        <v>0.60330096876866557</v>
      </c>
      <c r="K20" s="7">
        <f>INDEX('面板-景气指数'!$37:$244,MATCH('面板-总览'!$A20,'面板-景气指数'!$A$37:$A$244,0),MATCH('面板-总览'!K$2,'面板-景气指数'!$36:$36,0))</f>
        <v>0.60174130235564616</v>
      </c>
      <c r="L20" s="7">
        <f>INDEX('面板-景气指数'!$37:$244,MATCH('面板-总览'!$A20,'面板-景气指数'!$A$37:$A$244,0),MATCH('面板-总览'!L$2,'面板-景气指数'!$36:$36,0))</f>
        <v>0.59671571058036121</v>
      </c>
      <c r="M20" s="7">
        <f>INDEX('面板-景气指数'!$37:$244,MATCH('面板-总览'!$A20,'面板-景气指数'!$A$37:$A$244,0),MATCH('面板-总览'!M$2,'面板-景气指数'!$36:$36,0))</f>
        <v>0.59671571058036121</v>
      </c>
      <c r="N20" s="7">
        <f>INDEX('面板-景气指数'!$37:$244,MATCH('面板-总览'!$A20,'面板-景气指数'!$A$37:$A$244,0),MATCH('面板-总览'!N$2,'面板-景气指数'!$36:$36,0))</f>
        <v>0.60000833967451339</v>
      </c>
      <c r="P20" s="9">
        <f t="shared" si="0"/>
        <v>-1.7329626811327659E-3</v>
      </c>
      <c r="R20" s="6" t="s">
        <v>57</v>
      </c>
      <c r="S20" s="7">
        <f>INDEX('面板-景气指数'!$37:$244,MATCH('面板-总览'!$R20,'面板-景气指数'!$A$37:$A$244,0),MATCH('面板-总览'!S$2,'面板-景气指数'!$36:$36,0))</f>
        <v>7.6499999999999999E-2</v>
      </c>
      <c r="T20" s="7">
        <f>INDEX('面板-景气指数'!$37:$244,MATCH('面板-总览'!$R20,'面板-景气指数'!$A$37:$A$244,0),MATCH('面板-总览'!T$2,'面板-景气指数'!$36:$36,0))</f>
        <v>3.2500000000000001E-2</v>
      </c>
      <c r="U20" s="7">
        <f>INDEX('面板-景气指数'!$37:$244,MATCH('面板-总览'!$R20,'面板-景气指数'!$A$37:$A$244,0),MATCH('面板-总览'!U$2,'面板-景气指数'!$36:$36,0))</f>
        <v>2.1500000000000002E-2</v>
      </c>
      <c r="V20" s="7">
        <f>INDEX('面板-景气指数'!$37:$244,MATCH('面板-总览'!$R20,'面板-景气指数'!$A$37:$A$244,0),MATCH('面板-总览'!V$2,'面板-景气指数'!$36:$36,0))</f>
        <v>0</v>
      </c>
      <c r="W20" s="7">
        <f>INDEX('面板-景气指数'!$37:$244,MATCH('面板-总览'!$R20,'面板-景气指数'!$A$37:$A$244,0),MATCH('面板-总览'!W$2,'面板-景气指数'!$36:$36,0))</f>
        <v>1.0500000000000001E-2</v>
      </c>
      <c r="X20" s="7">
        <f>INDEX('面板-景气指数'!$37:$244,MATCH('面板-总览'!$R20,'面板-景气指数'!$A$37:$A$244,0),MATCH('面板-总览'!X$2,'面板-景气指数'!$36:$36,0))</f>
        <v>5.3000000000000005E-2</v>
      </c>
      <c r="Y20" s="7">
        <f>INDEX('面板-景气指数'!$37:$244,MATCH('面板-总览'!$R20,'面板-景气指数'!$A$37:$A$244,0),MATCH('面板-总览'!Y$2,'面板-景气指数'!$36:$36,0))</f>
        <v>0.16999999999999998</v>
      </c>
      <c r="Z20" s="7">
        <f>INDEX('面板-景气指数'!$37:$244,MATCH('面板-总览'!$R20,'面板-景气指数'!$A$37:$A$244,0),MATCH('面板-总览'!Z$2,'面板-景气指数'!$36:$36,0))</f>
        <v>0.23699999999999999</v>
      </c>
      <c r="AA20" s="7">
        <f>INDEX('面板-景气指数'!$37:$244,MATCH('面板-总览'!$R20,'面板-景气指数'!$A$37:$A$244,0),MATCH('面板-总览'!AA$2,'面板-景气指数'!$36:$36,0))</f>
        <v>0.114</v>
      </c>
      <c r="AB20" s="7">
        <f>INDEX('面板-景气指数'!$37:$244,MATCH('面板-总览'!$R20,'面板-景气指数'!$A$37:$A$244,0),MATCH('面板-总览'!AB$2,'面板-景气指数'!$36:$36,0))</f>
        <v>6.0999999999999999E-2</v>
      </c>
      <c r="AC20" s="7">
        <f>INDEX('面板-景气指数'!$37:$244,MATCH('面板-总览'!$R20,'面板-景气指数'!$A$37:$A$244,0),MATCH('面板-总览'!AC$2,'面板-景气指数'!$36:$36,0))</f>
        <v>4.9499999999999995E-2</v>
      </c>
      <c r="AD20" s="7">
        <f>INDEX('面板-景气指数'!$37:$244,MATCH('面板-总览'!$R20,'面板-景气指数'!$A$37:$A$244,0),MATCH('面板-总览'!AD$2,'面板-景气指数'!$36:$36,0))</f>
        <v>8.6999999999999994E-2</v>
      </c>
      <c r="AE20" s="7">
        <f>INDEX('面板-景气指数'!$37:$244,MATCH('面板-总览'!$R20,'面板-景气指数'!$A$37:$A$244,0),MATCH('面板-总览'!AE$2,'面板-景气指数'!$36:$36,0))</f>
        <v>9.849999999999999E-2</v>
      </c>
      <c r="AF20" s="15"/>
      <c r="AG20" s="12">
        <f t="shared" si="1"/>
        <v>3.7499999999999992E-2</v>
      </c>
      <c r="AI20" s="6" t="s">
        <v>58</v>
      </c>
      <c r="AJ20" s="7">
        <f>INDEX('面板-景气指数'!$37:$244,MATCH('面板-总览'!$AI20,'面板-景气指数'!$A$37:$A$244,0),MATCH('面板-总览'!AJ$2,'面板-景气指数'!$36:$36,0))</f>
        <v>0.51899999999999991</v>
      </c>
      <c r="AK20" s="7">
        <f>INDEX('面板-景气指数'!$37:$244,MATCH('面板-总览'!$AI20,'面板-景气指数'!$A$37:$A$244,0),MATCH('面板-总览'!AK$2,'面板-景气指数'!$36:$36,0))</f>
        <v>0.59549999999999992</v>
      </c>
      <c r="AL20" s="7">
        <f>INDEX('面板-景气指数'!$37:$244,MATCH('面板-总览'!$AI20,'面板-景气指数'!$A$37:$A$244,0),MATCH('面板-总览'!AL$2,'面板-景气指数'!$36:$36,0))</f>
        <v>0.5714999999999999</v>
      </c>
      <c r="AM20" s="7">
        <f>INDEX('面板-景气指数'!$37:$244,MATCH('面板-总览'!$AI20,'面板-景气指数'!$A$37:$A$244,0),MATCH('面板-总览'!AM$2,'面板-景气指数'!$36:$36,0))</f>
        <v>0.52849999999999997</v>
      </c>
      <c r="AN20" s="7">
        <f>INDEX('面板-景气指数'!$37:$244,MATCH('面板-总览'!$AI20,'面板-景气指数'!$A$37:$A$244,0),MATCH('面板-总览'!AN$2,'面板-景气指数'!$36:$36,0))</f>
        <v>0.51900000000000002</v>
      </c>
      <c r="AO20" s="7">
        <f>INDEX('面板-景气指数'!$37:$244,MATCH('面板-总览'!$AI20,'面板-景气指数'!$A$37:$A$244,0),MATCH('面板-总览'!AO$2,'面板-景气指数'!$36:$36,0))</f>
        <v>0.53350000000000009</v>
      </c>
      <c r="AP20" s="7">
        <f>INDEX('面板-景气指数'!$37:$244,MATCH('面板-总览'!$AI20,'面板-景气指数'!$A$37:$A$244,0),MATCH('面板-总览'!AP$2,'面板-景气指数'!$36:$36,0))</f>
        <v>0.57650000000000001</v>
      </c>
      <c r="AQ20" s="7">
        <f>INDEX('面板-景气指数'!$37:$244,MATCH('面板-总览'!$AI20,'面板-景气指数'!$A$37:$A$244,0),MATCH('面板-总览'!AQ$2,'面板-景气指数'!$36:$36,0))</f>
        <v>0.54249999999999998</v>
      </c>
      <c r="AR20" s="7">
        <f>INDEX('面板-景气指数'!$37:$244,MATCH('面板-总览'!$AI20,'面板-景气指数'!$A$37:$A$244,0),MATCH('面板-总览'!AR$2,'面板-景气指数'!$36:$36,0))</f>
        <v>0.44199999999999995</v>
      </c>
      <c r="AS20" s="7">
        <f>INDEX('面板-景气指数'!$37:$244,MATCH('面板-总览'!$AI20,'面板-景气指数'!$A$37:$A$244,0),MATCH('面板-总览'!AS$2,'面板-景气指数'!$36:$36,0))</f>
        <v>0.3695</v>
      </c>
      <c r="AT20" s="7">
        <f>INDEX('面板-景气指数'!$37:$244,MATCH('面板-总览'!$AI20,'面板-景气指数'!$A$37:$A$244,0),MATCH('面板-总览'!AT$2,'面板-景气指数'!$36:$36,0))</f>
        <v>0.30249999999999999</v>
      </c>
      <c r="AU20" s="7">
        <f>INDEX('面板-景气指数'!$37:$244,MATCH('面板-总览'!$AI20,'面板-景气指数'!$A$37:$A$244,0),MATCH('面板-总览'!AU$2,'面板-景气指数'!$36:$36,0))</f>
        <v>0.25</v>
      </c>
      <c r="AV20" s="7">
        <f>INDEX('面板-景气指数'!$37:$244,MATCH('面板-总览'!$AI20,'面板-景气指数'!$A$37:$A$244,0),MATCH('面板-总览'!AV$2,'面板-景气指数'!$36:$36,0))</f>
        <v>0.22550000000000001</v>
      </c>
      <c r="AX20" s="12">
        <f t="shared" si="2"/>
        <v>-0.14399999999999999</v>
      </c>
    </row>
    <row r="21" spans="1:50" ht="21" customHeight="1" x14ac:dyDescent="0.2">
      <c r="A21" s="6" t="s">
        <v>59</v>
      </c>
      <c r="B21" s="7">
        <f>INDEX('面板-景气指数'!$37:$244,MATCH('面板-总览'!$A21,'面板-景气指数'!$A$37:$A$244,0),MATCH('面板-总览'!B$2,'面板-景气指数'!$36:$36,0))</f>
        <v>0.23569750638078876</v>
      </c>
      <c r="C21" s="7">
        <f>INDEX('面板-景气指数'!$37:$244,MATCH('面板-总览'!$A21,'面板-景气指数'!$A$37:$A$244,0),MATCH('面板-总览'!C$2,'面板-景气指数'!$36:$36,0))</f>
        <v>0.18502089123824086</v>
      </c>
      <c r="D21" s="7">
        <f>INDEX('面板-景气指数'!$37:$244,MATCH('面板-总览'!$A21,'面板-景气指数'!$A$37:$A$244,0),MATCH('面板-总览'!D$2,'面板-景气指数'!$36:$36,0))</f>
        <v>0.19496876901973204</v>
      </c>
      <c r="E21" s="7">
        <f>INDEX('面板-景气指数'!$37:$244,MATCH('面板-总览'!$A21,'面板-景气指数'!$A$37:$A$244,0),MATCH('面板-总览'!E$2,'面板-景气指数'!$36:$36,0))</f>
        <v>0.2584841296797144</v>
      </c>
      <c r="F21" s="7">
        <f>INDEX('面板-景气指数'!$37:$244,MATCH('面板-总览'!$A21,'面板-景气指数'!$A$37:$A$244,0),MATCH('面板-总览'!F$2,'面板-景气指数'!$36:$36,0))</f>
        <v>0.30101432025459851</v>
      </c>
      <c r="G21" s="7">
        <f>INDEX('面板-景气指数'!$37:$244,MATCH('面板-总览'!$A21,'面板-景气指数'!$A$37:$A$244,0),MATCH('面板-总览'!G$2,'面板-景气指数'!$36:$36,0))</f>
        <v>0.21639659396885552</v>
      </c>
      <c r="H21" s="7">
        <f>INDEX('面板-景气指数'!$37:$244,MATCH('面板-总览'!$A21,'面板-景气指数'!$A$37:$A$244,0),MATCH('面板-总览'!H$2,'面板-景气指数'!$36:$36,0))</f>
        <v>0.18844744277036612</v>
      </c>
      <c r="I21" s="7">
        <f>INDEX('面板-景气指数'!$37:$244,MATCH('面板-总览'!$A21,'面板-景气指数'!$A$37:$A$244,0),MATCH('面板-总览'!I$2,'面板-景气指数'!$36:$36,0))</f>
        <v>0.29301838532209373</v>
      </c>
      <c r="J21" s="7">
        <f>INDEX('面板-景气指数'!$37:$244,MATCH('面板-总览'!$A21,'面板-景气指数'!$A$37:$A$244,0),MATCH('面板-总览'!J$2,'面板-景气指数'!$36:$36,0))</f>
        <v>0.19404515215634677</v>
      </c>
      <c r="K21" s="7">
        <f>INDEX('面板-景气指数'!$37:$244,MATCH('面板-总览'!$A21,'面板-景气指数'!$A$37:$A$244,0),MATCH('面板-总览'!K$2,'面板-景气指数'!$36:$36,0))</f>
        <v>0.17621759305239071</v>
      </c>
      <c r="L21" s="7">
        <f>INDEX('面板-景气指数'!$37:$244,MATCH('面板-总览'!$A21,'面板-景气指数'!$A$37:$A$244,0),MATCH('面板-总览'!L$2,'面板-景气指数'!$36:$36,0))</f>
        <v>9.9082148496141595E-2</v>
      </c>
      <c r="M21" s="7">
        <f>INDEX('面板-景气指数'!$37:$244,MATCH('面板-总览'!$A21,'面板-景气指数'!$A$37:$A$244,0),MATCH('面板-总览'!M$2,'面板-景气指数'!$36:$36,0))</f>
        <v>0.12807550569045126</v>
      </c>
      <c r="N21" s="7">
        <f>INDEX('面板-景气指数'!$37:$244,MATCH('面板-总览'!$A21,'面板-景气指数'!$A$37:$A$244,0),MATCH('面板-总览'!N$2,'面板-景气指数'!$36:$36,0))</f>
        <v>0.12618481125109635</v>
      </c>
      <c r="P21" s="9">
        <f t="shared" si="0"/>
        <v>-5.0032781801294363E-2</v>
      </c>
      <c r="R21" s="6" t="s">
        <v>60</v>
      </c>
      <c r="S21" s="7">
        <f>INDEX('面板-景气指数'!$37:$244,MATCH('面板-总览'!$R21,'面板-景气指数'!$A$37:$A$244,0),MATCH('面板-总览'!S$2,'面板-景气指数'!$36:$36,0))</f>
        <v>0.65300000000000002</v>
      </c>
      <c r="T21" s="7">
        <f>INDEX('面板-景气指数'!$37:$244,MATCH('面板-总览'!$R21,'面板-景气指数'!$A$37:$A$244,0),MATCH('面板-总览'!T$2,'面板-景气指数'!$36:$36,0))</f>
        <v>0.80700000000000005</v>
      </c>
      <c r="U21" s="7">
        <f>INDEX('面板-景气指数'!$37:$244,MATCH('面板-总览'!$R21,'面板-景气指数'!$A$37:$A$244,0),MATCH('面板-总览'!U$2,'面板-景气指数'!$36:$36,0))</f>
        <v>0.79800000000000004</v>
      </c>
      <c r="V21" s="7">
        <f>INDEX('面板-景气指数'!$37:$244,MATCH('面板-总览'!$R21,'面板-景气指数'!$A$37:$A$244,0),MATCH('面板-总览'!V$2,'面板-景气指数'!$36:$36,0))</f>
        <v>0.75</v>
      </c>
      <c r="W21" s="7">
        <f>INDEX('面板-景气指数'!$37:$244,MATCH('面板-总览'!$R21,'面板-景气指数'!$A$37:$A$244,0),MATCH('面板-总览'!W$2,'面板-景气指数'!$36:$36,0))</f>
        <v>0.54800000000000004</v>
      </c>
      <c r="X21" s="7">
        <f>INDEX('面板-景气指数'!$37:$244,MATCH('面板-总览'!$R21,'面板-景气指数'!$A$37:$A$244,0),MATCH('面板-总览'!X$2,'面板-景气指数'!$36:$36,0))</f>
        <v>0.375</v>
      </c>
      <c r="Y21" s="7">
        <f>INDEX('面板-景气指数'!$37:$244,MATCH('面板-总览'!$R21,'面板-景气指数'!$A$37:$A$244,0),MATCH('面板-总览'!Y$2,'面板-景气指数'!$36:$36,0))</f>
        <v>0.28799999999999998</v>
      </c>
      <c r="Z21" s="7">
        <f>INDEX('面板-景气指数'!$37:$244,MATCH('面板-总览'!$R21,'面板-景气指数'!$A$37:$A$244,0),MATCH('面板-总览'!Z$2,'面板-景气指数'!$36:$36,0))</f>
        <v>0.35500000000000004</v>
      </c>
      <c r="AA21" s="7">
        <f>INDEX('面板-景气指数'!$37:$244,MATCH('面板-总览'!$R21,'面板-景气指数'!$A$37:$A$244,0),MATCH('面板-总览'!AA$2,'面板-景气指数'!$36:$36,0))</f>
        <v>0.442</v>
      </c>
      <c r="AB21" s="7">
        <f>INDEX('面板-景气指数'!$37:$244,MATCH('面板-总览'!$R21,'面板-景气指数'!$A$37:$A$244,0),MATCH('面板-总览'!AB$2,'面板-景气指数'!$36:$36,0))</f>
        <v>0.432</v>
      </c>
      <c r="AC21" s="7">
        <f>INDEX('面板-景气指数'!$37:$244,MATCH('面板-总览'!$R21,'面板-景气指数'!$A$37:$A$244,0),MATCH('面板-总览'!AC$2,'面板-景气指数'!$36:$36,0))</f>
        <v>0.26900000000000002</v>
      </c>
      <c r="AD21" s="7">
        <f>INDEX('面板-景气指数'!$37:$244,MATCH('面板-总览'!$R21,'面板-景气指数'!$A$37:$A$244,0),MATCH('面板-总览'!AD$2,'面板-景气指数'!$36:$36,0))</f>
        <v>0.16300000000000003</v>
      </c>
      <c r="AE21" s="7">
        <f>INDEX('面板-景气指数'!$37:$244,MATCH('面板-总览'!$R21,'面板-景气指数'!$A$37:$A$244,0),MATCH('面板-总览'!AE$2,'面板-景气指数'!$36:$36,0))</f>
        <v>0.125</v>
      </c>
      <c r="AF21" s="15"/>
      <c r="AG21" s="12">
        <f t="shared" si="1"/>
        <v>-0.307</v>
      </c>
      <c r="AI21" s="6" t="s">
        <v>61</v>
      </c>
      <c r="AJ21" s="7">
        <f>INDEX('面板-景气指数'!$37:$244,MATCH('面板-总览'!$AI21,'面板-景气指数'!$A$37:$A$244,0),MATCH('面板-总览'!AJ$2,'面板-景气指数'!$36:$36,0))</f>
        <v>0.245</v>
      </c>
      <c r="AK21" s="7">
        <f>INDEX('面板-景气指数'!$37:$244,MATCH('面板-总览'!$AI21,'面板-景气指数'!$A$37:$A$244,0),MATCH('面板-总览'!AK$2,'面板-景气指数'!$36:$36,0))</f>
        <v>0.21</v>
      </c>
      <c r="AL21" s="7">
        <f>INDEX('面板-景气指数'!$37:$244,MATCH('面板-总览'!$AI21,'面板-景气指数'!$A$37:$A$244,0),MATCH('面板-总览'!AL$2,'面板-景气指数'!$36:$36,0))</f>
        <v>0.315</v>
      </c>
      <c r="AM21" s="7">
        <f>INDEX('面板-景气指数'!$37:$244,MATCH('面板-总览'!$AI21,'面板-景气指数'!$A$37:$A$244,0),MATCH('面板-总览'!AM$2,'面板-景气指数'!$36:$36,0))</f>
        <v>0.36799999999999999</v>
      </c>
      <c r="AN21" s="7">
        <f>INDEX('面板-景气指数'!$37:$244,MATCH('面板-总览'!$AI21,'面板-景气指数'!$A$37:$A$244,0),MATCH('面板-总览'!AN$2,'面板-景气指数'!$36:$36,0))</f>
        <v>0.40300000000000002</v>
      </c>
      <c r="AO21" s="7">
        <f>INDEX('面板-景气指数'!$37:$244,MATCH('面板-总览'!$AI21,'面板-景气指数'!$A$37:$A$244,0),MATCH('面板-总览'!AO$2,'面板-景气指数'!$36:$36,0))</f>
        <v>0.29799999999999999</v>
      </c>
      <c r="AP21" s="7">
        <f>INDEX('面板-景气指数'!$37:$244,MATCH('面板-总览'!$AI21,'面板-景气指数'!$A$37:$A$244,0),MATCH('面板-总览'!AP$2,'面板-景气指数'!$36:$36,0))</f>
        <v>0.42099999999999999</v>
      </c>
      <c r="AQ21" s="7">
        <f>INDEX('面板-景气指数'!$37:$244,MATCH('面板-总览'!$AI21,'面板-景气指数'!$A$37:$A$244,0),MATCH('面板-总览'!AQ$2,'面板-景气指数'!$36:$36,0))</f>
        <v>0.54300000000000004</v>
      </c>
      <c r="AR21" s="7">
        <f>INDEX('面板-景气指数'!$37:$244,MATCH('面板-总览'!$AI21,'面板-景气指数'!$A$37:$A$244,0),MATCH('面板-总览'!AR$2,'面板-景气指数'!$36:$36,0))</f>
        <v>0.80700000000000005</v>
      </c>
      <c r="AS21" s="7">
        <f>INDEX('面板-景气指数'!$37:$244,MATCH('面板-总览'!$AI21,'面板-景气指数'!$A$37:$A$244,0),MATCH('面板-总览'!AS$2,'面板-景气指数'!$36:$36,0))</f>
        <v>0.84199999999999997</v>
      </c>
      <c r="AT21" s="7">
        <f>INDEX('面板-景气指数'!$37:$244,MATCH('面板-总览'!$AI21,'面板-景气指数'!$A$37:$A$244,0),MATCH('面板-总览'!AT$2,'面板-景气指数'!$36:$36,0))</f>
        <v>0.82399999999999995</v>
      </c>
      <c r="AU21" s="7">
        <f>INDEX('面板-景气指数'!$37:$244,MATCH('面板-总览'!$AI21,'面板-景气指数'!$A$37:$A$244,0),MATCH('面板-总览'!AU$2,'面板-景气指数'!$36:$36,0))</f>
        <v>0.78900000000000003</v>
      </c>
      <c r="AV21" s="7">
        <f>INDEX('面板-景气指数'!$37:$244,MATCH('面板-总览'!$AI21,'面板-景气指数'!$A$37:$A$244,0),MATCH('面板-总览'!AV$2,'面板-景气指数'!$36:$36,0))</f>
        <v>0.754</v>
      </c>
      <c r="AX21" s="12">
        <f t="shared" si="2"/>
        <v>-8.7999999999999967E-2</v>
      </c>
    </row>
    <row r="22" spans="1:50" ht="21" customHeight="1" x14ac:dyDescent="0.2">
      <c r="A22" s="6" t="s">
        <v>62</v>
      </c>
      <c r="B22" s="7">
        <f>INDEX('面板-景气指数'!$37:$244,MATCH('面板-总览'!$A22,'面板-景气指数'!$A$37:$A$244,0),MATCH('面板-总览'!B$2,'面板-景气指数'!$36:$36,0))</f>
        <v>0.41004762998426453</v>
      </c>
      <c r="C22" s="7">
        <f>INDEX('面板-景气指数'!$37:$244,MATCH('面板-总览'!$A22,'面板-景气指数'!$A$37:$A$244,0),MATCH('面板-总览'!C$2,'面板-景气指数'!$36:$36,0))</f>
        <v>0.44916589158239917</v>
      </c>
      <c r="D22" s="7">
        <f>INDEX('面板-景气指数'!$37:$244,MATCH('面板-总览'!$A22,'面板-景气指数'!$A$37:$A$244,0),MATCH('面板-总览'!D$2,'面板-景气指数'!$36:$36,0))</f>
        <v>0.51513718237951733</v>
      </c>
      <c r="E22" s="7">
        <f>INDEX('面板-景气指数'!$37:$244,MATCH('面板-总览'!$A22,'面板-景气指数'!$A$37:$A$244,0),MATCH('面板-总览'!E$2,'面板-景气指数'!$36:$36,0))</f>
        <v>0.5608018108739794</v>
      </c>
      <c r="F22" s="7">
        <f>INDEX('面板-景气指数'!$37:$244,MATCH('面板-总览'!$A22,'面板-景气指数'!$A$37:$A$244,0),MATCH('面板-总览'!F$2,'面板-景气指数'!$36:$36,0))</f>
        <v>0.55870629349640155</v>
      </c>
      <c r="G22" s="7">
        <f>INDEX('面板-景气指数'!$37:$244,MATCH('面板-总览'!$A22,'面板-景气指数'!$A$37:$A$244,0),MATCH('面板-总览'!G$2,'面板-景气指数'!$36:$36,0))</f>
        <v>0.56134387432445432</v>
      </c>
      <c r="H22" s="7">
        <f>INDEX('面板-景气指数'!$37:$244,MATCH('面板-总览'!$A22,'面板-景气指数'!$A$37:$A$244,0),MATCH('面板-总览'!H$2,'面板-景气指数'!$36:$36,0))</f>
        <v>0.61944187519854343</v>
      </c>
      <c r="I22" s="7">
        <f>INDEX('面板-景气指数'!$37:$244,MATCH('面板-总览'!$A22,'面板-景气指数'!$A$37:$A$244,0),MATCH('面板-总览'!I$2,'面板-景气指数'!$36:$36,0))</f>
        <v>0.65886210366093789</v>
      </c>
      <c r="J22" s="7">
        <f>INDEX('面板-景气指数'!$37:$244,MATCH('面板-总览'!$A22,'面板-景气指数'!$A$37:$A$244,0),MATCH('面板-总览'!J$2,'面板-景气指数'!$36:$36,0))</f>
        <v>0.63259692908045861</v>
      </c>
      <c r="K22" s="7">
        <f>INDEX('面板-景气指数'!$37:$244,MATCH('面板-总览'!$A22,'面板-景气指数'!$A$37:$A$244,0),MATCH('面板-总览'!K$2,'面板-景气指数'!$36:$36,0))</f>
        <v>0.64653597845133826</v>
      </c>
      <c r="L22" s="7">
        <f>INDEX('面板-景气指数'!$37:$244,MATCH('面板-总览'!$A22,'面板-景气指数'!$A$37:$A$244,0),MATCH('面板-总览'!L$2,'面板-景气指数'!$36:$36,0))</f>
        <v>0.64794117158084696</v>
      </c>
      <c r="M22" s="7">
        <f>INDEX('面板-景气指数'!$37:$244,MATCH('面板-总览'!$A22,'面板-景气指数'!$A$37:$A$244,0),MATCH('面板-总览'!M$2,'面板-景气指数'!$36:$36,0))</f>
        <v>0.68420333099417574</v>
      </c>
      <c r="N22" s="7">
        <f>INDEX('面板-景气指数'!$37:$244,MATCH('面板-总览'!$A22,'面板-景气指数'!$A$37:$A$244,0),MATCH('面板-总览'!N$2,'面板-景气指数'!$36:$36,0))</f>
        <v>0.62873466466015548</v>
      </c>
      <c r="P22" s="9">
        <f t="shared" si="0"/>
        <v>-1.7801313791182771E-2</v>
      </c>
      <c r="R22" s="6" t="s">
        <v>63</v>
      </c>
      <c r="S22" s="7">
        <f>INDEX('面板-景气指数'!$37:$244,MATCH('面板-总览'!$R22,'面板-景气指数'!$A$37:$A$244,0),MATCH('面板-总览'!S$2,'面板-景气指数'!$36:$36,0))</f>
        <v>0.3701666666666667</v>
      </c>
      <c r="T22" s="7">
        <f>INDEX('面板-景气指数'!$37:$244,MATCH('面板-总览'!$R22,'面板-景气指数'!$A$37:$A$244,0),MATCH('面板-总览'!T$2,'面板-景气指数'!$36:$36,0))</f>
        <v>0.37624999999999997</v>
      </c>
      <c r="U22" s="7">
        <f>INDEX('面板-景气指数'!$37:$244,MATCH('面板-总览'!$R22,'面板-景气指数'!$A$37:$A$244,0),MATCH('面板-总览'!U$2,'面板-景气指数'!$36:$36,0))</f>
        <v>0.38858333333333311</v>
      </c>
      <c r="V22" s="7">
        <f>INDEX('面板-景气指数'!$37:$244,MATCH('面板-总览'!$R22,'面板-景气指数'!$A$37:$A$244,0),MATCH('面板-总览'!V$2,'面板-景气指数'!$36:$36,0))</f>
        <v>0.363875</v>
      </c>
      <c r="W22" s="7">
        <f>INDEX('面板-景气指数'!$37:$244,MATCH('面板-总览'!$R22,'面板-景气指数'!$A$37:$A$244,0),MATCH('面板-总览'!W$2,'面板-景气指数'!$36:$36,0))</f>
        <v>0.32024999999999998</v>
      </c>
      <c r="X22" s="7">
        <f>INDEX('面板-景气指数'!$37:$244,MATCH('面板-总览'!$R22,'面板-景气指数'!$A$37:$A$244,0),MATCH('面板-总览'!X$2,'面板-景气指数'!$36:$36,0))</f>
        <v>0.25912499999999994</v>
      </c>
      <c r="Y22" s="7">
        <f>INDEX('面板-景气指数'!$37:$244,MATCH('面板-总览'!$R22,'面板-景气指数'!$A$37:$A$244,0),MATCH('面板-总览'!Y$2,'面板-景气指数'!$36:$36,0))</f>
        <v>0.24470833333333328</v>
      </c>
      <c r="Z22" s="7">
        <f>INDEX('面板-景气指数'!$37:$244,MATCH('面板-总览'!$R22,'面板-景气指数'!$A$37:$A$244,0),MATCH('面板-总览'!Z$2,'面板-景气指数'!$36:$36,0))</f>
        <v>0.28495833333333331</v>
      </c>
      <c r="AA22" s="7">
        <f>INDEX('面板-景气指数'!$37:$244,MATCH('面板-总览'!$R22,'面板-景气指数'!$A$37:$A$244,0),MATCH('面板-总览'!AA$2,'面板-景气指数'!$36:$36,0))</f>
        <v>0.30475000000000002</v>
      </c>
      <c r="AB22" s="7">
        <f>INDEX('面板-景气指数'!$37:$244,MATCH('面板-总览'!$R22,'面板-景气指数'!$A$37:$A$244,0),MATCH('面板-总览'!AB$2,'面板-景气指数'!$36:$36,0))</f>
        <v>0.29741666666666655</v>
      </c>
      <c r="AC22" s="7">
        <f>INDEX('面板-景气指数'!$37:$244,MATCH('面板-总览'!$R22,'面板-景气指数'!$A$37:$A$244,0),MATCH('面板-总览'!AC$2,'面板-景气指数'!$36:$36,0))</f>
        <v>0.22416666666666668</v>
      </c>
      <c r="AD22" s="7">
        <f>INDEX('面板-景气指数'!$37:$244,MATCH('面板-总览'!$R22,'面板-景气指数'!$A$37:$A$244,0),MATCH('面板-总览'!AD$2,'面板-景气指数'!$36:$36,0))</f>
        <v>0.18466666666666662</v>
      </c>
      <c r="AE22" s="7">
        <f>INDEX('面板-景气指数'!$37:$244,MATCH('面板-总览'!$R22,'面板-景气指数'!$A$37:$A$244,0),MATCH('面板-总览'!AE$2,'面板-景气指数'!$36:$36,0))</f>
        <v>0.1623333333333333</v>
      </c>
      <c r="AF22" s="15"/>
      <c r="AG22" s="12">
        <f t="shared" si="1"/>
        <v>-0.13508333333333325</v>
      </c>
      <c r="AI22" s="6" t="s">
        <v>64</v>
      </c>
      <c r="AJ22" s="7">
        <f>INDEX('面板-景气指数'!$37:$244,MATCH('面板-总览'!$AI22,'面板-景气指数'!$A$37:$A$244,0),MATCH('面板-总览'!AJ$2,'面板-景气指数'!$36:$36,0))</f>
        <v>0.432</v>
      </c>
      <c r="AK22" s="7">
        <f>INDEX('面板-景气指数'!$37:$244,MATCH('面板-总览'!$AI22,'面板-景气指数'!$A$37:$A$244,0),MATCH('面板-总览'!AK$2,'面板-景气指数'!$36:$36,0))</f>
        <v>0.40300000000000002</v>
      </c>
      <c r="AL22" s="7">
        <f>INDEX('面板-景气指数'!$37:$244,MATCH('面板-总览'!$AI22,'面板-景气指数'!$A$37:$A$244,0),MATCH('面板-总览'!AL$2,'面板-景气指数'!$36:$36,0))</f>
        <v>0.442</v>
      </c>
      <c r="AM22" s="7">
        <f>INDEX('面板-景气指数'!$37:$244,MATCH('面板-总览'!$AI22,'面板-景气指数'!$A$37:$A$244,0),MATCH('面板-总览'!AM$2,'面板-景气指数'!$36:$36,0))</f>
        <v>0.52800000000000002</v>
      </c>
      <c r="AN22" s="7">
        <f>INDEX('面板-景气指数'!$37:$244,MATCH('面板-总览'!$AI22,'面板-景气指数'!$A$37:$A$244,0),MATCH('面板-总览'!AN$2,'面板-景气指数'!$36:$36,0))</f>
        <v>0.55700000000000005</v>
      </c>
      <c r="AO22" s="7">
        <f>INDEX('面板-景气指数'!$37:$244,MATCH('面板-总览'!$AI22,'面板-景气指数'!$A$37:$A$244,0),MATCH('面板-总览'!AO$2,'面板-景气指数'!$36:$36,0))</f>
        <v>0.46100000000000002</v>
      </c>
      <c r="AP22" s="7">
        <f>INDEX('面板-景气指数'!$37:$244,MATCH('面板-总览'!$AI22,'面板-景气指数'!$A$37:$A$244,0),MATCH('面板-总览'!AP$2,'面板-景气指数'!$36:$36,0))</f>
        <v>0.53800000000000003</v>
      </c>
      <c r="AQ22" s="7">
        <f>INDEX('面板-景气指数'!$37:$244,MATCH('面板-总览'!$AI22,'面板-景气指数'!$A$37:$A$244,0),MATCH('面板-总览'!AQ$2,'面板-景气指数'!$36:$36,0))</f>
        <v>0.57599999999999996</v>
      </c>
      <c r="AR22" s="7">
        <f>INDEX('面板-景气指数'!$37:$244,MATCH('面板-总览'!$AI22,'面板-景气指数'!$A$37:$A$244,0),MATCH('面板-总览'!AR$2,'面板-景气指数'!$36:$36,0))</f>
        <v>0.58599999999999997</v>
      </c>
      <c r="AS22" s="7">
        <f>INDEX('面板-景气指数'!$37:$244,MATCH('面板-总览'!$AI22,'面板-景气指数'!$A$37:$A$244,0),MATCH('面板-总览'!AS$2,'面板-景气指数'!$36:$36,0))</f>
        <v>0.51900000000000002</v>
      </c>
      <c r="AT22" s="7">
        <f>INDEX('面板-景气指数'!$37:$244,MATCH('面板-总览'!$AI22,'面板-景气指数'!$A$37:$A$244,0),MATCH('面板-总览'!AT$2,'面板-景气指数'!$36:$36,0))</f>
        <v>0.33600000000000002</v>
      </c>
      <c r="AU22" s="7">
        <f>INDEX('面板-景气指数'!$37:$244,MATCH('面板-总览'!$AI22,'面板-景气指数'!$A$37:$A$244,0),MATCH('面板-总览'!AU$2,'面板-景气指数'!$36:$36,0))</f>
        <v>0.16300000000000001</v>
      </c>
      <c r="AV22" s="7">
        <f>INDEX('面板-景气指数'!$37:$244,MATCH('面板-总览'!$AI22,'面板-景气指数'!$A$37:$A$244,0),MATCH('面板-总览'!AV$2,'面板-景气指数'!$36:$36,0))</f>
        <v>0.105</v>
      </c>
      <c r="AX22" s="12">
        <f t="shared" si="2"/>
        <v>-0.41400000000000003</v>
      </c>
    </row>
    <row r="23" spans="1:50" ht="21" customHeight="1" x14ac:dyDescent="0.2">
      <c r="A23" s="6" t="s">
        <v>65</v>
      </c>
      <c r="B23" s="7">
        <f>INDEX('面板-景气指数'!$37:$244,MATCH('面板-总览'!$A23,'面板-景气指数'!$A$37:$A$244,0),MATCH('面板-总览'!B$2,'面板-景气指数'!$36:$36,0))</f>
        <v>0.24149789286182055</v>
      </c>
      <c r="C23" s="7">
        <f>INDEX('面板-景气指数'!$37:$244,MATCH('面板-总览'!$A23,'面板-景气指数'!$A$37:$A$244,0),MATCH('面板-总览'!C$2,'面板-景气指数'!$36:$36,0))</f>
        <v>0.25902721248363225</v>
      </c>
      <c r="D23" s="7">
        <f>INDEX('面板-景气指数'!$37:$244,MATCH('面板-总览'!$A23,'面板-景气指数'!$A$37:$A$244,0),MATCH('面板-总览'!D$2,'面板-景气指数'!$36:$36,0))</f>
        <v>0.27287634644396247</v>
      </c>
      <c r="E23" s="7">
        <f>INDEX('面板-景气指数'!$37:$244,MATCH('面板-总览'!$A23,'面板-景气指数'!$A$37:$A$244,0),MATCH('面板-总览'!E$2,'面板-景气指数'!$36:$36,0))</f>
        <v>0.29410730359410753</v>
      </c>
      <c r="F23" s="7">
        <f>INDEX('面板-景气指数'!$37:$244,MATCH('面板-总览'!$A23,'面板-景气指数'!$A$37:$A$244,0),MATCH('面板-总览'!F$2,'面板-景气指数'!$36:$36,0))</f>
        <v>0.32695389882545761</v>
      </c>
      <c r="G23" s="7">
        <f>INDEX('面板-景气指数'!$37:$244,MATCH('面板-总览'!$A23,'面板-景气指数'!$A$37:$A$244,0),MATCH('面板-总览'!G$2,'面板-景气指数'!$36:$36,0))</f>
        <v>0.33872977558756068</v>
      </c>
      <c r="H23" s="7">
        <f>INDEX('面板-景气指数'!$37:$244,MATCH('面板-总览'!$A23,'面板-景气指数'!$A$37:$A$244,0),MATCH('面板-总览'!H$2,'面板-景气指数'!$36:$36,0))</f>
        <v>0.36666635476060561</v>
      </c>
      <c r="I23" s="7">
        <f>INDEX('面板-景气指数'!$37:$244,MATCH('面板-总览'!$A23,'面板-景气指数'!$A$37:$A$244,0),MATCH('面板-总览'!I$2,'面板-景气指数'!$36:$36,0))</f>
        <v>0.40861665422933019</v>
      </c>
      <c r="J23" s="7">
        <f>INDEX('面板-景气指数'!$37:$244,MATCH('面板-总览'!$A23,'面板-景气指数'!$A$37:$A$244,0),MATCH('面板-总览'!J$2,'面板-景气指数'!$36:$36,0))</f>
        <v>0.41829551823984606</v>
      </c>
      <c r="K23" s="7">
        <f>INDEX('面板-景气指数'!$37:$244,MATCH('面板-总览'!$A23,'面板-景气指数'!$A$37:$A$244,0),MATCH('面板-总览'!K$2,'面板-景气指数'!$36:$36,0))</f>
        <v>0.40725561961187245</v>
      </c>
      <c r="L23" s="7">
        <f>INDEX('面板-景气指数'!$37:$244,MATCH('面板-总览'!$A23,'面板-景气指数'!$A$37:$A$244,0),MATCH('面板-总览'!L$2,'面板-景气指数'!$36:$36,0))</f>
        <v>0.37841566561162571</v>
      </c>
      <c r="M23" s="7">
        <f>INDEX('面板-景气指数'!$37:$244,MATCH('面板-总览'!$A23,'面板-景气指数'!$A$37:$A$244,0),MATCH('面板-总览'!M$2,'面板-景气指数'!$36:$36,0))</f>
        <v>0.38416592136013128</v>
      </c>
      <c r="N23" s="7">
        <f>INDEX('面板-景气指数'!$37:$244,MATCH('面板-总览'!$A23,'面板-景气指数'!$A$37:$A$244,0),MATCH('面板-总览'!N$2,'面板-景气指数'!$36:$36,0))</f>
        <v>0.34670442251789213</v>
      </c>
      <c r="P23" s="9">
        <f t="shared" si="0"/>
        <v>-6.0551197093980325E-2</v>
      </c>
      <c r="R23" s="6" t="s">
        <v>66</v>
      </c>
      <c r="S23" s="7">
        <f>INDEX('面板-景气指数'!$37:$244,MATCH('面板-总览'!$R23,'面板-景气指数'!$A$37:$A$244,0),MATCH('面板-总览'!S$2,'面板-景气指数'!$36:$36,0))</f>
        <v>4.9500000000000009E-2</v>
      </c>
      <c r="T23" s="7">
        <f>INDEX('面板-景气指数'!$37:$244,MATCH('面板-总览'!$R23,'面板-景气指数'!$A$37:$A$244,0),MATCH('面板-总览'!T$2,'面板-景气指数'!$36:$36,0))</f>
        <v>5.6500000000000015E-2</v>
      </c>
      <c r="U23" s="7">
        <f>INDEX('面板-景气指数'!$37:$244,MATCH('面板-总览'!$R23,'面板-景气指数'!$A$37:$A$244,0),MATCH('面板-总览'!U$2,'面板-景气指数'!$36:$36,0))</f>
        <v>0.1195</v>
      </c>
      <c r="V23" s="7">
        <f>INDEX('面板-景气指数'!$37:$244,MATCH('面板-总览'!$R23,'面板-景气指数'!$A$37:$A$244,0),MATCH('面板-总览'!V$2,'面板-景气指数'!$36:$36,0))</f>
        <v>0.18799999999999994</v>
      </c>
      <c r="W23" s="7">
        <f>INDEX('面板-景气指数'!$37:$244,MATCH('面板-总览'!$R23,'面板-景气指数'!$A$37:$A$244,0),MATCH('面板-总览'!W$2,'面板-景气指数'!$36:$36,0))</f>
        <v>0.23450000000000001</v>
      </c>
      <c r="X23" s="7">
        <f>INDEX('面板-景气指数'!$37:$244,MATCH('面板-总览'!$R23,'面板-景气指数'!$A$37:$A$244,0),MATCH('面板-总览'!X$2,'面板-景气指数'!$36:$36,0))</f>
        <v>0.28699999999999998</v>
      </c>
      <c r="Y23" s="7">
        <f>INDEX('面板-景气指数'!$37:$244,MATCH('面板-总览'!$R23,'面板-景气指数'!$A$37:$A$244,0),MATCH('面板-总览'!Y$2,'面板-景气指数'!$36:$36,0))</f>
        <v>0.26100000000000001</v>
      </c>
      <c r="Z23" s="7">
        <f>INDEX('面板-景气指数'!$37:$244,MATCH('面板-总览'!$R23,'面板-景气指数'!$A$37:$A$244,0),MATCH('面板-总览'!Z$2,'面板-景气指数'!$36:$36,0))</f>
        <v>0.28750000000000003</v>
      </c>
      <c r="AA23" s="7">
        <f>INDEX('面板-景气指数'!$37:$244,MATCH('面板-总览'!$R23,'面板-景气指数'!$A$37:$A$244,0),MATCH('面板-总览'!AA$2,'面板-景气指数'!$36:$36,0))</f>
        <v>0.34349999999999997</v>
      </c>
      <c r="AB23" s="7">
        <f>INDEX('面板-景气指数'!$37:$244,MATCH('面板-总览'!$R23,'面板-景气指数'!$A$37:$A$244,0),MATCH('面板-总览'!AB$2,'面板-景气指数'!$36:$36,0))</f>
        <v>0.46499999999999997</v>
      </c>
      <c r="AC23" s="7">
        <f>INDEX('面板-景气指数'!$37:$244,MATCH('面板-总览'!$R23,'面板-景气指数'!$A$37:$A$244,0),MATCH('面板-总览'!AC$2,'面板-景气指数'!$36:$36,0))</f>
        <v>0.50600000000000001</v>
      </c>
      <c r="AD23" s="7">
        <f>INDEX('面板-景气指数'!$37:$244,MATCH('面板-总览'!$R23,'面板-景气指数'!$A$37:$A$244,0),MATCH('面板-总览'!AD$2,'面板-景气指数'!$36:$36,0))</f>
        <v>0.49099999999999999</v>
      </c>
      <c r="AE23" s="7">
        <f>INDEX('面板-景气指数'!$37:$244,MATCH('面板-总览'!$R23,'面板-景气指数'!$A$37:$A$244,0),MATCH('面板-总览'!AE$2,'面板-景气指数'!$36:$36,0))</f>
        <v>0.47900000000000009</v>
      </c>
      <c r="AF23" s="15"/>
      <c r="AG23" s="12">
        <f t="shared" si="1"/>
        <v>1.4000000000000123E-2</v>
      </c>
      <c r="AI23" s="6" t="s">
        <v>67</v>
      </c>
      <c r="AJ23" s="7">
        <f>INDEX('面板-景气指数'!$37:$244,MATCH('面板-总览'!$AI23,'面板-景气指数'!$A$37:$A$244,0),MATCH('面板-总览'!AJ$2,'面板-景气指数'!$36:$36,0))</f>
        <v>0.48150000000000004</v>
      </c>
      <c r="AK23" s="7">
        <f>INDEX('面板-景气指数'!$37:$244,MATCH('面板-总览'!$AI23,'面板-景气指数'!$A$37:$A$244,0),MATCH('面板-总览'!AK$2,'面板-景气指数'!$36:$36,0))</f>
        <v>0.48200000000000004</v>
      </c>
      <c r="AL23" s="7">
        <f>INDEX('面板-景气指数'!$37:$244,MATCH('面板-总览'!$AI23,'面板-景气指数'!$A$37:$A$244,0),MATCH('面板-总览'!AL$2,'面板-景气指数'!$36:$36,0))</f>
        <v>0.4479999999999999</v>
      </c>
      <c r="AM23" s="7">
        <f>INDEX('面板-景气指数'!$37:$244,MATCH('面板-总览'!$AI23,'面板-景气指数'!$A$37:$A$244,0),MATCH('面板-总览'!AM$2,'面板-景气指数'!$36:$36,0))</f>
        <v>0.41000000000000003</v>
      </c>
      <c r="AN23" s="7">
        <f>INDEX('面板-景气指数'!$37:$244,MATCH('面板-总览'!$AI23,'面板-景气指数'!$A$37:$A$244,0),MATCH('面板-总览'!AN$2,'面板-景气指数'!$36:$36,0))</f>
        <v>0.39050000000000001</v>
      </c>
      <c r="AO23" s="7">
        <f>INDEX('面板-景气指数'!$37:$244,MATCH('面板-总览'!$AI23,'面板-景气指数'!$A$37:$A$244,0),MATCH('面板-总览'!AO$2,'面板-景气指数'!$36:$36,0))</f>
        <v>0.41049999999999998</v>
      </c>
      <c r="AP23" s="7">
        <f>INDEX('面板-景气指数'!$37:$244,MATCH('面板-总览'!$AI23,'面板-景气指数'!$A$37:$A$244,0),MATCH('面板-总览'!AP$2,'面板-景气指数'!$36:$36,0))</f>
        <v>0.41099999999999998</v>
      </c>
      <c r="AQ23" s="7">
        <f>INDEX('面板-景气指数'!$37:$244,MATCH('面板-总览'!$AI23,'面板-景气指数'!$A$37:$A$244,0),MATCH('面板-总览'!AQ$2,'面板-景气指数'!$36:$36,0))</f>
        <v>0.42100000000000004</v>
      </c>
      <c r="AR23" s="7">
        <f>INDEX('面板-景气指数'!$37:$244,MATCH('面板-总览'!$AI23,'面板-景气指数'!$A$37:$A$244,0),MATCH('面板-总览'!AR$2,'面板-景气指数'!$36:$36,0))</f>
        <v>0.42599999999999999</v>
      </c>
      <c r="AS23" s="7">
        <f>INDEX('面板-景气指数'!$37:$244,MATCH('面板-总览'!$AI23,'面板-景气指数'!$A$37:$A$244,0),MATCH('面板-总览'!AS$2,'面板-景气指数'!$36:$36,0))</f>
        <v>0.42549999999999999</v>
      </c>
      <c r="AT23" s="7">
        <f>INDEX('面板-景气指数'!$37:$244,MATCH('面板-总览'!$AI23,'面板-景气指数'!$A$37:$A$244,0),MATCH('面板-总览'!AT$2,'面板-景气指数'!$36:$36,0))</f>
        <v>0.47850000000000004</v>
      </c>
      <c r="AU23" s="7">
        <f>INDEX('面板-景气指数'!$37:$244,MATCH('面板-总览'!$AI23,'面板-景气指数'!$A$37:$A$244,0),MATCH('面板-总览'!AU$2,'面板-景气指数'!$36:$36,0))</f>
        <v>0.55100000000000005</v>
      </c>
      <c r="AV23" s="7">
        <f>INDEX('面板-景气指数'!$37:$244,MATCH('面板-总览'!$AI23,'面板-景气指数'!$A$37:$A$244,0),MATCH('面板-总览'!AV$2,'面板-景气指数'!$36:$36,0))</f>
        <v>0.58499999999999996</v>
      </c>
      <c r="AX23" s="12">
        <f t="shared" si="2"/>
        <v>0.15949999999999998</v>
      </c>
    </row>
    <row r="24" spans="1:50" ht="21" customHeight="1" x14ac:dyDescent="0.2">
      <c r="A24" s="6" t="s">
        <v>68</v>
      </c>
      <c r="B24" s="7">
        <f>INDEX('面板-景气指数'!$37:$244,MATCH('面板-总览'!$A24,'面板-景气指数'!$A$37:$A$244,0),MATCH('面板-总览'!B$2,'面板-景气指数'!$36:$36,0))</f>
        <v>0.75908999999999993</v>
      </c>
      <c r="C24" s="7">
        <f>INDEX('面板-景气指数'!$37:$244,MATCH('面板-总览'!$A24,'面板-景气指数'!$A$37:$A$244,0),MATCH('面板-总览'!C$2,'面板-景气指数'!$36:$36,0))</f>
        <v>0.75109000000000004</v>
      </c>
      <c r="D24" s="7">
        <f>INDEX('面板-景气指数'!$37:$244,MATCH('面板-总览'!$A24,'面板-景气指数'!$A$37:$A$244,0),MATCH('面板-总览'!D$2,'面板-景气指数'!$36:$36,0))</f>
        <v>0.66974</v>
      </c>
      <c r="E24" s="7">
        <f>INDEX('面板-景气指数'!$37:$244,MATCH('面板-总览'!$A24,'面板-景气指数'!$A$37:$A$244,0),MATCH('面板-总览'!E$2,'面板-景气指数'!$36:$36,0))</f>
        <v>0.65529000000000004</v>
      </c>
      <c r="F24" s="7">
        <f>INDEX('面板-景气指数'!$37:$244,MATCH('面板-总览'!$A24,'面板-景气指数'!$A$37:$A$244,0),MATCH('面板-总览'!F$2,'面板-景气指数'!$36:$36,0))</f>
        <v>0.64234000000000002</v>
      </c>
      <c r="G24" s="7">
        <f>INDEX('面板-景气指数'!$37:$244,MATCH('面板-总览'!$A24,'面板-景气指数'!$A$37:$A$244,0),MATCH('面板-总览'!G$2,'面板-景气指数'!$36:$36,0))</f>
        <v>0.61714000000000002</v>
      </c>
      <c r="H24" s="7">
        <f>INDEX('面板-景气指数'!$37:$244,MATCH('面板-总览'!$A24,'面板-景气指数'!$A$37:$A$244,0),MATCH('面板-总览'!H$2,'面板-景气指数'!$36:$36,0))</f>
        <v>0.66159000000000001</v>
      </c>
      <c r="I24" s="7">
        <f>INDEX('面板-景气指数'!$37:$244,MATCH('面板-总览'!$A24,'面板-景气指数'!$A$37:$A$244,0),MATCH('面板-总览'!I$2,'面板-景气指数'!$36:$36,0))</f>
        <v>0.5718399999999999</v>
      </c>
      <c r="J24" s="7">
        <f>INDEX('面板-景气指数'!$37:$244,MATCH('面板-总览'!$A24,'面板-景气指数'!$A$37:$A$244,0),MATCH('面板-总览'!J$2,'面板-景气指数'!$36:$36,0))</f>
        <v>0.42519000000000001</v>
      </c>
      <c r="K24" s="7">
        <f>INDEX('面板-景气指数'!$37:$244,MATCH('面板-总览'!$A24,'面板-景气指数'!$A$37:$A$244,0),MATCH('面板-总览'!K$2,'面板-景气指数'!$36:$36,0))</f>
        <v>0.38784000000000002</v>
      </c>
      <c r="L24" s="7">
        <f>INDEX('面板-景气指数'!$37:$244,MATCH('面板-总览'!$A24,'面板-景气指数'!$A$37:$A$244,0),MATCH('面板-总览'!L$2,'面板-景气指数'!$36:$36,0))</f>
        <v>0.44999000000000006</v>
      </c>
      <c r="M24" s="7">
        <f>INDEX('面板-景气指数'!$37:$244,MATCH('面板-总览'!$A24,'面板-景气指数'!$A$37:$A$244,0),MATCH('面板-总览'!M$2,'面板-景气指数'!$36:$36,0))</f>
        <v>0.46809000000000006</v>
      </c>
      <c r="N24" s="7">
        <f>INDEX('面板-景气指数'!$37:$244,MATCH('面板-总览'!$A24,'面板-景气指数'!$A$37:$A$244,0),MATCH('面板-总览'!N$2,'面板-景气指数'!$36:$36,0))</f>
        <v>0.48154000000000002</v>
      </c>
      <c r="P24" s="9">
        <f t="shared" si="0"/>
        <v>9.3700000000000006E-2</v>
      </c>
      <c r="R24" s="6" t="s">
        <v>69</v>
      </c>
      <c r="S24" s="7">
        <f>INDEX('面板-景气指数'!$37:$244,MATCH('面板-总览'!$R24,'面板-景气指数'!$A$37:$A$244,0),MATCH('面板-总览'!S$2,'面板-景气指数'!$36:$36,0))</f>
        <v>0.33599999999999997</v>
      </c>
      <c r="T24" s="7">
        <f>INDEX('面板-景气指数'!$37:$244,MATCH('面板-总览'!$R24,'面板-景气指数'!$A$37:$A$244,0),MATCH('面板-总览'!T$2,'面板-景气指数'!$36:$36,0))</f>
        <v>0.36049999999999999</v>
      </c>
      <c r="U24" s="7">
        <f>INDEX('面板-景气指数'!$37:$244,MATCH('面板-总览'!$R24,'面板-景气指数'!$A$37:$A$244,0),MATCH('面板-总览'!U$2,'面板-景气指数'!$36:$36,0))</f>
        <v>0.3695</v>
      </c>
      <c r="V24" s="7">
        <f>INDEX('面板-景气指数'!$37:$244,MATCH('面板-总览'!$R24,'面板-景气指数'!$A$37:$A$244,0),MATCH('面板-总览'!V$2,'面板-景气指数'!$36:$36,0))</f>
        <v>0.35549999999999993</v>
      </c>
      <c r="W24" s="7">
        <f>INDEX('面板-景气指数'!$37:$244,MATCH('面板-总览'!$R24,'面板-景气指数'!$A$37:$A$244,0),MATCH('面板-总览'!W$2,'面板-景气指数'!$36:$36,0))</f>
        <v>0.32650000000000007</v>
      </c>
      <c r="X24" s="7">
        <f>INDEX('面板-景气指数'!$37:$244,MATCH('面板-总览'!$R24,'面板-景气指数'!$A$37:$A$244,0),MATCH('面板-总览'!X$2,'面板-景气指数'!$36:$36,0))</f>
        <v>0.24</v>
      </c>
      <c r="Y24" s="7">
        <f>INDEX('面板-景气指数'!$37:$244,MATCH('面板-总览'!$R24,'面板-景气指数'!$A$37:$A$244,0),MATCH('面板-总览'!Y$2,'面板-景气指数'!$36:$36,0))</f>
        <v>0.17749999999999996</v>
      </c>
      <c r="Z24" s="7">
        <f>INDEX('面板-景气指数'!$37:$244,MATCH('面板-总览'!$R24,'面板-景气指数'!$A$37:$A$244,0),MATCH('面板-总览'!Z$2,'面板-景气指数'!$36:$36,0))</f>
        <v>0.17249999999999999</v>
      </c>
      <c r="AA24" s="7">
        <f>INDEX('面板-景气指数'!$37:$244,MATCH('面板-总览'!$R24,'面板-景气指数'!$A$37:$A$244,0),MATCH('面板-总览'!AA$2,'面板-景气指数'!$36:$36,0))</f>
        <v>0.42249999999999999</v>
      </c>
      <c r="AB24" s="7">
        <f>INDEX('面板-景气指数'!$37:$244,MATCH('面板-总览'!$R24,'面板-景气指数'!$A$37:$A$244,0),MATCH('面板-总览'!AB$2,'面板-景气指数'!$36:$36,0))</f>
        <v>0.51400000000000001</v>
      </c>
      <c r="AC24" s="7">
        <f>INDEX('面板-景气指数'!$37:$244,MATCH('面板-总览'!$R24,'面板-景气指数'!$A$37:$A$244,0),MATCH('面板-总览'!AC$2,'面板-景气指数'!$36:$36,0))</f>
        <v>0.48000000000000004</v>
      </c>
      <c r="AD24" s="7">
        <f>INDEX('面板-景气指数'!$37:$244,MATCH('面板-总览'!$R24,'面板-景气指数'!$A$37:$A$244,0),MATCH('面板-总览'!AD$2,'面板-景气指数'!$36:$36,0))</f>
        <v>0.45650000000000002</v>
      </c>
      <c r="AE24" s="7">
        <f>INDEX('面板-景气指数'!$37:$244,MATCH('面板-总览'!$R24,'面板-景气指数'!$A$37:$A$244,0),MATCH('面板-总览'!AE$2,'面板-景气指数'!$36:$36,0))</f>
        <v>0.45650000000000002</v>
      </c>
      <c r="AF24" s="15"/>
      <c r="AG24" s="12">
        <f t="shared" si="1"/>
        <v>-5.7499999999999996E-2</v>
      </c>
      <c r="AI24" s="6" t="s">
        <v>70</v>
      </c>
      <c r="AJ24" s="7">
        <f>INDEX('面板-景气指数'!$37:$244,MATCH('面板-总览'!$AI24,'面板-景气指数'!$A$37:$A$244,0),MATCH('面板-总览'!AJ$2,'面板-景气指数'!$36:$36,0))</f>
        <v>0.45150000000000001</v>
      </c>
      <c r="AK24" s="7">
        <f>INDEX('面板-景气指数'!$37:$244,MATCH('面板-总览'!$AI24,'面板-景气指数'!$A$37:$A$244,0),MATCH('面板-总览'!AK$2,'面板-景气指数'!$36:$36,0))</f>
        <v>0.55749999999999988</v>
      </c>
      <c r="AL24" s="7">
        <f>INDEX('面板-景气指数'!$37:$244,MATCH('面板-总览'!$AI24,'面板-景气指数'!$A$37:$A$244,0),MATCH('面板-总览'!AL$2,'面板-景气指数'!$36:$36,0))</f>
        <v>0.49949999999999994</v>
      </c>
      <c r="AM24" s="7">
        <f>INDEX('面板-景气指数'!$37:$244,MATCH('面板-总览'!$AI24,'面板-景气指数'!$A$37:$A$244,0),MATCH('面板-总览'!AM$2,'面板-景气指数'!$36:$36,0))</f>
        <v>0.46150000000000002</v>
      </c>
      <c r="AN24" s="7">
        <f>INDEX('面板-景气指数'!$37:$244,MATCH('面板-总览'!$AI24,'面板-景气指数'!$A$37:$A$244,0),MATCH('面板-总览'!AN$2,'面板-景气指数'!$36:$36,0))</f>
        <v>0.33100000000000002</v>
      </c>
      <c r="AO24" s="7">
        <f>INDEX('面板-景气指数'!$37:$244,MATCH('面板-总览'!$AI24,'面板-景气指数'!$A$37:$A$244,0),MATCH('面板-总览'!AO$2,'面板-景气指数'!$36:$36,0))</f>
        <v>0.3745</v>
      </c>
      <c r="AP24" s="7">
        <f>INDEX('面板-景气指数'!$37:$244,MATCH('面板-总览'!$AI24,'面板-景气指数'!$A$37:$A$244,0),MATCH('面板-总览'!AP$2,'面板-景气指数'!$36:$36,0))</f>
        <v>0.48499999999999999</v>
      </c>
      <c r="AQ24" s="7">
        <f>INDEX('面板-景气指数'!$37:$244,MATCH('面板-总览'!$AI24,'面板-景气指数'!$A$37:$A$244,0),MATCH('面板-总览'!AQ$2,'面板-景气指数'!$36:$36,0))</f>
        <v>0.59050000000000002</v>
      </c>
      <c r="AR24" s="7">
        <f>INDEX('面板-景气指数'!$37:$244,MATCH('面板-总览'!$AI24,'面板-景气指数'!$A$37:$A$244,0),MATCH('面板-总览'!AR$2,'面板-景气指数'!$36:$36,0))</f>
        <v>0.66800000000000004</v>
      </c>
      <c r="AS24" s="7">
        <f>INDEX('面板-景气指数'!$37:$244,MATCH('面板-总览'!$AI24,'面板-景气指数'!$A$37:$A$244,0),MATCH('面板-总览'!AS$2,'面板-景气指数'!$36:$36,0))</f>
        <v>0.62450000000000006</v>
      </c>
      <c r="AT24" s="7">
        <f>INDEX('面板-景气指数'!$37:$244,MATCH('面板-总览'!$AI24,'面板-景气指数'!$A$37:$A$244,0),MATCH('面板-总览'!AT$2,'面板-景气指数'!$36:$36,0))</f>
        <v>0.60549999999999993</v>
      </c>
      <c r="AU24" s="7">
        <f>INDEX('面板-景气指数'!$37:$244,MATCH('面板-总览'!$AI24,'面板-景气指数'!$A$37:$A$244,0),MATCH('面板-总览'!AU$2,'面板-景气指数'!$36:$36,0))</f>
        <v>0.58099999999999996</v>
      </c>
      <c r="AV24" s="7">
        <f>INDEX('面板-景气指数'!$37:$244,MATCH('面板-总览'!$AI24,'面板-景气指数'!$A$37:$A$244,0),MATCH('面板-总览'!AV$2,'面板-景气指数'!$36:$36,0))</f>
        <v>0.56200000000000006</v>
      </c>
      <c r="AX24" s="12">
        <f t="shared" si="2"/>
        <v>-6.25E-2</v>
      </c>
    </row>
    <row r="25" spans="1:50" ht="21" customHeight="1" x14ac:dyDescent="0.2">
      <c r="A25" s="6" t="s">
        <v>71</v>
      </c>
      <c r="B25" s="7">
        <f>INDEX('面板-景气指数'!$37:$244,MATCH('面板-总览'!$A25,'面板-景气指数'!$A$37:$A$244,0),MATCH('面板-总览'!B$2,'面板-景气指数'!$36:$36,0))</f>
        <v>0.15800852296341455</v>
      </c>
      <c r="C25" s="7">
        <f>INDEX('面板-景气指数'!$37:$244,MATCH('面板-总览'!$A25,'面板-景气指数'!$A$37:$A$244,0),MATCH('面板-总览'!C$2,'面板-景气指数'!$36:$36,0))</f>
        <v>0.19899670732365615</v>
      </c>
      <c r="D25" s="7">
        <f>INDEX('面板-景气指数'!$37:$244,MATCH('面板-总览'!$A25,'面板-景气指数'!$A$37:$A$244,0),MATCH('面板-总览'!D$2,'面板-景气指数'!$36:$36,0))</f>
        <v>0.26506790690578413</v>
      </c>
      <c r="E25" s="7">
        <f>INDEX('面板-景气指数'!$37:$244,MATCH('面板-总览'!$A25,'面板-景气指数'!$A$37:$A$244,0),MATCH('面板-总览'!E$2,'面板-景气指数'!$36:$36,0))</f>
        <v>0.30517384819422561</v>
      </c>
      <c r="F25" s="7">
        <f>INDEX('面板-景气指数'!$37:$244,MATCH('面板-总览'!$A25,'面板-景气指数'!$A$37:$A$244,0),MATCH('面板-总览'!F$2,'面板-景气指数'!$36:$36,0))</f>
        <v>0.2463183221080828</v>
      </c>
      <c r="G25" s="7">
        <f>INDEX('面板-景气指数'!$37:$244,MATCH('面板-总览'!$A25,'面板-景气指数'!$A$37:$A$244,0),MATCH('面板-总览'!G$2,'面板-景气指数'!$36:$36,0))</f>
        <v>0.17060908235488853</v>
      </c>
      <c r="H25" s="7">
        <f>INDEX('面板-景气指数'!$37:$244,MATCH('面板-总览'!$A25,'面板-景气指数'!$A$37:$A$244,0),MATCH('面板-总览'!H$2,'面板-景气指数'!$36:$36,0))</f>
        <v>0.19124834045269759</v>
      </c>
      <c r="I25" s="7">
        <f>INDEX('面板-景气指数'!$37:$244,MATCH('面板-总览'!$A25,'面板-景气指数'!$A$37:$A$244,0),MATCH('面板-总览'!I$2,'面板-景气指数'!$36:$36,0))</f>
        <v>0.179855928079311</v>
      </c>
      <c r="J25" s="7">
        <f>INDEX('面板-景气指数'!$37:$244,MATCH('面板-总览'!$A25,'面板-景气指数'!$A$37:$A$244,0),MATCH('面板-总览'!J$2,'面板-景气指数'!$36:$36,0))</f>
        <v>0.17958578323721075</v>
      </c>
      <c r="K25" s="7">
        <f>INDEX('面板-景气指数'!$37:$244,MATCH('面板-总览'!$A25,'面板-景气指数'!$A$37:$A$244,0),MATCH('面板-总览'!K$2,'面板-景气指数'!$36:$36,0))</f>
        <v>0.15175240817333224</v>
      </c>
      <c r="L25" s="7">
        <f>INDEX('面板-景气指数'!$37:$244,MATCH('面板-总览'!$A25,'面板-景气指数'!$A$37:$A$244,0),MATCH('面板-总览'!L$2,'面板-景气指数'!$36:$36,0))</f>
        <v>0.14860798961978158</v>
      </c>
      <c r="M25" s="7">
        <f>INDEX('面板-景气指数'!$37:$244,MATCH('面板-总览'!$A25,'面板-景气指数'!$A$37:$A$244,0),MATCH('面板-总览'!M$2,'面板-景气指数'!$36:$36,0))</f>
        <v>0.15279748526215167</v>
      </c>
      <c r="N25" s="7">
        <f>INDEX('面板-景气指数'!$37:$244,MATCH('面板-总览'!$A25,'面板-景气指数'!$A$37:$A$244,0),MATCH('面板-总览'!N$2,'面板-景气指数'!$36:$36,0))</f>
        <v>0.16234311595403594</v>
      </c>
      <c r="P25" s="9">
        <f t="shared" si="0"/>
        <v>1.0590707780703701E-2</v>
      </c>
      <c r="R25" s="6" t="s">
        <v>72</v>
      </c>
      <c r="S25" s="7">
        <f>INDEX('面板-景气指数'!$37:$244,MATCH('面板-总览'!$R25,'面板-景气指数'!$A$37:$A$244,0),MATCH('面板-总览'!S$2,'面板-景气指数'!$36:$36,0))</f>
        <v>0.62669980198561093</v>
      </c>
      <c r="T25" s="7">
        <f>INDEX('面板-景气指数'!$37:$244,MATCH('面板-总览'!$R25,'面板-景气指数'!$A$37:$A$244,0),MATCH('面板-总览'!T$2,'面板-景气指数'!$36:$36,0))</f>
        <v>0.63613557265429377</v>
      </c>
      <c r="U25" s="7">
        <f>INDEX('面板-景气指数'!$37:$244,MATCH('面板-总览'!$R25,'面板-景气指数'!$A$37:$A$244,0),MATCH('面板-总览'!U$2,'面板-景气指数'!$36:$36,0))</f>
        <v>0.63127860515142797</v>
      </c>
      <c r="V25" s="7">
        <f>INDEX('面板-景气指数'!$37:$244,MATCH('面板-总览'!$R25,'面板-景气指数'!$A$37:$A$244,0),MATCH('面板-总览'!V$2,'面板-景气指数'!$36:$36,0))</f>
        <v>0.5848457302570057</v>
      </c>
      <c r="W25" s="7">
        <f>INDEX('面板-景气指数'!$37:$244,MATCH('面板-总览'!$R25,'面板-景气指数'!$A$37:$A$244,0),MATCH('面板-总览'!W$2,'面板-景气指数'!$36:$36,0))</f>
        <v>0.48841619195122316</v>
      </c>
      <c r="X25" s="7">
        <f>INDEX('面板-景气指数'!$37:$244,MATCH('面板-总览'!$R25,'面板-景气指数'!$A$37:$A$244,0),MATCH('面板-总览'!X$2,'面板-景气指数'!$36:$36,0))</f>
        <v>0.30226727294237005</v>
      </c>
      <c r="Y25" s="7">
        <f>INDEX('面板-景气指数'!$37:$244,MATCH('面板-总览'!$R25,'面板-景气指数'!$A$37:$A$244,0),MATCH('面板-总览'!Y$2,'面板-景气指数'!$36:$36,0))</f>
        <v>0.25568469237353347</v>
      </c>
      <c r="Z25" s="7">
        <f>INDEX('面板-景气指数'!$37:$244,MATCH('面板-总览'!$R25,'面板-景气指数'!$A$37:$A$244,0),MATCH('面板-总览'!Z$2,'面板-景气指数'!$36:$36,0))</f>
        <v>0.2826546630757748</v>
      </c>
      <c r="AA25" s="7">
        <f>INDEX('面板-景气指数'!$37:$244,MATCH('面板-总览'!$R25,'面板-景气指数'!$A$37:$A$244,0),MATCH('面板-总览'!AA$2,'面板-景气指数'!$36:$36,0))</f>
        <v>0.3130720825069383</v>
      </c>
      <c r="AB25" s="7">
        <f>INDEX('面板-景气指数'!$37:$244,MATCH('面板-总览'!$R25,'面板-景气指数'!$A$37:$A$244,0),MATCH('面板-总览'!AB$2,'面板-景气指数'!$36:$36,0))</f>
        <v>0.3373498060296074</v>
      </c>
      <c r="AC25" s="7">
        <f>INDEX('面板-景气指数'!$37:$244,MATCH('面板-总览'!$R25,'面板-景气指数'!$A$37:$A$244,0),MATCH('面板-总览'!AC$2,'面板-景气指数'!$36:$36,0))</f>
        <v>0.28771761744555258</v>
      </c>
      <c r="AD25" s="7">
        <f>INDEX('面板-景气指数'!$37:$244,MATCH('面板-总览'!$R25,'面板-景气指数'!$A$37:$A$244,0),MATCH('面板-总览'!AD$2,'面板-景气指数'!$36:$36,0))</f>
        <v>0.24909877521605719</v>
      </c>
      <c r="AE25" s="7">
        <f>INDEX('面板-景气指数'!$37:$244,MATCH('面板-总览'!$R25,'面板-景气指数'!$A$37:$A$244,0),MATCH('面板-总览'!AE$2,'面板-景气指数'!$36:$36,0))</f>
        <v>0.218801032161549</v>
      </c>
      <c r="AF25" s="15"/>
      <c r="AG25" s="12">
        <f t="shared" si="1"/>
        <v>-0.1185487738680584</v>
      </c>
      <c r="AI25" s="6" t="s">
        <v>73</v>
      </c>
      <c r="AJ25" s="7">
        <f>INDEX('面板-景气指数'!$37:$244,MATCH('面板-总览'!$AI25,'面板-景气指数'!$A$37:$A$244,0),MATCH('面板-总览'!AJ$2,'面板-景气指数'!$36:$36,0))</f>
        <v>0.5625</v>
      </c>
      <c r="AK25" s="7">
        <f>INDEX('面板-景气指数'!$37:$244,MATCH('面板-总览'!$AI25,'面板-景气指数'!$A$37:$A$244,0),MATCH('面板-总览'!AK$2,'面板-景气指数'!$36:$36,0))</f>
        <v>0.56199999999999994</v>
      </c>
      <c r="AL25" s="7">
        <f>INDEX('面板-景气指数'!$37:$244,MATCH('面板-总览'!$AI25,'面板-景气指数'!$A$37:$A$244,0),MATCH('面板-总览'!AL$2,'面板-景气指数'!$36:$36,0))</f>
        <v>0.57150000000000001</v>
      </c>
      <c r="AM25" s="7">
        <f>INDEX('面板-景气指数'!$37:$244,MATCH('面板-总览'!$AI25,'面板-景气指数'!$A$37:$A$244,0),MATCH('面板-总览'!AM$2,'面板-景气指数'!$36:$36,0))</f>
        <v>0.56700000000000006</v>
      </c>
      <c r="AN25" s="7">
        <f>INDEX('面板-景气指数'!$37:$244,MATCH('面板-总览'!$AI25,'面板-景气指数'!$A$37:$A$244,0),MATCH('面板-总览'!AN$2,'面板-景气指数'!$36:$36,0))</f>
        <v>0.51900000000000002</v>
      </c>
      <c r="AO25" s="7">
        <f>INDEX('面板-景气指数'!$37:$244,MATCH('面板-总览'!$AI25,'面板-景气指数'!$A$37:$A$244,0),MATCH('面板-总览'!AO$2,'面板-景气指数'!$36:$36,0))</f>
        <v>0.46099999999999997</v>
      </c>
      <c r="AP25" s="7">
        <f>INDEX('面板-景气指数'!$37:$244,MATCH('面板-总览'!$AI25,'面板-景气指数'!$A$37:$A$244,0),MATCH('面板-总览'!AP$2,'面板-景气指数'!$36:$36,0))</f>
        <v>0.40349999999999997</v>
      </c>
      <c r="AQ25" s="7">
        <f>INDEX('面板-景气指数'!$37:$244,MATCH('面板-总览'!$AI25,'面板-景气指数'!$A$37:$A$244,0),MATCH('面板-总览'!AQ$2,'面板-景气指数'!$36:$36,0))</f>
        <v>0.35049999999999998</v>
      </c>
      <c r="AR25" s="7">
        <f>INDEX('面板-景气指数'!$37:$244,MATCH('面板-总览'!$AI25,'面板-景气指数'!$A$37:$A$244,0),MATCH('面板-总览'!AR$2,'面板-景气指数'!$36:$36,0))</f>
        <v>0.30249999999999999</v>
      </c>
      <c r="AS25" s="7">
        <f>INDEX('面板-景气指数'!$37:$244,MATCH('面板-总览'!$AI25,'面板-景气指数'!$A$37:$A$244,0),MATCH('面板-总览'!AS$2,'面板-景气指数'!$36:$36,0))</f>
        <v>0.26849999999999996</v>
      </c>
      <c r="AT25" s="7">
        <f>INDEX('面板-景气指数'!$37:$244,MATCH('面板-总览'!$AI25,'面板-景气指数'!$A$37:$A$244,0),MATCH('面板-总览'!AT$2,'面板-景气指数'!$36:$36,0))</f>
        <v>0.25950000000000001</v>
      </c>
      <c r="AU25" s="7">
        <f>INDEX('面板-景气指数'!$37:$244,MATCH('面板-总览'!$AI25,'面板-景气指数'!$A$37:$A$244,0),MATCH('面板-总览'!AU$2,'面板-景气指数'!$36:$36,0))</f>
        <v>0.23499999999999999</v>
      </c>
      <c r="AV25" s="7">
        <f>INDEX('面板-景气指数'!$37:$244,MATCH('面板-总览'!$AI25,'面板-景气指数'!$A$37:$A$244,0),MATCH('面板-总览'!AV$2,'面板-景气指数'!$36:$36,0))</f>
        <v>0.24000000000000002</v>
      </c>
      <c r="AX25" s="12">
        <f t="shared" si="2"/>
        <v>-2.8499999999999942E-2</v>
      </c>
    </row>
    <row r="26" spans="1:50" ht="21" customHeight="1" x14ac:dyDescent="0.2">
      <c r="A26" s="6" t="s">
        <v>74</v>
      </c>
      <c r="B26" s="7">
        <f>INDEX('面板-景气指数'!$37:$244,MATCH('面板-总览'!$A26,'面板-景气指数'!$A$37:$A$244,0),MATCH('面板-总览'!B$2,'面板-景气指数'!$36:$36,0))</f>
        <v>0.58204999999999996</v>
      </c>
      <c r="C26" s="7">
        <f>INDEX('面板-景气指数'!$37:$244,MATCH('面板-总览'!$A26,'面板-景气指数'!$A$37:$A$244,0),MATCH('面板-总览'!C$2,'面板-景气指数'!$36:$36,0))</f>
        <v>0.59594999999999998</v>
      </c>
      <c r="D26" s="7">
        <f>INDEX('面板-景气指数'!$37:$244,MATCH('面板-总览'!$A26,'面板-景气指数'!$A$37:$A$244,0),MATCH('面板-总览'!D$2,'面板-景气指数'!$36:$36,0))</f>
        <v>0.59079999999999999</v>
      </c>
      <c r="E26" s="7">
        <f>INDEX('面板-景气指数'!$37:$244,MATCH('面板-总览'!$A26,'面板-景气指数'!$A$37:$A$244,0),MATCH('面板-总览'!E$2,'面板-景气指数'!$36:$36,0))</f>
        <v>0.61820000000000008</v>
      </c>
      <c r="F26" s="7">
        <f>INDEX('面板-景气指数'!$37:$244,MATCH('面板-总览'!$A26,'面板-景气指数'!$A$37:$A$244,0),MATCH('面板-总览'!F$2,'面板-景气指数'!$36:$36,0))</f>
        <v>0.64680000000000004</v>
      </c>
      <c r="G26" s="7">
        <f>INDEX('面板-景气指数'!$37:$244,MATCH('面板-总览'!$A26,'面板-景气指数'!$A$37:$A$244,0),MATCH('面板-总览'!G$2,'面板-景气指数'!$36:$36,0))</f>
        <v>0.60585</v>
      </c>
      <c r="H26" s="7">
        <f>INDEX('面板-景气指数'!$37:$244,MATCH('面板-总览'!$A26,'面板-景气指数'!$A$37:$A$244,0),MATCH('面板-总览'!H$2,'面板-景气指数'!$36:$36,0))</f>
        <v>0.58509999999999995</v>
      </c>
      <c r="I26" s="7">
        <f>INDEX('面板-景气指数'!$37:$244,MATCH('面板-总览'!$A26,'面板-景气指数'!$A$37:$A$244,0),MATCH('面板-总览'!I$2,'面板-景气指数'!$36:$36,0))</f>
        <v>0.52279999999999993</v>
      </c>
      <c r="J26" s="7">
        <f>INDEX('面板-景气指数'!$37:$244,MATCH('面板-总览'!$A26,'面板-景气指数'!$A$37:$A$244,0),MATCH('面板-总览'!J$2,'面板-景气指数'!$36:$36,0))</f>
        <v>0.52475000000000005</v>
      </c>
      <c r="K26" s="7">
        <f>INDEX('面板-景气指数'!$37:$244,MATCH('面板-总览'!$A26,'面板-景气指数'!$A$37:$A$244,0),MATCH('面板-总览'!K$2,'面板-景气指数'!$36:$36,0))</f>
        <v>0.51949999999999996</v>
      </c>
      <c r="L26" s="7">
        <f>INDEX('面板-景气指数'!$37:$244,MATCH('面板-总览'!$A26,'面板-景气指数'!$A$37:$A$244,0),MATCH('面板-总览'!L$2,'面板-景气指数'!$36:$36,0))</f>
        <v>0.52015</v>
      </c>
      <c r="M26" s="7">
        <f>INDEX('面板-景气指数'!$37:$244,MATCH('面板-总览'!$A26,'面板-景气指数'!$A$37:$A$244,0),MATCH('面板-总览'!M$2,'面板-景气指数'!$36:$36,0))</f>
        <v>0.48649999999999999</v>
      </c>
      <c r="N26" s="7">
        <f>INDEX('面板-景气指数'!$37:$244,MATCH('面板-总览'!$A26,'面板-景气指数'!$A$37:$A$244,0),MATCH('面板-总览'!N$2,'面板-景气指数'!$36:$36,0))</f>
        <v>0.49484999999999996</v>
      </c>
      <c r="P26" s="9">
        <f t="shared" si="0"/>
        <v>-2.4650000000000005E-2</v>
      </c>
      <c r="R26" s="6" t="s">
        <v>75</v>
      </c>
      <c r="S26" s="7">
        <f>INDEX('面板-景气指数'!$37:$244,MATCH('面板-总览'!$R26,'面板-景气指数'!$A$37:$A$244,0),MATCH('面板-总览'!S$2,'面板-景气指数'!$36:$36,0))</f>
        <v>0.55510223729863628</v>
      </c>
      <c r="T26" s="7">
        <f>INDEX('面板-景气指数'!$37:$244,MATCH('面板-总览'!$R26,'面板-景气指数'!$A$37:$A$244,0),MATCH('面板-总览'!T$2,'面板-景气指数'!$36:$36,0))</f>
        <v>0.71377096570507992</v>
      </c>
      <c r="U26" s="7">
        <f>INDEX('面板-景气指数'!$37:$244,MATCH('面板-总览'!$R26,'面板-景气指数'!$A$37:$A$244,0),MATCH('面板-总览'!U$2,'面板-景气指数'!$36:$36,0))</f>
        <v>0.76074182270235402</v>
      </c>
      <c r="V26" s="7">
        <f>INDEX('面板-景气指数'!$37:$244,MATCH('面板-总览'!$R26,'面板-景气指数'!$A$37:$A$244,0),MATCH('面板-总览'!V$2,'面板-景气指数'!$36:$36,0))</f>
        <v>0.78674491531201962</v>
      </c>
      <c r="W26" s="7">
        <f>INDEX('面板-景气指数'!$37:$244,MATCH('面板-总览'!$R26,'面板-景气指数'!$A$37:$A$244,0),MATCH('面板-总览'!W$2,'面板-景气指数'!$36:$36,0))</f>
        <v>0.69051147889169739</v>
      </c>
      <c r="X26" s="7">
        <f>INDEX('面板-景气指数'!$37:$244,MATCH('面板-总览'!$R26,'面板-景气指数'!$A$37:$A$244,0),MATCH('面板-总览'!X$2,'面板-景气指数'!$36:$36,0))</f>
        <v>0.43159075840693883</v>
      </c>
      <c r="Y26" s="7">
        <f>INDEX('面板-景气指数'!$37:$244,MATCH('面板-总览'!$R26,'面板-景气指数'!$A$37:$A$244,0),MATCH('面板-总览'!Y$2,'面板-景气指数'!$36:$36,0))</f>
        <v>0.49295051824535263</v>
      </c>
      <c r="Z26" s="7">
        <f>INDEX('面板-景气指数'!$37:$244,MATCH('面板-总览'!$R26,'面板-景气指数'!$A$37:$A$244,0),MATCH('面板-总览'!Z$2,'面板-景气指数'!$36:$36,0))</f>
        <v>0.49492203000049523</v>
      </c>
      <c r="AA26" s="7">
        <f>INDEX('面板-景气指数'!$37:$244,MATCH('面板-总览'!$R26,'面板-景气指数'!$A$37:$A$244,0),MATCH('面板-总览'!AA$2,'面板-景气指数'!$36:$36,0))</f>
        <v>0.66469168618983854</v>
      </c>
      <c r="AB26" s="7">
        <f>INDEX('面板-景气指数'!$37:$244,MATCH('面板-总览'!$R26,'面板-景气指数'!$A$37:$A$244,0),MATCH('面板-总览'!AB$2,'面板-景气指数'!$36:$36,0))</f>
        <v>0.74528113508104077</v>
      </c>
      <c r="AC26" s="7">
        <f>INDEX('面板-景气指数'!$37:$244,MATCH('面板-总览'!$R26,'面板-景气指数'!$A$37:$A$244,0),MATCH('面板-总览'!AC$2,'面板-景气指数'!$36:$36,0))</f>
        <v>0.81892137524262676</v>
      </c>
      <c r="AD26" s="7">
        <f>INDEX('面板-景气指数'!$37:$244,MATCH('面板-总览'!$R26,'面板-景气指数'!$A$37:$A$244,0),MATCH('面板-总览'!AD$2,'面板-景气指数'!$36:$36,0))</f>
        <v>0.89161549928426265</v>
      </c>
      <c r="AE26" s="7">
        <f>INDEX('面板-景气指数'!$37:$244,MATCH('面板-总览'!$R26,'面板-景气指数'!$A$37:$A$244,0),MATCH('面板-总览'!AE$2,'面板-景气指数'!$36:$36,0))</f>
        <v>0.85818020729814104</v>
      </c>
      <c r="AF26" s="15"/>
      <c r="AG26" s="12">
        <f t="shared" si="1"/>
        <v>0.11289907221710027</v>
      </c>
      <c r="AI26" s="6" t="s">
        <v>76</v>
      </c>
      <c r="AJ26" s="7">
        <f>INDEX('面板-景气指数'!$37:$244,MATCH('面板-总览'!$AI26,'面板-景气指数'!$A$37:$A$244,0),MATCH('面板-总览'!AJ$2,'面板-景气指数'!$36:$36,0))</f>
        <v>8.5000000000000006E-2</v>
      </c>
      <c r="AK26" s="7">
        <f>INDEX('面板-景气指数'!$37:$244,MATCH('面板-总览'!$AI26,'面板-景气指数'!$A$37:$A$244,0),MATCH('面板-总览'!AK$2,'面板-景气指数'!$36:$36,0))</f>
        <v>0.10599999999999998</v>
      </c>
      <c r="AL26" s="7">
        <f>INDEX('面板-景气指数'!$37:$244,MATCH('面板-总览'!$AI26,'面板-景气指数'!$A$37:$A$244,0),MATCH('面板-总览'!AL$2,'面板-景气指数'!$36:$36,0))</f>
        <v>0</v>
      </c>
      <c r="AM26" s="7">
        <f>INDEX('面板-景气指数'!$37:$244,MATCH('面板-总览'!$AI26,'面板-景气指数'!$A$37:$A$244,0),MATCH('面板-总览'!AM$2,'面板-景气指数'!$36:$36,0))</f>
        <v>2.1000000000000001E-2</v>
      </c>
      <c r="AN26" s="7">
        <f>INDEX('面板-景气指数'!$37:$244,MATCH('面板-总览'!$AI26,'面板-景气指数'!$A$37:$A$244,0),MATCH('面板-总览'!AN$2,'面板-景气指数'!$36:$36,0))</f>
        <v>6.3E-2</v>
      </c>
      <c r="AO26" s="7">
        <f>INDEX('面板-景气指数'!$37:$244,MATCH('面板-总览'!$AI26,'面板-景气指数'!$A$37:$A$244,0),MATCH('面板-总览'!AO$2,'面板-景气指数'!$36:$36,0))</f>
        <v>0.17</v>
      </c>
      <c r="AP26" s="7">
        <f>INDEX('面板-景气指数'!$37:$244,MATCH('面板-总览'!$AI26,'面板-景气指数'!$A$37:$A$244,0),MATCH('面板-总览'!AP$2,'面板-景气指数'!$36:$36,0))</f>
        <v>0.21199999999999997</v>
      </c>
      <c r="AQ26" s="7">
        <f>INDEX('面板-景气指数'!$37:$244,MATCH('面板-总览'!$AI26,'面板-景气指数'!$A$37:$A$244,0),MATCH('面板-总览'!AQ$2,'面板-景气指数'!$36:$36,0))</f>
        <v>0.255</v>
      </c>
      <c r="AR26" s="7">
        <f>INDEX('面板-景气指数'!$37:$244,MATCH('面板-总览'!$AI26,'面板-景气指数'!$A$37:$A$244,0),MATCH('面板-总览'!AR$2,'面板-景气指数'!$36:$36,0))</f>
        <v>0.29699999999999999</v>
      </c>
      <c r="AS26" s="7">
        <f>INDEX('面板-景气指数'!$37:$244,MATCH('面板-总览'!$AI26,'面板-景气指数'!$A$37:$A$244,0),MATCH('面板-总览'!AS$2,'面板-景气指数'!$36:$36,0))</f>
        <v>0.36099999999999999</v>
      </c>
      <c r="AT26" s="7">
        <f>INDEX('面板-景气指数'!$37:$244,MATCH('面板-总览'!$AI26,'面板-景气指数'!$A$37:$A$244,0),MATCH('面板-总览'!AT$2,'面板-景气指数'!$36:$36,0))</f>
        <v>0.40400000000000008</v>
      </c>
      <c r="AU26" s="7">
        <f>INDEX('面板-景气指数'!$37:$244,MATCH('面板-总览'!$AI26,'面板-景气指数'!$A$37:$A$244,0),MATCH('面板-总览'!AU$2,'面板-景气指数'!$36:$36,0))</f>
        <v>0.44600000000000001</v>
      </c>
      <c r="AV26" s="7">
        <f>INDEX('面板-景气指数'!$37:$244,MATCH('面板-总览'!$AI26,'面板-景气指数'!$A$37:$A$244,0),MATCH('面板-总览'!AV$2,'面板-景气指数'!$36:$36,0))</f>
        <v>0.46800000000000003</v>
      </c>
      <c r="AX26" s="12">
        <f t="shared" si="2"/>
        <v>0.10700000000000004</v>
      </c>
    </row>
    <row r="27" spans="1:50" ht="21" customHeight="1" x14ac:dyDescent="0.2">
      <c r="A27" s="6" t="s">
        <v>77</v>
      </c>
      <c r="B27" s="7">
        <f>INDEX('面板-景气指数'!$37:$244,MATCH('面板-总览'!$A27,'面板-景气指数'!$A$37:$A$244,0),MATCH('面板-总览'!B$2,'面板-景气指数'!$36:$36,0))</f>
        <v>0.48560681272964706</v>
      </c>
      <c r="C27" s="7">
        <f>INDEX('面板-景气指数'!$37:$244,MATCH('面板-总览'!$A27,'面板-景气指数'!$A$37:$A$244,0),MATCH('面板-总览'!C$2,'面板-景气指数'!$36:$36,0))</f>
        <v>0.48349429942274702</v>
      </c>
      <c r="D27" s="7">
        <f>INDEX('面板-景气指数'!$37:$244,MATCH('面板-总览'!$A27,'面板-景气指数'!$A$37:$A$244,0),MATCH('面板-总览'!D$2,'面板-景气指数'!$36:$36,0))</f>
        <v>0.48503628138508098</v>
      </c>
      <c r="E27" s="7">
        <f>INDEX('面板-景气指数'!$37:$244,MATCH('面板-总览'!$A27,'面板-景气指数'!$A$37:$A$244,0),MATCH('面板-总览'!E$2,'面板-景气指数'!$36:$36,0))</f>
        <v>0.4852133988547575</v>
      </c>
      <c r="F27" s="7">
        <f>INDEX('面板-景气指数'!$37:$244,MATCH('面板-总览'!$A27,'面板-景气指数'!$A$37:$A$244,0),MATCH('面板-总览'!F$2,'面板-景气指数'!$36:$36,0))</f>
        <v>0.49116742065455504</v>
      </c>
      <c r="G27" s="7">
        <f>INDEX('面板-景气指数'!$37:$244,MATCH('面板-总览'!$A27,'面板-景气指数'!$A$37:$A$244,0),MATCH('面板-总览'!G$2,'面板-景气指数'!$36:$36,0))</f>
        <v>0.52693665150754831</v>
      </c>
      <c r="H27" s="7">
        <f>INDEX('面板-景气指数'!$37:$244,MATCH('面板-总览'!$A27,'面板-景气指数'!$A$37:$A$244,0),MATCH('面板-总览'!H$2,'面板-景气指数'!$36:$36,0))</f>
        <v>0.51244444862991201</v>
      </c>
      <c r="I27" s="7">
        <f>INDEX('面板-景气指数'!$37:$244,MATCH('面板-总览'!$A27,'面板-景气指数'!$A$37:$A$244,0),MATCH('面板-总览'!I$2,'面板-景气指数'!$36:$36,0))</f>
        <v>0.49437136423167921</v>
      </c>
      <c r="J27" s="7">
        <f>INDEX('面板-景气指数'!$37:$244,MATCH('面板-总览'!$A27,'面板-景气指数'!$A$37:$A$244,0),MATCH('面板-总览'!J$2,'面板-景气指数'!$36:$36,0))</f>
        <v>0.48472800604133981</v>
      </c>
      <c r="K27" s="7">
        <f>INDEX('面板-景气指数'!$37:$244,MATCH('面板-总览'!$A27,'面板-景气指数'!$A$37:$A$244,0),MATCH('面板-总览'!K$2,'面板-景气指数'!$36:$36,0))</f>
        <v>0.47096018869272938</v>
      </c>
      <c r="L27" s="7">
        <f>INDEX('面板-景气指数'!$37:$244,MATCH('面板-总览'!$A27,'面板-景气指数'!$A$37:$A$244,0),MATCH('面板-总览'!L$2,'面板-景气指数'!$36:$36,0))</f>
        <v>0.47096018869272938</v>
      </c>
      <c r="M27" s="7">
        <f>INDEX('面板-景气指数'!$37:$244,MATCH('面板-总览'!$A27,'面板-景气指数'!$A$37:$A$244,0),MATCH('面板-总览'!M$2,'面板-景气指数'!$36:$36,0))</f>
        <v>0.47096018869272938</v>
      </c>
      <c r="N27" s="7">
        <f>INDEX('面板-景气指数'!$37:$244,MATCH('面板-总览'!$A27,'面板-景气指数'!$A$37:$A$244,0),MATCH('面板-总览'!N$2,'面板-景气指数'!$36:$36,0))</f>
        <v>0.47096018869272938</v>
      </c>
      <c r="P27" s="9">
        <f t="shared" si="0"/>
        <v>0</v>
      </c>
      <c r="R27" s="6" t="s">
        <v>78</v>
      </c>
      <c r="S27" s="7">
        <f>INDEX('面板-景气指数'!$37:$244,MATCH('面板-总览'!$R27,'面板-景气指数'!$A$37:$A$244,0),MATCH('面板-总览'!S$2,'面板-景气指数'!$36:$36,0))</f>
        <v>0.19125000000000006</v>
      </c>
      <c r="T27" s="7">
        <f>INDEX('面板-景气指数'!$37:$244,MATCH('面板-总览'!$R27,'面板-景气指数'!$A$37:$A$244,0),MATCH('面板-总览'!T$2,'面板-景气指数'!$36:$36,0))</f>
        <v>0.20275000000000001</v>
      </c>
      <c r="U27" s="7">
        <f>INDEX('面板-景气指数'!$37:$244,MATCH('面板-总览'!$R27,'面板-景气指数'!$A$37:$A$244,0),MATCH('面板-总览'!U$2,'面板-景气指数'!$36:$36,0))</f>
        <v>0.28937500000000005</v>
      </c>
      <c r="V27" s="7">
        <f>INDEX('面板-景气指数'!$37:$244,MATCH('面板-总览'!$R27,'面板-景气指数'!$A$37:$A$244,0),MATCH('面板-总览'!V$2,'面板-景气指数'!$36:$36,0))</f>
        <v>0.317</v>
      </c>
      <c r="W27" s="7">
        <f>INDEX('面板-景气指数'!$37:$244,MATCH('面板-总览'!$R27,'面板-景气指数'!$A$37:$A$244,0),MATCH('面板-总览'!W$2,'面板-景气指数'!$36:$36,0))</f>
        <v>0.30712500000000004</v>
      </c>
      <c r="X27" s="7">
        <f>INDEX('面板-景气指数'!$37:$244,MATCH('面板-总览'!$R27,'面板-景气指数'!$A$37:$A$244,0),MATCH('面板-总览'!X$2,'面板-景气指数'!$36:$36,0))</f>
        <v>0.260125</v>
      </c>
      <c r="Y27" s="7">
        <f>INDEX('面板-景气指数'!$37:$244,MATCH('面板-总览'!$R27,'面板-景气指数'!$A$37:$A$244,0),MATCH('面板-总览'!Y$2,'面板-景气指数'!$36:$36,0))</f>
        <v>0.29587500000000005</v>
      </c>
      <c r="Z27" s="7">
        <f>INDEX('面板-景气指数'!$37:$244,MATCH('面板-总览'!$R27,'面板-景气指数'!$A$37:$A$244,0),MATCH('面板-总览'!Z$2,'面板-景气指数'!$36:$36,0))</f>
        <v>0.33362500000000006</v>
      </c>
      <c r="AA27" s="7">
        <f>INDEX('面板-景气指数'!$37:$244,MATCH('面板-总览'!$R27,'面板-景气指数'!$A$37:$A$244,0),MATCH('面板-总览'!AA$2,'面板-景气指数'!$36:$36,0))</f>
        <v>0.36900000000000011</v>
      </c>
      <c r="AB27" s="7">
        <f>INDEX('面板-景气指数'!$37:$244,MATCH('面板-总览'!$R27,'面板-景气指数'!$A$37:$A$244,0),MATCH('面板-总览'!AB$2,'面板-景气指数'!$36:$36,0))</f>
        <v>0.3776250000000001</v>
      </c>
      <c r="AC27" s="7">
        <f>INDEX('面板-景气指数'!$37:$244,MATCH('面板-总览'!$R27,'面板-景气指数'!$A$37:$A$244,0),MATCH('面板-总览'!AC$2,'面板-景气指数'!$36:$36,0))</f>
        <v>0.40187499999999998</v>
      </c>
      <c r="AD27" s="7">
        <f>INDEX('面板-景气指数'!$37:$244,MATCH('面板-总览'!$R27,'面板-景气指数'!$A$37:$A$244,0),MATCH('面板-总览'!AD$2,'面板-景气指数'!$36:$36,0))</f>
        <v>0.41387500000000005</v>
      </c>
      <c r="AE27" s="7">
        <f>INDEX('面板-景气指数'!$37:$244,MATCH('面板-总览'!$R27,'面板-景气指数'!$A$37:$A$244,0),MATCH('面板-总览'!AE$2,'面板-景气指数'!$36:$36,0))</f>
        <v>0.42512500000000003</v>
      </c>
      <c r="AF27" s="15"/>
      <c r="AG27" s="12">
        <f t="shared" si="1"/>
        <v>4.7499999999999931E-2</v>
      </c>
      <c r="AI27" s="6" t="s">
        <v>79</v>
      </c>
      <c r="AJ27" s="7">
        <f>INDEX('面板-景气指数'!$37:$244,MATCH('面板-总览'!$AI27,'面板-景气指数'!$A$37:$A$244,0),MATCH('面板-总览'!AJ$2,'面板-景气指数'!$36:$36,0))</f>
        <v>0.12400000000000001</v>
      </c>
      <c r="AK27" s="7">
        <f>INDEX('面板-景气指数'!$37:$244,MATCH('面板-总览'!$AI27,'面板-景气指数'!$A$37:$A$244,0),MATCH('面板-总览'!AK$2,'面板-景气指数'!$36:$36,0))</f>
        <v>0.157</v>
      </c>
      <c r="AL27" s="7">
        <f>INDEX('面板-景气指数'!$37:$244,MATCH('面板-总览'!$AI27,'面板-景气指数'!$A$37:$A$244,0),MATCH('面板-总览'!AL$2,'面板-景气指数'!$36:$36,0))</f>
        <v>0.13650000000000001</v>
      </c>
      <c r="AM27" s="7">
        <f>INDEX('面板-景气指数'!$37:$244,MATCH('面板-总览'!$AI27,'面板-景气指数'!$A$37:$A$244,0),MATCH('面板-总览'!AM$2,'面板-景气指数'!$36:$36,0))</f>
        <v>0.14849999999999999</v>
      </c>
      <c r="AN27" s="7">
        <f>INDEX('面板-景气指数'!$37:$244,MATCH('面板-总览'!$AI27,'面板-景气指数'!$A$37:$A$244,0),MATCH('面板-总览'!AN$2,'面板-景气指数'!$36:$36,0))</f>
        <v>0.22199999999999998</v>
      </c>
      <c r="AO27" s="7">
        <f>INDEX('面板-景气指数'!$37:$244,MATCH('面板-总览'!$AI27,'面板-景气指数'!$A$37:$A$244,0),MATCH('面板-总览'!AO$2,'面板-景气指数'!$36:$36,0))</f>
        <v>0.33599999999999997</v>
      </c>
      <c r="AP27" s="7">
        <f>INDEX('面板-景气指数'!$37:$244,MATCH('面板-总览'!$AI27,'面板-景气指数'!$A$37:$A$244,0),MATCH('面板-总览'!AP$2,'面板-景气指数'!$36:$36,0))</f>
        <v>0.30049999999999999</v>
      </c>
      <c r="AQ27" s="7">
        <f>INDEX('面板-景气指数'!$37:$244,MATCH('面板-总览'!$AI27,'面板-景气指数'!$A$37:$A$244,0),MATCH('面板-总览'!AQ$2,'面板-景气指数'!$36:$36,0))</f>
        <v>0.27150000000000002</v>
      </c>
      <c r="AR27" s="7">
        <f>INDEX('面板-景气指数'!$37:$244,MATCH('面板-总览'!$AI27,'面板-景气指数'!$A$37:$A$244,0),MATCH('面板-总览'!AR$2,'面板-景气指数'!$36:$36,0))</f>
        <v>0.24149999999999999</v>
      </c>
      <c r="AS27" s="7">
        <f>INDEX('面板-景气指数'!$37:$244,MATCH('面板-总览'!$AI27,'面板-景气指数'!$A$37:$A$244,0),MATCH('面板-总览'!AS$2,'面板-景气指数'!$36:$36,0))</f>
        <v>0.30599999999999999</v>
      </c>
      <c r="AT27" s="7">
        <f>INDEX('面板-景气指数'!$37:$244,MATCH('面板-总览'!$AI27,'面板-景气指数'!$A$37:$A$244,0),MATCH('面板-总览'!AT$2,'面板-景气指数'!$36:$36,0))</f>
        <v>0.33200000000000002</v>
      </c>
      <c r="AU27" s="7">
        <f>INDEX('面板-景气指数'!$37:$244,MATCH('面板-总览'!$AI27,'面板-景气指数'!$A$37:$A$244,0),MATCH('面板-总览'!AU$2,'面板-景气指数'!$36:$36,0))</f>
        <v>0.375</v>
      </c>
      <c r="AV27" s="7">
        <f>INDEX('面板-景气指数'!$37:$244,MATCH('面板-总览'!$AI27,'面板-景气指数'!$A$37:$A$244,0),MATCH('面板-总览'!AV$2,'面板-景气指数'!$36:$36,0))</f>
        <v>0.39150000000000001</v>
      </c>
      <c r="AX27" s="12">
        <f t="shared" si="2"/>
        <v>8.550000000000002E-2</v>
      </c>
    </row>
    <row r="28" spans="1:50" ht="21" customHeight="1" x14ac:dyDescent="0.2">
      <c r="A28" s="6" t="s">
        <v>80</v>
      </c>
      <c r="B28" s="7">
        <f>INDEX('面板-景气指数'!$37:$244,MATCH('面板-总览'!$A28,'面板-景气指数'!$A$37:$A$244,0),MATCH('面板-总览'!B$2,'面板-景气指数'!$36:$36,0))</f>
        <v>0.52589239002343291</v>
      </c>
      <c r="C28" s="7">
        <f>INDEX('面板-景气指数'!$37:$244,MATCH('面板-总览'!$A28,'面板-景气指数'!$A$37:$A$244,0),MATCH('面板-总览'!C$2,'面板-景气指数'!$36:$36,0))</f>
        <v>0.4951266201066663</v>
      </c>
      <c r="D28" s="7">
        <f>INDEX('面板-景气指数'!$37:$244,MATCH('面板-总览'!$A28,'面板-景气指数'!$A$37:$A$244,0),MATCH('面板-总览'!D$2,'面板-景气指数'!$36:$36,0))</f>
        <v>0.46124255688888982</v>
      </c>
      <c r="E28" s="7">
        <f>INDEX('面板-景气指数'!$37:$244,MATCH('面板-总览'!$A28,'面板-景气指数'!$A$37:$A$244,0),MATCH('面板-总览'!E$2,'面板-景气指数'!$36:$36,0))</f>
        <v>0.44301851644605894</v>
      </c>
      <c r="F28" s="7">
        <f>INDEX('面板-景气指数'!$37:$244,MATCH('面板-总览'!$A28,'面板-景气指数'!$A$37:$A$244,0),MATCH('面板-总览'!F$2,'面板-景气指数'!$36:$36,0))</f>
        <v>0.45725989507555509</v>
      </c>
      <c r="G28" s="7">
        <f>INDEX('面板-景气指数'!$37:$244,MATCH('面板-总览'!$A28,'面板-景气指数'!$A$37:$A$244,0),MATCH('面板-总览'!G$2,'面板-景气指数'!$36:$36,0))</f>
        <v>0.47130856574868574</v>
      </c>
      <c r="H28" s="7">
        <f>INDEX('面板-景气指数'!$37:$244,MATCH('面板-总览'!$A28,'面板-景气指数'!$A$37:$A$244,0),MATCH('面板-总览'!H$2,'面板-景气指数'!$36:$36,0))</f>
        <v>0.48409832871434083</v>
      </c>
      <c r="I28" s="7">
        <f>INDEX('面板-景气指数'!$37:$244,MATCH('面板-总览'!$A28,'面板-景气指数'!$A$37:$A$244,0),MATCH('面板-总览'!I$2,'面板-景气指数'!$36:$36,0))</f>
        <v>0.49332689130342972</v>
      </c>
      <c r="J28" s="7">
        <f>INDEX('面板-景气指数'!$37:$244,MATCH('面板-总览'!$A28,'面板-景气指数'!$A$37:$A$244,0),MATCH('面板-总览'!J$2,'面板-景气指数'!$36:$36,0))</f>
        <v>0.47824042417292456</v>
      </c>
      <c r="K28" s="7">
        <f>INDEX('面板-景气指数'!$37:$244,MATCH('面板-总览'!$A28,'面板-景气指数'!$A$37:$A$244,0),MATCH('面板-总览'!K$2,'面板-景气指数'!$36:$36,0))</f>
        <v>0.45162576109575137</v>
      </c>
      <c r="L28" s="7">
        <f>INDEX('面板-景气指数'!$37:$244,MATCH('面板-总览'!$A28,'面板-景气指数'!$A$37:$A$244,0),MATCH('面板-总览'!L$2,'面板-景气指数'!$36:$36,0))</f>
        <v>0.48276725096888534</v>
      </c>
      <c r="M28" s="7">
        <f>INDEX('面板-景气指数'!$37:$244,MATCH('面板-总览'!$A28,'面板-景气指数'!$A$37:$A$244,0),MATCH('面板-总览'!M$2,'面板-景气指数'!$36:$36,0))</f>
        <v>0.53308482809858004</v>
      </c>
      <c r="N28" s="7">
        <f>INDEX('面板-景气指数'!$37:$244,MATCH('面板-总览'!$A28,'面板-景气指数'!$A$37:$A$244,0),MATCH('面板-总览'!N$2,'面板-景气指数'!$36:$36,0))</f>
        <v>0.62215357525979109</v>
      </c>
      <c r="P28" s="9">
        <f t="shared" si="0"/>
        <v>0.17052781416403973</v>
      </c>
      <c r="R28" s="6" t="s">
        <v>81</v>
      </c>
      <c r="S28" s="7">
        <f>INDEX('面板-景气指数'!$37:$244,MATCH('面板-总览'!$R28,'面板-景气指数'!$A$37:$A$244,0),MATCH('面板-总览'!S$2,'面板-景气指数'!$36:$36,0))</f>
        <v>0.17066666666666658</v>
      </c>
      <c r="T28" s="7">
        <f>INDEX('面板-景气指数'!$37:$244,MATCH('面板-总览'!$R28,'面板-景气指数'!$A$37:$A$244,0),MATCH('面板-总览'!T$2,'面板-景气指数'!$36:$36,0))</f>
        <v>0.15616666666666656</v>
      </c>
      <c r="U28" s="7">
        <f>INDEX('面板-景气指数'!$37:$244,MATCH('面板-总览'!$R28,'面板-景气指数'!$A$37:$A$244,0),MATCH('面板-总览'!U$2,'面板-景气指数'!$36:$36,0))</f>
        <v>0.25833333333333325</v>
      </c>
      <c r="V28" s="7">
        <f>INDEX('面板-景气指数'!$37:$244,MATCH('面板-总览'!$R28,'面板-景气指数'!$A$37:$A$244,0),MATCH('面板-总览'!V$2,'面板-景气指数'!$36:$36,0))</f>
        <v>0.32716666666666661</v>
      </c>
      <c r="W28" s="7">
        <f>INDEX('面板-景气指数'!$37:$244,MATCH('面板-总览'!$R28,'面板-景气指数'!$A$37:$A$244,0),MATCH('面板-总览'!W$2,'面板-景气指数'!$36:$36,0))</f>
        <v>0.3183333333333333</v>
      </c>
      <c r="X28" s="7">
        <f>INDEX('面板-景气指数'!$37:$244,MATCH('面板-总览'!$R28,'面板-景气指数'!$A$37:$A$244,0),MATCH('面板-总览'!X$2,'面板-景气指数'!$36:$36,0))</f>
        <v>0.31383333333333335</v>
      </c>
      <c r="Y28" s="7">
        <f>INDEX('面板-景气指数'!$37:$244,MATCH('面板-总览'!$R28,'面板-景气指数'!$A$37:$A$244,0),MATCH('面板-总览'!Y$2,'面板-景气指数'!$36:$36,0))</f>
        <v>0.28316666666666684</v>
      </c>
      <c r="Z28" s="7">
        <f>INDEX('面板-景气指数'!$37:$244,MATCH('面板-总览'!$R28,'面板-景气指数'!$A$37:$A$244,0),MATCH('面板-总览'!Z$2,'面板-景气指数'!$36:$36,0))</f>
        <v>0.35483333333333344</v>
      </c>
      <c r="AA28" s="7">
        <f>INDEX('面板-景气指数'!$37:$244,MATCH('面板-总览'!$R28,'面板-景气指数'!$A$37:$A$244,0),MATCH('面板-总览'!AA$2,'面板-景气指数'!$36:$36,0))</f>
        <v>0.42816666666666675</v>
      </c>
      <c r="AB28" s="7">
        <f>INDEX('面板-景气指数'!$37:$244,MATCH('面板-总览'!$R28,'面板-景气指数'!$A$37:$A$244,0),MATCH('面板-总览'!AB$2,'面板-景气指数'!$36:$36,0))</f>
        <v>0.40783333333333338</v>
      </c>
      <c r="AC28" s="7">
        <f>INDEX('面板-景气指数'!$37:$244,MATCH('面板-总览'!$R28,'面板-景气指数'!$A$37:$A$244,0),MATCH('面板-总览'!AC$2,'面板-景气指数'!$36:$36,0))</f>
        <v>0.44633333333333342</v>
      </c>
      <c r="AD28" s="7">
        <f>INDEX('面板-景气指数'!$37:$244,MATCH('面板-总览'!$R28,'面板-景气指数'!$A$37:$A$244,0),MATCH('面板-总览'!AD$2,'面板-景气指数'!$36:$36,0))</f>
        <v>0.40716666666666684</v>
      </c>
      <c r="AE28" s="7">
        <f>INDEX('面板-景气指数'!$37:$244,MATCH('面板-总览'!$R28,'面板-景气指数'!$A$37:$A$244,0),MATCH('面板-总览'!AE$2,'面板-景气指数'!$36:$36,0))</f>
        <v>0.41166666666666679</v>
      </c>
      <c r="AF28" s="15"/>
      <c r="AG28" s="12">
        <f t="shared" si="1"/>
        <v>3.8333333333334108E-3</v>
      </c>
      <c r="AI28" s="6" t="s">
        <v>82</v>
      </c>
      <c r="AJ28" s="7">
        <f>INDEX('面板-景气指数'!$37:$244,MATCH('面板-总览'!$AI28,'面板-景气指数'!$A$37:$A$244,0),MATCH('面板-总览'!AJ$2,'面板-景气指数'!$36:$36,0))</f>
        <v>0.1585</v>
      </c>
      <c r="AK28" s="7">
        <f>INDEX('面板-景气指数'!$37:$244,MATCH('面板-总览'!$AI28,'面板-景气指数'!$A$37:$A$244,0),MATCH('面板-总览'!AK$2,'面板-景气指数'!$36:$36,0))</f>
        <v>0.2445</v>
      </c>
      <c r="AL28" s="7">
        <f>INDEX('面板-景气指数'!$37:$244,MATCH('面板-总览'!$AI28,'面板-景气指数'!$A$37:$A$244,0),MATCH('面板-总览'!AL$2,'面板-景气指数'!$36:$36,0))</f>
        <v>0.35549999999999998</v>
      </c>
      <c r="AM28" s="7">
        <f>INDEX('面板-景气指数'!$37:$244,MATCH('面板-总览'!$AI28,'面板-景气指数'!$A$37:$A$244,0),MATCH('面板-总览'!AM$2,'面板-景气指数'!$36:$36,0))</f>
        <v>0.41749999999999998</v>
      </c>
      <c r="AN28" s="7">
        <f>INDEX('面板-景气指数'!$37:$244,MATCH('面板-总览'!$AI28,'面板-景气指数'!$A$37:$A$244,0),MATCH('面板-总览'!AN$2,'面板-景气指数'!$36:$36,0))</f>
        <v>0.36499999999999999</v>
      </c>
      <c r="AO28" s="7">
        <f>INDEX('面板-景气指数'!$37:$244,MATCH('面板-总览'!$AI28,'面板-景气指数'!$A$37:$A$244,0),MATCH('面板-总览'!AO$2,'面板-景气指数'!$36:$36,0))</f>
        <v>0.26400000000000001</v>
      </c>
      <c r="AP28" s="7">
        <f>INDEX('面板-景气指数'!$37:$244,MATCH('面板-总览'!$AI28,'面板-景气指数'!$A$37:$A$244,0),MATCH('面板-总览'!AP$2,'面板-景气指数'!$36:$36,0))</f>
        <v>0.2495</v>
      </c>
      <c r="AQ28" s="7">
        <f>INDEX('面板-景气指数'!$37:$244,MATCH('面板-总览'!$AI28,'面板-景气指数'!$A$37:$A$244,0),MATCH('面板-总览'!AQ$2,'面板-景气指数'!$36:$36,0))</f>
        <v>0.26400000000000001</v>
      </c>
      <c r="AR28" s="7">
        <f>INDEX('面板-景气指数'!$37:$244,MATCH('面板-总览'!$AI28,'面板-景气指数'!$A$37:$A$244,0),MATCH('面板-总览'!AR$2,'面板-景气指数'!$36:$36,0))</f>
        <v>0.30249999999999999</v>
      </c>
      <c r="AS28" s="7">
        <f>INDEX('面板-景气指数'!$37:$244,MATCH('面板-总览'!$AI28,'面板-景气指数'!$A$37:$A$244,0),MATCH('面板-总览'!AS$2,'面板-景气指数'!$36:$36,0))</f>
        <v>0.32149999999999995</v>
      </c>
      <c r="AT28" s="7">
        <f>INDEX('面板-景气指数'!$37:$244,MATCH('面板-总览'!$AI28,'面板-景气指数'!$A$37:$A$244,0),MATCH('面板-总览'!AT$2,'面板-景气指数'!$36:$36,0))</f>
        <v>0.19199999999999998</v>
      </c>
      <c r="AU28" s="7">
        <f>INDEX('面板-景气指数'!$37:$244,MATCH('面板-总览'!$AI28,'面板-景气指数'!$A$37:$A$244,0),MATCH('面板-总览'!AU$2,'面板-景气指数'!$36:$36,0))</f>
        <v>0.14349999999999999</v>
      </c>
      <c r="AV28" s="7">
        <f>INDEX('面板-景气指数'!$37:$244,MATCH('面板-总览'!$AI28,'面板-景气指数'!$A$37:$A$244,0),MATCH('面板-总览'!AV$2,'面板-景气指数'!$36:$36,0))</f>
        <v>9.5500000000000002E-2</v>
      </c>
      <c r="AX28" s="12">
        <f t="shared" si="2"/>
        <v>-0.22599999999999995</v>
      </c>
    </row>
    <row r="29" spans="1:50" ht="21" customHeight="1" x14ac:dyDescent="0.2">
      <c r="A29" s="6" t="s">
        <v>83</v>
      </c>
      <c r="B29" s="7">
        <f>INDEX('面板-景气指数'!$37:$244,MATCH('面板-总览'!$A29,'面板-景气指数'!$A$37:$A$244,0),MATCH('面板-总览'!B$2,'面板-景气指数'!$36:$36,0))</f>
        <v>0.22716662988598987</v>
      </c>
      <c r="C29" s="7">
        <f>INDEX('面板-景气指数'!$37:$244,MATCH('面板-总览'!$A29,'面板-景气指数'!$A$37:$A$244,0),MATCH('面板-总览'!C$2,'面板-景气指数'!$36:$36,0))</f>
        <v>0.23580917059554607</v>
      </c>
      <c r="D29" s="7">
        <f>INDEX('面板-景气指数'!$37:$244,MATCH('面板-总览'!$A29,'面板-景气指数'!$A$37:$A$244,0),MATCH('面板-总览'!D$2,'面板-景气指数'!$36:$36,0))</f>
        <v>0.27270498277999017</v>
      </c>
      <c r="E29" s="7">
        <f>INDEX('面板-景气指数'!$37:$244,MATCH('面板-总览'!$A29,'面板-景气指数'!$A$37:$A$244,0),MATCH('面板-总览'!E$2,'面板-景气指数'!$36:$36,0))</f>
        <v>0.24531076771327917</v>
      </c>
      <c r="F29" s="7">
        <f>INDEX('面板-景气指数'!$37:$244,MATCH('面板-总览'!$A29,'面板-景气指数'!$A$37:$A$244,0),MATCH('面板-总览'!F$2,'面板-景气指数'!$36:$36,0))</f>
        <v>0.18015695890596647</v>
      </c>
      <c r="G29" s="7">
        <f>INDEX('面板-景气指数'!$37:$244,MATCH('面板-总览'!$A29,'面板-景气指数'!$A$37:$A$244,0),MATCH('面板-总览'!G$2,'面板-景气指数'!$36:$36,0))</f>
        <v>0.12450474721638698</v>
      </c>
      <c r="H29" s="7">
        <f>INDEX('面板-景气指数'!$37:$244,MATCH('面板-总览'!$A29,'面板-景气指数'!$A$37:$A$244,0),MATCH('面板-总览'!H$2,'面板-景气指数'!$36:$36,0))</f>
        <v>0.11636052111547293</v>
      </c>
      <c r="I29" s="7">
        <f>INDEX('面板-景气指数'!$37:$244,MATCH('面板-总览'!$A29,'面板-景气指数'!$A$37:$A$244,0),MATCH('面板-总览'!I$2,'面板-景气指数'!$36:$36,0))</f>
        <v>0.12080282626142606</v>
      </c>
      <c r="J29" s="7">
        <f>INDEX('面板-景气指数'!$37:$244,MATCH('面板-总览'!$A29,'面板-景气指数'!$A$37:$A$244,0),MATCH('面板-总览'!J$2,'面板-景气指数'!$36:$36,0))</f>
        <v>0.11833487895811873</v>
      </c>
      <c r="K29" s="7">
        <f>INDEX('面板-景气指数'!$37:$244,MATCH('面板-总览'!$A29,'面板-景气指数'!$A$37:$A$244,0),MATCH('面板-总览'!K$2,'面板-景气指数'!$36:$36,0))</f>
        <v>0.14918422024945993</v>
      </c>
      <c r="L29" s="7">
        <f>INDEX('面板-景气指数'!$37:$244,MATCH('面板-总览'!$A29,'面板-景气指数'!$A$37:$A$244,0),MATCH('面板-总览'!L$2,'面板-景气指数'!$36:$36,0))</f>
        <v>0.23852391262918421</v>
      </c>
      <c r="M29" s="7">
        <f>INDEX('面板-景气指数'!$37:$244,MATCH('面板-总览'!$A29,'面板-景气指数'!$A$37:$A$244,0),MATCH('面板-总览'!M$2,'面板-景气指数'!$36:$36,0))</f>
        <v>0.2914613822851258</v>
      </c>
      <c r="N29" s="7">
        <f>INDEX('面板-景气指数'!$37:$244,MATCH('面板-总览'!$A29,'面板-景气指数'!$A$37:$A$244,0),MATCH('面板-总览'!N$2,'面板-景气指数'!$36:$36,0))</f>
        <v>0.32588924716626255</v>
      </c>
      <c r="P29" s="9">
        <f t="shared" si="0"/>
        <v>0.17670502691680262</v>
      </c>
      <c r="R29" s="6" t="s">
        <v>84</v>
      </c>
      <c r="S29" s="7">
        <f>INDEX('面板-景气指数'!$37:$244,MATCH('面板-总览'!$R29,'面板-景气指数'!$A$37:$A$244,0),MATCH('面板-总览'!S$2,'面板-景气指数'!$36:$36,0))</f>
        <v>0.61060000000000014</v>
      </c>
      <c r="T29" s="7">
        <f>INDEX('面板-景气指数'!$37:$244,MATCH('面板-总览'!$R29,'面板-景气指数'!$A$37:$A$244,0),MATCH('面板-总览'!T$2,'面板-景气指数'!$36:$36,0))</f>
        <v>0.61086666666666678</v>
      </c>
      <c r="U29" s="7">
        <f>INDEX('面板-景气指数'!$37:$244,MATCH('面板-总览'!$R29,'面板-景气指数'!$A$37:$A$244,0),MATCH('面板-总览'!U$2,'面板-景气指数'!$36:$36,0))</f>
        <v>0.58826666666666672</v>
      </c>
      <c r="V29" s="7">
        <f>INDEX('面板-景气指数'!$37:$244,MATCH('面板-总览'!$R29,'面板-景气指数'!$A$37:$A$244,0),MATCH('面板-总览'!V$2,'面板-景气指数'!$36:$36,0))</f>
        <v>0.59380000000000011</v>
      </c>
      <c r="W29" s="7">
        <f>INDEX('面板-景气指数'!$37:$244,MATCH('面板-总览'!$R29,'面板-景气指数'!$A$37:$A$244,0),MATCH('面板-总览'!W$2,'面板-景气指数'!$36:$36,0))</f>
        <v>0.50653333333333339</v>
      </c>
      <c r="X29" s="7">
        <f>INDEX('面板-景气指数'!$37:$244,MATCH('面板-总览'!$R29,'面板-景气指数'!$A$37:$A$244,0),MATCH('面板-总览'!X$2,'面板-景气指数'!$36:$36,0))</f>
        <v>0.38693333333333341</v>
      </c>
      <c r="Y29" s="7">
        <f>INDEX('面板-景气指数'!$37:$244,MATCH('面板-总览'!$R29,'面板-景气指数'!$A$37:$A$244,0),MATCH('面板-总览'!Y$2,'面板-景气指数'!$36:$36,0))</f>
        <v>0.33533333333333343</v>
      </c>
      <c r="Z29" s="7">
        <f>INDEX('面板-景气指数'!$37:$244,MATCH('面板-总览'!$R29,'面板-景气指数'!$A$37:$A$244,0),MATCH('面板-总览'!Z$2,'面板-景气指数'!$36:$36,0))</f>
        <v>0.28466666666666673</v>
      </c>
      <c r="AA29" s="7">
        <f>INDEX('面板-景气指数'!$37:$244,MATCH('面板-总览'!$R29,'面板-景气指数'!$A$37:$A$244,0),MATCH('面板-总览'!AA$2,'面板-景气指数'!$36:$36,0))</f>
        <v>0.2626</v>
      </c>
      <c r="AB29" s="7">
        <f>INDEX('面板-景气指数'!$37:$244,MATCH('面板-总览'!$R29,'面板-景气指数'!$A$37:$A$244,0),MATCH('面板-总览'!AB$2,'面板-景气指数'!$36:$36,0))</f>
        <v>0.27433333333333337</v>
      </c>
      <c r="AC29" s="7">
        <f>INDEX('面板-景气指数'!$37:$244,MATCH('面板-总览'!$R29,'面板-景气指数'!$A$37:$A$244,0),MATCH('面板-总览'!AC$2,'面板-景气指数'!$36:$36,0))</f>
        <v>0.24913333333333337</v>
      </c>
      <c r="AD29" s="7">
        <f>INDEX('面板-景气指数'!$37:$244,MATCH('面板-总览'!$R29,'面板-景气指数'!$A$37:$A$244,0),MATCH('面板-总览'!AD$2,'面板-景气指数'!$36:$36,0))</f>
        <v>0.24360000000000007</v>
      </c>
      <c r="AE29" s="7">
        <f>INDEX('面板-景气指数'!$37:$244,MATCH('面板-总览'!$R29,'面板-景气指数'!$A$37:$A$244,0),MATCH('面板-总览'!AE$2,'面板-景气指数'!$36:$36,0))</f>
        <v>0.21893333333333337</v>
      </c>
      <c r="AF29" s="15"/>
      <c r="AG29" s="12">
        <f t="shared" si="1"/>
        <v>-5.5400000000000005E-2</v>
      </c>
      <c r="AI29" s="6" t="s">
        <v>85</v>
      </c>
      <c r="AJ29" s="7">
        <f>INDEX('面板-景气指数'!$37:$244,MATCH('面板-总览'!$AI29,'面板-景气指数'!$A$37:$A$244,0),MATCH('面板-总览'!AJ$2,'面板-景气指数'!$36:$36,0))</f>
        <v>0.69450000000000001</v>
      </c>
      <c r="AK29" s="7">
        <f>INDEX('面板-景气指数'!$37:$244,MATCH('面板-总览'!$AI29,'面板-景气指数'!$A$37:$A$244,0),MATCH('面板-总览'!AK$2,'面板-景气指数'!$36:$36,0))</f>
        <v>0.626</v>
      </c>
      <c r="AL29" s="7">
        <f>INDEX('面板-景气指数'!$37:$244,MATCH('面板-总览'!$AI29,'面板-景气指数'!$A$37:$A$244,0),MATCH('面板-总览'!AL$2,'面板-景气指数'!$36:$36,0))</f>
        <v>0.58199999999999996</v>
      </c>
      <c r="AM29" s="7">
        <f>INDEX('面板-景气指数'!$37:$244,MATCH('面板-总览'!$AI29,'面板-景气指数'!$A$37:$A$244,0),MATCH('面板-总览'!AM$2,'面板-景气指数'!$36:$36,0))</f>
        <v>0.50249999999999995</v>
      </c>
      <c r="AN29" s="7">
        <f>INDEX('面板-景气指数'!$37:$244,MATCH('面板-总览'!$AI29,'面板-景气指数'!$A$37:$A$244,0),MATCH('面板-总览'!AN$2,'面板-景气指数'!$36:$36,0))</f>
        <v>0.65849999999999997</v>
      </c>
      <c r="AO29" s="7">
        <f>INDEX('面板-景气指数'!$37:$244,MATCH('面板-总览'!$AI29,'面板-景气指数'!$A$37:$A$244,0),MATCH('面板-总览'!AO$2,'面板-景气指数'!$36:$36,0))</f>
        <v>0.57600000000000007</v>
      </c>
      <c r="AP29" s="7">
        <f>INDEX('面板-景气指数'!$37:$244,MATCH('面板-总览'!$AI29,'面板-景气指数'!$A$37:$A$244,0),MATCH('面板-总览'!AP$2,'面板-景气指数'!$36:$36,0))</f>
        <v>0.64949999999999997</v>
      </c>
      <c r="AQ29" s="7">
        <f>INDEX('面板-景气指数'!$37:$244,MATCH('面板-总览'!$AI29,'面板-景气指数'!$A$37:$A$244,0),MATCH('面板-总览'!AQ$2,'面板-景气指数'!$36:$36,0))</f>
        <v>0.69900000000000007</v>
      </c>
      <c r="AR29" s="7">
        <f>INDEX('面板-景气指数'!$37:$244,MATCH('面板-总览'!$AI29,'面板-景气指数'!$A$37:$A$244,0),MATCH('面板-总览'!AR$2,'面板-景气指数'!$36:$36,0))</f>
        <v>0.77699999999999991</v>
      </c>
      <c r="AS29" s="7">
        <f>INDEX('面板-景气指数'!$37:$244,MATCH('面板-总览'!$AI29,'面板-景气指数'!$A$37:$A$244,0),MATCH('面板-总览'!AS$2,'面板-景气指数'!$36:$36,0))</f>
        <v>0.78249999999999997</v>
      </c>
      <c r="AT29" s="7">
        <f>INDEX('面板-景气指数'!$37:$244,MATCH('面板-总览'!$AI29,'面板-景气指数'!$A$37:$A$244,0),MATCH('面板-总览'!AT$2,'面板-景气指数'!$36:$36,0))</f>
        <v>0.77750000000000008</v>
      </c>
      <c r="AU29" s="7">
        <f>INDEX('面板-景气指数'!$37:$244,MATCH('面板-总览'!$AI29,'面板-景气指数'!$A$37:$A$244,0),MATCH('面板-总览'!AU$2,'面板-景气指数'!$36:$36,0))</f>
        <v>0.80149999999999999</v>
      </c>
      <c r="AV29" s="7">
        <f>INDEX('面板-景气指数'!$37:$244,MATCH('面板-总览'!$AI29,'面板-景气指数'!$A$37:$A$244,0),MATCH('面板-总览'!AV$2,'面板-景气指数'!$36:$36,0))</f>
        <v>0.8115</v>
      </c>
      <c r="AX29" s="12">
        <f t="shared" si="2"/>
        <v>2.9000000000000026E-2</v>
      </c>
    </row>
    <row r="30" spans="1:50" ht="21" customHeight="1" x14ac:dyDescent="0.2">
      <c r="A30" s="6" t="s">
        <v>86</v>
      </c>
      <c r="B30" s="7">
        <f>INDEX('面板-景气指数'!$37:$244,MATCH('面板-总览'!$A30,'面板-景气指数'!$A$37:$A$244,0),MATCH('面板-总览'!B$2,'面板-景气指数'!$36:$36,0))</f>
        <v>0.40447940745794148</v>
      </c>
      <c r="C30" s="7">
        <f>INDEX('面板-景气指数'!$37:$244,MATCH('面板-总览'!$A30,'面板-景气指数'!$A$37:$A$244,0),MATCH('面板-总览'!C$2,'面板-景气指数'!$36:$36,0))</f>
        <v>0.41479818163892407</v>
      </c>
      <c r="D30" s="7">
        <f>INDEX('面板-景气指数'!$37:$244,MATCH('面板-总览'!$A30,'面板-景气指数'!$A$37:$A$244,0),MATCH('面板-总览'!D$2,'面板-景气指数'!$36:$36,0))</f>
        <v>0.4392676316454357</v>
      </c>
      <c r="E30" s="7">
        <f>INDEX('面板-景气指数'!$37:$244,MATCH('面板-总览'!$A30,'面板-景气指数'!$A$37:$A$244,0),MATCH('面板-总览'!E$2,'面板-景气指数'!$36:$36,0))</f>
        <v>0.4631626708095663</v>
      </c>
      <c r="F30" s="7">
        <f>INDEX('面板-景气指数'!$37:$244,MATCH('面板-总览'!$A30,'面板-景气指数'!$A$37:$A$244,0),MATCH('面板-总览'!F$2,'面板-景气指数'!$36:$36,0))</f>
        <v>0.54794661457954663</v>
      </c>
      <c r="G30" s="7">
        <f>INDEX('面板-景气指数'!$37:$244,MATCH('面板-总览'!$A30,'面板-景气指数'!$A$37:$A$244,0),MATCH('面板-总览'!G$2,'面板-景气指数'!$36:$36,0))</f>
        <v>0.59521054156354403</v>
      </c>
      <c r="H30" s="7">
        <f>INDEX('面板-景气指数'!$37:$244,MATCH('面板-总览'!$A30,'面板-景气指数'!$A$37:$A$244,0),MATCH('面板-总览'!H$2,'面板-景气指数'!$36:$36,0))</f>
        <v>0.60104608652913727</v>
      </c>
      <c r="I30" s="7">
        <f>INDEX('面板-景气指数'!$37:$244,MATCH('面板-总览'!$A30,'面板-景气指数'!$A$37:$A$244,0),MATCH('面板-总览'!I$2,'面板-景气指数'!$36:$36,0))</f>
        <v>0.58133940573010201</v>
      </c>
      <c r="J30" s="7">
        <f>INDEX('面板-景气指数'!$37:$244,MATCH('面板-总览'!$A30,'面板-景气指数'!$A$37:$A$244,0),MATCH('面板-总览'!J$2,'面板-景气指数'!$36:$36,0))</f>
        <v>0.57583709795638316</v>
      </c>
      <c r="K30" s="7">
        <f>INDEX('面板-景气指数'!$37:$244,MATCH('面板-总览'!$A30,'面板-景气指数'!$A$37:$A$244,0),MATCH('面板-总览'!K$2,'面板-景气指数'!$36:$36,0))</f>
        <v>0.56513015853599902</v>
      </c>
      <c r="L30" s="7">
        <f>INDEX('面板-景气指数'!$37:$244,MATCH('面板-总览'!$A30,'面板-景气指数'!$A$37:$A$244,0),MATCH('面板-总览'!L$2,'面板-景气指数'!$36:$36,0))</f>
        <v>0.56833630768933774</v>
      </c>
      <c r="M30" s="7">
        <f>INDEX('面板-景气指数'!$37:$244,MATCH('面板-总览'!$A30,'面板-景气指数'!$A$37:$A$244,0),MATCH('面板-总览'!M$2,'面板-景气指数'!$36:$36,0))</f>
        <v>0.54959915586353569</v>
      </c>
      <c r="N30" s="7">
        <f>INDEX('面板-景气指数'!$37:$244,MATCH('面板-总览'!$A30,'面板-景气指数'!$A$37:$A$244,0),MATCH('面板-总览'!N$2,'面板-景气指数'!$36:$36,0))</f>
        <v>0.56116694042633319</v>
      </c>
      <c r="P30" s="9">
        <f t="shared" si="0"/>
        <v>-3.9632181096658226E-3</v>
      </c>
      <c r="R30" s="6" t="s">
        <v>87</v>
      </c>
      <c r="S30" s="7">
        <f>INDEX('面板-景气指数'!$37:$244,MATCH('面板-总览'!$R30,'面板-景气指数'!$A$37:$A$244,0),MATCH('面板-总览'!S$2,'面板-景气指数'!$36:$36,0))</f>
        <v>0.59125000000000028</v>
      </c>
      <c r="T30" s="7">
        <f>INDEX('面板-景气指数'!$37:$244,MATCH('面板-总览'!$R30,'面板-景气指数'!$A$37:$A$244,0),MATCH('面板-总览'!T$2,'面板-景气指数'!$36:$36,0))</f>
        <v>0.60075000000000023</v>
      </c>
      <c r="U30" s="7">
        <f>INDEX('面板-景气指数'!$37:$244,MATCH('面板-总览'!$R30,'面板-景气指数'!$A$37:$A$244,0),MATCH('面板-总览'!U$2,'面板-景气指数'!$36:$36,0))</f>
        <v>0.60325000000000029</v>
      </c>
      <c r="V30" s="7">
        <f>INDEX('面板-景气指数'!$37:$244,MATCH('面板-总览'!$R30,'面板-景气指数'!$A$37:$A$244,0),MATCH('面板-总览'!V$2,'面板-景气指数'!$36:$36,0))</f>
        <v>0.59100000000000041</v>
      </c>
      <c r="W30" s="7">
        <f>INDEX('面板-景气指数'!$37:$244,MATCH('面板-总览'!$R30,'面板-景气指数'!$A$37:$A$244,0),MATCH('面板-总览'!W$2,'面板-景气指数'!$36:$36,0))</f>
        <v>0.57925000000000026</v>
      </c>
      <c r="X30" s="7">
        <f>INDEX('面板-景气指数'!$37:$244,MATCH('面板-总览'!$R30,'面板-景气指数'!$A$37:$A$244,0),MATCH('面板-总览'!X$2,'面板-景气指数'!$36:$36,0))</f>
        <v>0.55750000000000022</v>
      </c>
      <c r="Y30" s="7">
        <f>INDEX('面板-景气指数'!$37:$244,MATCH('面板-总览'!$R30,'面板-景气指数'!$A$37:$A$244,0),MATCH('面板-总览'!Y$2,'面板-景气指数'!$36:$36,0))</f>
        <v>0.5505000000000001</v>
      </c>
      <c r="Z30" s="7">
        <f>INDEX('面板-景气指数'!$37:$244,MATCH('面板-总览'!$R30,'面板-景气指数'!$A$37:$A$244,0),MATCH('面板-总览'!Z$2,'面板-景气指数'!$36:$36,0))</f>
        <v>0.49025000000000013</v>
      </c>
      <c r="AA30" s="7">
        <f>INDEX('面板-景气指数'!$37:$244,MATCH('面板-总览'!$R30,'面板-景气指数'!$A$37:$A$244,0),MATCH('面板-总览'!AA$2,'面板-景气指数'!$36:$36,0))</f>
        <v>0.46150000000000002</v>
      </c>
      <c r="AB30" s="7">
        <f>INDEX('面板-景气指数'!$37:$244,MATCH('面板-总览'!$R30,'面板-景气指数'!$A$37:$A$244,0),MATCH('面板-总览'!AB$2,'面板-景气指数'!$36:$36,0))</f>
        <v>0.44425000000000003</v>
      </c>
      <c r="AC30" s="7">
        <f>INDEX('面板-景气指数'!$37:$244,MATCH('面板-总览'!$R30,'面板-景气指数'!$A$37:$A$244,0),MATCH('面板-总览'!AC$2,'面板-景气指数'!$36:$36,0))</f>
        <v>0.47349999999999992</v>
      </c>
      <c r="AD30" s="7">
        <f>INDEX('面板-景气指数'!$37:$244,MATCH('面板-总览'!$R30,'面板-景气指数'!$A$37:$A$244,0),MATCH('面板-总览'!AD$2,'面板-景气指数'!$36:$36,0))</f>
        <v>0.48049999999999998</v>
      </c>
      <c r="AE30" s="7">
        <f>INDEX('面板-景气指数'!$37:$244,MATCH('面板-总览'!$R30,'面板-景气指数'!$A$37:$A$244,0),MATCH('面板-总览'!AE$2,'面板-景气指数'!$36:$36,0))</f>
        <v>0.54299999999999993</v>
      </c>
      <c r="AF30" s="15"/>
      <c r="AG30" s="12">
        <f t="shared" si="1"/>
        <v>9.8749999999999893E-2</v>
      </c>
      <c r="AI30" s="6" t="s">
        <v>88</v>
      </c>
      <c r="AJ30" s="7">
        <f>INDEX('面板-景气指数'!$37:$244,MATCH('面板-总览'!$AI30,'面板-景气指数'!$A$37:$A$244,0),MATCH('面板-总览'!AJ$2,'面板-景气指数'!$36:$36,0))</f>
        <v>0.34549999999999997</v>
      </c>
      <c r="AK30" s="7">
        <f>INDEX('面板-景气指数'!$37:$244,MATCH('面板-总览'!$AI30,'面板-景气指数'!$A$37:$A$244,0),MATCH('面板-总览'!AK$2,'面板-景气指数'!$36:$36,0))</f>
        <v>0.30699999999999994</v>
      </c>
      <c r="AL30" s="7">
        <f>INDEX('面板-景气指数'!$37:$244,MATCH('面板-总览'!$AI30,'面板-景气指数'!$A$37:$A$244,0),MATCH('面板-总览'!AL$2,'面板-景气指数'!$36:$36,0))</f>
        <v>0.29300000000000004</v>
      </c>
      <c r="AM30" s="7">
        <f>INDEX('面板-景气指数'!$37:$244,MATCH('面板-总览'!$AI30,'面板-景气指数'!$A$37:$A$244,0),MATCH('面板-总览'!AM$2,'面板-景气指数'!$36:$36,0))</f>
        <v>0.27849999999999997</v>
      </c>
      <c r="AN30" s="7">
        <f>INDEX('面板-景气指数'!$37:$244,MATCH('面板-总览'!$AI30,'面板-景气指数'!$A$37:$A$244,0),MATCH('面板-总览'!AN$2,'面板-景气指数'!$36:$36,0))</f>
        <v>0.21099999999999999</v>
      </c>
      <c r="AO30" s="7">
        <f>INDEX('面板-景气指数'!$37:$244,MATCH('面板-总览'!$AI30,'面板-景气指数'!$A$37:$A$244,0),MATCH('面板-总览'!AO$2,'面板-景气指数'!$36:$36,0))</f>
        <v>0.21099999999999999</v>
      </c>
      <c r="AP30" s="7">
        <f>INDEX('面板-景气指数'!$37:$244,MATCH('面板-总览'!$AI30,'面板-景气指数'!$A$37:$A$244,0),MATCH('面板-总览'!AP$2,'面板-景气指数'!$36:$36,0))</f>
        <v>0.221</v>
      </c>
      <c r="AQ30" s="7">
        <f>INDEX('面板-景气指数'!$37:$244,MATCH('面板-总览'!$AI30,'面板-景气指数'!$A$37:$A$244,0),MATCH('面板-总览'!AQ$2,'面板-景气指数'!$36:$36,0))</f>
        <v>0.2545</v>
      </c>
      <c r="AR30" s="7">
        <f>INDEX('面板-景气指数'!$37:$244,MATCH('面板-总览'!$AI30,'面板-景气指数'!$A$37:$A$244,0),MATCH('面板-总览'!AR$2,'面板-景气指数'!$36:$36,0))</f>
        <v>0.29750000000000004</v>
      </c>
      <c r="AS30" s="7">
        <f>INDEX('面板-景气指数'!$37:$244,MATCH('面板-总览'!$AI30,'面板-景气指数'!$A$37:$A$244,0),MATCH('面板-总览'!AS$2,'面板-景气指数'!$36:$36,0))</f>
        <v>0.26400000000000001</v>
      </c>
      <c r="AT30" s="7">
        <f>INDEX('面板-景气指数'!$37:$244,MATCH('面板-总览'!$AI30,'面板-景气指数'!$A$37:$A$244,0),MATCH('面板-总览'!AT$2,'面板-景气指数'!$36:$36,0))</f>
        <v>0.23950000000000005</v>
      </c>
      <c r="AU30" s="7">
        <f>INDEX('面板-景气指数'!$37:$244,MATCH('面板-总览'!$AI30,'面板-景气指数'!$A$37:$A$244,0),MATCH('面板-总览'!AU$2,'面板-景气指数'!$36:$36,0))</f>
        <v>0.16750000000000001</v>
      </c>
      <c r="AV30" s="7">
        <f>INDEX('面板-景气指数'!$37:$244,MATCH('面板-总览'!$AI30,'面板-景气指数'!$A$37:$A$244,0),MATCH('面板-总览'!AV$2,'面板-景气指数'!$36:$36,0))</f>
        <v>0.14399999999999999</v>
      </c>
      <c r="AX30" s="12">
        <f t="shared" si="2"/>
        <v>-0.12000000000000002</v>
      </c>
    </row>
    <row r="31" spans="1:50" ht="21" customHeight="1" x14ac:dyDescent="0.2">
      <c r="A31" s="6" t="s">
        <v>89</v>
      </c>
      <c r="B31" s="7">
        <f>INDEX('面板-景气指数'!$37:$244,MATCH('面板-总览'!$A31,'面板-景气指数'!$A$37:$A$244,0),MATCH('面板-总览'!B$2,'面板-景气指数'!$36:$36,0))</f>
        <v>0.46078434170946175</v>
      </c>
      <c r="C31" s="7">
        <f>INDEX('面板-景气指数'!$37:$244,MATCH('面板-总览'!$A31,'面板-景气指数'!$A$37:$A$244,0),MATCH('面板-总览'!C$2,'面板-景气指数'!$36:$36,0))</f>
        <v>0.51699915147451447</v>
      </c>
      <c r="D31" s="7">
        <f>INDEX('面板-景气指数'!$37:$244,MATCH('面板-总览'!$A31,'面板-景气指数'!$A$37:$A$244,0),MATCH('面板-总览'!D$2,'面板-景气指数'!$36:$36,0))</f>
        <v>0.49904958996312188</v>
      </c>
      <c r="E31" s="7">
        <f>INDEX('面板-景气指数'!$37:$244,MATCH('面板-总览'!$A31,'面板-景气指数'!$A$37:$A$244,0),MATCH('面板-总览'!E$2,'面板-景气指数'!$36:$36,0))</f>
        <v>0.51981812229534896</v>
      </c>
      <c r="F31" s="7">
        <f>INDEX('面板-景气指数'!$37:$244,MATCH('面板-总览'!$A31,'面板-景气指数'!$A$37:$A$244,0),MATCH('面板-总览'!F$2,'面板-景气指数'!$36:$36,0))</f>
        <v>0.54878502361113712</v>
      </c>
      <c r="G31" s="7">
        <f>INDEX('面板-景气指数'!$37:$244,MATCH('面板-总览'!$A31,'面板-景气指数'!$A$37:$A$244,0),MATCH('面板-总览'!G$2,'面板-景气指数'!$36:$36,0))</f>
        <v>0.49427353447654027</v>
      </c>
      <c r="H31" s="7">
        <f>INDEX('面板-景气指数'!$37:$244,MATCH('面板-总览'!$A31,'面板-景气指数'!$A$37:$A$244,0),MATCH('面板-总览'!H$2,'面板-景气指数'!$36:$36,0))</f>
        <v>0.44160329734747422</v>
      </c>
      <c r="I31" s="7">
        <f>INDEX('面板-景气指数'!$37:$244,MATCH('面板-总览'!$A31,'面板-景气指数'!$A$37:$A$244,0),MATCH('面板-总览'!I$2,'面板-景气指数'!$36:$36,0))</f>
        <v>0.38809937585653287</v>
      </c>
      <c r="J31" s="7">
        <f>INDEX('面板-景气指数'!$37:$244,MATCH('面板-总览'!$A31,'面板-景气指数'!$A$37:$A$244,0),MATCH('面板-总览'!J$2,'面板-景气指数'!$36:$36,0))</f>
        <v>0.39216419318561774</v>
      </c>
      <c r="K31" s="7">
        <f>INDEX('面板-景气指数'!$37:$244,MATCH('面板-总览'!$A31,'面板-景气指数'!$A$37:$A$244,0),MATCH('面板-总览'!K$2,'面板-景气指数'!$36:$36,0))</f>
        <v>0.35506383439160977</v>
      </c>
      <c r="L31" s="7">
        <f>INDEX('面板-景气指数'!$37:$244,MATCH('面板-总览'!$A31,'面板-景气指数'!$A$37:$A$244,0),MATCH('面板-总览'!L$2,'面板-景气指数'!$36:$36,0))</f>
        <v>0.35630293675986646</v>
      </c>
      <c r="M31" s="7">
        <f>INDEX('面板-景气指数'!$37:$244,MATCH('面板-总览'!$A31,'面板-景气指数'!$A$37:$A$244,0),MATCH('面板-总览'!M$2,'面板-景气指数'!$36:$36,0))</f>
        <v>0.34413674204491884</v>
      </c>
      <c r="N31" s="7">
        <f>INDEX('面板-景气指数'!$37:$244,MATCH('面板-总览'!$A31,'面板-景气指数'!$A$37:$A$244,0),MATCH('面板-总览'!N$2,'面板-景气指数'!$36:$36,0))</f>
        <v>0.35574371156392048</v>
      </c>
      <c r="P31" s="9">
        <f t="shared" si="0"/>
        <v>6.7987717231071665E-4</v>
      </c>
      <c r="R31" s="6" t="s">
        <v>90</v>
      </c>
      <c r="S31" s="7">
        <f>INDEX('面板-景气指数'!$37:$244,MATCH('面板-总览'!$R31,'面板-景气指数'!$A$37:$A$244,0),MATCH('面板-总览'!S$2,'面板-景气指数'!$36:$36,0))</f>
        <v>0.29041666666666666</v>
      </c>
      <c r="T31" s="7">
        <f>INDEX('面板-景气指数'!$37:$244,MATCH('面板-总览'!$R31,'面板-景气指数'!$A$37:$A$244,0),MATCH('面板-总览'!T$2,'面板-景气指数'!$36:$36,0))</f>
        <v>0.2870833333333333</v>
      </c>
      <c r="U31" s="7">
        <f>INDEX('面板-景气指数'!$37:$244,MATCH('面板-总览'!$R31,'面板-景气指数'!$A$37:$A$244,0),MATCH('面板-总览'!U$2,'面板-景气指数'!$36:$36,0))</f>
        <v>0.32658333333333334</v>
      </c>
      <c r="V31" s="7">
        <f>INDEX('面板-景气指数'!$37:$244,MATCH('面板-总览'!$R31,'面板-景气指数'!$A$37:$A$244,0),MATCH('面板-总览'!V$2,'面板-景气指数'!$36:$36,0))</f>
        <v>0.330125</v>
      </c>
      <c r="W31" s="7">
        <f>INDEX('面板-景气指数'!$37:$244,MATCH('面板-总览'!$R31,'面板-景气指数'!$A$37:$A$244,0),MATCH('面板-总览'!W$2,'面板-景气指数'!$36:$36,0))</f>
        <v>0.34258333333333341</v>
      </c>
      <c r="X31" s="7">
        <f>INDEX('面板-景气指数'!$37:$244,MATCH('面板-总览'!$R31,'面板-景气指数'!$A$37:$A$244,0),MATCH('面板-总览'!X$2,'面板-景气指数'!$36:$36,0))</f>
        <v>0.33129166666666671</v>
      </c>
      <c r="Y31" s="7">
        <f>INDEX('面板-景气指数'!$37:$244,MATCH('面板-总览'!$R31,'面板-景气指数'!$A$37:$A$244,0),MATCH('面板-总览'!Y$2,'面板-景气指数'!$36:$36,0))</f>
        <v>0.31712499999999993</v>
      </c>
      <c r="Z31" s="7">
        <f>INDEX('面板-景气指数'!$37:$244,MATCH('面板-总览'!$R31,'面板-景气指数'!$A$37:$A$244,0),MATCH('面板-总览'!Z$2,'面板-景气指数'!$36:$36,0))</f>
        <v>0.29362499999999997</v>
      </c>
      <c r="AA31" s="7">
        <f>INDEX('面板-景气指数'!$37:$244,MATCH('面板-总览'!$R31,'面板-景气指数'!$A$37:$A$244,0),MATCH('面板-总览'!AA$2,'面板-景气指数'!$36:$36,0))</f>
        <v>0.27383333333333337</v>
      </c>
      <c r="AB31" s="7">
        <f>INDEX('面板-景气指数'!$37:$244,MATCH('面板-总览'!$R31,'面板-景气指数'!$A$37:$A$244,0),MATCH('面板-总览'!AB$2,'面板-景气指数'!$36:$36,0))</f>
        <v>0.26608333333333334</v>
      </c>
      <c r="AC31" s="7">
        <f>INDEX('面板-景气指数'!$37:$244,MATCH('面板-总览'!$R31,'面板-景气指数'!$A$37:$A$244,0),MATCH('面板-总览'!AC$2,'面板-景气指数'!$36:$36,0))</f>
        <v>0.25808333333333333</v>
      </c>
      <c r="AD31" s="7">
        <f>INDEX('面板-景气指数'!$37:$244,MATCH('面板-总览'!$R31,'面板-景气指数'!$A$37:$A$244,0),MATCH('面板-总览'!AD$2,'面板-景气指数'!$36:$36,0))</f>
        <v>0.27333333333333332</v>
      </c>
      <c r="AE31" s="7">
        <f>INDEX('面板-景气指数'!$37:$244,MATCH('面板-总览'!$R31,'面板-景气指数'!$A$37:$A$244,0),MATCH('面板-总览'!AE$2,'面板-景气指数'!$36:$36,0))</f>
        <v>0.30541666666666661</v>
      </c>
      <c r="AF31" s="15"/>
      <c r="AG31" s="12">
        <f t="shared" si="1"/>
        <v>3.9333333333333276E-2</v>
      </c>
      <c r="AI31" s="6" t="s">
        <v>91</v>
      </c>
      <c r="AJ31" s="7">
        <f>INDEX('面板-景气指数'!$37:$244,MATCH('面板-总览'!$AI31,'面板-景气指数'!$A$37:$A$244,0),MATCH('面板-总览'!AJ$2,'面板-景气指数'!$36:$36,0))</f>
        <v>0.33600000000000002</v>
      </c>
      <c r="AK31" s="7">
        <f>INDEX('面板-景气指数'!$37:$244,MATCH('面板-总览'!$AI31,'面板-景气指数'!$A$37:$A$244,0),MATCH('面板-总览'!AK$2,'面板-景气指数'!$36:$36,0))</f>
        <v>0.36049999999999999</v>
      </c>
      <c r="AL31" s="7">
        <f>INDEX('面板-景气指数'!$37:$244,MATCH('面板-总览'!$AI31,'面板-景气指数'!$A$37:$A$244,0),MATCH('面板-总览'!AL$2,'面板-景气指数'!$36:$36,0))</f>
        <v>0.432</v>
      </c>
      <c r="AM31" s="7">
        <f>INDEX('面板-景气指数'!$37:$244,MATCH('面板-总览'!$AI31,'面板-景气指数'!$A$37:$A$244,0),MATCH('面板-总览'!AM$2,'面板-景气指数'!$36:$36,0))</f>
        <v>0.51849999999999996</v>
      </c>
      <c r="AN31" s="7">
        <f>INDEX('面板-景气指数'!$37:$244,MATCH('面板-总览'!$AI31,'面板-景气指数'!$A$37:$A$244,0),MATCH('面板-总览'!AN$2,'面板-景气指数'!$36:$36,0))</f>
        <v>0.53299999999999992</v>
      </c>
      <c r="AO31" s="7">
        <f>INDEX('面板-景气指数'!$37:$244,MATCH('面板-总览'!$AI31,'面板-景气指数'!$A$37:$A$244,0),MATCH('面板-总览'!AO$2,'面板-景气指数'!$36:$36,0))</f>
        <v>0.33599999999999997</v>
      </c>
      <c r="AP31" s="7">
        <f>INDEX('面板-景气指数'!$37:$244,MATCH('面板-总览'!$AI31,'面板-景气指数'!$A$37:$A$244,0),MATCH('面板-总览'!AP$2,'面板-景气指数'!$36:$36,0))</f>
        <v>0.29750000000000004</v>
      </c>
      <c r="AQ31" s="7">
        <f>INDEX('面板-景气指数'!$37:$244,MATCH('面板-总览'!$AI31,'面板-景气指数'!$A$37:$A$244,0),MATCH('面板-总览'!AQ$2,'面板-景气指数'!$36:$36,0))</f>
        <v>0.27850000000000003</v>
      </c>
      <c r="AR31" s="7">
        <f>INDEX('面板-景气指数'!$37:$244,MATCH('面板-总览'!$AI31,'面板-景气指数'!$A$37:$A$244,0),MATCH('面板-总览'!AR$2,'面板-景气指数'!$36:$36,0))</f>
        <v>0.32150000000000001</v>
      </c>
      <c r="AS31" s="7">
        <f>INDEX('面板-景气指数'!$37:$244,MATCH('面板-总览'!$AI31,'面板-景气指数'!$A$37:$A$244,0),MATCH('面板-总览'!AS$2,'面板-景气指数'!$36:$36,0))</f>
        <v>0.32150000000000001</v>
      </c>
      <c r="AT31" s="7">
        <f>INDEX('面板-景气指数'!$37:$244,MATCH('面板-总览'!$AI31,'面板-景气指数'!$A$37:$A$244,0),MATCH('面板-总览'!AT$2,'面板-景气指数'!$36:$36,0))</f>
        <v>0.27850000000000003</v>
      </c>
      <c r="AU31" s="7">
        <f>INDEX('面板-景气指数'!$37:$244,MATCH('面板-总览'!$AI31,'面板-景气指数'!$A$37:$A$244,0),MATCH('面板-总览'!AU$2,'面板-景气指数'!$36:$36,0))</f>
        <v>0.23500000000000001</v>
      </c>
      <c r="AV31" s="7">
        <f>INDEX('面板-景气指数'!$37:$244,MATCH('面板-总览'!$AI31,'面板-景气指数'!$A$37:$A$244,0),MATCH('面板-总览'!AV$2,'面板-景气指数'!$36:$36,0))</f>
        <v>0.216</v>
      </c>
      <c r="AX31" s="12">
        <f t="shared" si="2"/>
        <v>-0.10550000000000001</v>
      </c>
    </row>
    <row r="32" spans="1:50" ht="21" customHeight="1" x14ac:dyDescent="0.2">
      <c r="R32" s="6" t="s">
        <v>92</v>
      </c>
      <c r="S32" s="7">
        <f>INDEX('面板-景气指数'!$37:$244,MATCH('面板-总览'!$R32,'面板-景气指数'!$A$37:$A$244,0),MATCH('面板-总览'!S$2,'面板-景气指数'!$36:$36,0))</f>
        <v>0.46374999999999994</v>
      </c>
      <c r="T32" s="7">
        <f>INDEX('面板-景气指数'!$37:$244,MATCH('面板-总览'!$R32,'面板-景气指数'!$A$37:$A$244,0),MATCH('面板-总览'!T$2,'面板-景气指数'!$36:$36,0))</f>
        <v>0.51875000000000004</v>
      </c>
      <c r="U32" s="7">
        <f>INDEX('面板-景气指数'!$37:$244,MATCH('面板-总览'!$R32,'面板-景气指数'!$A$37:$A$244,0),MATCH('面板-总览'!U$2,'面板-景气指数'!$36:$36,0))</f>
        <v>0.57399999999999995</v>
      </c>
      <c r="V32" s="7">
        <f>INDEX('面板-景气指数'!$37:$244,MATCH('面板-总览'!$R32,'面板-景气指数'!$A$37:$A$244,0),MATCH('面板-总览'!V$2,'面板-景气指数'!$36:$36,0))</f>
        <v>0.61249999999999993</v>
      </c>
      <c r="W32" s="7">
        <f>INDEX('面板-景气指数'!$37:$244,MATCH('面板-总览'!$R32,'面板-景气指数'!$A$37:$A$244,0),MATCH('面板-总览'!W$2,'面板-景气指数'!$36:$36,0))</f>
        <v>0.63675000000000004</v>
      </c>
      <c r="X32" s="7">
        <f>INDEX('面板-景气指数'!$37:$244,MATCH('面板-总览'!$R32,'面板-景气指数'!$A$37:$A$244,0),MATCH('面板-总览'!X$2,'面板-景气指数'!$36:$36,0))</f>
        <v>0.69425000000000014</v>
      </c>
      <c r="Y32" s="7">
        <f>INDEX('面板-景气指数'!$37:$244,MATCH('面板-总览'!$R32,'面板-景气指数'!$A$37:$A$244,0),MATCH('面板-总览'!Y$2,'面板-景气指数'!$36:$36,0))</f>
        <v>0.75674999999999992</v>
      </c>
      <c r="Z32" s="7">
        <f>INDEX('面板-景气指数'!$37:$244,MATCH('面板-总览'!$R32,'面板-景气指数'!$A$37:$A$244,0),MATCH('面板-总览'!Z$2,'面板-景气指数'!$36:$36,0))</f>
        <v>0.72575000000000001</v>
      </c>
      <c r="AA32" s="7">
        <f>INDEX('面板-景气指数'!$37:$244,MATCH('面板-总览'!$R32,'面板-景气指数'!$A$37:$A$244,0),MATCH('面板-总览'!AA$2,'面板-景气指数'!$36:$36,0))</f>
        <v>0.78300000000000003</v>
      </c>
      <c r="AB32" s="7">
        <f>INDEX('面板-景气指数'!$37:$244,MATCH('面板-总览'!$R32,'面板-景气指数'!$A$37:$A$244,0),MATCH('面板-总览'!AB$2,'面板-景气指数'!$36:$36,0))</f>
        <v>0.7639999999999999</v>
      </c>
      <c r="AC32" s="7">
        <f>INDEX('面板-景气指数'!$37:$244,MATCH('面板-总览'!$R32,'面板-景气指数'!$A$37:$A$244,0),MATCH('面板-总览'!AC$2,'面板-景气指数'!$36:$36,0))</f>
        <v>0.78300000000000003</v>
      </c>
      <c r="AD32" s="7">
        <f>INDEX('面板-景气指数'!$37:$244,MATCH('面板-总览'!$R32,'面板-景气指数'!$A$37:$A$244,0),MATCH('面板-总览'!AD$2,'面板-景气指数'!$36:$36,0))</f>
        <v>0.78075000000000017</v>
      </c>
      <c r="AE32" s="7">
        <f>INDEX('面板-景气指数'!$37:$244,MATCH('面板-总览'!$R32,'面板-景气指数'!$A$37:$A$244,0),MATCH('面板-总览'!AE$2,'面板-景气指数'!$36:$36,0))</f>
        <v>0.78825000000000001</v>
      </c>
      <c r="AG32" s="12">
        <f t="shared" si="1"/>
        <v>2.4250000000000105E-2</v>
      </c>
      <c r="AI32" s="6" t="s">
        <v>93</v>
      </c>
      <c r="AJ32" s="7">
        <f>INDEX('面板-景气指数'!$37:$244,MATCH('面板-总览'!$AI32,'面板-景气指数'!$A$37:$A$244,0),MATCH('面板-总览'!AJ$2,'面板-景气指数'!$36:$36,0))</f>
        <v>0.75900000000000001</v>
      </c>
      <c r="AK32" s="7">
        <f>INDEX('面板-景气指数'!$37:$244,MATCH('面板-总览'!$AI32,'面板-景气指数'!$A$37:$A$244,0),MATCH('面板-总览'!AK$2,'面板-景气指数'!$36:$36,0))</f>
        <v>0.68200000000000005</v>
      </c>
      <c r="AL32" s="7">
        <f>INDEX('面板-景气指数'!$37:$244,MATCH('面板-总览'!$AI32,'面板-景气指数'!$A$37:$A$244,0),MATCH('面板-总览'!AL$2,'面板-景气指数'!$36:$36,0))</f>
        <v>0.71099999999999997</v>
      </c>
      <c r="AM32" s="7">
        <f>INDEX('面板-景气指数'!$37:$244,MATCH('面板-总览'!$AI32,'面板-景气指数'!$A$37:$A$244,0),MATCH('面板-总览'!AM$2,'面板-景气指数'!$36:$36,0))</f>
        <v>0.72100000000000009</v>
      </c>
      <c r="AN32" s="7">
        <f>INDEX('面板-景气指数'!$37:$244,MATCH('面板-总览'!$AI32,'面板-景气指数'!$A$37:$A$244,0),MATCH('面板-总览'!AN$2,'面板-景气指数'!$36:$36,0))</f>
        <v>0.74</v>
      </c>
      <c r="AO32" s="7">
        <f>INDEX('面板-景气指数'!$37:$244,MATCH('面板-总览'!$AI32,'面板-景气指数'!$A$37:$A$244,0),MATCH('面板-总览'!AO$2,'面板-景气指数'!$36:$36,0))</f>
        <v>0.69199999999999995</v>
      </c>
      <c r="AP32" s="7">
        <f>INDEX('面板-景气指数'!$37:$244,MATCH('面板-总览'!$AI32,'面板-景气指数'!$A$37:$A$244,0),MATCH('面板-总览'!AP$2,'面板-景气指数'!$36:$36,0))</f>
        <v>0.61499999999999999</v>
      </c>
      <c r="AQ32" s="7">
        <f>INDEX('面板-景气指数'!$37:$244,MATCH('面板-总览'!$AI32,'面板-景气指数'!$A$37:$A$244,0),MATCH('面板-总览'!AQ$2,'面板-景气指数'!$36:$36,0))</f>
        <v>0.50900000000000001</v>
      </c>
      <c r="AR32" s="7">
        <f>INDEX('面板-景气指数'!$37:$244,MATCH('面板-总览'!$AI32,'面板-景气指数'!$A$37:$A$244,0),MATCH('面板-总览'!AR$2,'面板-景气指数'!$36:$36,0))</f>
        <v>0.49</v>
      </c>
      <c r="AS32" s="7">
        <f>INDEX('面板-景气指数'!$37:$244,MATCH('面板-总览'!$AI32,'面板-景气指数'!$A$37:$A$244,0),MATCH('面板-总览'!AS$2,'面板-景气指数'!$36:$36,0))</f>
        <v>0.46100000000000002</v>
      </c>
      <c r="AT32" s="7">
        <f>INDEX('面板-景气指数'!$37:$244,MATCH('面板-总览'!$AI32,'面板-景气指数'!$A$37:$A$244,0),MATCH('面板-总览'!AT$2,'面板-景气指数'!$36:$36,0))</f>
        <v>0.307</v>
      </c>
      <c r="AU32" s="7">
        <f>INDEX('面板-景气指数'!$37:$244,MATCH('面板-总览'!$AI32,'面板-景气指数'!$A$37:$A$244,0),MATCH('面板-总览'!AU$2,'面板-景气指数'!$36:$36,0))</f>
        <v>0.18200000000000002</v>
      </c>
      <c r="AV32" s="7">
        <f>INDEX('面板-景气指数'!$37:$244,MATCH('面板-总览'!$AI32,'面板-景气指数'!$A$37:$A$244,0),MATCH('面板-总览'!AV$2,'面板-景气指数'!$36:$36,0))</f>
        <v>4.8000000000000001E-2</v>
      </c>
      <c r="AX32" s="12">
        <f t="shared" si="2"/>
        <v>-0.41300000000000003</v>
      </c>
    </row>
    <row r="33" spans="1:50" ht="21" customHeight="1" x14ac:dyDescent="0.2">
      <c r="R33" s="6" t="s">
        <v>94</v>
      </c>
      <c r="S33" s="7">
        <f>INDEX('面板-景气指数'!$37:$244,MATCH('面板-总览'!$R33,'面板-景气指数'!$A$37:$A$244,0),MATCH('面板-总览'!S$2,'面板-景气指数'!$36:$36,0))</f>
        <v>0.65574999999999994</v>
      </c>
      <c r="T33" s="7">
        <f>INDEX('面板-景气指数'!$37:$244,MATCH('面板-总览'!$R33,'面板-景气指数'!$A$37:$A$244,0),MATCH('面板-总览'!T$2,'面板-景气指数'!$36:$36,0))</f>
        <v>0.62475000000000003</v>
      </c>
      <c r="U33" s="7">
        <f>INDEX('面板-景气指数'!$37:$244,MATCH('面板-总览'!$R33,'面板-景气指数'!$A$37:$A$244,0),MATCH('面板-总览'!U$2,'面板-景气指数'!$36:$36,0))</f>
        <v>0.63200000000000001</v>
      </c>
      <c r="V33" s="7">
        <f>INDEX('面板-景气指数'!$37:$244,MATCH('面板-总览'!$R33,'面板-景气指数'!$A$37:$A$244,0),MATCH('面板-总览'!V$2,'面板-景气指数'!$36:$36,0))</f>
        <v>0.65100000000000002</v>
      </c>
      <c r="W33" s="7">
        <f>INDEX('面板-景气指数'!$37:$244,MATCH('面板-总览'!$R33,'面板-景气指数'!$A$37:$A$244,0),MATCH('面板-总览'!W$2,'面板-景气指数'!$36:$36,0))</f>
        <v>0.72800000000000009</v>
      </c>
      <c r="X33" s="7">
        <f>INDEX('面板-景气指数'!$37:$244,MATCH('面板-总览'!$R33,'面板-景气指数'!$A$37:$A$244,0),MATCH('面板-总览'!X$2,'面板-景气指数'!$36:$36,0))</f>
        <v>0.747</v>
      </c>
      <c r="Y33" s="7">
        <f>INDEX('面板-景气指数'!$37:$244,MATCH('面板-总览'!$R33,'面板-景气指数'!$A$37:$A$244,0),MATCH('面板-总览'!Y$2,'面板-景气指数'!$36:$36,0))</f>
        <v>0.76649999999999996</v>
      </c>
      <c r="Z33" s="7">
        <f>INDEX('面板-景气指数'!$37:$244,MATCH('面板-总览'!$R33,'面板-景气指数'!$A$37:$A$244,0),MATCH('面板-总览'!Z$2,'面板-景气指数'!$36:$36,0))</f>
        <v>0.76649999999999996</v>
      </c>
      <c r="AA33" s="7">
        <f>INDEX('面板-景气指数'!$37:$244,MATCH('面板-总览'!$R33,'面板-景气指数'!$A$37:$A$244,0),MATCH('面板-总览'!AA$2,'面板-景气指数'!$36:$36,0))</f>
        <v>0.75200000000000011</v>
      </c>
      <c r="AB33" s="7">
        <f>INDEX('面板-景气指数'!$37:$244,MATCH('面板-总览'!$R33,'面板-景气指数'!$A$37:$A$244,0),MATCH('面板-总览'!AB$2,'面板-景气指数'!$36:$36,0))</f>
        <v>0.76400000000000001</v>
      </c>
      <c r="AC33" s="7">
        <f>INDEX('面板-景气指数'!$37:$244,MATCH('面板-总览'!$R33,'面板-景气指数'!$A$37:$A$244,0),MATCH('面板-总览'!AC$2,'面板-景气指数'!$36:$36,0))</f>
        <v>0.73775000000000002</v>
      </c>
      <c r="AD33" s="7">
        <f>INDEX('面板-景气指数'!$37:$244,MATCH('面板-总览'!$R33,'面板-景气指数'!$A$37:$A$244,0),MATCH('面板-总览'!AD$2,'面板-景气指数'!$36:$36,0))</f>
        <v>0.71574999999999989</v>
      </c>
      <c r="AE33" s="7">
        <f>INDEX('面板-景气指数'!$37:$244,MATCH('面板-总览'!$R33,'面板-景气指数'!$A$37:$A$244,0),MATCH('面板-总览'!AE$2,'面板-景气指数'!$36:$36,0))</f>
        <v>0.67749999999999999</v>
      </c>
      <c r="AG33" s="12">
        <f t="shared" si="1"/>
        <v>-8.6500000000000021E-2</v>
      </c>
      <c r="AI33" s="6" t="s">
        <v>95</v>
      </c>
      <c r="AJ33" s="7">
        <f>INDEX('面板-景气指数'!$37:$244,MATCH('面板-总览'!$AI33,'面板-景气指数'!$A$37:$A$244,0),MATCH('面板-总览'!AJ$2,'面板-景气指数'!$36:$36,0))</f>
        <v>0.36499999999999999</v>
      </c>
      <c r="AK33" s="7">
        <f>INDEX('面板-景气指数'!$37:$244,MATCH('面板-总览'!$AI33,'面板-景气指数'!$A$37:$A$244,0),MATCH('面板-总览'!AK$2,'面板-景气指数'!$36:$36,0))</f>
        <v>0.40799999999999992</v>
      </c>
      <c r="AL33" s="7">
        <f>INDEX('面板-景气指数'!$37:$244,MATCH('面板-总览'!$AI33,'面板-景气指数'!$A$37:$A$244,0),MATCH('面板-总览'!AL$2,'面板-景气指数'!$36:$36,0))</f>
        <v>0.4995</v>
      </c>
      <c r="AM33" s="7">
        <f>INDEX('面板-景气指数'!$37:$244,MATCH('面板-总览'!$AI33,'面板-景气指数'!$A$37:$A$244,0),MATCH('面板-总览'!AM$2,'面板-景气指数'!$36:$36,0))</f>
        <v>0.50450000000000006</v>
      </c>
      <c r="AN33" s="7">
        <f>INDEX('面板-景气指数'!$37:$244,MATCH('面板-总览'!$AI33,'面板-景气指数'!$A$37:$A$244,0),MATCH('面板-总览'!AN$2,'面板-景气指数'!$36:$36,0))</f>
        <v>0.48500000000000004</v>
      </c>
      <c r="AO33" s="7">
        <f>INDEX('面板-景气指数'!$37:$244,MATCH('面板-总览'!$AI33,'面板-景气指数'!$A$37:$A$244,0),MATCH('面板-总览'!AO$2,'面板-景气指数'!$36:$36,0))</f>
        <v>0.4945</v>
      </c>
      <c r="AP33" s="7">
        <f>INDEX('面板-景气指数'!$37:$244,MATCH('面板-总览'!$AI33,'面板-景气指数'!$A$37:$A$244,0),MATCH('面板-总览'!AP$2,'面板-景气指数'!$36:$36,0))</f>
        <v>0.4995</v>
      </c>
      <c r="AQ33" s="7">
        <f>INDEX('面板-景气指数'!$37:$244,MATCH('面板-总览'!$AI33,'面板-景气指数'!$A$37:$A$244,0),MATCH('面板-总览'!AQ$2,'面板-景气指数'!$36:$36,0))</f>
        <v>0.53800000000000003</v>
      </c>
      <c r="AR33" s="7">
        <f>INDEX('面板-景气指数'!$37:$244,MATCH('面板-总览'!$AI33,'面板-景气指数'!$A$37:$A$244,0),MATCH('面板-总览'!AR$2,'面板-景气指数'!$36:$36,0))</f>
        <v>0.49500000000000005</v>
      </c>
      <c r="AS33" s="7">
        <f>INDEX('面板-景气指数'!$37:$244,MATCH('面板-总览'!$AI33,'面板-景气指数'!$A$37:$A$244,0),MATCH('面板-总览'!AS$2,'面板-景气指数'!$36:$36,0))</f>
        <v>0.44199999999999995</v>
      </c>
      <c r="AT33" s="7">
        <f>INDEX('面板-景气指数'!$37:$244,MATCH('面板-总览'!$AI33,'面板-景气指数'!$A$37:$A$244,0),MATCH('面板-总览'!AT$2,'面板-景气指数'!$36:$36,0))</f>
        <v>0.40799999999999992</v>
      </c>
      <c r="AU33" s="7">
        <f>INDEX('面板-景气指数'!$37:$244,MATCH('面板-总览'!$AI33,'面板-景气指数'!$A$37:$A$244,0),MATCH('面板-总览'!AU$2,'面板-景气指数'!$36:$36,0))</f>
        <v>0.38900000000000001</v>
      </c>
      <c r="AV33" s="7">
        <f>INDEX('面板-景气指数'!$37:$244,MATCH('面板-总览'!$AI33,'面板-景气指数'!$A$37:$A$244,0),MATCH('面板-总览'!AV$2,'面板-景气指数'!$36:$36,0))</f>
        <v>0.36499999999999999</v>
      </c>
      <c r="AX33" s="12">
        <f t="shared" si="2"/>
        <v>-7.6999999999999957E-2</v>
      </c>
    </row>
    <row r="34" spans="1:50" ht="21" customHeight="1" x14ac:dyDescent="0.2">
      <c r="R34" s="6" t="s">
        <v>96</v>
      </c>
      <c r="S34" s="7">
        <f>INDEX('面板-景气指数'!$37:$244,MATCH('面板-总览'!$R34,'面板-景气指数'!$A$37:$A$244,0),MATCH('面板-总览'!S$2,'面板-景气指数'!$36:$36,0))</f>
        <v>1.4E-2</v>
      </c>
      <c r="T34" s="7">
        <f>INDEX('面板-景气指数'!$37:$244,MATCH('面板-总览'!$R34,'面板-景气指数'!$A$37:$A$244,0),MATCH('面板-总览'!T$2,'面板-景气指数'!$36:$36,0))</f>
        <v>3.7999999999999999E-2</v>
      </c>
      <c r="U34" s="7">
        <f>INDEX('面板-景气指数'!$37:$244,MATCH('面板-总览'!$R34,'面板-景气指数'!$A$37:$A$244,0),MATCH('面板-总览'!U$2,'面板-景气指数'!$36:$36,0))</f>
        <v>3.7999999999999999E-2</v>
      </c>
      <c r="V34" s="7">
        <f>INDEX('面板-景气指数'!$37:$244,MATCH('面板-总览'!$R34,'面板-景气指数'!$A$37:$A$244,0),MATCH('面板-总览'!V$2,'面板-景气指数'!$36:$36,0))</f>
        <v>1.8500000000000003E-2</v>
      </c>
      <c r="W34" s="7">
        <f>INDEX('面板-景气指数'!$37:$244,MATCH('面板-总览'!$R34,'面板-景气指数'!$A$37:$A$244,0),MATCH('面板-总览'!W$2,'面板-景气指数'!$36:$36,0))</f>
        <v>3.3500000000000002E-2</v>
      </c>
      <c r="X34" s="7">
        <f>INDEX('面板-景气指数'!$37:$244,MATCH('面板-总览'!$R34,'面板-景气指数'!$A$37:$A$244,0),MATCH('面板-总览'!X$2,'面板-景气指数'!$36:$36,0))</f>
        <v>5.7000000000000002E-2</v>
      </c>
      <c r="Y34" s="7">
        <f>INDEX('面板-景气指数'!$37:$244,MATCH('面板-总览'!$R34,'面板-景气指数'!$A$37:$A$244,0),MATCH('面板-总览'!Y$2,'面板-景气指数'!$36:$36,0))</f>
        <v>8.1500000000000003E-2</v>
      </c>
      <c r="Z34" s="7">
        <f>INDEX('面板-景气指数'!$37:$244,MATCH('面板-总览'!$R34,'面板-景气指数'!$A$37:$A$244,0),MATCH('面板-总览'!Z$2,'面板-景气指数'!$36:$36,0))</f>
        <v>8.1000000000000003E-2</v>
      </c>
      <c r="AA34" s="7">
        <f>INDEX('面板-景气指数'!$37:$244,MATCH('面板-总览'!$R34,'面板-景气指数'!$A$37:$A$244,0),MATCH('面板-总览'!AA$2,'面板-景气指数'!$36:$36,0))</f>
        <v>0.12449999999999999</v>
      </c>
      <c r="AB34" s="7">
        <f>INDEX('面板-景气指数'!$37:$244,MATCH('面板-总览'!$R34,'面板-景气指数'!$A$37:$A$244,0),MATCH('面板-总览'!AB$2,'面板-景气指数'!$36:$36,0))</f>
        <v>0.12449999999999999</v>
      </c>
      <c r="AC34" s="7">
        <f>INDEX('面板-景气指数'!$37:$244,MATCH('面板-总览'!$R34,'面板-景气指数'!$A$37:$A$244,0),MATCH('面板-总览'!AC$2,'面板-景气指数'!$36:$36,0))</f>
        <v>0.20149999999999998</v>
      </c>
      <c r="AD34" s="7">
        <f>INDEX('面板-景气指数'!$37:$244,MATCH('面板-总览'!$R34,'面板-景气指数'!$A$37:$A$244,0),MATCH('面板-总览'!AD$2,'面板-景气指数'!$36:$36,0))</f>
        <v>0.18699999999999997</v>
      </c>
      <c r="AE34" s="7">
        <f>INDEX('面板-景气指数'!$37:$244,MATCH('面板-总览'!$R34,'面板-景气指数'!$A$37:$A$244,0),MATCH('面板-总览'!AE$2,'面板-景气指数'!$36:$36,0))</f>
        <v>0.2545</v>
      </c>
      <c r="AG34" s="12">
        <f t="shared" si="1"/>
        <v>0.13</v>
      </c>
      <c r="AI34" s="6" t="s">
        <v>97</v>
      </c>
      <c r="AJ34" s="7">
        <f>INDEX('面板-景气指数'!$37:$244,MATCH('面板-总览'!$AI34,'面板-景气指数'!$A$37:$A$244,0),MATCH('面板-总览'!AJ$2,'面板-景气指数'!$36:$36,0))</f>
        <v>0.44900000000000001</v>
      </c>
      <c r="AK34" s="7">
        <f>INDEX('面板-景气指数'!$37:$244,MATCH('面板-总览'!$AI34,'面板-景气指数'!$A$37:$A$244,0),MATCH('面板-总览'!AK$2,'面板-景气指数'!$36:$36,0))</f>
        <v>0.69200000000000006</v>
      </c>
      <c r="AL34" s="7">
        <f>INDEX('面板-景气指数'!$37:$244,MATCH('面板-总览'!$AI34,'面板-景气指数'!$A$37:$A$244,0),MATCH('面板-总览'!AL$2,'面板-景气指数'!$36:$36,0))</f>
        <v>0.68</v>
      </c>
      <c r="AM34" s="7">
        <f>INDEX('面板-景气指数'!$37:$244,MATCH('面板-总览'!$AI34,'面板-景气指数'!$A$37:$A$244,0),MATCH('面板-总览'!AM$2,'面板-景气指数'!$36:$36,0))</f>
        <v>0.55149999999999999</v>
      </c>
      <c r="AN34" s="7">
        <f>INDEX('面板-景气指数'!$37:$244,MATCH('面板-总览'!$AI34,'面板-景气指数'!$A$37:$A$244,0),MATCH('面板-总览'!AN$2,'面板-景气指数'!$36:$36,0))</f>
        <v>0.52349999999999997</v>
      </c>
      <c r="AO34" s="7">
        <f>INDEX('面板-景气指数'!$37:$244,MATCH('面板-总览'!$AI34,'面板-景气指数'!$A$37:$A$244,0),MATCH('面板-总览'!AO$2,'面板-景气指数'!$36:$36,0))</f>
        <v>0.67600000000000005</v>
      </c>
      <c r="AP34" s="7">
        <f>INDEX('面板-景气指数'!$37:$244,MATCH('面板-总览'!$AI34,'面板-景气指数'!$A$37:$A$244,0),MATCH('面板-总览'!AP$2,'面板-景气指数'!$36:$36,0))</f>
        <v>0.64049999999999996</v>
      </c>
      <c r="AQ34" s="7">
        <f>INDEX('面板-景气指数'!$37:$244,MATCH('面板-总览'!$AI34,'面板-景气指数'!$A$37:$A$244,0),MATCH('面板-总览'!AQ$2,'面板-景气指数'!$36:$36,0))</f>
        <v>0.75600000000000001</v>
      </c>
      <c r="AR34" s="7">
        <f>INDEX('面板-景气指数'!$37:$244,MATCH('面板-总览'!$AI34,'面板-景气指数'!$A$37:$A$244,0),MATCH('面板-总览'!AR$2,'面板-景气指数'!$36:$36,0))</f>
        <v>0.66399999999999992</v>
      </c>
      <c r="AS34" s="7">
        <f>INDEX('面板-景气指数'!$37:$244,MATCH('面板-总览'!$AI34,'面板-景气指数'!$A$37:$A$244,0),MATCH('面板-总览'!AS$2,'面板-景气指数'!$36:$36,0))</f>
        <v>0.74250000000000005</v>
      </c>
      <c r="AT34" s="7">
        <f>INDEX('面板-景气指数'!$37:$244,MATCH('面板-总览'!$AI34,'面板-景气指数'!$A$37:$A$244,0),MATCH('面板-总览'!AT$2,'面板-景气指数'!$36:$36,0))</f>
        <v>0.69750000000000001</v>
      </c>
      <c r="AU34" s="7">
        <f>INDEX('面板-景气指数'!$37:$244,MATCH('面板-总览'!$AI34,'面板-景气指数'!$A$37:$A$244,0),MATCH('面板-总览'!AU$2,'面板-景气指数'!$36:$36,0))</f>
        <v>0.76349999999999996</v>
      </c>
      <c r="AV34" s="7">
        <f>INDEX('面板-景气指数'!$37:$244,MATCH('面板-总览'!$AI34,'面板-景气指数'!$A$37:$A$244,0),MATCH('面板-总览'!AV$2,'面板-景气指数'!$36:$36,0))</f>
        <v>0.745</v>
      </c>
      <c r="AX34" s="12">
        <f t="shared" si="2"/>
        <v>2.4999999999999467E-3</v>
      </c>
    </row>
    <row r="35" spans="1:50" ht="21" customHeight="1" x14ac:dyDescent="0.2">
      <c r="R35" s="6" t="s">
        <v>98</v>
      </c>
      <c r="S35" s="7">
        <f>INDEX('面板-景气指数'!$37:$244,MATCH('面板-总览'!$R35,'面板-景气指数'!$A$37:$A$244,0),MATCH('面板-总览'!S$2,'面板-景气指数'!$36:$36,0))</f>
        <v>0.21099999999999999</v>
      </c>
      <c r="T35" s="7">
        <f>INDEX('面板-景气指数'!$37:$244,MATCH('面板-总览'!$R35,'面板-景气指数'!$A$37:$A$244,0),MATCH('面板-总览'!T$2,'面板-景气指数'!$36:$36,0))</f>
        <v>0.22099999999999997</v>
      </c>
      <c r="U35" s="7">
        <f>INDEX('面板-景气指数'!$37:$244,MATCH('面板-总览'!$R35,'面板-景气指数'!$A$37:$A$244,0),MATCH('面板-总览'!U$2,'面板-景气指数'!$36:$36,0))</f>
        <v>0.24000000000000002</v>
      </c>
      <c r="V35" s="7">
        <f>INDEX('面板-景气指数'!$37:$244,MATCH('面板-总览'!$R35,'面板-景气指数'!$A$37:$A$244,0),MATCH('面板-总览'!V$2,'面板-景气指数'!$36:$36,0))</f>
        <v>0.35499999999999998</v>
      </c>
      <c r="W35" s="7">
        <f>INDEX('面板-景气指数'!$37:$244,MATCH('面板-总览'!$R35,'面板-景气指数'!$A$37:$A$244,0),MATCH('面板-总览'!W$2,'面板-景气指数'!$36:$36,0))</f>
        <v>0.307</v>
      </c>
      <c r="X35" s="7">
        <f>INDEX('面板-景气指数'!$37:$244,MATCH('面板-总览'!$R35,'面板-景气指数'!$A$37:$A$244,0),MATCH('面板-总览'!X$2,'面板-景气指数'!$36:$36,0))</f>
        <v>0.38400000000000001</v>
      </c>
      <c r="Y35" s="7">
        <f>INDEX('面板-景气指数'!$37:$244,MATCH('面板-总览'!$R35,'面板-景气指数'!$A$37:$A$244,0),MATCH('面板-总览'!Y$2,'面板-景气指数'!$36:$36,0))</f>
        <v>0.36500000000000005</v>
      </c>
      <c r="Z35" s="7">
        <f>INDEX('面板-景气指数'!$37:$244,MATCH('面板-总览'!$R35,'面板-景气指数'!$A$37:$A$244,0),MATCH('面板-总览'!Z$2,'面板-景气指数'!$36:$36,0))</f>
        <v>0.60499999999999998</v>
      </c>
      <c r="AA35" s="7">
        <f>INDEX('面板-景气指数'!$37:$244,MATCH('面板-总览'!$R35,'面板-景气指数'!$A$37:$A$244,0),MATCH('面板-总览'!AA$2,'面板-景气指数'!$36:$36,0))</f>
        <v>0.63400000000000001</v>
      </c>
      <c r="AB35" s="7">
        <f>INDEX('面板-景气指数'!$37:$244,MATCH('面板-总览'!$R35,'面板-景气指数'!$A$37:$A$244,0),MATCH('面板-总览'!AB$2,'面板-景气指数'!$36:$36,0))</f>
        <v>0.65300000000000002</v>
      </c>
      <c r="AC35" s="7">
        <f>INDEX('面板-景气指数'!$37:$244,MATCH('面板-总览'!$R35,'面板-景气指数'!$A$37:$A$244,0),MATCH('面板-总览'!AC$2,'面板-景气指数'!$36:$36,0))</f>
        <v>0.64400000000000002</v>
      </c>
      <c r="AD35" s="7">
        <f>INDEX('面板-景气指数'!$37:$244,MATCH('面板-总览'!$R35,'面板-景气指数'!$A$37:$A$244,0),MATCH('面板-总览'!AD$2,'面板-景气指数'!$36:$36,0))</f>
        <v>0.67300000000000004</v>
      </c>
      <c r="AE35" s="7">
        <f>INDEX('面板-景气指数'!$37:$244,MATCH('面板-总览'!$R35,'面板-景气指数'!$A$37:$A$244,0),MATCH('面板-总览'!AE$2,'面板-景气指数'!$36:$36,0))</f>
        <v>0.58599999999999997</v>
      </c>
      <c r="AG35" s="12">
        <f t="shared" si="1"/>
        <v>-6.700000000000006E-2</v>
      </c>
      <c r="AI35" s="6" t="s">
        <v>99</v>
      </c>
      <c r="AJ35" s="7">
        <f>INDEX('面板-景气指数'!$37:$244,MATCH('面板-总览'!$AI35,'面板-景气指数'!$A$37:$A$244,0),MATCH('面板-总览'!AJ$2,'面板-景气指数'!$36:$36,0))</f>
        <v>0.5</v>
      </c>
      <c r="AK35" s="7">
        <f>INDEX('面板-景气指数'!$37:$244,MATCH('面板-总览'!$AI35,'面板-景气指数'!$A$37:$A$244,0),MATCH('面板-总览'!AK$2,'面板-景气指数'!$36:$36,0))</f>
        <v>0.52800000000000002</v>
      </c>
      <c r="AL35" s="7">
        <f>INDEX('面板-景气指数'!$37:$244,MATCH('面板-总览'!$AI35,'面板-景气指数'!$A$37:$A$244,0),MATCH('面板-总览'!AL$2,'面板-景气指数'!$36:$36,0))</f>
        <v>0.44200000000000006</v>
      </c>
      <c r="AM35" s="7">
        <f>INDEX('面板-景气指数'!$37:$244,MATCH('面板-总览'!$AI35,'面板-景气指数'!$A$37:$A$244,0),MATCH('面板-总览'!AM$2,'面板-景气指数'!$36:$36,0))</f>
        <v>0.54800000000000004</v>
      </c>
      <c r="AN35" s="7">
        <f>INDEX('面板-景气指数'!$37:$244,MATCH('面板-总览'!$AI35,'面板-景气指数'!$A$37:$A$244,0),MATCH('面板-总览'!AN$2,'面板-景气指数'!$36:$36,0))</f>
        <v>0.55700000000000005</v>
      </c>
      <c r="AO35" s="7">
        <f>INDEX('面板-景气指数'!$37:$244,MATCH('面板-总览'!$AI35,'面板-景气指数'!$A$37:$A$244,0),MATCH('面板-总览'!AO$2,'面板-景气指数'!$36:$36,0))</f>
        <v>0.50900000000000001</v>
      </c>
      <c r="AP35" s="7">
        <f>INDEX('面板-景气指数'!$37:$244,MATCH('面板-总览'!$AI35,'面板-景气指数'!$A$37:$A$244,0),MATCH('面板-总览'!AP$2,'面板-景气指数'!$36:$36,0))</f>
        <v>0.47999999999999993</v>
      </c>
      <c r="AQ35" s="7">
        <f>INDEX('面板-景气指数'!$37:$244,MATCH('面板-总览'!$AI35,'面板-景气指数'!$A$37:$A$244,0),MATCH('面板-总览'!AQ$2,'面板-景气指数'!$36:$36,0))</f>
        <v>0.41299999999999992</v>
      </c>
      <c r="AR35" s="7">
        <f>INDEX('面板-景气指数'!$37:$244,MATCH('面板-总览'!$AI35,'面板-景气指数'!$A$37:$A$244,0),MATCH('面板-总览'!AR$2,'面板-景气指数'!$36:$36,0))</f>
        <v>0.432</v>
      </c>
      <c r="AS35" s="7">
        <f>INDEX('面板-景气指数'!$37:$244,MATCH('面板-总览'!$AI35,'面板-景气指数'!$A$37:$A$244,0),MATCH('面板-总览'!AS$2,'面板-景气指数'!$36:$36,0))</f>
        <v>0.49</v>
      </c>
      <c r="AT35" s="7">
        <f>INDEX('面板-景气指数'!$37:$244,MATCH('面板-总览'!$AI35,'面板-景气指数'!$A$37:$A$244,0),MATCH('面板-总览'!AT$2,'面板-景气指数'!$36:$36,0))</f>
        <v>0.45100000000000001</v>
      </c>
      <c r="AU35" s="7">
        <f>INDEX('面板-景气指数'!$37:$244,MATCH('面板-总览'!$AI35,'面板-景气指数'!$A$37:$A$244,0),MATCH('面板-总览'!AU$2,'面板-景气指数'!$36:$36,0))</f>
        <v>0.32600000000000001</v>
      </c>
      <c r="AV35" s="7">
        <f>INDEX('面板-景气指数'!$37:$244,MATCH('面板-总览'!$AI35,'面板-景气指数'!$A$37:$A$244,0),MATCH('面板-总览'!AV$2,'面板-景气指数'!$36:$36,0))</f>
        <v>0.27800000000000002</v>
      </c>
      <c r="AX35" s="12">
        <f t="shared" si="2"/>
        <v>-0.21199999999999997</v>
      </c>
    </row>
    <row r="36" spans="1:50" ht="21" customHeight="1" x14ac:dyDescent="0.2">
      <c r="R36" s="6" t="s">
        <v>100</v>
      </c>
      <c r="S36" s="7">
        <f>INDEX('面板-景气指数'!$37:$244,MATCH('面板-总览'!$R36,'面板-景气指数'!$A$37:$A$244,0),MATCH('面板-总览'!S$2,'面板-景气指数'!$36:$36,0))</f>
        <v>0.26192857142857146</v>
      </c>
      <c r="T36" s="7">
        <f>INDEX('面板-景气指数'!$37:$244,MATCH('面板-总览'!$R36,'面板-景气指数'!$A$37:$A$244,0),MATCH('面板-总览'!T$2,'面板-景气指数'!$36:$36,0))</f>
        <v>0.30335714285714283</v>
      </c>
      <c r="U36" s="7">
        <f>INDEX('面板-景气指数'!$37:$244,MATCH('面板-总览'!$R36,'面板-景气指数'!$A$37:$A$244,0),MATCH('面板-总览'!U$2,'面板-景气指数'!$36:$36,0))</f>
        <v>0.36942857142857138</v>
      </c>
      <c r="V36" s="7">
        <f>INDEX('面板-景气指数'!$37:$244,MATCH('面板-总览'!$R36,'面板-景气指数'!$A$37:$A$244,0),MATCH('面板-总览'!V$2,'面板-景气指数'!$36:$36,0))</f>
        <v>0.40957142857142859</v>
      </c>
      <c r="W36" s="7">
        <f>INDEX('面板-景气指数'!$37:$244,MATCH('面板-总览'!$R36,'面板-景气指数'!$A$37:$A$244,0),MATCH('面板-总览'!W$2,'面板-景气指数'!$36:$36,0))</f>
        <v>0.46835714285714286</v>
      </c>
      <c r="X36" s="7">
        <f>INDEX('面板-景气指数'!$37:$244,MATCH('面板-总览'!$R36,'面板-景气指数'!$A$37:$A$244,0),MATCH('面板-总览'!X$2,'面板-景气指数'!$36:$36,0))</f>
        <v>0.52400000000000013</v>
      </c>
      <c r="Y36" s="7">
        <f>INDEX('面板-景气指数'!$37:$244,MATCH('面板-总览'!$R36,'面板-景气指数'!$A$37:$A$244,0),MATCH('面板-总览'!Y$2,'面板-景气指数'!$36:$36,0))</f>
        <v>0.5377142857142857</v>
      </c>
      <c r="Z36" s="7">
        <f>INDEX('面板-景气指数'!$37:$244,MATCH('面板-总览'!$R36,'面板-景气指数'!$A$37:$A$244,0),MATCH('面板-总览'!Z$2,'面板-景气指数'!$36:$36,0))</f>
        <v>0.57421428571428568</v>
      </c>
      <c r="AA36" s="7">
        <f>INDEX('面板-景气指数'!$37:$244,MATCH('面板-总览'!$R36,'面板-景气指数'!$A$37:$A$244,0),MATCH('面板-总览'!AA$2,'面板-景气指数'!$36:$36,0))</f>
        <v>0.59264285714285703</v>
      </c>
      <c r="AB36" s="7">
        <f>INDEX('面板-景气指数'!$37:$244,MATCH('面板-总览'!$R36,'面板-景气指数'!$A$37:$A$244,0),MATCH('面板-总览'!AB$2,'面板-景气指数'!$36:$36,0))</f>
        <v>0.61107142857142849</v>
      </c>
      <c r="AC36" s="7">
        <f>INDEX('面板-景气指数'!$37:$244,MATCH('面板-总览'!$R36,'面板-景气指数'!$A$37:$A$244,0),MATCH('面板-总览'!AC$2,'面板-景气指数'!$36:$36,0))</f>
        <v>0.59892857142857148</v>
      </c>
      <c r="AD36" s="7">
        <f>INDEX('面板-景气指数'!$37:$244,MATCH('面板-总览'!$R36,'面板-景气指数'!$A$37:$A$244,0),MATCH('面板-总览'!AD$2,'面板-景气指数'!$36:$36,0))</f>
        <v>0.61814285714285711</v>
      </c>
      <c r="AE36" s="7">
        <f>INDEX('面板-景气指数'!$37:$244,MATCH('面板-总览'!$R36,'面板-景气指数'!$A$37:$A$244,0),MATCH('面板-总览'!AE$2,'面板-景气指数'!$36:$36,0))</f>
        <v>0.5774999999999999</v>
      </c>
      <c r="AG36" s="12">
        <f t="shared" si="1"/>
        <v>-3.3571428571428585E-2</v>
      </c>
      <c r="AI36" s="6" t="s">
        <v>101</v>
      </c>
      <c r="AJ36" s="7">
        <f>INDEX('面板-景气指数'!$37:$244,MATCH('面板-总览'!$AI36,'面板-景气指数'!$A$37:$A$244,0),MATCH('面板-总览'!AJ$2,'面板-景气指数'!$36:$36,0))</f>
        <v>0.65300000000000002</v>
      </c>
      <c r="AK36" s="7">
        <f>INDEX('面板-景气指数'!$37:$244,MATCH('面板-总览'!$AI36,'面板-景气指数'!$A$37:$A$244,0),MATCH('面板-总览'!AK$2,'面板-景气指数'!$36:$36,0))</f>
        <v>0.68200000000000005</v>
      </c>
      <c r="AL36" s="7">
        <f>INDEX('面板-景气指数'!$37:$244,MATCH('面板-总览'!$AI36,'面板-景气指数'!$A$37:$A$244,0),MATCH('面板-总览'!AL$2,'面板-景气指数'!$36:$36,0))</f>
        <v>0.67300000000000004</v>
      </c>
      <c r="AM36" s="7">
        <f>INDEX('面板-景气指数'!$37:$244,MATCH('面板-总览'!$AI36,'面板-景气指数'!$A$37:$A$244,0),MATCH('面板-总览'!AM$2,'面板-景气指数'!$36:$36,0))</f>
        <v>0.53800000000000003</v>
      </c>
      <c r="AN36" s="7">
        <f>INDEX('面板-景气指数'!$37:$244,MATCH('面板-总览'!$AI36,'面板-景气指数'!$A$37:$A$244,0),MATCH('面板-总览'!AN$2,'面板-景气指数'!$36:$36,0))</f>
        <v>0.57599999999999996</v>
      </c>
      <c r="AO36" s="7">
        <f>INDEX('面板-景气指数'!$37:$244,MATCH('面板-总览'!$AI36,'面板-景气指数'!$A$37:$A$244,0),MATCH('面板-总览'!AO$2,'面板-景气指数'!$36:$36,0))</f>
        <v>0.66300000000000003</v>
      </c>
      <c r="AP36" s="7">
        <f>INDEX('面板-景气指数'!$37:$244,MATCH('面板-总览'!$AI36,'面板-景气指数'!$A$37:$A$244,0),MATCH('面板-总览'!AP$2,'面板-景气指数'!$36:$36,0))</f>
        <v>0.74</v>
      </c>
      <c r="AQ36" s="7">
        <f>INDEX('面板-景气指数'!$37:$244,MATCH('面板-总览'!$AI36,'面板-景气指数'!$A$37:$A$244,0),MATCH('面板-总览'!AQ$2,'面板-景气指数'!$36:$36,0))</f>
        <v>0.80700000000000005</v>
      </c>
      <c r="AR36" s="7">
        <f>INDEX('面板-景气指数'!$37:$244,MATCH('面板-总览'!$AI36,'面板-景气指数'!$A$37:$A$244,0),MATCH('面板-总览'!AR$2,'面板-景气指数'!$36:$36,0))</f>
        <v>0.82599999999999996</v>
      </c>
      <c r="AS36" s="7">
        <f>INDEX('面板-景气指数'!$37:$244,MATCH('面板-总览'!$AI36,'面板-景气指数'!$A$37:$A$244,0),MATCH('面板-总览'!AS$2,'面板-景气指数'!$36:$36,0))</f>
        <v>0.81699999999999995</v>
      </c>
      <c r="AT36" s="7">
        <f>INDEX('面板-景气指数'!$37:$244,MATCH('面板-总览'!$AI36,'面板-景气指数'!$A$37:$A$244,0),MATCH('面板-总览'!AT$2,'面板-景气指数'!$36:$36,0))</f>
        <v>0.79800000000000004</v>
      </c>
      <c r="AU36" s="7">
        <f>INDEX('面板-景气指数'!$37:$244,MATCH('面板-总览'!$AI36,'面板-景气指数'!$A$37:$A$244,0),MATCH('面板-总览'!AU$2,'面板-景气指数'!$36:$36,0))</f>
        <v>0.87500000000000011</v>
      </c>
      <c r="AV36" s="7">
        <f>INDEX('面板-景气指数'!$37:$244,MATCH('面板-总览'!$AI36,'面板-景气指数'!$A$37:$A$244,0),MATCH('面板-总览'!AV$2,'面板-景气指数'!$36:$36,0))</f>
        <v>0.90299999999999991</v>
      </c>
      <c r="AX36" s="12">
        <f t="shared" si="2"/>
        <v>8.5999999999999965E-2</v>
      </c>
    </row>
    <row r="37" spans="1:50" ht="21" customHeight="1" x14ac:dyDescent="0.2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8"/>
      <c r="R37" s="6" t="s">
        <v>102</v>
      </c>
      <c r="S37" s="7">
        <f>INDEX('面板-景气指数'!$37:$244,MATCH('面板-总览'!$R37,'面板-景气指数'!$A$37:$A$244,0),MATCH('面板-总览'!S$2,'面板-景气指数'!$36:$36,0))</f>
        <v>0.10525000000000001</v>
      </c>
      <c r="T37" s="7">
        <f>INDEX('面板-景气指数'!$37:$244,MATCH('面板-总览'!$R37,'面板-景气指数'!$A$37:$A$244,0),MATCH('面板-总览'!T$2,'面板-景气指数'!$36:$36,0))</f>
        <v>0.1245</v>
      </c>
      <c r="U37" s="7">
        <f>INDEX('面板-景气指数'!$37:$244,MATCH('面板-总览'!$R37,'面板-景气指数'!$A$37:$A$244,0),MATCH('面板-总览'!U$2,'面板-景气指数'!$36:$36,0))</f>
        <v>0.127</v>
      </c>
      <c r="V37" s="7">
        <f>INDEX('面板-景气指数'!$37:$244,MATCH('面板-总览'!$R37,'面板-景气指数'!$A$37:$A$244,0),MATCH('面板-总览'!V$2,'面板-景气指数'!$36:$36,0))</f>
        <v>0.14125000000000001</v>
      </c>
      <c r="W37" s="7">
        <f>INDEX('面板-景气指数'!$37:$244,MATCH('面板-总览'!$R37,'面板-景气指数'!$A$37:$A$244,0),MATCH('面板-总览'!W$2,'面板-景气指数'!$36:$36,0))</f>
        <v>0.18199999999999997</v>
      </c>
      <c r="X37" s="7">
        <f>INDEX('面板-景气指数'!$37:$244,MATCH('面板-总览'!$R37,'面板-景气指数'!$A$37:$A$244,0),MATCH('面板-总览'!X$2,'面板-景气指数'!$36:$36,0))</f>
        <v>0.28825000000000001</v>
      </c>
      <c r="Y37" s="7">
        <f>INDEX('面板-景气指数'!$37:$244,MATCH('面板-总览'!$R37,'面板-景气指数'!$A$37:$A$244,0),MATCH('面板-总览'!Y$2,'面板-景气指数'!$36:$36,0))</f>
        <v>0.43725000000000003</v>
      </c>
      <c r="Z37" s="7">
        <f>INDEX('面板-景气指数'!$37:$244,MATCH('面板-总览'!$R37,'面板-景气指数'!$A$37:$A$244,0),MATCH('面板-总览'!Z$2,'面板-景气指数'!$36:$36,0))</f>
        <v>0.53325</v>
      </c>
      <c r="AA37" s="7">
        <f>INDEX('面板-景气指数'!$37:$244,MATCH('面板-总览'!$R37,'面板-景气指数'!$A$37:$A$244,0),MATCH('面板-总览'!AA$2,'面板-景气指数'!$36:$36,0))</f>
        <v>0.59324999999999994</v>
      </c>
      <c r="AB37" s="7">
        <f>INDEX('面板-景气指数'!$37:$244,MATCH('面板-总览'!$R37,'面板-景气指数'!$A$37:$A$244,0),MATCH('面板-总览'!AB$2,'面板-景气指数'!$36:$36,0))</f>
        <v>0.59100000000000008</v>
      </c>
      <c r="AC37" s="7">
        <f>INDEX('面板-景气指数'!$37:$244,MATCH('面板-总览'!$R37,'面板-景气指数'!$A$37:$A$244,0),MATCH('面板-总览'!AC$2,'面板-景气指数'!$36:$36,0))</f>
        <v>0.62</v>
      </c>
      <c r="AD37" s="7">
        <f>INDEX('面板-景气指数'!$37:$244,MATCH('面板-总览'!$R37,'面板-景气指数'!$A$37:$A$244,0),MATCH('面板-总览'!AD$2,'面板-景气指数'!$36:$36,0))</f>
        <v>0.68475000000000008</v>
      </c>
      <c r="AE37" s="7">
        <f>INDEX('面板-景气指数'!$37:$244,MATCH('面板-总览'!$R37,'面板-景气指数'!$A$37:$A$244,0),MATCH('面板-总览'!AE$2,'面板-景气指数'!$36:$36,0))</f>
        <v>0.64849999999999997</v>
      </c>
      <c r="AG37" s="12">
        <f t="shared" si="1"/>
        <v>5.7499999999999885E-2</v>
      </c>
      <c r="AI37" s="6" t="s">
        <v>103</v>
      </c>
      <c r="AJ37" s="7">
        <f>INDEX('面板-景气指数'!$37:$244,MATCH('面板-总览'!$AI37,'面板-景气指数'!$A$37:$A$244,0),MATCH('面板-总览'!AJ$2,'面板-景气指数'!$36:$36,0))</f>
        <v>1</v>
      </c>
      <c r="AK37" s="7">
        <f>INDEX('面板-景气指数'!$37:$244,MATCH('面板-总览'!$AI37,'面板-景气指数'!$A$37:$A$244,0),MATCH('面板-总览'!AK$2,'面板-景气指数'!$36:$36,0))</f>
        <v>0.97999999999999987</v>
      </c>
      <c r="AL37" s="7">
        <f>INDEX('面板-景气指数'!$37:$244,MATCH('面板-总览'!$AI37,'面板-景气指数'!$A$37:$A$244,0),MATCH('面板-总览'!AL$2,'面板-景气指数'!$36:$36,0))</f>
        <v>0.90300000000000002</v>
      </c>
      <c r="AM37" s="7">
        <f>INDEX('面板-景气指数'!$37:$244,MATCH('面板-总览'!$AI37,'面板-景气指数'!$A$37:$A$244,0),MATCH('面板-总览'!AM$2,'面板-景气指数'!$36:$36,0))</f>
        <v>0.89400000000000002</v>
      </c>
      <c r="AN37" s="7">
        <f>INDEX('面板-景气指数'!$37:$244,MATCH('面板-总览'!$AI37,'面板-景气指数'!$A$37:$A$244,0),MATCH('面板-总览'!AN$2,'面板-景气指数'!$36:$36,0))</f>
        <v>0.85499999999999987</v>
      </c>
      <c r="AO37" s="7">
        <f>INDEX('面板-景气指数'!$37:$244,MATCH('面板-总览'!$AI37,'面板-景气指数'!$A$37:$A$244,0),MATCH('面板-总览'!AO$2,'面板-景气指数'!$36:$36,0))</f>
        <v>0.86499999999999999</v>
      </c>
      <c r="AP37" s="7">
        <f>INDEX('面板-景气指数'!$37:$244,MATCH('面板-总览'!$AI37,'面板-景气指数'!$A$37:$A$244,0),MATCH('面板-总览'!AP$2,'面板-景气指数'!$36:$36,0))</f>
        <v>0.77800000000000002</v>
      </c>
      <c r="AQ37" s="7">
        <f>INDEX('面板-景气指数'!$37:$244,MATCH('面板-总览'!$AI37,'面板-景气指数'!$A$37:$A$244,0),MATCH('面板-总览'!AQ$2,'面板-景气指数'!$36:$36,0))</f>
        <v>0.70099999999999996</v>
      </c>
      <c r="AR37" s="7">
        <f>INDEX('面板-景气指数'!$37:$244,MATCH('面板-总览'!$AI37,'面板-景气指数'!$A$37:$A$244,0),MATCH('面板-总览'!AR$2,'面板-景气指数'!$36:$36,0))</f>
        <v>0.69199999999999995</v>
      </c>
      <c r="AS37" s="7">
        <f>INDEX('面板-景气指数'!$37:$244,MATCH('面板-总览'!$AI37,'面板-景气指数'!$A$37:$A$244,0),MATCH('面板-总览'!AS$2,'面板-景气指数'!$36:$36,0))</f>
        <v>0.73</v>
      </c>
      <c r="AT37" s="7">
        <f>INDEX('面板-景气指数'!$37:$244,MATCH('面板-总览'!$AI37,'面板-景气指数'!$A$37:$A$244,0),MATCH('面板-总览'!AT$2,'面板-景气指数'!$36:$36,0))</f>
        <v>0.84599999999999997</v>
      </c>
      <c r="AU37" s="7">
        <f>INDEX('面板-景气指数'!$37:$244,MATCH('面板-总览'!$AI37,'面板-景气指数'!$A$37:$A$244,0),MATCH('面板-总览'!AU$2,'面板-景气指数'!$36:$36,0))</f>
        <v>0.92300000000000004</v>
      </c>
      <c r="AV37" s="7">
        <f>INDEX('面板-景气指数'!$37:$244,MATCH('面板-总览'!$AI37,'面板-景气指数'!$A$37:$A$244,0),MATCH('面板-总览'!AV$2,'面板-景气指数'!$36:$36,0))</f>
        <v>0.97099999999999997</v>
      </c>
      <c r="AX37" s="12">
        <f t="shared" si="2"/>
        <v>0.24099999999999999</v>
      </c>
    </row>
    <row r="38" spans="1:50" ht="21" customHeight="1" x14ac:dyDescent="0.2">
      <c r="R38" s="6" t="s">
        <v>104</v>
      </c>
      <c r="S38" s="7">
        <f>INDEX('面板-景气指数'!$37:$244,MATCH('面板-总览'!$R38,'面板-景气指数'!$A$37:$A$244,0),MATCH('面板-总览'!S$2,'面板-景气指数'!$36:$36,0))</f>
        <v>0.49399999999999999</v>
      </c>
      <c r="T38" s="7">
        <f>INDEX('面板-景气指数'!$37:$244,MATCH('面板-总览'!$R38,'面板-景气指数'!$A$37:$A$244,0),MATCH('面板-总览'!T$2,'面板-景气指数'!$36:$36,0))</f>
        <v>0.46949999999999997</v>
      </c>
      <c r="U38" s="7">
        <f>INDEX('面板-景气指数'!$37:$244,MATCH('面板-总览'!$R38,'面板-景气指数'!$A$37:$A$244,0),MATCH('面板-总览'!U$2,'面板-景气指数'!$36:$36,0))</f>
        <v>0.43129999999999991</v>
      </c>
      <c r="V38" s="7">
        <f>INDEX('面板-景气指数'!$37:$244,MATCH('面板-总览'!$R38,'面板-景气指数'!$A$37:$A$244,0),MATCH('面板-总览'!V$2,'面板-景气指数'!$36:$36,0))</f>
        <v>0.42149999999999987</v>
      </c>
      <c r="W38" s="7">
        <f>INDEX('面板-景气指数'!$37:$244,MATCH('面板-总览'!$R38,'面板-景气指数'!$A$37:$A$244,0),MATCH('面板-总览'!W$2,'面板-景气指数'!$36:$36,0))</f>
        <v>0.43099999999999994</v>
      </c>
      <c r="X38" s="7">
        <f>INDEX('面板-景气指数'!$37:$244,MATCH('面板-总览'!$R38,'面板-景气指数'!$A$37:$A$244,0),MATCH('面板-总览'!X$2,'面板-景气指数'!$36:$36,0))</f>
        <v>0.46889999999999982</v>
      </c>
      <c r="Y38" s="7">
        <f>INDEX('面板-景气指数'!$37:$244,MATCH('面板-总览'!$R38,'面板-景气指数'!$A$37:$A$244,0),MATCH('面板-总览'!Y$2,'面板-景气指数'!$36:$36,0))</f>
        <v>0.51069999999999982</v>
      </c>
      <c r="Z38" s="7">
        <f>INDEX('面板-景气指数'!$37:$244,MATCH('面板-总览'!$R38,'面板-景气指数'!$A$37:$A$244,0),MATCH('面板-总览'!Z$2,'面板-景气指数'!$36:$36,0))</f>
        <v>0.59369999999999978</v>
      </c>
      <c r="AA38" s="7">
        <f>INDEX('面板-景气指数'!$37:$244,MATCH('面板-总览'!$R38,'面板-景气指数'!$A$37:$A$244,0),MATCH('面板-总览'!AA$2,'面板-景气指数'!$36:$36,0))</f>
        <v>0.6066999999999998</v>
      </c>
      <c r="AB38" s="7">
        <f>INDEX('面板-景气指数'!$37:$244,MATCH('面板-总览'!$R38,'面板-景气指数'!$A$37:$A$244,0),MATCH('面板-总览'!AB$2,'面板-景气指数'!$36:$36,0))</f>
        <v>0.61609999999999987</v>
      </c>
      <c r="AC38" s="7">
        <f>INDEX('面板-景气指数'!$37:$244,MATCH('面板-总览'!$R38,'面板-景气指数'!$A$37:$A$244,0),MATCH('面板-总览'!AC$2,'面板-景气指数'!$36:$36,0))</f>
        <v>0.5915999999999999</v>
      </c>
      <c r="AD38" s="7">
        <f>INDEX('面板-景气指数'!$37:$244,MATCH('面板-总览'!$R38,'面板-景气指数'!$A$37:$A$244,0),MATCH('面板-总览'!AD$2,'面板-景气指数'!$36:$36,0))</f>
        <v>0.56659999999999977</v>
      </c>
      <c r="AE38" s="7">
        <f>INDEX('面板-景气指数'!$37:$244,MATCH('面板-总览'!$R38,'面板-景气指数'!$A$37:$A$244,0),MATCH('面板-总览'!AE$2,'面板-景气指数'!$36:$36,0))</f>
        <v>0.54069999999999974</v>
      </c>
      <c r="AG38" s="12">
        <f t="shared" si="1"/>
        <v>-7.5400000000000134E-2</v>
      </c>
      <c r="AI38" s="6" t="s">
        <v>105</v>
      </c>
      <c r="AJ38" s="7">
        <f>INDEX('面板-景气指数'!$37:$244,MATCH('面板-总览'!$AI38,'面板-景气指数'!$A$37:$A$244,0),MATCH('面板-总览'!AJ$2,'面板-景气指数'!$36:$36,0))</f>
        <v>0.54925000000000002</v>
      </c>
      <c r="AK38" s="7">
        <f>INDEX('面板-景气指数'!$37:$244,MATCH('面板-总览'!$AI38,'面板-景气指数'!$A$37:$A$244,0),MATCH('面板-总览'!AK$2,'面板-景气指数'!$36:$36,0))</f>
        <v>0.44925000000000004</v>
      </c>
      <c r="AL38" s="7">
        <f>INDEX('面板-景气指数'!$37:$244,MATCH('面板-总览'!$AI38,'面板-景气指数'!$A$37:$A$244,0),MATCH('面板-总览'!AL$2,'面板-景气指数'!$36:$36,0))</f>
        <v>0.40087500000000004</v>
      </c>
      <c r="AM38" s="7">
        <f>INDEX('面板-景气指数'!$37:$244,MATCH('面板-总览'!$AI38,'面板-景气指数'!$A$37:$A$244,0),MATCH('面板-总览'!AM$2,'面板-景气指数'!$36:$36,0))</f>
        <v>0.24812500000000001</v>
      </c>
      <c r="AN38" s="7">
        <f>INDEX('面板-景气指数'!$37:$244,MATCH('面板-总览'!$AI38,'面板-景气指数'!$A$37:$A$244,0),MATCH('面板-总览'!AN$2,'面板-景气指数'!$36:$36,0))</f>
        <v>0.18687500000000001</v>
      </c>
      <c r="AO38" s="7">
        <f>INDEX('面板-景气指数'!$37:$244,MATCH('面板-总览'!$AI38,'面板-景气指数'!$A$37:$A$244,0),MATCH('面板-总览'!AO$2,'面板-景气指数'!$36:$36,0))</f>
        <v>0.12175</v>
      </c>
      <c r="AP38" s="7">
        <f>INDEX('面板-景气指数'!$37:$244,MATCH('面板-总览'!$AI38,'面板-景气指数'!$A$37:$A$244,0),MATCH('面板-总览'!AP$2,'面板-景气指数'!$36:$36,0))</f>
        <v>0.237125</v>
      </c>
      <c r="AQ38" s="7">
        <f>INDEX('面板-景气指数'!$37:$244,MATCH('面板-总览'!$AI38,'面板-景气指数'!$A$37:$A$244,0),MATCH('面板-总览'!AQ$2,'面板-景气指数'!$36:$36,0))</f>
        <v>0.40499999999999997</v>
      </c>
      <c r="AR38" s="7">
        <f>INDEX('面板-景气指数'!$37:$244,MATCH('面板-总览'!$AI38,'面板-景气指数'!$A$37:$A$244,0),MATCH('面板-总览'!AR$2,'面板-景气指数'!$36:$36,0))</f>
        <v>0.54025000000000001</v>
      </c>
      <c r="AS38" s="7">
        <f>INDEX('面板-景气指数'!$37:$244,MATCH('面板-总览'!$AI38,'面板-景气指数'!$A$37:$A$244,0),MATCH('面板-总览'!AS$2,'面板-景气指数'!$36:$36,0))</f>
        <v>0.49737500000000001</v>
      </c>
      <c r="AT38" s="7">
        <f>INDEX('面板-景气指数'!$37:$244,MATCH('面板-总览'!$AI38,'面板-景气指数'!$A$37:$A$244,0),MATCH('面板-总览'!AT$2,'面板-景气指数'!$36:$36,0))</f>
        <v>0.30212500000000003</v>
      </c>
      <c r="AU38" s="7">
        <f>INDEX('面板-景气指数'!$37:$244,MATCH('面板-总览'!$AI38,'面板-景气指数'!$A$37:$A$244,0),MATCH('面板-总览'!AU$2,'面板-景气指数'!$36:$36,0))</f>
        <v>9.2250000000000013E-2</v>
      </c>
      <c r="AV38" s="7">
        <f>INDEX('面板-景气指数'!$37:$244,MATCH('面板-总览'!$AI38,'面板-景气指数'!$A$37:$A$244,0),MATCH('面板-总览'!AV$2,'面板-景气指数'!$36:$36,0))</f>
        <v>4.8500000000000001E-2</v>
      </c>
      <c r="AX38" s="12">
        <f t="shared" si="2"/>
        <v>-0.44887500000000002</v>
      </c>
    </row>
    <row r="39" spans="1:50" ht="21" customHeight="1" x14ac:dyDescent="0.2">
      <c r="R39" s="6" t="s">
        <v>106</v>
      </c>
      <c r="S39" s="7">
        <f>INDEX('面板-景气指数'!$37:$244,MATCH('面板-总览'!$R39,'面板-景气指数'!$A$37:$A$244,0),MATCH('面板-总览'!S$2,'面板-景气指数'!$36:$36,0))</f>
        <v>0.28136363636363615</v>
      </c>
      <c r="T39" s="7">
        <f>INDEX('面板-景气指数'!$37:$244,MATCH('面板-总览'!$R39,'面板-景气指数'!$A$37:$A$244,0),MATCH('面板-总览'!T$2,'面板-景气指数'!$36:$36,0))</f>
        <v>0.32299999999999984</v>
      </c>
      <c r="U39" s="7">
        <f>INDEX('面板-景气指数'!$37:$244,MATCH('面板-总览'!$R39,'面板-景气指数'!$A$37:$A$244,0),MATCH('面板-总览'!U$2,'面板-景气指数'!$36:$36,0))</f>
        <v>0.38709090909090904</v>
      </c>
      <c r="V39" s="7">
        <f>INDEX('面板-景气指数'!$37:$244,MATCH('面板-总览'!$R39,'面板-景气指数'!$A$37:$A$244,0),MATCH('面板-总览'!V$2,'面板-景气指数'!$36:$36,0))</f>
        <v>0.47945454545454536</v>
      </c>
      <c r="W39" s="7">
        <f>INDEX('面板-景气指数'!$37:$244,MATCH('面板-总览'!$R39,'面板-景气指数'!$A$37:$A$244,0),MATCH('面板-总览'!W$2,'面板-景气指数'!$36:$36,0))</f>
        <v>0.50845454545454549</v>
      </c>
      <c r="X39" s="7">
        <f>INDEX('面板-景气指数'!$37:$244,MATCH('面板-总览'!$R39,'面板-景气指数'!$A$37:$A$244,0),MATCH('面板-总览'!X$2,'面板-景气指数'!$36:$36,0))</f>
        <v>0.53427272727272734</v>
      </c>
      <c r="Y39" s="7">
        <f>INDEX('面板-景气指数'!$37:$244,MATCH('面板-总览'!$R39,'面板-景气指数'!$A$37:$A$244,0),MATCH('面板-总览'!Y$2,'面板-景气指数'!$36:$36,0))</f>
        <v>0.58536363636363642</v>
      </c>
      <c r="Z39" s="7">
        <f>INDEX('面板-景气指数'!$37:$244,MATCH('面板-总览'!$R39,'面板-景气指数'!$A$37:$A$244,0),MATCH('面板-总览'!Z$2,'面板-景气指数'!$36:$36,0))</f>
        <v>0.64036363636363647</v>
      </c>
      <c r="AA39" s="7">
        <f>INDEX('面板-景气指数'!$37:$244,MATCH('面板-总览'!$R39,'面板-景气指数'!$A$37:$A$244,0),MATCH('面板-总览'!AA$2,'面板-景气指数'!$36:$36,0))</f>
        <v>0.6783636363636365</v>
      </c>
      <c r="AB39" s="7">
        <f>INDEX('面板-景气指数'!$37:$244,MATCH('面板-总览'!$R39,'面板-景气指数'!$A$37:$A$244,0),MATCH('面板-总览'!AB$2,'面板-景气指数'!$36:$36,0))</f>
        <v>0.72081818181818202</v>
      </c>
      <c r="AC39" s="7">
        <f>INDEX('面板-景气指数'!$37:$244,MATCH('面板-总览'!$R39,'面板-景气指数'!$A$37:$A$244,0),MATCH('面板-总览'!AC$2,'面板-景气指数'!$36:$36,0))</f>
        <v>0.77154545454545465</v>
      </c>
      <c r="AD39" s="7">
        <f>INDEX('面板-景气指数'!$37:$244,MATCH('面板-总览'!$R39,'面板-景气指数'!$A$37:$A$244,0),MATCH('面板-总览'!AD$2,'面板-景气指数'!$36:$36,0))</f>
        <v>0.80527272727272747</v>
      </c>
      <c r="AE39" s="7">
        <f>INDEX('面板-景气指数'!$37:$244,MATCH('面板-总览'!$R39,'面板-景气指数'!$A$37:$A$244,0),MATCH('面板-总览'!AE$2,'面板-景气指数'!$36:$36,0))</f>
        <v>0.78509090909090917</v>
      </c>
      <c r="AG39" s="12">
        <f t="shared" si="1"/>
        <v>6.4272727272727148E-2</v>
      </c>
      <c r="AI39" s="6" t="s">
        <v>107</v>
      </c>
      <c r="AJ39" s="7">
        <f>INDEX('面板-景气指数'!$37:$244,MATCH('面板-总览'!$AI39,'面板-景气指数'!$A$37:$A$244,0),MATCH('面板-总览'!AJ$2,'面板-景气指数'!$36:$36,0))</f>
        <v>0.57650000000000001</v>
      </c>
      <c r="AK39" s="7">
        <f>INDEX('面板-景气指数'!$37:$244,MATCH('面板-总览'!$AI39,'面板-景气指数'!$A$37:$A$244,0),MATCH('面板-总览'!AK$2,'面板-景气指数'!$36:$36,0))</f>
        <v>0.60050000000000003</v>
      </c>
      <c r="AL39" s="7">
        <f>INDEX('面板-景气指数'!$37:$244,MATCH('面板-总览'!$AI39,'面板-景气指数'!$A$37:$A$244,0),MATCH('面板-总览'!AL$2,'面板-景气指数'!$36:$36,0))</f>
        <v>0.67300000000000004</v>
      </c>
      <c r="AM39" s="7">
        <f>INDEX('面板-景气指数'!$37:$244,MATCH('面板-总览'!$AI39,'面板-景气指数'!$A$37:$A$244,0),MATCH('面板-总览'!AM$2,'面板-景气指数'!$36:$36,0))</f>
        <v>0.63900000000000001</v>
      </c>
      <c r="AN39" s="7">
        <f>INDEX('面板-景气指数'!$37:$244,MATCH('面板-总览'!$AI39,'面板-景气指数'!$A$37:$A$244,0),MATCH('面板-总览'!AN$2,'面板-景气指数'!$36:$36,0))</f>
        <v>0.56700000000000006</v>
      </c>
      <c r="AO39" s="7">
        <f>INDEX('面板-景气指数'!$37:$244,MATCH('面板-总览'!$AI39,'面板-景气指数'!$A$37:$A$244,0),MATCH('面板-总览'!AO$2,'面板-景气指数'!$36:$36,0))</f>
        <v>0.3165</v>
      </c>
      <c r="AP39" s="7">
        <f>INDEX('面板-景气指数'!$37:$244,MATCH('面板-总览'!$AI39,'面板-景气指数'!$A$37:$A$244,0),MATCH('面板-总览'!AP$2,'面板-景气指数'!$36:$36,0))</f>
        <v>0.28299999999999997</v>
      </c>
      <c r="AQ39" s="7">
        <f>INDEX('面板-景气指数'!$37:$244,MATCH('面板-总览'!$AI39,'面板-景气指数'!$A$37:$A$244,0),MATCH('面板-总览'!AQ$2,'面板-景气指数'!$36:$36,0))</f>
        <v>0.34099999999999997</v>
      </c>
      <c r="AR39" s="7">
        <f>INDEX('面板-景气指数'!$37:$244,MATCH('面板-总览'!$AI39,'面板-景气指数'!$A$37:$A$244,0),MATCH('面板-总览'!AR$2,'面板-景气指数'!$36:$36,0))</f>
        <v>0.56200000000000006</v>
      </c>
      <c r="AS39" s="7">
        <f>INDEX('面板-景气指数'!$37:$244,MATCH('面板-总览'!$AI39,'面板-景气指数'!$A$37:$A$244,0),MATCH('面板-总览'!AS$2,'面板-景气指数'!$36:$36,0))</f>
        <v>0.78800000000000003</v>
      </c>
      <c r="AT39" s="7">
        <f>INDEX('面板-景气指数'!$37:$244,MATCH('面板-总览'!$AI39,'面板-景气指数'!$A$37:$A$244,0),MATCH('面板-总览'!AT$2,'面板-景气指数'!$36:$36,0))</f>
        <v>0.78800000000000003</v>
      </c>
      <c r="AU39" s="7">
        <f>INDEX('面板-景气指数'!$37:$244,MATCH('面板-总览'!$AI39,'面板-景气指数'!$A$37:$A$244,0),MATCH('面板-总览'!AU$2,'面板-景气指数'!$36:$36,0))</f>
        <v>0.65800000000000003</v>
      </c>
      <c r="AV39" s="7">
        <f>INDEX('面板-景气指数'!$37:$244,MATCH('面板-总览'!$AI39,'面板-景气指数'!$A$37:$A$244,0),MATCH('面板-总览'!AV$2,'面板-景气指数'!$36:$36,0))</f>
        <v>0.51400000000000001</v>
      </c>
      <c r="AX39" s="12">
        <f t="shared" si="2"/>
        <v>-0.27400000000000002</v>
      </c>
    </row>
    <row r="40" spans="1:50" ht="21" customHeight="1" x14ac:dyDescent="0.2">
      <c r="R40" s="6" t="s">
        <v>108</v>
      </c>
      <c r="S40" s="7">
        <f>INDEX('面板-景气指数'!$37:$244,MATCH('面板-总览'!$R40,'面板-景气指数'!$A$37:$A$244,0),MATCH('面板-总览'!S$2,'面板-景气指数'!$36:$36,0))</f>
        <v>0.14400000000000002</v>
      </c>
      <c r="T40" s="7">
        <f>INDEX('面板-景气指数'!$37:$244,MATCH('面板-总览'!$R40,'面板-景气指数'!$A$37:$A$244,0),MATCH('面板-总览'!T$2,'面板-景气指数'!$36:$36,0))</f>
        <v>0.15350000000000005</v>
      </c>
      <c r="U40" s="7">
        <f>INDEX('面板-景气指数'!$37:$244,MATCH('面板-总览'!$R40,'面板-景气指数'!$A$37:$A$244,0),MATCH('面板-总览'!U$2,'面板-景气指数'!$36:$36,0))</f>
        <v>0.16800000000000001</v>
      </c>
      <c r="V40" s="7">
        <f>INDEX('面板-景气指数'!$37:$244,MATCH('面板-总览'!$R40,'面板-景气指数'!$A$37:$A$244,0),MATCH('面板-总览'!V$2,'面板-景气指数'!$36:$36,0))</f>
        <v>0.17725000000000002</v>
      </c>
      <c r="W40" s="7">
        <f>INDEX('面板-景气指数'!$37:$244,MATCH('面板-总览'!$R40,'面板-景气指数'!$A$37:$A$244,0),MATCH('面板-总览'!W$2,'面板-景气指数'!$36:$36,0))</f>
        <v>0.12674999999999997</v>
      </c>
      <c r="X40" s="7">
        <f>INDEX('面板-景气指数'!$37:$244,MATCH('面板-总览'!$R40,'面板-景气指数'!$A$37:$A$244,0),MATCH('面板-总览'!X$2,'面板-景气指数'!$36:$36,0))</f>
        <v>8.1499999999999947E-2</v>
      </c>
      <c r="Y40" s="7">
        <f>INDEX('面板-景气指数'!$37:$244,MATCH('面板-总览'!$R40,'面板-景气指数'!$A$37:$A$244,0),MATCH('面板-总览'!Y$2,'面板-景气指数'!$36:$36,0))</f>
        <v>5.7249999999999981E-2</v>
      </c>
      <c r="Z40" s="7">
        <f>INDEX('面板-景气指数'!$37:$244,MATCH('面板-总览'!$R40,'面板-景气指数'!$A$37:$A$244,0),MATCH('面板-总览'!Z$2,'面板-景气指数'!$36:$36,0))</f>
        <v>3.7749999999999992E-2</v>
      </c>
      <c r="AA40" s="7">
        <f>INDEX('面板-景气指数'!$37:$244,MATCH('面板-总览'!$R40,'面板-景气指数'!$A$37:$A$244,0),MATCH('面板-总览'!AA$2,'面板-景气指数'!$36:$36,0))</f>
        <v>9.4999999999999876E-3</v>
      </c>
      <c r="AB40" s="7">
        <f>INDEX('面板-景气指数'!$37:$244,MATCH('面板-总览'!$R40,'面板-景气指数'!$A$37:$A$244,0),MATCH('面板-总览'!AB$2,'面板-景气指数'!$36:$36,0))</f>
        <v>2.1249999999999998E-2</v>
      </c>
      <c r="AC40" s="7">
        <f>INDEX('面板-景气指数'!$37:$244,MATCH('面板-总览'!$R40,'面板-景气指数'!$A$37:$A$244,0),MATCH('面板-总览'!AC$2,'面板-景气指数'!$36:$36,0))</f>
        <v>6.7500000000000034E-3</v>
      </c>
      <c r="AD40" s="7">
        <f>INDEX('面板-景气指数'!$37:$244,MATCH('面板-总览'!$R40,'面板-景气指数'!$A$37:$A$244,0),MATCH('面板-总览'!AD$2,'面板-景气指数'!$36:$36,0))</f>
        <v>4.2750000000000024E-2</v>
      </c>
      <c r="AE40" s="7">
        <f>INDEX('面板-景气指数'!$37:$244,MATCH('面板-总览'!$R40,'面板-景气指数'!$A$37:$A$244,0),MATCH('面板-总览'!AE$2,'面板-景气指数'!$36:$36,0))</f>
        <v>4.2750000000000024E-2</v>
      </c>
      <c r="AG40" s="12">
        <f t="shared" si="1"/>
        <v>2.1500000000000026E-2</v>
      </c>
      <c r="AI40" s="6" t="s">
        <v>109</v>
      </c>
      <c r="AJ40" s="7">
        <f>INDEX('面板-景气指数'!$37:$244,MATCH('面板-总览'!$AI40,'面板-景气指数'!$A$37:$A$244,0),MATCH('面板-总览'!AJ$2,'面板-景气指数'!$36:$36,0))</f>
        <v>0.13399999999999998</v>
      </c>
      <c r="AK40" s="7">
        <f>INDEX('面板-景气指数'!$37:$244,MATCH('面板-总览'!$AI40,'面板-景气指数'!$A$37:$A$244,0),MATCH('面板-总览'!AK$2,'面板-景气指数'!$36:$36,0))</f>
        <v>6.699999999999999E-2</v>
      </c>
      <c r="AL40" s="7">
        <f>INDEX('面板-景气指数'!$37:$244,MATCH('面板-总览'!$AI40,'面板-景气指数'!$A$37:$A$244,0),MATCH('面板-总览'!AL$2,'面板-景气指数'!$36:$36,0))</f>
        <v>7.1500000000000008E-2</v>
      </c>
      <c r="AM40" s="7">
        <f>INDEX('面板-景气指数'!$37:$244,MATCH('面板-总览'!$AI40,'面板-景气指数'!$A$37:$A$244,0),MATCH('面板-总览'!AM$2,'面板-景气指数'!$36:$36,0))</f>
        <v>5.2499999999999998E-2</v>
      </c>
      <c r="AN40" s="7">
        <f>INDEX('面板-景气指数'!$37:$244,MATCH('面板-总览'!$AI40,'面板-景气指数'!$A$37:$A$244,0),MATCH('面板-总览'!AN$2,'面板-景气指数'!$36:$36,0))</f>
        <v>5.6999999999999995E-2</v>
      </c>
      <c r="AO40" s="7">
        <f>INDEX('面板-景气指数'!$37:$244,MATCH('面板-总览'!$AI40,'面板-景气指数'!$A$37:$A$244,0),MATCH('面板-总览'!AO$2,'面板-景气指数'!$36:$36,0))</f>
        <v>7.2000000000000008E-2</v>
      </c>
      <c r="AP40" s="7">
        <f>INDEX('面板-景气指数'!$37:$244,MATCH('面板-总览'!$AI40,'面板-景气指数'!$A$37:$A$244,0),MATCH('面板-总览'!AP$2,'面板-景气指数'!$36:$36,0))</f>
        <v>9.5500000000000002E-2</v>
      </c>
      <c r="AQ40" s="7">
        <f>INDEX('面板-景气指数'!$37:$244,MATCH('面板-总览'!$AI40,'面板-景气指数'!$A$37:$A$244,0),MATCH('面板-总览'!AQ$2,'面板-景气指数'!$36:$36,0))</f>
        <v>0.16800000000000001</v>
      </c>
      <c r="AR40" s="7">
        <f>INDEX('面板-景气指数'!$37:$244,MATCH('面板-总览'!$AI40,'面板-景气指数'!$A$37:$A$244,0),MATCH('面板-总览'!AR$2,'面板-景气指数'!$36:$36,0))</f>
        <v>0.30249999999999999</v>
      </c>
      <c r="AS40" s="7">
        <f>INDEX('面板-景气指数'!$37:$244,MATCH('面板-总览'!$AI40,'面板-景气指数'!$A$37:$A$244,0),MATCH('面板-总览'!AS$2,'面板-景气指数'!$36:$36,0))</f>
        <v>0.28800000000000003</v>
      </c>
      <c r="AT40" s="7">
        <f>INDEX('面板-景气指数'!$37:$244,MATCH('面板-总览'!$AI40,'面板-景气指数'!$A$37:$A$244,0),MATCH('面板-总览'!AT$2,'面板-景气指数'!$36:$36,0))</f>
        <v>0.17249999999999999</v>
      </c>
      <c r="AU40" s="7">
        <f>INDEX('面板-景气指数'!$37:$244,MATCH('面板-总览'!$AI40,'面板-景气指数'!$A$37:$A$244,0),MATCH('面板-总览'!AU$2,'面板-景气指数'!$36:$36,0))</f>
        <v>9.5500000000000002E-2</v>
      </c>
      <c r="AV40" s="7">
        <f>INDEX('面板-景气指数'!$37:$244,MATCH('面板-总览'!$AI40,'面板-景气指数'!$A$37:$A$244,0),MATCH('面板-总览'!AV$2,'面板-景气指数'!$36:$36,0))</f>
        <v>8.6499999999999994E-2</v>
      </c>
      <c r="AX40" s="12">
        <f t="shared" si="2"/>
        <v>-0.20150000000000004</v>
      </c>
    </row>
    <row r="41" spans="1:50" ht="21" customHeight="1" x14ac:dyDescent="0.2">
      <c r="R41" s="6" t="s">
        <v>110</v>
      </c>
      <c r="S41" s="7">
        <f>INDEX('面板-景气指数'!$37:$244,MATCH('面板-总览'!$R41,'面板-景气指数'!$A$37:$A$244,0),MATCH('面板-总览'!S$2,'面板-景气指数'!$36:$36,0))</f>
        <v>0.18435714285714302</v>
      </c>
      <c r="T41" s="7">
        <f>INDEX('面板-景气指数'!$37:$244,MATCH('面板-总览'!$R41,'面板-景气指数'!$A$37:$A$244,0),MATCH('面板-总览'!T$2,'面板-景气指数'!$36:$36,0))</f>
        <v>0.28457142857142864</v>
      </c>
      <c r="U41" s="7">
        <f>INDEX('面板-景气指数'!$37:$244,MATCH('面板-总览'!$R41,'面板-景气指数'!$A$37:$A$244,0),MATCH('面板-总览'!U$2,'面板-景气指数'!$36:$36,0))</f>
        <v>0.44764285714285712</v>
      </c>
      <c r="V41" s="7">
        <f>INDEX('面板-景气指数'!$37:$244,MATCH('面板-总览'!$R41,'面板-景气指数'!$A$37:$A$244,0),MATCH('面板-总览'!V$2,'面板-景气指数'!$36:$36,0))</f>
        <v>0.5457857142857141</v>
      </c>
      <c r="W41" s="7">
        <f>INDEX('面板-景气指数'!$37:$244,MATCH('面板-总览'!$R41,'面板-景气指数'!$A$37:$A$244,0),MATCH('面板-总览'!W$2,'面板-景气指数'!$36:$36,0))</f>
        <v>0.4712142857142857</v>
      </c>
      <c r="X41" s="7">
        <f>INDEX('面板-景气指数'!$37:$244,MATCH('面板-总览'!$R41,'面板-景气指数'!$A$37:$A$244,0),MATCH('面板-总览'!X$2,'面板-景气指数'!$36:$36,0))</f>
        <v>0.33821428571428586</v>
      </c>
      <c r="Y41" s="7">
        <f>INDEX('面板-景气指数'!$37:$244,MATCH('面板-总览'!$R41,'面板-景气指数'!$A$37:$A$244,0),MATCH('面板-总览'!Y$2,'面板-景气指数'!$36:$36,0))</f>
        <v>0.44328571428571439</v>
      </c>
      <c r="Z41" s="7">
        <f>INDEX('面板-景气指数'!$37:$244,MATCH('面板-总览'!$R41,'面板-景气指数'!$A$37:$A$244,0),MATCH('面板-总览'!Z$2,'面板-景气指数'!$36:$36,0))</f>
        <v>0.44714285714285729</v>
      </c>
      <c r="AA41" s="7">
        <f>INDEX('面板-景气指数'!$37:$244,MATCH('面板-总览'!$R41,'面板-景气指数'!$A$37:$A$244,0),MATCH('面板-总览'!AA$2,'面板-景气指数'!$36:$36,0))</f>
        <v>0.49950000000000011</v>
      </c>
      <c r="AB41" s="7">
        <f>INDEX('面板-景气指数'!$37:$244,MATCH('面板-总览'!$R41,'面板-景气指数'!$A$37:$A$244,0),MATCH('面板-总览'!AB$2,'面板-景气指数'!$36:$36,0))</f>
        <v>0.39721428571428591</v>
      </c>
      <c r="AC41" s="7">
        <f>INDEX('面板-景气指数'!$37:$244,MATCH('面板-总览'!$R41,'面板-景气指数'!$A$37:$A$244,0),MATCH('面板-总览'!AC$2,'面板-景气指数'!$36:$36,0))</f>
        <v>0.41542857142857159</v>
      </c>
      <c r="AD41" s="7">
        <f>INDEX('面板-景气指数'!$37:$244,MATCH('面板-总览'!$R41,'面板-景气指数'!$A$37:$A$244,0),MATCH('面板-总览'!AD$2,'面板-景气指数'!$36:$36,0))</f>
        <v>0.35978571428571449</v>
      </c>
      <c r="AE41" s="7">
        <f>INDEX('面板-景气指数'!$37:$244,MATCH('面板-总览'!$R41,'面板-景气指数'!$A$37:$A$244,0),MATCH('面板-总览'!AE$2,'面板-景气指数'!$36:$36,0))</f>
        <v>0.38728571428571451</v>
      </c>
      <c r="AG41" s="12">
        <f t="shared" si="1"/>
        <v>-9.9285714285713977E-3</v>
      </c>
      <c r="AI41" s="6" t="s">
        <v>111</v>
      </c>
      <c r="AJ41" s="7">
        <f>INDEX('面板-景气指数'!$37:$244,MATCH('面板-总览'!$AI41,'面板-景气指数'!$A$37:$A$244,0),MATCH('面板-总览'!AJ$2,'面板-景气指数'!$36:$36,0))</f>
        <v>5.7000000000000002E-2</v>
      </c>
      <c r="AK41" s="7">
        <f>INDEX('面板-景气指数'!$37:$244,MATCH('面板-总览'!$AI41,'面板-景气指数'!$A$37:$A$244,0),MATCH('面板-总览'!AK$2,'面板-景气指数'!$36:$36,0))</f>
        <v>9.6000000000000002E-2</v>
      </c>
      <c r="AL41" s="7">
        <f>INDEX('面板-景气指数'!$37:$244,MATCH('面板-总览'!$AI41,'面板-景气指数'!$A$37:$A$244,0),MATCH('面板-总览'!AL$2,'面板-景气指数'!$36:$36,0))</f>
        <v>0.125</v>
      </c>
      <c r="AM41" s="7">
        <f>INDEX('面板-景气指数'!$37:$244,MATCH('面板-总览'!$AI41,'面板-景气指数'!$A$37:$A$244,0),MATCH('面板-总览'!AM$2,'面板-景气指数'!$36:$36,0))</f>
        <v>0.105</v>
      </c>
      <c r="AN41" s="7">
        <f>INDEX('面板-景气指数'!$37:$244,MATCH('面板-总览'!$AI41,'面板-景气指数'!$A$37:$A$244,0),MATCH('面板-总览'!AN$2,'面板-景气指数'!$36:$36,0))</f>
        <v>8.5999999999999993E-2</v>
      </c>
      <c r="AO41" s="7">
        <f>INDEX('面板-景气指数'!$37:$244,MATCH('面板-总览'!$AI41,'面板-景气指数'!$A$37:$A$244,0),MATCH('面板-总览'!AO$2,'面板-景气指数'!$36:$36,0))</f>
        <v>4.8000000000000001E-2</v>
      </c>
      <c r="AP41" s="7">
        <f>INDEX('面板-景气指数'!$37:$244,MATCH('面板-总览'!$AI41,'面板-景气指数'!$A$37:$A$244,0),MATCH('面板-总览'!AP$2,'面板-景气指数'!$36:$36,0))</f>
        <v>6.7000000000000004E-2</v>
      </c>
      <c r="AQ41" s="7">
        <f>INDEX('面板-景气指数'!$37:$244,MATCH('面板-总览'!$AI41,'面板-景气指数'!$A$37:$A$244,0),MATCH('面板-总览'!AQ$2,'面板-景气指数'!$36:$36,0))</f>
        <v>0.115</v>
      </c>
      <c r="AR41" s="7">
        <f>INDEX('面板-景气指数'!$37:$244,MATCH('面板-总览'!$AI41,'面板-景气指数'!$A$37:$A$244,0),MATCH('面板-总览'!AR$2,'面板-景气指数'!$36:$36,0))</f>
        <v>0.28799999999999998</v>
      </c>
      <c r="AS41" s="7">
        <f>INDEX('面板-景气指数'!$37:$244,MATCH('面板-总览'!$AI41,'面板-景气指数'!$A$37:$A$244,0),MATCH('面板-总览'!AS$2,'面板-景气指数'!$36:$36,0))</f>
        <v>0.50900000000000001</v>
      </c>
      <c r="AT41" s="7">
        <f>INDEX('面板-景气指数'!$37:$244,MATCH('面板-总览'!$AI41,'面板-景气指数'!$A$37:$A$244,0),MATCH('面板-总览'!AT$2,'面板-景气指数'!$36:$36,0))</f>
        <v>0.54800000000000004</v>
      </c>
      <c r="AU41" s="7">
        <f>INDEX('面板-景气指数'!$37:$244,MATCH('面板-总览'!$AI41,'面板-景气指数'!$A$37:$A$244,0),MATCH('面板-总览'!AU$2,'面板-景气指数'!$36:$36,0))</f>
        <v>0.432</v>
      </c>
      <c r="AV41" s="7">
        <f>INDEX('面板-景气指数'!$37:$244,MATCH('面板-总览'!$AI41,'面板-景气指数'!$A$37:$A$244,0),MATCH('面板-总览'!AV$2,'面板-景气指数'!$36:$36,0))</f>
        <v>0.307</v>
      </c>
      <c r="AX41" s="12">
        <f t="shared" si="2"/>
        <v>-0.20200000000000001</v>
      </c>
    </row>
    <row r="42" spans="1:50" ht="21" customHeight="1" x14ac:dyDescent="0.2">
      <c r="R42" s="6" t="s">
        <v>112</v>
      </c>
      <c r="S42" s="7">
        <f>INDEX('面板-景气指数'!$37:$244,MATCH('面板-总览'!$R42,'面板-景气指数'!$A$37:$A$244,0),MATCH('面板-总览'!S$2,'面板-景气指数'!$36:$36,0))</f>
        <v>0.21689999999999976</v>
      </c>
      <c r="T42" s="7">
        <f>INDEX('面板-景气指数'!$37:$244,MATCH('面板-总览'!$R42,'面板-景气指数'!$A$37:$A$244,0),MATCH('面板-总览'!T$2,'面板-景气指数'!$36:$36,0))</f>
        <v>0.24609999999999974</v>
      </c>
      <c r="U42" s="7">
        <f>INDEX('面板-景气指数'!$37:$244,MATCH('面板-总览'!$R42,'面板-景气指数'!$A$37:$A$244,0),MATCH('面板-总览'!U$2,'面板-景气指数'!$36:$36,0))</f>
        <v>0.28159999999999985</v>
      </c>
      <c r="V42" s="7">
        <f>INDEX('面板-景气指数'!$37:$244,MATCH('面板-总览'!$R42,'面板-景气指数'!$A$37:$A$244,0),MATCH('面板-总览'!V$2,'面板-景气指数'!$36:$36,0))</f>
        <v>0.35670000000000002</v>
      </c>
      <c r="W42" s="7">
        <f>INDEX('面板-景气指数'!$37:$244,MATCH('面板-总览'!$R42,'面板-景气指数'!$A$37:$A$244,0),MATCH('面板-总览'!W$2,'面板-景气指数'!$36:$36,0))</f>
        <v>0.56340000000000012</v>
      </c>
      <c r="X42" s="7">
        <f>INDEX('面板-景气指数'!$37:$244,MATCH('面板-总览'!$R42,'面板-景气指数'!$A$37:$A$244,0),MATCH('面板-总览'!X$2,'面板-景气指数'!$36:$36,0))</f>
        <v>0.60040000000000027</v>
      </c>
      <c r="Y42" s="7">
        <f>INDEX('面板-景气指数'!$37:$244,MATCH('面板-总览'!$R42,'面板-景气指数'!$A$37:$A$244,0),MATCH('面板-总览'!Y$2,'面板-景气指数'!$36:$36,0))</f>
        <v>0.70190000000000041</v>
      </c>
      <c r="Z42" s="7">
        <f>INDEX('面板-景气指数'!$37:$244,MATCH('面板-总览'!$R42,'面板-景气指数'!$A$37:$A$244,0),MATCH('面板-总览'!Z$2,'面板-景气指数'!$36:$36,0))</f>
        <v>0.66870000000000041</v>
      </c>
      <c r="AA42" s="7">
        <f>INDEX('面板-景气指数'!$37:$244,MATCH('面板-总览'!$R42,'面板-景气指数'!$A$37:$A$244,0),MATCH('面板-总览'!AA$2,'面板-景气指数'!$36:$36,0))</f>
        <v>0.7080000000000003</v>
      </c>
      <c r="AB42" s="7">
        <f>INDEX('面板-景气指数'!$37:$244,MATCH('面板-总览'!$R42,'面板-景气指数'!$A$37:$A$244,0),MATCH('面板-总览'!AB$2,'面板-景气指数'!$36:$36,0))</f>
        <v>0.66180000000000028</v>
      </c>
      <c r="AC42" s="7">
        <f>INDEX('面板-景气指数'!$37:$244,MATCH('面板-总览'!$R42,'面板-景气指数'!$A$37:$A$244,0),MATCH('面板-总览'!AC$2,'面板-景气指数'!$36:$36,0))</f>
        <v>0.56960000000000022</v>
      </c>
      <c r="AD42" s="7">
        <f>INDEX('面板-景气指数'!$37:$244,MATCH('面板-总览'!$R42,'面板-景气指数'!$A$37:$A$244,0),MATCH('面板-总览'!AD$2,'面板-景气指数'!$36:$36,0))</f>
        <v>0.61700000000000033</v>
      </c>
      <c r="AE42" s="7">
        <f>INDEX('面板-景气指数'!$37:$244,MATCH('面板-总览'!$R42,'面板-景气指数'!$A$37:$A$244,0),MATCH('面板-总览'!AE$2,'面板-景气指数'!$36:$36,0))</f>
        <v>0.4910000000000001</v>
      </c>
      <c r="AG42" s="12">
        <f t="shared" si="1"/>
        <v>-0.17080000000000017</v>
      </c>
      <c r="AI42" s="6" t="s">
        <v>113</v>
      </c>
      <c r="AJ42" s="7">
        <f>INDEX('面板-景气指数'!$37:$244,MATCH('面板-总览'!$AI42,'面板-景气指数'!$A$37:$A$244,0),MATCH('面板-总览'!AJ$2,'面板-景气指数'!$36:$36,0))</f>
        <v>0.153</v>
      </c>
      <c r="AK42" s="7">
        <f>INDEX('面板-景气指数'!$37:$244,MATCH('面板-总览'!$AI42,'面板-景气指数'!$A$37:$A$244,0),MATCH('面板-总览'!AK$2,'面板-景气指数'!$36:$36,0))</f>
        <v>0.20100000000000001</v>
      </c>
      <c r="AL42" s="7">
        <f>INDEX('面板-景气指数'!$37:$244,MATCH('面板-总览'!$AI42,'面板-景气指数'!$A$37:$A$244,0),MATCH('面板-总览'!AL$2,'面板-景气指数'!$36:$36,0))</f>
        <v>0.26900000000000002</v>
      </c>
      <c r="AM42" s="7">
        <f>INDEX('面板-景气指数'!$37:$244,MATCH('面板-总览'!$AI42,'面板-景气指数'!$A$37:$A$244,0),MATCH('面板-总览'!AM$2,'面板-景气指数'!$36:$36,0))</f>
        <v>0.27800000000000002</v>
      </c>
      <c r="AN42" s="7">
        <f>INDEX('面板-景气指数'!$37:$244,MATCH('面板-总览'!$AI42,'面板-景气指数'!$A$37:$A$244,0),MATCH('面板-总览'!AN$2,'面板-景气指数'!$36:$36,0))</f>
        <v>0.221</v>
      </c>
      <c r="AO42" s="7">
        <f>INDEX('面板-景气指数'!$37:$244,MATCH('面板-总览'!$AI42,'面板-景气指数'!$A$37:$A$244,0),MATCH('面板-总览'!AO$2,'面板-景气指数'!$36:$36,0))</f>
        <v>0.192</v>
      </c>
      <c r="AP42" s="7">
        <f>INDEX('面板-景气指数'!$37:$244,MATCH('面板-总览'!$AI42,'面板-景气指数'!$A$37:$A$244,0),MATCH('面板-总览'!AP$2,'面板-景气指数'!$36:$36,0))</f>
        <v>0.17299999999999999</v>
      </c>
      <c r="AQ42" s="7">
        <f>INDEX('面板-景气指数'!$37:$244,MATCH('面板-总览'!$AI42,'面板-景气指数'!$A$37:$A$244,0),MATCH('面板-总览'!AQ$2,'面板-景气指数'!$36:$36,0))</f>
        <v>0.21099999999999999</v>
      </c>
      <c r="AR42" s="7">
        <f>INDEX('面板-景气指数'!$37:$244,MATCH('面板-总览'!$AI42,'面板-景气指数'!$A$37:$A$244,0),MATCH('面板-总览'!AR$2,'面板-景气指数'!$36:$36,0))</f>
        <v>0.45100000000000001</v>
      </c>
      <c r="AS42" s="7">
        <f>INDEX('面板-景气指数'!$37:$244,MATCH('面板-总览'!$AI42,'面板-景气指数'!$A$37:$A$244,0),MATCH('面板-总览'!AS$2,'面板-景气指数'!$36:$36,0))</f>
        <v>0.63400000000000001</v>
      </c>
      <c r="AT42" s="7">
        <f>INDEX('面板-景气指数'!$37:$244,MATCH('面板-总览'!$AI42,'面板-景气指数'!$A$37:$A$244,0),MATCH('面板-总览'!AT$2,'面板-景气指数'!$36:$36,0))</f>
        <v>0.65300000000000002</v>
      </c>
      <c r="AU42" s="7">
        <f>INDEX('面板-景气指数'!$37:$244,MATCH('面板-总览'!$AI42,'面板-景气指数'!$A$37:$A$244,0),MATCH('面板-总览'!AU$2,'面板-景气指数'!$36:$36,0))</f>
        <v>0.47099999999999997</v>
      </c>
      <c r="AV42" s="7">
        <f>INDEX('面板-景气指数'!$37:$244,MATCH('面板-总览'!$AI42,'面板-景气指数'!$A$37:$A$244,0),MATCH('面板-总览'!AV$2,'面板-景气指数'!$36:$36,0))</f>
        <v>0.39400000000000002</v>
      </c>
      <c r="AX42" s="12">
        <f t="shared" si="2"/>
        <v>-0.24</v>
      </c>
    </row>
    <row r="43" spans="1:50" ht="21" customHeight="1" x14ac:dyDescent="0.2">
      <c r="R43" s="6" t="s">
        <v>114</v>
      </c>
      <c r="S43" s="7">
        <f>INDEX('面板-景气指数'!$37:$244,MATCH('面板-总览'!$R43,'面板-景气指数'!$A$37:$A$244,0),MATCH('面板-总览'!S$2,'面板-景气指数'!$36:$36,0))</f>
        <v>0.34812500000000007</v>
      </c>
      <c r="T43" s="7">
        <f>INDEX('面板-景气指数'!$37:$244,MATCH('面板-总览'!$R43,'面板-景气指数'!$A$37:$A$244,0),MATCH('面板-总览'!T$2,'面板-景气指数'!$36:$36,0))</f>
        <v>0.375</v>
      </c>
      <c r="U43" s="7">
        <f>INDEX('面板-景气指数'!$37:$244,MATCH('面板-总览'!$R43,'面板-景气指数'!$A$37:$A$244,0),MATCH('面板-总览'!U$2,'面板-景气指数'!$36:$36,0))</f>
        <v>0.38124999999999998</v>
      </c>
      <c r="V43" s="7">
        <f>INDEX('面板-景气指数'!$37:$244,MATCH('面板-总览'!$R43,'面板-景气指数'!$A$37:$A$244,0),MATCH('面板-总览'!V$2,'面板-景气指数'!$36:$36,0))</f>
        <v>0.38125000000000003</v>
      </c>
      <c r="W43" s="7">
        <f>INDEX('面板-景气指数'!$37:$244,MATCH('面板-总览'!$R43,'面板-景气指数'!$A$37:$A$244,0),MATCH('面板-总览'!W$2,'面板-景气指数'!$36:$36,0))</f>
        <v>0.29612499999999997</v>
      </c>
      <c r="X43" s="7">
        <f>INDEX('面板-景气指数'!$37:$244,MATCH('面板-总览'!$R43,'面板-景气指数'!$A$37:$A$244,0),MATCH('面板-总览'!X$2,'面板-景气指数'!$36:$36,0))</f>
        <v>0.26737500000000003</v>
      </c>
      <c r="Y43" s="7">
        <f>INDEX('面板-景气指数'!$37:$244,MATCH('面板-总览'!$R43,'面板-景气指数'!$A$37:$A$244,0),MATCH('面板-总览'!Y$2,'面板-景气指数'!$36:$36,0))</f>
        <v>0.22850000000000001</v>
      </c>
      <c r="Z43" s="7">
        <f>INDEX('面板-景气指数'!$37:$244,MATCH('面板-总览'!$R43,'面板-景气指数'!$A$37:$A$244,0),MATCH('面板-总览'!Z$2,'面板-景气指数'!$36:$36,0))</f>
        <v>0.31574999999999998</v>
      </c>
      <c r="AA43" s="7">
        <f>INDEX('面板-景气指数'!$37:$244,MATCH('面板-总览'!$R43,'面板-景气指数'!$A$37:$A$244,0),MATCH('面板-总览'!AA$2,'面板-景气指数'!$36:$36,0))</f>
        <v>0.2987499999999999</v>
      </c>
      <c r="AB43" s="7">
        <f>INDEX('面板-景气指数'!$37:$244,MATCH('面板-总览'!$R43,'面板-景气指数'!$A$37:$A$244,0),MATCH('面板-总览'!AB$2,'面板-景气指数'!$36:$36,0))</f>
        <v>0.29087499999999994</v>
      </c>
      <c r="AC43" s="7">
        <f>INDEX('面板-景气指数'!$37:$244,MATCH('面板-总览'!$R43,'面板-景气指数'!$A$37:$A$244,0),MATCH('面板-总览'!AC$2,'面板-景气指数'!$36:$36,0))</f>
        <v>0.28199999999999992</v>
      </c>
      <c r="AD43" s="7">
        <f>INDEX('面板-景气指数'!$37:$244,MATCH('面板-总览'!$R43,'面板-景气指数'!$A$37:$A$244,0),MATCH('面板-总览'!AD$2,'面板-景气指数'!$36:$36,0))</f>
        <v>0.26874999999999993</v>
      </c>
      <c r="AE43" s="7">
        <f>INDEX('面板-景气指数'!$37:$244,MATCH('面板-总览'!$R43,'面板-景气指数'!$A$37:$A$244,0),MATCH('面板-总览'!AE$2,'面板-景气指数'!$36:$36,0))</f>
        <v>0.26874999999999993</v>
      </c>
      <c r="AG43" s="12">
        <f t="shared" si="1"/>
        <v>-2.2125000000000006E-2</v>
      </c>
      <c r="AI43" s="6" t="s">
        <v>115</v>
      </c>
      <c r="AJ43" s="7">
        <f>INDEX('面板-景气指数'!$37:$244,MATCH('面板-总览'!$AI43,'面板-景气指数'!$A$37:$A$244,0),MATCH('面板-总览'!AJ$2,'面板-景气指数'!$36:$36,0))</f>
        <v>0.55510223729863628</v>
      </c>
      <c r="AK43" s="7">
        <f>INDEX('面板-景气指数'!$37:$244,MATCH('面板-总览'!$AI43,'面板-景气指数'!$A$37:$A$244,0),MATCH('面板-总览'!AK$2,'面板-景气指数'!$36:$36,0))</f>
        <v>0.71377096570507992</v>
      </c>
      <c r="AL43" s="7">
        <f>INDEX('面板-景气指数'!$37:$244,MATCH('面板-总览'!$AI43,'面板-景气指数'!$A$37:$A$244,0),MATCH('面板-总览'!AL$2,'面板-景气指数'!$36:$36,0))</f>
        <v>0.76074182270235402</v>
      </c>
      <c r="AM43" s="7">
        <f>INDEX('面板-景气指数'!$37:$244,MATCH('面板-总览'!$AI43,'面板-景气指数'!$A$37:$A$244,0),MATCH('面板-总览'!AM$2,'面板-景气指数'!$36:$36,0))</f>
        <v>0.78674491531201962</v>
      </c>
      <c r="AN43" s="7">
        <f>INDEX('面板-景气指数'!$37:$244,MATCH('面板-总览'!$AI43,'面板-景气指数'!$A$37:$A$244,0),MATCH('面板-总览'!AN$2,'面板-景气指数'!$36:$36,0))</f>
        <v>0.69051147889169739</v>
      </c>
      <c r="AO43" s="7">
        <f>INDEX('面板-景气指数'!$37:$244,MATCH('面板-总览'!$AI43,'面板-景气指数'!$A$37:$A$244,0),MATCH('面板-总览'!AO$2,'面板-景气指数'!$36:$36,0))</f>
        <v>0.43159075840693883</v>
      </c>
      <c r="AP43" s="7">
        <f>INDEX('面板-景气指数'!$37:$244,MATCH('面板-总览'!$AI43,'面板-景气指数'!$A$37:$A$244,0),MATCH('面板-总览'!AP$2,'面板-景气指数'!$36:$36,0))</f>
        <v>0.49295051824535263</v>
      </c>
      <c r="AQ43" s="7">
        <f>INDEX('面板-景气指数'!$37:$244,MATCH('面板-总览'!$AI43,'面板-景气指数'!$A$37:$A$244,0),MATCH('面板-总览'!AQ$2,'面板-景气指数'!$36:$36,0))</f>
        <v>0.49492203000049523</v>
      </c>
      <c r="AR43" s="7">
        <f>INDEX('面板-景气指数'!$37:$244,MATCH('面板-总览'!$AI43,'面板-景气指数'!$A$37:$A$244,0),MATCH('面板-总览'!AR$2,'面板-景气指数'!$36:$36,0))</f>
        <v>0.66469168618983854</v>
      </c>
      <c r="AS43" s="7">
        <f>INDEX('面板-景气指数'!$37:$244,MATCH('面板-总览'!$AI43,'面板-景气指数'!$A$37:$A$244,0),MATCH('面板-总览'!AS$2,'面板-景气指数'!$36:$36,0))</f>
        <v>0.74528113508104077</v>
      </c>
      <c r="AT43" s="7">
        <f>INDEX('面板-景气指数'!$37:$244,MATCH('面板-总览'!$AI43,'面板-景气指数'!$A$37:$A$244,0),MATCH('面板-总览'!AT$2,'面板-景气指数'!$36:$36,0))</f>
        <v>0.81892137524262676</v>
      </c>
      <c r="AU43" s="7">
        <f>INDEX('面板-景气指数'!$37:$244,MATCH('面板-总览'!$AI43,'面板-景气指数'!$A$37:$A$244,0),MATCH('面板-总览'!AU$2,'面板-景气指数'!$36:$36,0))</f>
        <v>0.89161549928426265</v>
      </c>
      <c r="AV43" s="7">
        <f>INDEX('面板-景气指数'!$37:$244,MATCH('面板-总览'!$AI43,'面板-景气指数'!$A$37:$A$244,0),MATCH('面板-总览'!AV$2,'面板-景气指数'!$36:$36,0))</f>
        <v>0.85818020729814104</v>
      </c>
      <c r="AX43" s="12">
        <f t="shared" si="2"/>
        <v>0.11289907221710027</v>
      </c>
    </row>
    <row r="44" spans="1:50" ht="21" customHeight="1" x14ac:dyDescent="0.2">
      <c r="R44" s="6" t="s">
        <v>116</v>
      </c>
      <c r="S44" s="7">
        <f>INDEX('面板-景气指数'!$37:$244,MATCH('面板-总览'!$R44,'面板-景气指数'!$A$37:$A$244,0),MATCH('面板-总览'!S$2,'面板-景气指数'!$36:$36,0))</f>
        <v>8.6250000000000049E-2</v>
      </c>
      <c r="T44" s="7">
        <f>INDEX('面板-景气指数'!$37:$244,MATCH('面板-总览'!$R44,'面板-景气指数'!$A$37:$A$244,0),MATCH('面板-总览'!T$2,'面板-景气指数'!$36:$36,0))</f>
        <v>7.4250000000000038E-2</v>
      </c>
      <c r="U44" s="7">
        <f>INDEX('面板-景气指数'!$37:$244,MATCH('面板-总览'!$R44,'面板-景气指数'!$A$37:$A$244,0),MATCH('面板-总览'!U$2,'面板-景气指数'!$36:$36,0))</f>
        <v>7.6250000000000068E-2</v>
      </c>
      <c r="V44" s="7">
        <f>INDEX('面板-景气指数'!$37:$244,MATCH('面板-总览'!$R44,'面板-景气指数'!$A$37:$A$244,0),MATCH('面板-总览'!V$2,'面板-景气指数'!$36:$36,0))</f>
        <v>7.2000000000000064E-2</v>
      </c>
      <c r="W44" s="7">
        <f>INDEX('面板-景气指数'!$37:$244,MATCH('面板-总览'!$R44,'面板-景气指数'!$A$37:$A$244,0),MATCH('面板-总览'!W$2,'面板-景气指数'!$36:$36,0))</f>
        <v>0.10775000000000005</v>
      </c>
      <c r="X44" s="7">
        <f>INDEX('面板-景气指数'!$37:$244,MATCH('面板-总览'!$R44,'面板-景气指数'!$A$37:$A$244,0),MATCH('面板-总览'!X$2,'面板-景气指数'!$36:$36,0))</f>
        <v>0.16025000000000006</v>
      </c>
      <c r="Y44" s="7">
        <f>INDEX('面板-景气指数'!$37:$244,MATCH('面板-总览'!$R44,'面板-景气指数'!$A$37:$A$244,0),MATCH('面板-总览'!Y$2,'面板-景气指数'!$36:$36,0))</f>
        <v>0.21850000000000003</v>
      </c>
      <c r="Z44" s="7">
        <f>INDEX('面板-景气指数'!$37:$244,MATCH('面板-总览'!$R44,'面板-景气指数'!$A$37:$A$244,0),MATCH('面板-总览'!Z$2,'面板-景气指数'!$36:$36,0))</f>
        <v>0.26900000000000007</v>
      </c>
      <c r="AA44" s="7">
        <f>INDEX('面板-景气指数'!$37:$244,MATCH('面板-总览'!$R44,'面板-景气指数'!$A$37:$A$244,0),MATCH('面板-总览'!AA$2,'面板-景气指数'!$36:$36,0))</f>
        <v>0.29049999999999998</v>
      </c>
      <c r="AB44" s="7">
        <f>INDEX('面板-景气指数'!$37:$244,MATCH('面板-总览'!$R44,'面板-景气指数'!$A$37:$A$244,0),MATCH('面板-总览'!AB$2,'面板-景气指数'!$36:$36,0))</f>
        <v>0.3145</v>
      </c>
      <c r="AC44" s="7">
        <f>INDEX('面板-景气指数'!$37:$244,MATCH('面板-总览'!$R44,'面板-景气指数'!$A$37:$A$244,0),MATCH('面板-总览'!AC$2,'面板-景气指数'!$36:$36,0))</f>
        <v>0.32424999999999993</v>
      </c>
      <c r="AD44" s="7">
        <f>INDEX('面板-景气指数'!$37:$244,MATCH('面板-总览'!$R44,'面板-景气指数'!$A$37:$A$244,0),MATCH('面板-总览'!AD$2,'面板-景气指数'!$36:$36,0))</f>
        <v>0.31474999999999992</v>
      </c>
      <c r="AE44" s="7">
        <f>INDEX('面板-景气指数'!$37:$244,MATCH('面板-总览'!$R44,'面板-景气指数'!$A$37:$A$244,0),MATCH('面板-总览'!AE$2,'面板-景气指数'!$36:$36,0))</f>
        <v>0.31474999999999992</v>
      </c>
      <c r="AG44" s="12">
        <f t="shared" si="1"/>
        <v>2.4999999999991696E-4</v>
      </c>
      <c r="AI44" s="6" t="s">
        <v>117</v>
      </c>
      <c r="AJ44" s="7">
        <f>INDEX('面板-景气指数'!$37:$244,MATCH('面板-总览'!$AI44,'面板-景气指数'!$A$37:$A$244,0),MATCH('面板-总览'!AJ$2,'面板-景气指数'!$36:$36,0))</f>
        <v>0.17066666666666658</v>
      </c>
      <c r="AK44" s="7">
        <f>INDEX('面板-景气指数'!$37:$244,MATCH('面板-总览'!$AI44,'面板-景气指数'!$A$37:$A$244,0),MATCH('面板-总览'!AK$2,'面板-景气指数'!$36:$36,0))</f>
        <v>0.15616666666666656</v>
      </c>
      <c r="AL44" s="7">
        <f>INDEX('面板-景气指数'!$37:$244,MATCH('面板-总览'!$AI44,'面板-景气指数'!$A$37:$A$244,0),MATCH('面板-总览'!AL$2,'面板-景气指数'!$36:$36,0))</f>
        <v>0.25833333333333325</v>
      </c>
      <c r="AM44" s="7">
        <f>INDEX('面板-景气指数'!$37:$244,MATCH('面板-总览'!$AI44,'面板-景气指数'!$A$37:$A$244,0),MATCH('面板-总览'!AM$2,'面板-景气指数'!$36:$36,0))</f>
        <v>0.32716666666666661</v>
      </c>
      <c r="AN44" s="7">
        <f>INDEX('面板-景气指数'!$37:$244,MATCH('面板-总览'!$AI44,'面板-景气指数'!$A$37:$A$244,0),MATCH('面板-总览'!AN$2,'面板-景气指数'!$36:$36,0))</f>
        <v>0.3183333333333333</v>
      </c>
      <c r="AO44" s="7">
        <f>INDEX('面板-景气指数'!$37:$244,MATCH('面板-总览'!$AI44,'面板-景气指数'!$A$37:$A$244,0),MATCH('面板-总览'!AO$2,'面板-景气指数'!$36:$36,0))</f>
        <v>0.31383333333333335</v>
      </c>
      <c r="AP44" s="7">
        <f>INDEX('面板-景气指数'!$37:$244,MATCH('面板-总览'!$AI44,'面板-景气指数'!$A$37:$A$244,0),MATCH('面板-总览'!AP$2,'面板-景气指数'!$36:$36,0))</f>
        <v>0.28316666666666684</v>
      </c>
      <c r="AQ44" s="7">
        <f>INDEX('面板-景气指数'!$37:$244,MATCH('面板-总览'!$AI44,'面板-景气指数'!$A$37:$A$244,0),MATCH('面板-总览'!AQ$2,'面板-景气指数'!$36:$36,0))</f>
        <v>0.35483333333333344</v>
      </c>
      <c r="AR44" s="7">
        <f>INDEX('面板-景气指数'!$37:$244,MATCH('面板-总览'!$AI44,'面板-景气指数'!$A$37:$A$244,0),MATCH('面板-总览'!AR$2,'面板-景气指数'!$36:$36,0))</f>
        <v>0.42816666666666675</v>
      </c>
      <c r="AS44" s="7">
        <f>INDEX('面板-景气指数'!$37:$244,MATCH('面板-总览'!$AI44,'面板-景气指数'!$A$37:$A$244,0),MATCH('面板-总览'!AS$2,'面板-景气指数'!$36:$36,0))</f>
        <v>0.40783333333333338</v>
      </c>
      <c r="AT44" s="7">
        <f>INDEX('面板-景气指数'!$37:$244,MATCH('面板-总览'!$AI44,'面板-景气指数'!$A$37:$A$244,0),MATCH('面板-总览'!AT$2,'面板-景气指数'!$36:$36,0))</f>
        <v>0.44633333333333342</v>
      </c>
      <c r="AU44" s="7">
        <f>INDEX('面板-景气指数'!$37:$244,MATCH('面板-总览'!$AI44,'面板-景气指数'!$A$37:$A$244,0),MATCH('面板-总览'!AU$2,'面板-景气指数'!$36:$36,0))</f>
        <v>0.40716666666666684</v>
      </c>
      <c r="AV44" s="7">
        <f>INDEX('面板-景气指数'!$37:$244,MATCH('面板-总览'!$AI44,'面板-景气指数'!$A$37:$A$244,0),MATCH('面板-总览'!AV$2,'面板-景气指数'!$36:$36,0))</f>
        <v>0.41166666666666679</v>
      </c>
      <c r="AX44" s="12">
        <f t="shared" si="2"/>
        <v>3.8333333333334108E-3</v>
      </c>
    </row>
    <row r="45" spans="1:50" ht="21" customHeight="1" x14ac:dyDescent="0.2">
      <c r="R45" s="6" t="s">
        <v>118</v>
      </c>
      <c r="S45" s="7">
        <f>INDEX('面板-景气指数'!$37:$244,MATCH('面板-总览'!$R45,'面板-景气指数'!$A$37:$A$244,0),MATCH('面板-总览'!S$2,'面板-景气指数'!$36:$36,0))</f>
        <v>0.86037499999999989</v>
      </c>
      <c r="T45" s="7">
        <f>INDEX('面板-景气指数'!$37:$244,MATCH('面板-总览'!$R45,'面板-景气指数'!$A$37:$A$244,0),MATCH('面板-总览'!T$2,'面板-景气指数'!$36:$36,0))</f>
        <v>0.82737499999999986</v>
      </c>
      <c r="U45" s="7">
        <f>INDEX('面板-景气指数'!$37:$244,MATCH('面板-总览'!$R45,'面板-景气指数'!$A$37:$A$244,0),MATCH('面板-总览'!U$2,'面板-景气指数'!$36:$36,0))</f>
        <v>0.70906250000000004</v>
      </c>
      <c r="V45" s="7">
        <f>INDEX('面板-景气指数'!$37:$244,MATCH('面板-总览'!$R45,'面板-景气指数'!$A$37:$A$244,0),MATCH('面板-总览'!V$2,'面板-景气指数'!$36:$36,0))</f>
        <v>0.70262500000000006</v>
      </c>
      <c r="W45" s="7">
        <f>INDEX('面板-景气指数'!$37:$244,MATCH('面板-总览'!$R45,'面板-景气指数'!$A$37:$A$244,0),MATCH('面板-总览'!W$2,'面板-景气指数'!$36:$36,0))</f>
        <v>0.70518749999999986</v>
      </c>
      <c r="X45" s="7">
        <f>INDEX('面板-景气指数'!$37:$244,MATCH('面板-总览'!$R45,'面板-景气指数'!$A$37:$A$244,0),MATCH('面板-总览'!X$2,'面板-景气指数'!$36:$36,0))</f>
        <v>0.63756249999999992</v>
      </c>
      <c r="Y45" s="7">
        <f>INDEX('面板-景气指数'!$37:$244,MATCH('面板-总览'!$R45,'面板-景气指数'!$A$37:$A$244,0),MATCH('面板-总览'!Y$2,'面板-景气指数'!$36:$36,0))</f>
        <v>0.66212499999999985</v>
      </c>
      <c r="Z45" s="7">
        <f>INDEX('面板-景气指数'!$37:$244,MATCH('面板-总览'!$R45,'面板-景气指数'!$A$37:$A$244,0),MATCH('面板-总览'!Z$2,'面板-景气指数'!$36:$36,0))</f>
        <v>0.58968749999999992</v>
      </c>
      <c r="AA45" s="7">
        <f>INDEX('面板-景气指数'!$37:$244,MATCH('面板-总览'!$R45,'面板-景气指数'!$A$37:$A$244,0),MATCH('面板-总览'!AA$2,'面板-景气指数'!$36:$36,0))</f>
        <v>0.46937499999999999</v>
      </c>
      <c r="AB45" s="7">
        <f>INDEX('面板-景气指数'!$37:$244,MATCH('面板-总览'!$R45,'面板-景气指数'!$A$37:$A$244,0),MATCH('面板-总览'!AB$2,'面板-景气指数'!$36:$36,0))</f>
        <v>0.45518749999999997</v>
      </c>
      <c r="AC45" s="7">
        <f>INDEX('面板-景气指数'!$37:$244,MATCH('面板-总览'!$R45,'面板-景气指数'!$A$37:$A$244,0),MATCH('面板-总览'!AC$2,'面板-景气指数'!$36:$36,0))</f>
        <v>0.53337499999999993</v>
      </c>
      <c r="AD45" s="7">
        <f>INDEX('面板-景气指数'!$37:$244,MATCH('面板-总览'!$R45,'面板-景气指数'!$A$37:$A$244,0),MATCH('面板-总览'!AD$2,'面板-景气指数'!$36:$36,0))</f>
        <v>0.52237499999999992</v>
      </c>
      <c r="AE45" s="7">
        <f>INDEX('面板-景气指数'!$37:$244,MATCH('面板-总览'!$R45,'面板-景气指数'!$A$37:$A$244,0),MATCH('面板-总览'!AE$2,'面板-景气指数'!$36:$36,0))</f>
        <v>0.5414374999999999</v>
      </c>
      <c r="AG45" s="12">
        <f t="shared" si="1"/>
        <v>8.6249999999999938E-2</v>
      </c>
      <c r="AI45" s="6" t="s">
        <v>119</v>
      </c>
      <c r="AJ45" s="7">
        <f>INDEX('面板-景气指数'!$37:$244,MATCH('面板-总览'!$AI45,'面板-景气指数'!$A$37:$A$244,0),MATCH('面板-总览'!AJ$2,'面板-景气指数'!$36:$36,0))</f>
        <v>1.9E-2</v>
      </c>
      <c r="AK45" s="7">
        <f>INDEX('面板-景气指数'!$37:$244,MATCH('面板-总览'!$AI45,'面板-景气指数'!$A$37:$A$244,0),MATCH('面板-总览'!AK$2,'面板-景气指数'!$36:$36,0))</f>
        <v>5.6999999999999995E-2</v>
      </c>
      <c r="AL45" s="7">
        <f>INDEX('面板-景气指数'!$37:$244,MATCH('面板-总览'!$AI45,'面板-景气指数'!$A$37:$A$244,0),MATCH('面板-总览'!AL$2,'面板-景气指数'!$36:$36,0))</f>
        <v>0.14399999999999999</v>
      </c>
      <c r="AM45" s="7">
        <f>INDEX('面板-景气指数'!$37:$244,MATCH('面板-总览'!$AI45,'面板-景气指数'!$A$37:$A$244,0),MATCH('面板-总览'!AM$2,'面板-景气指数'!$36:$36,0))</f>
        <v>0.221</v>
      </c>
      <c r="AN45" s="7">
        <f>INDEX('面板-景气指数'!$37:$244,MATCH('面板-总览'!$AI45,'面板-景气指数'!$A$37:$A$244,0),MATCH('面板-总览'!AN$2,'面板-景气指数'!$36:$36,0))</f>
        <v>0.317</v>
      </c>
      <c r="AO45" s="7">
        <f>INDEX('面板-景气指数'!$37:$244,MATCH('面板-总览'!$AI45,'面板-景气指数'!$A$37:$A$244,0),MATCH('面板-总览'!AO$2,'面板-景气指数'!$36:$36,0))</f>
        <v>0.37499999999999994</v>
      </c>
      <c r="AP45" s="7">
        <f>INDEX('面板-景气指数'!$37:$244,MATCH('面板-总览'!$AI45,'面板-景气指数'!$A$37:$A$244,0),MATCH('面板-总览'!AP$2,'面板-景气指数'!$36:$36,0))</f>
        <v>0.42299999999999999</v>
      </c>
      <c r="AQ45" s="7">
        <f>INDEX('面板-景气指数'!$37:$244,MATCH('面板-总览'!$AI45,'面板-景气指数'!$A$37:$A$244,0),MATCH('面板-总览'!AQ$2,'面板-景气指数'!$36:$36,0))</f>
        <v>0.52800000000000002</v>
      </c>
      <c r="AR45" s="7">
        <f>INDEX('面板-景气指数'!$37:$244,MATCH('面板-总览'!$AI45,'面板-景气指数'!$A$37:$A$244,0),MATCH('面板-总览'!AR$2,'面板-景气指数'!$36:$36,0))</f>
        <v>0.67300000000000004</v>
      </c>
      <c r="AS45" s="7">
        <f>INDEX('面板-景气指数'!$37:$244,MATCH('面板-总览'!$AI45,'面板-景气指数'!$A$37:$A$244,0),MATCH('面板-总览'!AS$2,'面板-景气指数'!$36:$36,0))</f>
        <v>0.73</v>
      </c>
      <c r="AT45" s="7">
        <f>INDEX('面板-景气指数'!$37:$244,MATCH('面板-总览'!$AI45,'面板-景气指数'!$A$37:$A$244,0),MATCH('面板-总览'!AT$2,'面板-景气指数'!$36:$36,0))</f>
        <v>0.69199999999999995</v>
      </c>
      <c r="AU45" s="7">
        <f>INDEX('面板-景气指数'!$37:$244,MATCH('面板-总览'!$AI45,'面板-景气指数'!$A$37:$A$244,0),MATCH('面板-总览'!AU$2,'面板-景气指数'!$36:$36,0))</f>
        <v>0.61499999999999999</v>
      </c>
      <c r="AV45" s="7">
        <f>INDEX('面板-景气指数'!$37:$244,MATCH('面板-总览'!$AI45,'面板-景气指数'!$A$37:$A$244,0),MATCH('面板-总览'!AV$2,'面板-景气指数'!$36:$36,0))</f>
        <v>0.58599999999999997</v>
      </c>
      <c r="AX45" s="12">
        <f t="shared" si="2"/>
        <v>-0.14400000000000002</v>
      </c>
    </row>
    <row r="46" spans="1:50" ht="21" customHeight="1" x14ac:dyDescent="0.2">
      <c r="R46" s="6" t="s">
        <v>120</v>
      </c>
      <c r="S46" s="7">
        <f>INDEX('面板-景气指数'!$37:$244,MATCH('面板-总览'!$R46,'面板-景气指数'!$A$37:$A$244,0),MATCH('面板-总览'!S$2,'面板-景气指数'!$36:$36,0))</f>
        <v>0.93200000000000005</v>
      </c>
      <c r="T46" s="7">
        <f>INDEX('面板-景气指数'!$37:$244,MATCH('面板-总览'!$R46,'面板-景气指数'!$A$37:$A$244,0),MATCH('面板-总览'!T$2,'面板-景气指数'!$36:$36,0))</f>
        <v>0.97099999999999997</v>
      </c>
      <c r="U46" s="7">
        <f>INDEX('面板-景气指数'!$37:$244,MATCH('面板-总览'!$R46,'面板-景气指数'!$A$37:$A$244,0),MATCH('面板-总览'!U$2,'面板-景气指数'!$36:$36,0))</f>
        <v>0.99</v>
      </c>
      <c r="V46" s="7">
        <f>INDEX('面板-景气指数'!$37:$244,MATCH('面板-总览'!$R46,'面板-景气指数'!$A$37:$A$244,0),MATCH('面板-总览'!V$2,'面板-景气指数'!$36:$36,0))</f>
        <v>0.92300000000000004</v>
      </c>
      <c r="W46" s="7">
        <f>INDEX('面板-景气指数'!$37:$244,MATCH('面板-总览'!$R46,'面板-景气指数'!$A$37:$A$244,0),MATCH('面板-总览'!W$2,'面板-景气指数'!$36:$36,0))</f>
        <v>0.89400000000000002</v>
      </c>
      <c r="X46" s="7">
        <f>INDEX('面板-景气指数'!$37:$244,MATCH('面板-总览'!$R46,'面板-景气指数'!$A$37:$A$244,0),MATCH('面板-总览'!X$2,'面板-景气指数'!$36:$36,0))</f>
        <v>0.80700000000000005</v>
      </c>
      <c r="Y46" s="7">
        <f>INDEX('面板-景气指数'!$37:$244,MATCH('面板-总览'!$R46,'面板-景气指数'!$A$37:$A$244,0),MATCH('面板-总览'!Y$2,'面板-景气指数'!$36:$36,0))</f>
        <v>0.875</v>
      </c>
      <c r="Z46" s="7">
        <f>INDEX('面板-景气指数'!$37:$244,MATCH('面板-总览'!$R46,'面板-景气指数'!$A$37:$A$244,0),MATCH('面板-总览'!Z$2,'面板-景气指数'!$36:$36,0))</f>
        <v>0.57599999999999996</v>
      </c>
      <c r="AA46" s="7">
        <f>INDEX('面板-景气指数'!$37:$244,MATCH('面板-总览'!$R46,'面板-景气指数'!$A$37:$A$244,0),MATCH('面板-总览'!AA$2,'面板-景气指数'!$36:$36,0))</f>
        <v>0.14399999999999999</v>
      </c>
      <c r="AB46" s="7">
        <f>INDEX('面板-景气指数'!$37:$244,MATCH('面板-总览'!$R46,'面板-景气指数'!$A$37:$A$244,0),MATCH('面板-总览'!AB$2,'面板-景气指数'!$36:$36,0))</f>
        <v>8.5999999999999993E-2</v>
      </c>
      <c r="AC46" s="7">
        <f>INDEX('面板-景气指数'!$37:$244,MATCH('面板-总览'!$R46,'面板-景气指数'!$A$37:$A$244,0),MATCH('面板-总览'!AC$2,'面板-景气指数'!$36:$36,0))</f>
        <v>4.8000000000000001E-2</v>
      </c>
      <c r="AD46" s="7">
        <f>INDEX('面板-景气指数'!$37:$244,MATCH('面板-总览'!$R46,'面板-景气指数'!$A$37:$A$244,0),MATCH('面板-总览'!AD$2,'面板-景气指数'!$36:$36,0))</f>
        <v>7.5999999999999998E-2</v>
      </c>
      <c r="AE46" s="7">
        <f>INDEX('面板-景气指数'!$37:$244,MATCH('面板-总览'!$R46,'面板-景气指数'!$A$37:$A$244,0),MATCH('面板-总览'!AE$2,'面板-景气指数'!$36:$36,0))</f>
        <v>6.7000000000000004E-2</v>
      </c>
      <c r="AG46" s="12">
        <f t="shared" si="1"/>
        <v>-1.8999999999999989E-2</v>
      </c>
      <c r="AI46" s="6" t="s">
        <v>121</v>
      </c>
      <c r="AJ46" s="7">
        <f>INDEX('面板-景气指数'!$37:$244,MATCH('面板-总览'!$AI46,'面板-景气指数'!$A$37:$A$244,0),MATCH('面板-总览'!AJ$2,'面板-景气指数'!$36:$36,0))</f>
        <v>8.6000000000000007E-2</v>
      </c>
      <c r="AK46" s="7">
        <f>INDEX('面板-景气指数'!$37:$244,MATCH('面板-总览'!$AI46,'面板-景气指数'!$A$37:$A$244,0),MATCH('面板-总览'!AK$2,'面板-景气指数'!$36:$36,0))</f>
        <v>0.13900000000000001</v>
      </c>
      <c r="AL46" s="7">
        <f>INDEX('面板-景气指数'!$37:$244,MATCH('面板-总览'!$AI46,'面板-景气指数'!$A$37:$A$244,0),MATCH('面板-总览'!AL$2,'面板-景气指数'!$36:$36,0))</f>
        <v>0.23500000000000001</v>
      </c>
      <c r="AM46" s="7">
        <f>INDEX('面板-景气指数'!$37:$244,MATCH('面板-总览'!$AI46,'面板-景气指数'!$A$37:$A$244,0),MATCH('面板-总览'!AM$2,'面板-景气指数'!$36:$36,0))</f>
        <v>0.28799999999999998</v>
      </c>
      <c r="AN46" s="7">
        <f>INDEX('面板-景气指数'!$37:$244,MATCH('面板-总览'!$AI46,'面板-景气指数'!$A$37:$A$244,0),MATCH('面板-总览'!AN$2,'面板-景气指数'!$36:$36,0))</f>
        <v>0.29749999999999999</v>
      </c>
      <c r="AO46" s="7">
        <f>INDEX('面板-景气指数'!$37:$244,MATCH('面板-总览'!$AI46,'面板-景气指数'!$A$37:$A$244,0),MATCH('面板-总览'!AO$2,'面板-景气指数'!$36:$36,0))</f>
        <v>0.13450000000000001</v>
      </c>
      <c r="AP46" s="7">
        <f>INDEX('面板-景气指数'!$37:$244,MATCH('面板-总览'!$AI46,'面板-景气指数'!$A$37:$A$244,0),MATCH('面板-总览'!AP$2,'面板-景气指数'!$36:$36,0))</f>
        <v>0.17300000000000001</v>
      </c>
      <c r="AQ46" s="7">
        <f>INDEX('面板-景气指数'!$37:$244,MATCH('面板-总览'!$AI46,'面板-景气指数'!$A$37:$A$244,0),MATCH('面板-总览'!AQ$2,'面板-景气指数'!$36:$36,0))</f>
        <v>0.221</v>
      </c>
      <c r="AR46" s="7">
        <f>INDEX('面板-景气指数'!$37:$244,MATCH('面板-总览'!$AI46,'面板-景气指数'!$A$37:$A$244,0),MATCH('面板-总览'!AR$2,'面板-景气指数'!$36:$36,0))</f>
        <v>0.23500000000000001</v>
      </c>
      <c r="AS46" s="7">
        <f>INDEX('面板-景气指数'!$37:$244,MATCH('面板-总览'!$AI46,'面板-景气指数'!$A$37:$A$244,0),MATCH('面板-总览'!AS$2,'面板-景气指数'!$36:$36,0))</f>
        <v>0.30749999999999994</v>
      </c>
      <c r="AT46" s="7">
        <f>INDEX('面板-景气指数'!$37:$244,MATCH('面板-总览'!$AI46,'面板-景气指数'!$A$37:$A$244,0),MATCH('面板-总览'!AT$2,'面板-景气指数'!$36:$36,0))</f>
        <v>0.35049999999999998</v>
      </c>
      <c r="AU46" s="7">
        <f>INDEX('面板-景气指数'!$37:$244,MATCH('面板-总览'!$AI46,'面板-景气指数'!$A$37:$A$244,0),MATCH('面板-总览'!AU$2,'面板-景气指数'!$36:$36,0))</f>
        <v>0.45150000000000001</v>
      </c>
      <c r="AV46" s="7">
        <f>INDEX('面板-景气指数'!$37:$244,MATCH('面板-总览'!$AI46,'面板-景气指数'!$A$37:$A$244,0),MATCH('面板-总览'!AV$2,'面板-景气指数'!$36:$36,0))</f>
        <v>0.47549999999999998</v>
      </c>
      <c r="AX46" s="12">
        <f t="shared" si="2"/>
        <v>0.16800000000000004</v>
      </c>
    </row>
    <row r="47" spans="1:50" ht="21" customHeight="1" x14ac:dyDescent="0.2">
      <c r="R47" s="6" t="s">
        <v>122</v>
      </c>
      <c r="S47" s="7">
        <f>INDEX('面板-景气指数'!$37:$244,MATCH('面板-总览'!$R47,'面板-景气指数'!$A$37:$A$244,0),MATCH('面板-总览'!S$2,'面板-景气指数'!$36:$36,0))</f>
        <v>0.56699999999999995</v>
      </c>
      <c r="T47" s="7">
        <f>INDEX('面板-景气指数'!$37:$244,MATCH('面板-总览'!$R47,'面板-景气指数'!$A$37:$A$244,0),MATCH('面板-总览'!T$2,'面板-景气指数'!$36:$36,0))</f>
        <v>0.56699999999999995</v>
      </c>
      <c r="U47" s="7">
        <f>INDEX('面板-景气指数'!$37:$244,MATCH('面板-总览'!$R47,'面板-景气指数'!$A$37:$A$244,0),MATCH('面板-总览'!U$2,'面板-景气指数'!$36:$36,0))</f>
        <v>0.56699999999999995</v>
      </c>
      <c r="V47" s="7">
        <f>INDEX('面板-景气指数'!$37:$244,MATCH('面板-总览'!$R47,'面板-景气指数'!$A$37:$A$244,0),MATCH('面板-总览'!V$2,'面板-景气指数'!$36:$36,0))</f>
        <v>0.56699999999999995</v>
      </c>
      <c r="W47" s="7">
        <f>INDEX('面板-景气指数'!$37:$244,MATCH('面板-总览'!$R47,'面板-景气指数'!$A$37:$A$244,0),MATCH('面板-总览'!W$2,'面板-景气指数'!$36:$36,0))</f>
        <v>0.56699999999999995</v>
      </c>
      <c r="X47" s="7">
        <f>INDEX('面板-景气指数'!$37:$244,MATCH('面板-总览'!$R47,'面板-景气指数'!$A$37:$A$244,0),MATCH('面板-总览'!X$2,'面板-景气指数'!$36:$36,0))</f>
        <v>0.56699999999999995</v>
      </c>
      <c r="Y47" s="7">
        <f>INDEX('面板-景气指数'!$37:$244,MATCH('面板-总览'!$R47,'面板-景气指数'!$A$37:$A$244,0),MATCH('面板-总览'!Y$2,'面板-景气指数'!$36:$36,0))</f>
        <v>0.56699999999999995</v>
      </c>
      <c r="Z47" s="7">
        <f>INDEX('面板-景气指数'!$37:$244,MATCH('面板-总览'!$R47,'面板-景气指数'!$A$37:$A$244,0),MATCH('面板-总览'!Z$2,'面板-景气指数'!$36:$36,0))</f>
        <v>0.56699999999999995</v>
      </c>
      <c r="AA47" s="7">
        <f>INDEX('面板-景气指数'!$37:$244,MATCH('面板-总览'!$R47,'面板-景气指数'!$A$37:$A$244,0),MATCH('面板-总览'!AA$2,'面板-景气指数'!$36:$36,0))</f>
        <v>0.56699999999999995</v>
      </c>
      <c r="AB47" s="7">
        <f>INDEX('面板-景气指数'!$37:$244,MATCH('面板-总览'!$R47,'面板-景气指数'!$A$37:$A$244,0),MATCH('面板-总览'!AB$2,'面板-景气指数'!$36:$36,0))</f>
        <v>0.56699999999999995</v>
      </c>
      <c r="AC47" s="7">
        <f>INDEX('面板-景气指数'!$37:$244,MATCH('面板-总览'!$R47,'面板-景气指数'!$A$37:$A$244,0),MATCH('面板-总览'!AC$2,'面板-景气指数'!$36:$36,0))</f>
        <v>0.56699999999999995</v>
      </c>
      <c r="AD47" s="7">
        <f>INDEX('面板-景气指数'!$37:$244,MATCH('面板-总览'!$R47,'面板-景气指数'!$A$37:$A$244,0),MATCH('面板-总览'!AD$2,'面板-景气指数'!$36:$36,0))</f>
        <v>0.56699999999999995</v>
      </c>
      <c r="AE47" s="7">
        <f>INDEX('面板-景气指数'!$37:$244,MATCH('面板-总览'!$R47,'面板-景气指数'!$A$37:$A$244,0),MATCH('面板-总览'!AE$2,'面板-景气指数'!$36:$36,0))</f>
        <v>0.56699999999999995</v>
      </c>
      <c r="AG47" s="12">
        <f t="shared" si="1"/>
        <v>0</v>
      </c>
      <c r="AI47" s="6" t="s">
        <v>123</v>
      </c>
      <c r="AJ47" s="7">
        <f>INDEX('面板-景气指数'!$37:$244,MATCH('面板-总览'!$AI47,'面板-景气指数'!$A$37:$A$244,0),MATCH('面板-总览'!AJ$2,'面板-景气指数'!$36:$36,0))</f>
        <v>0.25900000000000001</v>
      </c>
      <c r="AK47" s="7">
        <f>INDEX('面板-景气指数'!$37:$244,MATCH('面板-总览'!$AI47,'面板-景气指数'!$A$37:$A$244,0),MATCH('面板-总览'!AK$2,'面板-景气指数'!$36:$36,0))</f>
        <v>0.43199999999999994</v>
      </c>
      <c r="AL47" s="7">
        <f>INDEX('面板-景气指数'!$37:$244,MATCH('面板-总览'!$AI47,'面板-景气指数'!$A$37:$A$244,0),MATCH('面板-总览'!AL$2,'面板-景气指数'!$36:$36,0))</f>
        <v>0.66300000000000003</v>
      </c>
      <c r="AM47" s="7">
        <f>INDEX('面板-景气指数'!$37:$244,MATCH('面板-总览'!$AI47,'面板-景气指数'!$A$37:$A$244,0),MATCH('面板-总览'!AM$2,'面板-景气指数'!$36:$36,0))</f>
        <v>0.60499999999999998</v>
      </c>
      <c r="AN47" s="7">
        <f>INDEX('面板-景气指数'!$37:$244,MATCH('面板-总览'!$AI47,'面板-景气指数'!$A$37:$A$244,0),MATCH('面板-总览'!AN$2,'面板-景气指数'!$36:$36,0))</f>
        <v>0.76899999999999991</v>
      </c>
      <c r="AO47" s="7">
        <f>INDEX('面板-景气指数'!$37:$244,MATCH('面板-总览'!$AI47,'面板-景气指数'!$A$37:$A$244,0),MATCH('面板-总览'!AO$2,'面板-景气指数'!$36:$36,0))</f>
        <v>0.78799999999999992</v>
      </c>
      <c r="AP47" s="7">
        <f>INDEX('面板-景气指数'!$37:$244,MATCH('面板-总览'!$AI47,'面板-景气指数'!$A$37:$A$244,0),MATCH('面板-总览'!AP$2,'面板-景气指数'!$36:$36,0))</f>
        <v>0.77800000000000002</v>
      </c>
      <c r="AQ47" s="7">
        <f>INDEX('面板-景气指数'!$37:$244,MATCH('面板-总览'!$AI47,'面板-景气指数'!$A$37:$A$244,0),MATCH('面板-总览'!AQ$2,'面板-景气指数'!$36:$36,0))</f>
        <v>0.71099999999999997</v>
      </c>
      <c r="AR47" s="7">
        <f>INDEX('面板-景气指数'!$37:$244,MATCH('面板-总览'!$AI47,'面板-景气指数'!$A$37:$A$244,0),MATCH('面板-总览'!AR$2,'面板-景气指数'!$36:$36,0))</f>
        <v>0.69199999999999995</v>
      </c>
      <c r="AS47" s="7">
        <f>INDEX('面板-景气指数'!$37:$244,MATCH('面板-总览'!$AI47,'面板-景气指数'!$A$37:$A$244,0),MATCH('面板-总览'!AS$2,'面板-景气指数'!$36:$36,0))</f>
        <v>0.70099999999999996</v>
      </c>
      <c r="AT47" s="7">
        <f>INDEX('面板-景气指数'!$37:$244,MATCH('面板-总览'!$AI47,'面板-景气指数'!$A$37:$A$244,0),MATCH('面板-总览'!AT$2,'面板-景气指数'!$36:$36,0))</f>
        <v>0.59599999999999997</v>
      </c>
      <c r="AU47" s="7">
        <f>INDEX('面板-景气指数'!$37:$244,MATCH('面板-总览'!$AI47,'面板-景气指数'!$A$37:$A$244,0),MATCH('面板-总览'!AU$2,'面板-景气指数'!$36:$36,0))</f>
        <v>0.61499999999999999</v>
      </c>
      <c r="AV47" s="7">
        <f>INDEX('面板-景气指数'!$37:$244,MATCH('面板-总览'!$AI47,'面板-景气指数'!$A$37:$A$244,0),MATCH('面板-总览'!AV$2,'面板-景气指数'!$36:$36,0))</f>
        <v>0.317</v>
      </c>
      <c r="AX47" s="12">
        <f t="shared" si="2"/>
        <v>-0.38399999999999995</v>
      </c>
    </row>
    <row r="48" spans="1:50" ht="21" customHeight="1" x14ac:dyDescent="0.2">
      <c r="R48" s="6" t="s">
        <v>124</v>
      </c>
      <c r="S48" s="7">
        <f>INDEX('面板-景气指数'!$37:$244,MATCH('面板-总览'!$R48,'面板-景气指数'!$A$37:$A$244,0),MATCH('面板-总览'!S$2,'面板-景气指数'!$36:$36,0))</f>
        <v>0.64100000000000001</v>
      </c>
      <c r="T48" s="7">
        <f>INDEX('面板-景气指数'!$37:$244,MATCH('面板-总览'!$R48,'面板-景气指数'!$A$37:$A$244,0),MATCH('面板-总览'!T$2,'面板-景气指数'!$36:$36,0))</f>
        <v>0.64100000000000001</v>
      </c>
      <c r="U48" s="7">
        <f>INDEX('面板-景气指数'!$37:$244,MATCH('面板-总览'!$R48,'面板-景气指数'!$A$37:$A$244,0),MATCH('面板-总览'!U$2,'面板-景气指数'!$36:$36,0))</f>
        <v>0.64100000000000001</v>
      </c>
      <c r="V48" s="7">
        <f>INDEX('面板-景气指数'!$37:$244,MATCH('面板-总览'!$R48,'面板-景气指数'!$A$37:$A$244,0),MATCH('面板-总览'!V$2,'面板-景气指数'!$36:$36,0))</f>
        <v>0.64100000000000001</v>
      </c>
      <c r="W48" s="7">
        <f>INDEX('面板-景气指数'!$37:$244,MATCH('面板-总览'!$R48,'面板-景气指数'!$A$37:$A$244,0),MATCH('面板-总览'!W$2,'面板-景气指数'!$36:$36,0))</f>
        <v>0.64100000000000001</v>
      </c>
      <c r="X48" s="7">
        <f>INDEX('面板-景气指数'!$37:$244,MATCH('面板-总览'!$R48,'面板-景气指数'!$A$37:$A$244,0),MATCH('面板-总览'!X$2,'面板-景气指数'!$36:$36,0))</f>
        <v>0.64100000000000001</v>
      </c>
      <c r="Y48" s="7">
        <f>INDEX('面板-景气指数'!$37:$244,MATCH('面板-总览'!$R48,'面板-景气指数'!$A$37:$A$244,0),MATCH('面板-总览'!Y$2,'面板-景气指数'!$36:$36,0))</f>
        <v>0.64100000000000001</v>
      </c>
      <c r="Z48" s="7">
        <f>INDEX('面板-景气指数'!$37:$244,MATCH('面板-总览'!$R48,'面板-景气指数'!$A$37:$A$244,0),MATCH('面板-总览'!Z$2,'面板-景气指数'!$36:$36,0))</f>
        <v>0.64100000000000001</v>
      </c>
      <c r="AA48" s="7">
        <f>INDEX('面板-景气指数'!$37:$244,MATCH('面板-总览'!$R48,'面板-景气指数'!$A$37:$A$244,0),MATCH('面板-总览'!AA$2,'面板-景气指数'!$36:$36,0))</f>
        <v>0.64100000000000001</v>
      </c>
      <c r="AB48" s="7">
        <f>INDEX('面板-景气指数'!$37:$244,MATCH('面板-总览'!$R48,'面板-景气指数'!$A$37:$A$244,0),MATCH('面板-总览'!AB$2,'面板-景气指数'!$36:$36,0))</f>
        <v>0.64100000000000001</v>
      </c>
      <c r="AC48" s="7">
        <f>INDEX('面板-景气指数'!$37:$244,MATCH('面板-总览'!$R48,'面板-景气指数'!$A$37:$A$244,0),MATCH('面板-总览'!AC$2,'面板-景气指数'!$36:$36,0))</f>
        <v>0.64100000000000001</v>
      </c>
      <c r="AD48" s="7">
        <f>INDEX('面板-景气指数'!$37:$244,MATCH('面板-总览'!$R48,'面板-景气指数'!$A$37:$A$244,0),MATCH('面板-总览'!AD$2,'面板-景气指数'!$36:$36,0))</f>
        <v>0.64100000000000001</v>
      </c>
      <c r="AE48" s="7">
        <f>INDEX('面板-景气指数'!$37:$244,MATCH('面板-总览'!$R48,'面板-景气指数'!$A$37:$A$244,0),MATCH('面板-总览'!AE$2,'面板-景气指数'!$36:$36,0))</f>
        <v>0.64100000000000001</v>
      </c>
      <c r="AG48" s="12">
        <f t="shared" si="1"/>
        <v>0</v>
      </c>
      <c r="AI48" s="6" t="s">
        <v>125</v>
      </c>
      <c r="AJ48" s="7">
        <f>INDEX('面板-景气指数'!$37:$244,MATCH('面板-总览'!$AI48,'面板-景气指数'!$A$37:$A$244,0),MATCH('面板-总览'!AJ$2,'面板-景气指数'!$36:$36,0))</f>
        <v>0.40100000000000002</v>
      </c>
      <c r="AK48" s="7">
        <f>INDEX('面板-景气指数'!$37:$244,MATCH('面板-总览'!$AI48,'面板-景气指数'!$A$37:$A$244,0),MATCH('面板-总览'!AK$2,'面板-景气指数'!$36:$36,0))</f>
        <v>0.46925</v>
      </c>
      <c r="AL48" s="7">
        <f>INDEX('面板-景气指数'!$37:$244,MATCH('面板-总览'!$AI48,'面板-景气指数'!$A$37:$A$244,0),MATCH('面板-总览'!AL$2,'面板-景气指数'!$36:$36,0))</f>
        <v>0.5585</v>
      </c>
      <c r="AM48" s="7">
        <f>INDEX('面板-景气指数'!$37:$244,MATCH('面板-总览'!$AI48,'面板-景气指数'!$A$37:$A$244,0),MATCH('面板-总览'!AM$2,'面板-景气指数'!$36:$36,0))</f>
        <v>0.627</v>
      </c>
      <c r="AN48" s="7">
        <f>INDEX('面板-景气指数'!$37:$244,MATCH('面板-总览'!$AI48,'面板-景气指数'!$A$37:$A$244,0),MATCH('面板-总览'!AN$2,'面板-景气指数'!$36:$36,0))</f>
        <v>0.63325000000000009</v>
      </c>
      <c r="AO48" s="7">
        <f>INDEX('面板-景气指数'!$37:$244,MATCH('面板-总览'!$AI48,'面板-景气指数'!$A$37:$A$244,0),MATCH('面板-总览'!AO$2,'面板-景气指数'!$36:$36,0))</f>
        <v>0.67399999999999993</v>
      </c>
      <c r="AP48" s="7">
        <f>INDEX('面板-景气指数'!$37:$244,MATCH('面板-总览'!$AI48,'面板-景气指数'!$A$37:$A$244,0),MATCH('面板-总览'!AP$2,'面板-景气指数'!$36:$36,0))</f>
        <v>0.66199999999999992</v>
      </c>
      <c r="AQ48" s="7">
        <f>INDEX('面板-景气指数'!$37:$244,MATCH('面板-总览'!$AI48,'面板-景气指数'!$A$37:$A$244,0),MATCH('面板-总览'!AQ$2,'面板-景气指数'!$36:$36,0))</f>
        <v>0.66949999999999998</v>
      </c>
      <c r="AR48" s="7">
        <f>INDEX('面板-景气指数'!$37:$244,MATCH('面板-总览'!$AI48,'面板-景气指数'!$A$37:$A$244,0),MATCH('面板-总览'!AR$2,'面板-景气指数'!$36:$36,0))</f>
        <v>0.68825000000000003</v>
      </c>
      <c r="AS48" s="7">
        <f>INDEX('面板-景气指数'!$37:$244,MATCH('面板-总览'!$AI48,'面板-景气指数'!$A$37:$A$244,0),MATCH('面板-总览'!AS$2,'面板-景气指数'!$36:$36,0))</f>
        <v>0.72199999999999998</v>
      </c>
      <c r="AT48" s="7">
        <f>INDEX('面板-景气指数'!$37:$244,MATCH('面板-总览'!$AI48,'面板-景气指数'!$A$37:$A$244,0),MATCH('面板-总览'!AT$2,'面板-景气指数'!$36:$36,0))</f>
        <v>0.70550000000000002</v>
      </c>
      <c r="AU48" s="7">
        <f>INDEX('面板-景气指数'!$37:$244,MATCH('面板-总览'!$AI48,'面板-景气指数'!$A$37:$A$244,0),MATCH('面板-总览'!AU$2,'面板-景气指数'!$36:$36,0))</f>
        <v>0.7054999999999999</v>
      </c>
      <c r="AV48" s="7">
        <f>INDEX('面板-景气指数'!$37:$244,MATCH('面板-总览'!$AI48,'面板-景气指数'!$A$37:$A$244,0),MATCH('面板-总览'!AV$2,'面板-景气指数'!$36:$36,0))</f>
        <v>0.70025000000000004</v>
      </c>
      <c r="AX48" s="12">
        <f t="shared" si="2"/>
        <v>-2.1749999999999936E-2</v>
      </c>
    </row>
    <row r="49" spans="18:50" ht="21" customHeight="1" x14ac:dyDescent="0.2">
      <c r="R49" s="6" t="s">
        <v>126</v>
      </c>
      <c r="S49" s="7">
        <f>INDEX('面板-景气指数'!$37:$244,MATCH('面板-总览'!$R49,'面板-景气指数'!$A$37:$A$244,0),MATCH('面板-总览'!S$2,'面板-景气指数'!$36:$36,0))</f>
        <v>0.53800000000000003</v>
      </c>
      <c r="T49" s="7">
        <f>INDEX('面板-景气指数'!$37:$244,MATCH('面板-总览'!$R49,'面板-景气指数'!$A$37:$A$244,0),MATCH('面板-总览'!T$2,'面板-景气指数'!$36:$36,0))</f>
        <v>0.5</v>
      </c>
      <c r="U49" s="7">
        <f>INDEX('面板-景气指数'!$37:$244,MATCH('面板-总览'!$R49,'面板-景气指数'!$A$37:$A$244,0),MATCH('面板-总览'!U$2,'面板-景气指数'!$36:$36,0))</f>
        <v>0.45100000000000001</v>
      </c>
      <c r="V49" s="7">
        <f>INDEX('面板-景气指数'!$37:$244,MATCH('面板-总览'!$R49,'面板-景气指数'!$A$37:$A$244,0),MATCH('面板-总览'!V$2,'面板-景气指数'!$36:$36,0))</f>
        <v>0.42300000000000004</v>
      </c>
      <c r="W49" s="7">
        <f>INDEX('面板-景气指数'!$37:$244,MATCH('面板-总览'!$R49,'面板-景气指数'!$A$37:$A$244,0),MATCH('面板-总览'!W$2,'面板-景气指数'!$36:$36,0))</f>
        <v>0.25900000000000001</v>
      </c>
      <c r="X49" s="7">
        <f>INDEX('面板-景气指数'!$37:$244,MATCH('面板-总览'!$R49,'面板-景气指数'!$A$37:$A$244,0),MATCH('面板-总览'!X$2,'面板-景气指数'!$36:$36,0))</f>
        <v>0.221</v>
      </c>
      <c r="Y49" s="7">
        <f>INDEX('面板-景气指数'!$37:$244,MATCH('面板-总览'!$R49,'面板-景气指数'!$A$37:$A$244,0),MATCH('面板-总览'!Y$2,'面板-景气指数'!$36:$36,0))</f>
        <v>0.192</v>
      </c>
      <c r="Z49" s="7">
        <f>INDEX('面板-景气指数'!$37:$244,MATCH('面板-总览'!$R49,'面板-景气指数'!$A$37:$A$244,0),MATCH('面板-总览'!Z$2,'面板-景气指数'!$36:$36,0))</f>
        <v>0.115</v>
      </c>
      <c r="AA49" s="7">
        <f>INDEX('面板-景气指数'!$37:$244,MATCH('面板-总览'!$R49,'面板-景气指数'!$A$37:$A$244,0),MATCH('面板-总览'!AA$2,'面板-景气指数'!$36:$36,0))</f>
        <v>0.115</v>
      </c>
      <c r="AB49" s="7">
        <f>INDEX('面板-景气指数'!$37:$244,MATCH('面板-总览'!$R49,'面板-景气指数'!$A$37:$A$244,0),MATCH('面板-总览'!AB$2,'面板-景气指数'!$36:$36,0))</f>
        <v>0.115</v>
      </c>
      <c r="AC49" s="7">
        <f>INDEX('面板-景气指数'!$37:$244,MATCH('面板-总览'!$R49,'面板-景气指数'!$A$37:$A$244,0),MATCH('面板-总览'!AC$2,'面板-景气指数'!$36:$36,0))</f>
        <v>0.115</v>
      </c>
      <c r="AD49" s="7">
        <f>INDEX('面板-景气指数'!$37:$244,MATCH('面板-总览'!$R49,'面板-景气指数'!$A$37:$A$244,0),MATCH('面板-总览'!AD$2,'面板-景气指数'!$36:$36,0))</f>
        <v>0.115</v>
      </c>
      <c r="AE49" s="7">
        <f>INDEX('面板-景气指数'!$37:$244,MATCH('面板-总览'!$R49,'面板-景气指数'!$A$37:$A$244,0),MATCH('面板-总览'!AE$2,'面板-景气指数'!$36:$36,0))</f>
        <v>0.115</v>
      </c>
      <c r="AG49" s="12">
        <f t="shared" si="1"/>
        <v>0</v>
      </c>
      <c r="AI49" s="6" t="s">
        <v>127</v>
      </c>
      <c r="AJ49" s="7">
        <f>INDEX('面板-景气指数'!$37:$244,MATCH('面板-总览'!$AI49,'面板-景气指数'!$A$37:$A$244,0),MATCH('面板-总览'!AJ$2,'面板-景气指数'!$36:$36,0))</f>
        <v>0.125</v>
      </c>
      <c r="AK49" s="7">
        <f>INDEX('面板-景气指数'!$37:$244,MATCH('面板-总览'!$AI49,'面板-景气指数'!$A$37:$A$244,0),MATCH('面板-总览'!AK$2,'面板-景气指数'!$36:$36,0))</f>
        <v>0.14399999999999999</v>
      </c>
      <c r="AL49" s="7">
        <f>INDEX('面板-景气指数'!$37:$244,MATCH('面板-总览'!$AI49,'面板-景气指数'!$A$37:$A$244,0),MATCH('面板-总览'!AL$2,'面板-景气指数'!$36:$36,0))</f>
        <v>0.182</v>
      </c>
      <c r="AM49" s="7">
        <f>INDEX('面板-景气指数'!$37:$244,MATCH('面板-总览'!$AI49,'面板-景气指数'!$A$37:$A$244,0),MATCH('面板-总览'!AM$2,'面板-景气指数'!$36:$36,0))</f>
        <v>0.105</v>
      </c>
      <c r="AN49" s="7">
        <f>INDEX('面板-景气指数'!$37:$244,MATCH('面板-总览'!$AI49,'面板-景气指数'!$A$37:$A$244,0),MATCH('面板-总览'!AN$2,'面板-景气指数'!$36:$36,0))</f>
        <v>0.21099999999999999</v>
      </c>
      <c r="AO49" s="7">
        <f>INDEX('面板-景气指数'!$37:$244,MATCH('面板-总览'!$AI49,'面板-景气指数'!$A$37:$A$244,0),MATCH('面板-总览'!AO$2,'面板-景气指数'!$36:$36,0))</f>
        <v>0.625</v>
      </c>
      <c r="AP49" s="7">
        <f>INDEX('面板-景气指数'!$37:$244,MATCH('面板-总览'!$AI49,'面板-景气指数'!$A$37:$A$244,0),MATCH('面板-总览'!AP$2,'面板-景气指数'!$36:$36,0))</f>
        <v>0.82600000000000007</v>
      </c>
      <c r="AQ49" s="7">
        <f>INDEX('面板-景气指数'!$37:$244,MATCH('面板-总览'!$AI49,'面板-景气指数'!$A$37:$A$244,0),MATCH('面板-总览'!AQ$2,'面板-景气指数'!$36:$36,0))</f>
        <v>0.93200000000000005</v>
      </c>
      <c r="AR49" s="7">
        <f>INDEX('面板-景气指数'!$37:$244,MATCH('面板-总览'!$AI49,'面板-景气指数'!$A$37:$A$244,0),MATCH('面板-总览'!AR$2,'面板-景气指数'!$36:$36,0))</f>
        <v>0.91300000000000003</v>
      </c>
      <c r="AS49" s="7">
        <f>INDEX('面板-景气指数'!$37:$244,MATCH('面板-总览'!$AI49,'面板-景气指数'!$A$37:$A$244,0),MATCH('面板-总览'!AS$2,'面板-景气指数'!$36:$36,0))</f>
        <v>0.84599999999999997</v>
      </c>
      <c r="AT49" s="7">
        <f>INDEX('面板-景气指数'!$37:$244,MATCH('面板-总览'!$AI49,'面板-景气指数'!$A$37:$A$244,0),MATCH('面板-总览'!AT$2,'面板-景气指数'!$36:$36,0))</f>
        <v>0.85499999999999998</v>
      </c>
      <c r="AU49" s="7">
        <f>INDEX('面板-景气指数'!$37:$244,MATCH('面板-总览'!$AI49,'面板-景气指数'!$A$37:$A$244,0),MATCH('面板-总览'!AU$2,'面板-景气指数'!$36:$36,0))</f>
        <v>0.89400000000000002</v>
      </c>
      <c r="AV49" s="7">
        <f>INDEX('面板-景气指数'!$37:$244,MATCH('面板-总览'!$AI49,'面板-景气指数'!$A$37:$A$244,0),MATCH('面板-总览'!AV$2,'面板-景气指数'!$36:$36,0))</f>
        <v>0.79800000000000015</v>
      </c>
      <c r="AX49" s="12">
        <f t="shared" si="2"/>
        <v>-4.7999999999999821E-2</v>
      </c>
    </row>
    <row r="50" spans="18:50" ht="21" customHeight="1" x14ac:dyDescent="0.2">
      <c r="R50" s="6" t="s">
        <v>128</v>
      </c>
      <c r="S50" s="7">
        <f>INDEX('面板-景气指数'!$37:$244,MATCH('面板-总览'!$R50,'面板-景气指数'!$A$37:$A$244,0),MATCH('面板-总览'!S$2,'面板-景气指数'!$36:$36,0))</f>
        <v>0.440356406578228</v>
      </c>
      <c r="T50" s="7">
        <f>INDEX('面板-景气指数'!$37:$244,MATCH('面板-总览'!$R50,'面板-景气指数'!$A$37:$A$244,0),MATCH('面板-总览'!T$2,'面板-景气指数'!$36:$36,0))</f>
        <v>0.48103751392098665</v>
      </c>
      <c r="U50" s="7">
        <f>INDEX('面板-景气指数'!$37:$244,MATCH('面板-总览'!$R50,'面板-景气指数'!$A$37:$A$244,0),MATCH('面板-总览'!U$2,'面板-景气指数'!$36:$36,0))</f>
        <v>0.48803722018179679</v>
      </c>
      <c r="V50" s="7">
        <f>INDEX('面板-景气指数'!$37:$244,MATCH('面板-总览'!$R50,'面板-景气指数'!$A$37:$A$244,0),MATCH('面板-总览'!V$2,'面板-景气指数'!$36:$36,0))</f>
        <v>0.52489353665610106</v>
      </c>
      <c r="W50" s="7">
        <f>INDEX('面板-景气指数'!$37:$244,MATCH('面板-总览'!$R50,'面板-景气指数'!$A$37:$A$244,0),MATCH('面板-总览'!W$2,'面板-景气指数'!$36:$36,0))</f>
        <v>0.58875102808716406</v>
      </c>
      <c r="X50" s="7">
        <f>INDEX('面板-景气指数'!$37:$244,MATCH('面板-总览'!$R50,'面板-景气指数'!$A$37:$A$244,0),MATCH('面板-总览'!X$2,'面板-景气指数'!$36:$36,0))</f>
        <v>0.6004170393970294</v>
      </c>
      <c r="Y50" s="7">
        <f>INDEX('面板-景气指数'!$37:$244,MATCH('面板-总览'!$R50,'面板-景气指数'!$A$37:$A$244,0),MATCH('面板-总览'!Y$2,'面板-景气指数'!$36:$36,0))</f>
        <v>0.59183934447493025</v>
      </c>
      <c r="Z50" s="7">
        <f>INDEX('面板-景气指数'!$37:$244,MATCH('面板-总览'!$R50,'面板-景气指数'!$A$37:$A$244,0),MATCH('面板-总览'!Z$2,'面板-景气指数'!$36:$36,0))</f>
        <v>0.53616183048182875</v>
      </c>
      <c r="AA50" s="7">
        <f>INDEX('面板-景气指数'!$37:$244,MATCH('面板-总览'!$R50,'面板-景气指数'!$A$37:$A$244,0),MATCH('面板-总览'!AA$2,'面板-景气指数'!$36:$36,0))</f>
        <v>0.58331609042122978</v>
      </c>
      <c r="AB50" s="7">
        <f>INDEX('面板-景气指数'!$37:$244,MATCH('面板-总览'!$R50,'面板-景气指数'!$A$37:$A$244,0),MATCH('面板-总览'!AB$2,'面板-景气指数'!$36:$36,0))</f>
        <v>0.55157740118290932</v>
      </c>
      <c r="AC50" s="7">
        <f>INDEX('面板-景气指数'!$37:$244,MATCH('面板-总览'!$R50,'面板-景气指数'!$A$37:$A$244,0),MATCH('面板-总览'!AC$2,'面板-景气指数'!$36:$36,0))</f>
        <v>0.55273416961913235</v>
      </c>
      <c r="AD50" s="7">
        <f>INDEX('面板-景气指数'!$37:$244,MATCH('面板-总览'!$R50,'面板-景气指数'!$A$37:$A$244,0),MATCH('面板-总览'!AD$2,'面板-景气指数'!$36:$36,0))</f>
        <v>0.53736413570395958</v>
      </c>
      <c r="AE50" s="7">
        <f>INDEX('面板-景气指数'!$37:$244,MATCH('面板-总览'!$R50,'面板-景气指数'!$A$37:$A$244,0),MATCH('面板-总览'!AE$2,'面板-景气指数'!$36:$36,0))</f>
        <v>0.54224366118000222</v>
      </c>
      <c r="AG50" s="12">
        <f t="shared" si="1"/>
        <v>-9.3337400029070983E-3</v>
      </c>
      <c r="AI50" s="6" t="s">
        <v>129</v>
      </c>
      <c r="AJ50" s="7">
        <f>INDEX('面板-景气指数'!$37:$244,MATCH('面板-总览'!$AI50,'面板-景气指数'!$A$37:$A$244,0),MATCH('面板-总览'!AJ$2,'面板-景气指数'!$36:$36,0))</f>
        <v>0.20099999999999998</v>
      </c>
      <c r="AK50" s="7">
        <f>INDEX('面板-景气指数'!$37:$244,MATCH('面板-总览'!$AI50,'面板-景气指数'!$A$37:$A$244,0),MATCH('面板-总览'!AK$2,'面板-景气指数'!$36:$36,0))</f>
        <v>0.21099999999999999</v>
      </c>
      <c r="AL50" s="7">
        <f>INDEX('面板-景气指数'!$37:$244,MATCH('面板-总览'!$AI50,'面板-景气指数'!$A$37:$A$244,0),MATCH('面板-总览'!AL$2,'面板-景气指数'!$36:$36,0))</f>
        <v>0.221</v>
      </c>
      <c r="AM50" s="7">
        <f>INDEX('面板-景气指数'!$37:$244,MATCH('面板-总览'!$AI50,'面板-景气指数'!$A$37:$A$244,0),MATCH('面板-总览'!AM$2,'面板-景气指数'!$36:$36,0))</f>
        <v>0.25</v>
      </c>
      <c r="AN50" s="7">
        <f>INDEX('面板-景气指数'!$37:$244,MATCH('面板-总览'!$AI50,'面板-景气指数'!$A$37:$A$244,0),MATCH('面板-总览'!AN$2,'面板-景气指数'!$36:$36,0))</f>
        <v>0.45100000000000001</v>
      </c>
      <c r="AO50" s="7">
        <f>INDEX('面板-景气指数'!$37:$244,MATCH('面板-总览'!$AI50,'面板-景气指数'!$A$37:$A$244,0),MATCH('面板-总览'!AO$2,'面板-景气指数'!$36:$36,0))</f>
        <v>0.93200000000000005</v>
      </c>
      <c r="AP50" s="7">
        <f>INDEX('面板-景气指数'!$37:$244,MATCH('面板-总览'!$AI50,'面板-景气指数'!$A$37:$A$244,0),MATCH('面板-总览'!AP$2,'面板-景气指数'!$36:$36,0))</f>
        <v>0.94200000000000006</v>
      </c>
      <c r="AQ50" s="7">
        <f>INDEX('面板-景气指数'!$37:$244,MATCH('面板-总览'!$AI50,'面板-景气指数'!$A$37:$A$244,0),MATCH('面板-总览'!AQ$2,'面板-景气指数'!$36:$36,0))</f>
        <v>0.99</v>
      </c>
      <c r="AR50" s="7">
        <f>INDEX('面板-景气指数'!$37:$244,MATCH('面板-总览'!$AI50,'面板-景气指数'!$A$37:$A$244,0),MATCH('面板-总览'!AR$2,'面板-景气指数'!$36:$36,0))</f>
        <v>0.97099999999999997</v>
      </c>
      <c r="AS50" s="7">
        <f>INDEX('面板-景气指数'!$37:$244,MATCH('面板-总览'!$AI50,'面板-景气指数'!$A$37:$A$244,0),MATCH('面板-总览'!AS$2,'面板-景气指数'!$36:$36,0))</f>
        <v>0.95099999999999996</v>
      </c>
      <c r="AT50" s="7">
        <f>INDEX('面板-景气指数'!$37:$244,MATCH('面板-总览'!$AI50,'面板-景气指数'!$A$37:$A$244,0),MATCH('面板-总览'!AT$2,'面板-景气指数'!$36:$36,0))</f>
        <v>0.96100000000000008</v>
      </c>
      <c r="AU50" s="7">
        <f>INDEX('面板-景气指数'!$37:$244,MATCH('面板-总览'!$AI50,'面板-景气指数'!$A$37:$A$244,0),MATCH('面板-总览'!AU$2,'面板-景气指数'!$36:$36,0))</f>
        <v>1</v>
      </c>
      <c r="AV50" s="7">
        <f>INDEX('面板-景气指数'!$37:$244,MATCH('面板-总览'!$AI50,'面板-景气指数'!$A$37:$A$244,0),MATCH('面板-总览'!AV$2,'面板-景气指数'!$36:$36,0))</f>
        <v>0.97999999999999987</v>
      </c>
      <c r="AX50" s="12">
        <f t="shared" si="2"/>
        <v>2.8999999999999915E-2</v>
      </c>
    </row>
    <row r="51" spans="18:50" ht="21" customHeight="1" x14ac:dyDescent="0.2">
      <c r="AI51" s="6" t="s">
        <v>130</v>
      </c>
      <c r="AJ51" s="7">
        <f>INDEX('面板-景气指数'!$37:$244,MATCH('面板-总览'!$AI51,'面板-景气指数'!$A$37:$A$244,0),MATCH('面板-总览'!AJ$2,'面板-景气指数'!$36:$36,0))</f>
        <v>0.1585</v>
      </c>
      <c r="AK51" s="7">
        <f>INDEX('面板-景气指数'!$37:$244,MATCH('面板-总览'!$AI51,'面板-景气指数'!$A$37:$A$244,0),MATCH('面板-总览'!AK$2,'面板-景气指数'!$36:$36,0))</f>
        <v>0.22049999999999997</v>
      </c>
      <c r="AL51" s="7">
        <f>INDEX('面板-景气指数'!$37:$244,MATCH('面板-总览'!$AI51,'面板-景气指数'!$A$37:$A$244,0),MATCH('面板-总览'!AL$2,'面板-景气指数'!$36:$36,0))</f>
        <v>0.28299999999999997</v>
      </c>
      <c r="AM51" s="7">
        <f>INDEX('面板-景气指数'!$37:$244,MATCH('面板-总览'!$AI51,'面板-景气指数'!$A$37:$A$244,0),MATCH('面板-总览'!AM$2,'面板-景气指数'!$36:$36,0))</f>
        <v>0.34550000000000003</v>
      </c>
      <c r="AN51" s="7">
        <f>INDEX('面板-景气指数'!$37:$244,MATCH('面板-总览'!$AI51,'面板-景气指数'!$A$37:$A$244,0),MATCH('面板-总览'!AN$2,'面板-景气指数'!$36:$36,0))</f>
        <v>0.50449999999999995</v>
      </c>
      <c r="AO51" s="7">
        <f>INDEX('面板-景气指数'!$37:$244,MATCH('面板-总览'!$AI51,'面板-景气指数'!$A$37:$A$244,0),MATCH('面板-总览'!AO$2,'面板-景气指数'!$36:$36,0))</f>
        <v>0.57150000000000001</v>
      </c>
      <c r="AP51" s="7">
        <f>INDEX('面板-景气指数'!$37:$244,MATCH('面板-总览'!$AI51,'面板-景气指数'!$A$37:$A$244,0),MATCH('面板-总览'!AP$2,'面板-景气指数'!$36:$36,0))</f>
        <v>0.59099999999999997</v>
      </c>
      <c r="AQ51" s="7">
        <f>INDEX('面板-景气指数'!$37:$244,MATCH('面板-总览'!$AI51,'面板-景气指数'!$A$37:$A$244,0),MATCH('面板-总览'!AQ$2,'面板-景气指数'!$36:$36,0))</f>
        <v>0.66800000000000004</v>
      </c>
      <c r="AR51" s="7">
        <f>INDEX('面板-景气指数'!$37:$244,MATCH('面板-总览'!$AI51,'面板-景气指数'!$A$37:$A$244,0),MATCH('面板-总览'!AR$2,'面板-景气指数'!$36:$36,0))</f>
        <v>0.70650000000000002</v>
      </c>
      <c r="AS51" s="7">
        <f>INDEX('面板-景气指数'!$37:$244,MATCH('面板-总览'!$AI51,'面板-景气指数'!$A$37:$A$244,0),MATCH('面板-总览'!AS$2,'面板-景气指数'!$36:$36,0))</f>
        <v>0.67249999999999999</v>
      </c>
      <c r="AT51" s="7">
        <f>INDEX('面板-景气指数'!$37:$244,MATCH('面板-总览'!$AI51,'面板-景气指数'!$A$37:$A$244,0),MATCH('面板-总览'!AT$2,'面板-景气指数'!$36:$36,0))</f>
        <v>0.60549999999999993</v>
      </c>
      <c r="AU51" s="7">
        <f>INDEX('面板-景气指数'!$37:$244,MATCH('面板-总览'!$AI51,'面板-景气指数'!$A$37:$A$244,0),MATCH('面板-总览'!AU$2,'面板-景气指数'!$36:$36,0))</f>
        <v>0.57650000000000001</v>
      </c>
      <c r="AV51" s="7">
        <f>INDEX('面板-景气指数'!$37:$244,MATCH('面板-总览'!$AI51,'面板-景气指数'!$A$37:$A$244,0),MATCH('面板-总览'!AV$2,'面板-景气指数'!$36:$36,0))</f>
        <v>0.53799999999999992</v>
      </c>
      <c r="AX51" s="12">
        <f t="shared" si="2"/>
        <v>-0.13450000000000006</v>
      </c>
    </row>
    <row r="52" spans="18:50" ht="21" customHeight="1" x14ac:dyDescent="0.2">
      <c r="R52" s="19" t="s">
        <v>3</v>
      </c>
      <c r="S52" s="4">
        <v>45199</v>
      </c>
      <c r="T52" s="4">
        <v>45230</v>
      </c>
      <c r="U52" s="4">
        <v>45260</v>
      </c>
      <c r="V52" s="4">
        <v>45291</v>
      </c>
      <c r="W52" s="4">
        <v>45322</v>
      </c>
      <c r="X52" s="4">
        <v>45351</v>
      </c>
      <c r="Y52" s="4">
        <v>45382</v>
      </c>
      <c r="Z52" s="4">
        <v>45412</v>
      </c>
      <c r="AA52" s="4">
        <v>45443</v>
      </c>
      <c r="AB52" s="4">
        <v>45473</v>
      </c>
      <c r="AC52" s="4">
        <v>45504</v>
      </c>
      <c r="AD52" s="4">
        <v>45535</v>
      </c>
      <c r="AE52" s="4">
        <v>45565</v>
      </c>
      <c r="AF52" s="5" t="s">
        <v>4</v>
      </c>
      <c r="AG52" s="5"/>
      <c r="AI52" s="6" t="s">
        <v>131</v>
      </c>
      <c r="AJ52" s="7">
        <f>INDEX('面板-景气指数'!$37:$244,MATCH('面板-总览'!$AI52,'面板-景气指数'!$A$37:$A$244,0),MATCH('面板-总览'!AJ$2,'面板-景气指数'!$36:$36,0))</f>
        <v>0.48499999999999999</v>
      </c>
      <c r="AK52" s="7">
        <f>INDEX('面板-景气指数'!$37:$244,MATCH('面板-总览'!$AI52,'面板-景气指数'!$A$37:$A$244,0),MATCH('面板-总览'!AK$2,'面板-景气指数'!$36:$36,0))</f>
        <v>0.40350000000000003</v>
      </c>
      <c r="AL52" s="7">
        <f>INDEX('面板-景气指数'!$37:$244,MATCH('面板-总览'!$AI52,'面板-景气指数'!$A$37:$A$244,0),MATCH('面板-总览'!AL$2,'面板-景气指数'!$36:$36,0))</f>
        <v>0.34600000000000003</v>
      </c>
      <c r="AM52" s="7">
        <f>INDEX('面板-景气指数'!$37:$244,MATCH('面板-总览'!$AI52,'面板-景气指数'!$A$37:$A$244,0),MATCH('面板-总览'!AM$2,'面板-景气指数'!$36:$36,0))</f>
        <v>0.38900000000000001</v>
      </c>
      <c r="AN52" s="7">
        <f>INDEX('面板-景气指数'!$37:$244,MATCH('面板-总览'!$AI52,'面板-景气指数'!$A$37:$A$244,0),MATCH('面板-总览'!AN$2,'面板-景气指数'!$36:$36,0))</f>
        <v>0.33600000000000002</v>
      </c>
      <c r="AO52" s="7">
        <f>INDEX('面板-景气指数'!$37:$244,MATCH('面板-总览'!$AI52,'面板-景气指数'!$A$37:$A$244,0),MATCH('面板-总览'!AO$2,'面板-景气指数'!$36:$36,0))</f>
        <v>0.254</v>
      </c>
      <c r="AP52" s="7">
        <f>INDEX('面板-景气指数'!$37:$244,MATCH('面板-总览'!$AI52,'面板-景气指数'!$A$37:$A$244,0),MATCH('面板-总览'!AP$2,'面板-景气指数'!$36:$36,0))</f>
        <v>0.19149999999999998</v>
      </c>
      <c r="AQ52" s="7">
        <f>INDEX('面板-景气指数'!$37:$244,MATCH('面板-总览'!$AI52,'面板-景气指数'!$A$37:$A$244,0),MATCH('面板-总览'!AQ$2,'面板-景气指数'!$36:$36,0))</f>
        <v>0.21099999999999997</v>
      </c>
      <c r="AR52" s="7">
        <f>INDEX('面板-景气指数'!$37:$244,MATCH('面板-总览'!$AI52,'面板-景气指数'!$A$37:$A$244,0),MATCH('面板-总览'!AR$2,'面板-景气指数'!$36:$36,0))</f>
        <v>0.20599999999999999</v>
      </c>
      <c r="AS52" s="7">
        <f>INDEX('面板-景气指数'!$37:$244,MATCH('面板-总览'!$AI52,'面板-景气指数'!$A$37:$A$244,0),MATCH('面板-总览'!AS$2,'面板-景气指数'!$36:$36,0))</f>
        <v>0.23950000000000002</v>
      </c>
      <c r="AT52" s="7">
        <f>INDEX('面板-景气指数'!$37:$244,MATCH('面板-总览'!$AI52,'面板-景气指数'!$A$37:$A$244,0),MATCH('面板-总览'!AT$2,'面板-景气指数'!$36:$36,0))</f>
        <v>0.27349999999999997</v>
      </c>
      <c r="AU52" s="7">
        <f>INDEX('面板-景气指数'!$37:$244,MATCH('面板-总览'!$AI52,'面板-景气指数'!$A$37:$A$244,0),MATCH('面板-总览'!AU$2,'面板-景气指数'!$36:$36,0))</f>
        <v>0.32599999999999996</v>
      </c>
      <c r="AV52" s="7">
        <f>INDEX('面板-景气指数'!$37:$244,MATCH('面板-总览'!$AI52,'面板-景气指数'!$A$37:$A$244,0),MATCH('面板-总览'!AV$2,'面板-景气指数'!$36:$36,0))</f>
        <v>0.28799999999999998</v>
      </c>
      <c r="AX52" s="12">
        <f t="shared" si="2"/>
        <v>4.849999999999996E-2</v>
      </c>
    </row>
    <row r="53" spans="18:50" ht="21" customHeight="1" x14ac:dyDescent="0.2">
      <c r="R53" s="6" t="s">
        <v>132</v>
      </c>
      <c r="S53" s="7">
        <f>INDEX('面板-景气指数'!$37:$244,MATCH('面板-总览'!$R53,'面板-景气指数'!$A$37:$A$244,0),MATCH('面板-总览'!S$2,'面板-景气指数'!$36:$36,0))</f>
        <v>0.69499999999999995</v>
      </c>
      <c r="T53" s="7">
        <f>INDEX('面板-景气指数'!$37:$244,MATCH('面板-总览'!$R53,'面板-景气指数'!$A$37:$A$244,0),MATCH('面板-总览'!T$2,'面板-景气指数'!$36:$36,0))</f>
        <v>0.80733333333333335</v>
      </c>
      <c r="U53" s="7">
        <f>INDEX('面板-景气指数'!$37:$244,MATCH('面板-总览'!$R53,'面板-景气指数'!$A$37:$A$244,0),MATCH('面板-总览'!U$2,'面板-景气指数'!$36:$36,0))</f>
        <v>0.85566666666666669</v>
      </c>
      <c r="V53" s="7">
        <f>INDEX('面板-景气指数'!$37:$244,MATCH('面板-总览'!$R53,'面板-景气指数'!$A$37:$A$244,0),MATCH('面板-总览'!V$2,'面板-景气指数'!$36:$36,0))</f>
        <v>0.86499999999999988</v>
      </c>
      <c r="W53" s="7">
        <f>INDEX('面板-景气指数'!$37:$244,MATCH('面板-总览'!$R53,'面板-景气指数'!$A$37:$A$244,0),MATCH('面板-总览'!W$2,'面板-景气指数'!$36:$36,0))</f>
        <v>0.80066666666666664</v>
      </c>
      <c r="X53" s="7">
        <f>INDEX('面板-景气指数'!$37:$244,MATCH('面板-总览'!$R53,'面板-景气指数'!$A$37:$A$244,0),MATCH('面板-总览'!X$2,'面板-景气指数'!$36:$36,0))</f>
        <v>0.67566666666666664</v>
      </c>
      <c r="Y53" s="7">
        <f>INDEX('面板-景气指数'!$37:$244,MATCH('面板-总览'!$R53,'面板-景气指数'!$A$37:$A$244,0),MATCH('面板-总览'!Y$2,'面板-景气指数'!$36:$36,0))</f>
        <v>0.67866666666666653</v>
      </c>
      <c r="Z53" s="7">
        <f>INDEX('面板-景气指数'!$37:$244,MATCH('面板-总览'!$R53,'面板-景气指数'!$A$37:$A$244,0),MATCH('面板-总览'!Z$2,'面板-景气指数'!$36:$36,0))</f>
        <v>0.6243333333333333</v>
      </c>
      <c r="AA53" s="7">
        <f>INDEX('面板-景气指数'!$37:$244,MATCH('面板-总览'!$R53,'面板-景气指数'!$A$37:$A$244,0),MATCH('面板-总览'!AA$2,'面板-景气指数'!$36:$36,0))</f>
        <v>0.4383333333333333</v>
      </c>
      <c r="AB53" s="7">
        <f>INDEX('面板-景气指数'!$37:$244,MATCH('面板-总览'!$R53,'面板-景气指数'!$A$37:$A$244,0),MATCH('面板-总览'!AB$2,'面板-景气指数'!$36:$36,0))</f>
        <v>0.30733333333333329</v>
      </c>
      <c r="AC53" s="7">
        <f>INDEX('面板-景气指数'!$37:$244,MATCH('面板-总览'!$R53,'面板-景气指数'!$A$37:$A$244,0),MATCH('面板-总览'!AC$2,'面板-景气指数'!$36:$36,0))</f>
        <v>0.307</v>
      </c>
      <c r="AD53" s="7">
        <f>INDEX('面板-景气指数'!$37:$244,MATCH('面板-总览'!$R53,'面板-景气指数'!$A$37:$A$244,0),MATCH('面板-总览'!AD$2,'面板-景气指数'!$36:$36,0))</f>
        <v>0.27833333333333332</v>
      </c>
      <c r="AE53" s="7">
        <f>INDEX('面板-景气指数'!$37:$244,MATCH('面板-总览'!$R53,'面板-景气指数'!$A$37:$A$244,0),MATCH('面板-总览'!AE$2,'面板-景气指数'!$36:$36,0))</f>
        <v>0.29766666666666663</v>
      </c>
      <c r="AG53" s="12">
        <f t="shared" ref="AG53:AG101" si="3">AE53-AB53</f>
        <v>-9.6666666666666567E-3</v>
      </c>
      <c r="AI53" s="6" t="s">
        <v>133</v>
      </c>
      <c r="AJ53" s="7">
        <f>INDEX('面板-景气指数'!$37:$244,MATCH('面板-总览'!$AI53,'面板-景气指数'!$A$37:$A$244,0),MATCH('面板-总览'!AJ$2,'面板-景气指数'!$36:$36,0))</f>
        <v>4.766666666666667E-2</v>
      </c>
      <c r="AK53" s="7">
        <f>INDEX('面板-景气指数'!$37:$244,MATCH('面板-总览'!$AI53,'面板-景气指数'!$A$37:$A$244,0),MATCH('面板-总览'!AK$2,'面板-景气指数'!$36:$36,0))</f>
        <v>6.9999999999999993E-2</v>
      </c>
      <c r="AL53" s="7">
        <f>INDEX('面板-景气指数'!$37:$244,MATCH('面板-总览'!$AI53,'面板-景气指数'!$A$37:$A$244,0),MATCH('面板-总览'!AL$2,'面板-景气指数'!$36:$36,0))</f>
        <v>6.9999999999999993E-2</v>
      </c>
      <c r="AM53" s="7">
        <f>INDEX('面板-景气指数'!$37:$244,MATCH('面板-总览'!$AI53,'面板-景气指数'!$A$37:$A$244,0),MATCH('面板-总览'!AM$2,'面板-景气指数'!$36:$36,0))</f>
        <v>8.6000000000000007E-2</v>
      </c>
      <c r="AN53" s="7">
        <f>INDEX('面板-景气指数'!$37:$244,MATCH('面板-总览'!$AI53,'面板-景气指数'!$A$37:$A$244,0),MATCH('面板-总览'!AN$2,'面板-景气指数'!$36:$36,0))</f>
        <v>0.12733333333333335</v>
      </c>
      <c r="AO53" s="7">
        <f>INDEX('面板-景气指数'!$37:$244,MATCH('面板-总览'!$AI53,'面板-景气指数'!$A$37:$A$244,0),MATCH('面板-总览'!AO$2,'面板-景气指数'!$36:$36,0))</f>
        <v>0.24033333333333334</v>
      </c>
      <c r="AP53" s="7">
        <f>INDEX('面板-景气指数'!$37:$244,MATCH('面板-总览'!$AI53,'面板-景气指数'!$A$37:$A$244,0),MATCH('面板-总览'!AP$2,'面板-景气指数'!$36:$36,0))</f>
        <v>0.41000000000000009</v>
      </c>
      <c r="AQ53" s="7">
        <f>INDEX('面板-景气指数'!$37:$244,MATCH('面板-总览'!$AI53,'面板-景气指数'!$A$37:$A$244,0),MATCH('面板-总览'!AQ$2,'面板-景气指数'!$36:$36,0))</f>
        <v>0.50600000000000001</v>
      </c>
      <c r="AR53" s="7">
        <f>INDEX('面板-景气指数'!$37:$244,MATCH('面板-总览'!$AI53,'面板-景气指数'!$A$37:$A$244,0),MATCH('面板-总览'!AR$2,'面板-景气指数'!$36:$36,0))</f>
        <v>0.57333333333333336</v>
      </c>
      <c r="AS53" s="7">
        <f>INDEX('面板-景气指数'!$37:$244,MATCH('面板-总览'!$AI53,'面板-景气指数'!$A$37:$A$244,0),MATCH('面板-总览'!AS$2,'面板-景气指数'!$36:$36,0))</f>
        <v>0.56066666666666676</v>
      </c>
      <c r="AT53" s="7">
        <f>INDEX('面板-景气指数'!$37:$244,MATCH('面板-总览'!$AI53,'面板-景气指数'!$A$37:$A$244,0),MATCH('面板-总览'!AT$2,'面板-景气指数'!$36:$36,0))</f>
        <v>0.60566666666666669</v>
      </c>
      <c r="AU53" s="7">
        <f>INDEX('面板-景气指数'!$37:$244,MATCH('面板-总览'!$AI53,'面板-景气指数'!$A$37:$A$244,0),MATCH('面板-总览'!AU$2,'面板-景气指数'!$36:$36,0))</f>
        <v>0.68233333333333335</v>
      </c>
      <c r="AV53" s="7">
        <f>INDEX('面板-景气指数'!$37:$244,MATCH('面板-总览'!$AI53,'面板-景气指数'!$A$37:$A$244,0),MATCH('面板-总览'!AV$2,'面板-景气指数'!$36:$36,0))</f>
        <v>0.65633333333333344</v>
      </c>
      <c r="AX53" s="12">
        <f t="shared" si="2"/>
        <v>9.5666666666666678E-2</v>
      </c>
    </row>
    <row r="54" spans="18:50" ht="21" customHeight="1" x14ac:dyDescent="0.2">
      <c r="R54" s="6" t="s">
        <v>134</v>
      </c>
      <c r="S54" s="7">
        <f>INDEX('面板-景气指数'!$37:$244,MATCH('面板-总览'!$R54,'面板-景气指数'!$A$37:$A$244,0),MATCH('面板-总览'!S$2,'面板-景气指数'!$36:$36,0))</f>
        <v>0.61099999999999999</v>
      </c>
      <c r="T54" s="7">
        <f>INDEX('面板-景气指数'!$37:$244,MATCH('面板-总览'!$R54,'面板-景气指数'!$A$37:$A$244,0),MATCH('面板-总览'!T$2,'面板-景气指数'!$36:$36,0))</f>
        <v>0.79600000000000004</v>
      </c>
      <c r="U54" s="7">
        <f>INDEX('面板-景气指数'!$37:$244,MATCH('面板-总览'!$R54,'面板-景气指数'!$A$37:$A$244,0),MATCH('面板-总览'!U$2,'面板-景气指数'!$36:$36,0))</f>
        <v>0.90200000000000002</v>
      </c>
      <c r="V54" s="7">
        <f>INDEX('面板-景气指数'!$37:$244,MATCH('面板-总览'!$R54,'面板-景气指数'!$A$37:$A$244,0),MATCH('面板-总览'!V$2,'面板-景气指数'!$36:$36,0))</f>
        <v>0.95100000000000007</v>
      </c>
      <c r="W54" s="7">
        <f>INDEX('面板-景气指数'!$37:$244,MATCH('面板-总览'!$R54,'面板-景气指数'!$A$37:$A$244,0),MATCH('面板-总览'!W$2,'面板-景气指数'!$36:$36,0))</f>
        <v>0.96100000000000008</v>
      </c>
      <c r="X54" s="7">
        <f>INDEX('面板-景气指数'!$37:$244,MATCH('面板-总览'!$R54,'面板-景气指数'!$A$37:$A$244,0),MATCH('面板-总览'!X$2,'面板-景气指数'!$36:$36,0))</f>
        <v>0.52400000000000002</v>
      </c>
      <c r="Y54" s="7">
        <f>INDEX('面板-景气指数'!$37:$244,MATCH('面板-总览'!$R54,'面板-景气指数'!$A$37:$A$244,0),MATCH('面板-总览'!Y$2,'面板-景气指数'!$36:$36,0))</f>
        <v>0.70799999999999996</v>
      </c>
      <c r="Z54" s="7">
        <f>INDEX('面板-景气指数'!$37:$244,MATCH('面板-总览'!$R54,'面板-景气指数'!$A$37:$A$244,0),MATCH('面板-总览'!Z$2,'面板-景气指数'!$36:$36,0))</f>
        <v>0.54300000000000004</v>
      </c>
      <c r="AA54" s="7">
        <f>INDEX('面板-景气指数'!$37:$244,MATCH('面板-总览'!$R54,'面板-景气指数'!$A$37:$A$244,0),MATCH('面板-总览'!AA$2,'面板-景气指数'!$36:$36,0))</f>
        <v>0.436</v>
      </c>
      <c r="AB54" s="7">
        <f>INDEX('面板-景气指数'!$37:$244,MATCH('面板-总览'!$R54,'面板-景气指数'!$A$37:$A$244,0),MATCH('面板-总览'!AB$2,'面板-景气指数'!$36:$36,0))</f>
        <v>0.39800000000000002</v>
      </c>
      <c r="AC54" s="7">
        <f>INDEX('面板-景气指数'!$37:$244,MATCH('面板-总览'!$R54,'面板-景气指数'!$A$37:$A$244,0),MATCH('面板-总览'!AC$2,'面板-景气指数'!$36:$36,0))</f>
        <v>0.33</v>
      </c>
      <c r="AD54" s="7">
        <f>INDEX('面板-景气指数'!$37:$244,MATCH('面板-总览'!$R54,'面板-景气指数'!$A$37:$A$244,0),MATCH('面板-总览'!AD$2,'面板-景气指数'!$36:$36,0))</f>
        <v>0.5</v>
      </c>
      <c r="AE54" s="7">
        <f>INDEX('面板-景气指数'!$37:$244,MATCH('面板-总览'!$R54,'面板-景气指数'!$A$37:$A$244,0),MATCH('面板-总览'!AE$2,'面板-景气指数'!$36:$36,0))</f>
        <v>0.17399999999999999</v>
      </c>
      <c r="AG54" s="12">
        <f t="shared" si="3"/>
        <v>-0.22400000000000003</v>
      </c>
      <c r="AI54" s="6" t="s">
        <v>135</v>
      </c>
      <c r="AJ54" s="7">
        <f>INDEX('面板-景气指数'!$37:$244,MATCH('面板-总览'!$AI54,'面板-景气指数'!$A$37:$A$244,0),MATCH('面板-总览'!AJ$2,'面板-景气指数'!$36:$36,0))</f>
        <v>0.27800000000000002</v>
      </c>
      <c r="AK54" s="7">
        <f>INDEX('面板-景气指数'!$37:$244,MATCH('面板-总览'!$AI54,'面板-景气指数'!$A$37:$A$244,0),MATCH('面板-总览'!AK$2,'面板-景气指数'!$36:$36,0))</f>
        <v>0.28799999999999998</v>
      </c>
      <c r="AL54" s="7">
        <f>INDEX('面板-景气指数'!$37:$244,MATCH('面板-总览'!$AI54,'面板-景气指数'!$A$37:$A$244,0),MATCH('面板-总览'!AL$2,'面板-景气指数'!$36:$36,0))</f>
        <v>0.29799999999999999</v>
      </c>
      <c r="AM54" s="7">
        <f>INDEX('面板-景气指数'!$37:$244,MATCH('面板-总览'!$AI54,'面板-景气指数'!$A$37:$A$244,0),MATCH('面板-总览'!AM$2,'面板-景气指数'!$36:$36,0))</f>
        <v>0.307</v>
      </c>
      <c r="AN54" s="7">
        <f>INDEX('面板-景气指数'!$37:$244,MATCH('面板-总览'!$AI54,'面板-景气指数'!$A$37:$A$244,0),MATCH('面板-总览'!AN$2,'面板-景气指数'!$36:$36,0))</f>
        <v>0.34599999999999997</v>
      </c>
      <c r="AO54" s="7">
        <f>INDEX('面板-景气指数'!$37:$244,MATCH('面板-总览'!$AI54,'面板-景气指数'!$A$37:$A$244,0),MATCH('面板-总览'!AO$2,'面板-景气指数'!$36:$36,0))</f>
        <v>0.432</v>
      </c>
      <c r="AP54" s="7">
        <f>INDEX('面板-景气指数'!$37:$244,MATCH('面板-总览'!$AI54,'面板-景气指数'!$A$37:$A$244,0),MATCH('面板-总览'!AP$2,'面板-景气指数'!$36:$36,0))</f>
        <v>0.51900000000000002</v>
      </c>
      <c r="AQ54" s="7">
        <f>INDEX('面板-景气指数'!$37:$244,MATCH('面板-总览'!$AI54,'面板-景气指数'!$A$37:$A$244,0),MATCH('面板-总览'!AQ$2,'面板-景气指数'!$36:$36,0))</f>
        <v>0.61499999999999999</v>
      </c>
      <c r="AR54" s="7">
        <f>INDEX('面板-景气指数'!$37:$244,MATCH('面板-总览'!$AI54,'面板-景气指数'!$A$37:$A$244,0),MATCH('面板-总览'!AR$2,'面板-景气指数'!$36:$36,0))</f>
        <v>0.65300000000000002</v>
      </c>
      <c r="AS54" s="7">
        <f>INDEX('面板-景气指数'!$37:$244,MATCH('面板-总览'!$AI54,'面板-景气指数'!$A$37:$A$244,0),MATCH('面板-总览'!AS$2,'面板-景气指数'!$36:$36,0))</f>
        <v>0.68200000000000016</v>
      </c>
      <c r="AT54" s="7">
        <f>INDEX('面板-景气指数'!$37:$244,MATCH('面板-总览'!$AI54,'面板-景气指数'!$A$37:$A$244,0),MATCH('面板-总览'!AT$2,'面板-景气指数'!$36:$36,0))</f>
        <v>0.66300000000000003</v>
      </c>
      <c r="AU54" s="7">
        <f>INDEX('面板-景气指数'!$37:$244,MATCH('面板-总览'!$AI54,'面板-景气指数'!$A$37:$A$244,0),MATCH('面板-总览'!AU$2,'面板-景气指数'!$36:$36,0))</f>
        <v>0.69199999999999995</v>
      </c>
      <c r="AV54" s="7">
        <f>INDEX('面板-景气指数'!$37:$244,MATCH('面板-总览'!$AI54,'面板-景气指数'!$A$37:$A$244,0),MATCH('面板-总览'!AV$2,'面板-景气指数'!$36:$36,0))</f>
        <v>0.625</v>
      </c>
      <c r="AX54" s="12">
        <f t="shared" si="2"/>
        <v>-5.7000000000000162E-2</v>
      </c>
    </row>
    <row r="55" spans="18:50" ht="21" customHeight="1" x14ac:dyDescent="0.2">
      <c r="R55" s="6" t="s">
        <v>136</v>
      </c>
      <c r="S55" s="7">
        <f>INDEX('面板-景气指数'!$37:$244,MATCH('面板-总览'!$R55,'面板-景气指数'!$A$37:$A$244,0),MATCH('面板-总览'!S$2,'面板-景气指数'!$36:$36,0))</f>
        <v>0.47100000000000003</v>
      </c>
      <c r="T55" s="7">
        <f>INDEX('面板-景气指数'!$37:$244,MATCH('面板-总览'!$R55,'面板-景气指数'!$A$37:$A$244,0),MATCH('面板-总览'!T$2,'面板-景气指数'!$36:$36,0))</f>
        <v>0.49</v>
      </c>
      <c r="U55" s="7">
        <f>INDEX('面板-景气指数'!$37:$244,MATCH('面板-总览'!$R55,'面板-景气指数'!$A$37:$A$244,0),MATCH('面板-总览'!U$2,'面板-景气指数'!$36:$36,0))</f>
        <v>0.56699999999999995</v>
      </c>
      <c r="V55" s="7">
        <f>INDEX('面板-景气指数'!$37:$244,MATCH('面板-总览'!$R55,'面板-景气指数'!$A$37:$A$244,0),MATCH('面板-总览'!V$2,'面板-景气指数'!$36:$36,0))</f>
        <v>0.65300000000000002</v>
      </c>
      <c r="W55" s="7">
        <f>INDEX('面板-景气指数'!$37:$244,MATCH('面板-总览'!$R55,'面板-景气指数'!$A$37:$A$244,0),MATCH('面板-总览'!W$2,'面板-景气指数'!$36:$36,0))</f>
        <v>0.89400000000000002</v>
      </c>
      <c r="X55" s="7">
        <f>INDEX('面板-景气指数'!$37:$244,MATCH('面板-总览'!$R55,'面板-景气指数'!$A$37:$A$244,0),MATCH('面板-总览'!X$2,'面板-景气指数'!$36:$36,0))</f>
        <v>0.77800000000000002</v>
      </c>
      <c r="Y55" s="7">
        <f>INDEX('面板-景气指数'!$37:$244,MATCH('面板-总览'!$R55,'面板-景气指数'!$A$37:$A$244,0),MATCH('面板-总览'!Y$2,'面板-景气指数'!$36:$36,0))</f>
        <v>0.75900000000000001</v>
      </c>
      <c r="Z55" s="7">
        <f>INDEX('面板-景气指数'!$37:$244,MATCH('面板-总览'!$R55,'面板-景气指数'!$A$37:$A$244,0),MATCH('面板-总览'!Z$2,'面板-景气指数'!$36:$36,0))</f>
        <v>0.55700000000000005</v>
      </c>
      <c r="AA55" s="7">
        <f>INDEX('面板-景气指数'!$37:$244,MATCH('面板-总览'!$R55,'面板-景气指数'!$A$37:$A$244,0),MATCH('面板-总览'!AA$2,'面板-景气指数'!$36:$36,0))</f>
        <v>0.70099999999999996</v>
      </c>
      <c r="AB55" s="7">
        <f>INDEX('面板-景气指数'!$37:$244,MATCH('面板-总览'!$R55,'面板-景气指数'!$A$37:$A$244,0),MATCH('面板-总览'!AB$2,'面板-景气指数'!$36:$36,0))</f>
        <v>0.82600000000000007</v>
      </c>
      <c r="AC55" s="7">
        <f>INDEX('面板-景气指数'!$37:$244,MATCH('面板-总览'!$R55,'面板-景气指数'!$A$37:$A$244,0),MATCH('面板-总览'!AC$2,'面板-景气指数'!$36:$36,0))</f>
        <v>0.86499999999999999</v>
      </c>
      <c r="AD55" s="7">
        <f>INDEX('面板-景气指数'!$37:$244,MATCH('面板-总览'!$R55,'面板-景气指数'!$A$37:$A$244,0),MATCH('面板-总览'!AD$2,'面板-景气指数'!$36:$36,0))</f>
        <v>0.79800000000000004</v>
      </c>
      <c r="AE55" s="7">
        <f>INDEX('面板-景气指数'!$37:$244,MATCH('面板-总览'!$R55,'面板-景气指数'!$A$37:$A$244,0),MATCH('面板-总览'!AE$2,'面板-景气指数'!$36:$36,0))</f>
        <v>0.69199999999999995</v>
      </c>
      <c r="AG55" s="12">
        <f t="shared" si="3"/>
        <v>-0.13400000000000012</v>
      </c>
      <c r="AI55" s="6" t="s">
        <v>137</v>
      </c>
      <c r="AJ55" s="7">
        <f>INDEX('面板-景气指数'!$37:$244,MATCH('面板-总览'!$AI55,'面板-景气指数'!$A$37:$A$244,0),MATCH('面板-总览'!AJ$2,'面板-景气指数'!$36:$36,0))</f>
        <v>0.49985714285714278</v>
      </c>
      <c r="AK55" s="7">
        <f>INDEX('面板-景气指数'!$37:$244,MATCH('面板-总览'!$AI55,'面板-景气指数'!$A$37:$A$244,0),MATCH('面板-总览'!AK$2,'面板-景气指数'!$36:$36,0))</f>
        <v>0.45114285714285707</v>
      </c>
      <c r="AL55" s="7">
        <f>INDEX('面板-景气指数'!$37:$244,MATCH('面板-总览'!$AI55,'面板-景气指数'!$A$37:$A$244,0),MATCH('面板-总览'!AL$2,'面板-景气指数'!$36:$36,0))</f>
        <v>0.3924285714285714</v>
      </c>
      <c r="AM55" s="7">
        <f>INDEX('面板-景气指数'!$37:$244,MATCH('面板-总览'!$AI55,'面板-景气指数'!$A$37:$A$244,0),MATCH('面板-总览'!AM$2,'面板-景气指数'!$36:$36,0))</f>
        <v>0.36899999999999994</v>
      </c>
      <c r="AN55" s="7">
        <f>INDEX('面板-景气指数'!$37:$244,MATCH('面板-总览'!$AI55,'面板-景气指数'!$A$37:$A$244,0),MATCH('面板-总览'!AN$2,'面板-景气指数'!$36:$36,0))</f>
        <v>0.37014285714285711</v>
      </c>
      <c r="AO55" s="7">
        <f>INDEX('面板-景气指数'!$37:$244,MATCH('面板-总览'!$AI55,'面板-景气指数'!$A$37:$A$244,0),MATCH('面板-总览'!AO$2,'面板-景气指数'!$36:$36,0))</f>
        <v>0.40499999999999986</v>
      </c>
      <c r="AP55" s="7">
        <f>INDEX('面板-景气指数'!$37:$244,MATCH('面板-总览'!$AI55,'面板-景气指数'!$A$37:$A$244,0),MATCH('面板-总览'!AP$2,'面板-景气指数'!$36:$36,0))</f>
        <v>0.44414285714285706</v>
      </c>
      <c r="AQ55" s="7">
        <f>INDEX('面板-景气指数'!$37:$244,MATCH('面板-总览'!$AI55,'面板-景气指数'!$A$37:$A$244,0),MATCH('面板-总览'!AQ$2,'面板-景气指数'!$36:$36,0))</f>
        <v>0.51457142857142846</v>
      </c>
      <c r="AR55" s="7">
        <f>INDEX('面板-景气指数'!$37:$244,MATCH('面板-总览'!$AI55,'面板-景气指数'!$A$37:$A$244,0),MATCH('面板-总览'!AR$2,'面板-景气指数'!$36:$36,0))</f>
        <v>0.52357142857142858</v>
      </c>
      <c r="AS55" s="7">
        <f>INDEX('面板-景气指数'!$37:$244,MATCH('面板-总览'!$AI55,'面板-景气指数'!$A$37:$A$244,0),MATCH('面板-总览'!AS$2,'面板-景气指数'!$36:$36,0))</f>
        <v>0.54099999999999993</v>
      </c>
      <c r="AT55" s="7">
        <f>INDEX('面板-景气指数'!$37:$244,MATCH('面板-总览'!$AI55,'面板-景气指数'!$A$37:$A$244,0),MATCH('面板-总览'!AT$2,'面板-景气指数'!$36:$36,0))</f>
        <v>0.51442857142857135</v>
      </c>
      <c r="AU55" s="7">
        <f>INDEX('面板-景气指数'!$37:$244,MATCH('面板-总览'!$AI55,'面板-景气指数'!$A$37:$A$244,0),MATCH('面板-总览'!AU$2,'面板-景气指数'!$36:$36,0))</f>
        <v>0.47999999999999987</v>
      </c>
      <c r="AV55" s="7">
        <f>INDEX('面板-景气指数'!$37:$244,MATCH('面板-总览'!$AI55,'面板-景气指数'!$A$37:$A$244,0),MATCH('面板-总览'!AV$2,'面板-景气指数'!$36:$36,0))</f>
        <v>0.45814285714285691</v>
      </c>
      <c r="AX55" s="12">
        <f t="shared" si="2"/>
        <v>-8.2857142857143018E-2</v>
      </c>
    </row>
    <row r="56" spans="18:50" ht="21" customHeight="1" x14ac:dyDescent="0.2">
      <c r="R56" s="6" t="s">
        <v>138</v>
      </c>
      <c r="S56" s="7">
        <f>INDEX('面板-景气指数'!$37:$244,MATCH('面板-总览'!$R56,'面板-景气指数'!$A$37:$A$244,0),MATCH('面板-总览'!S$2,'面板-景气指数'!$36:$36,0))</f>
        <v>0.69650000000000001</v>
      </c>
      <c r="T56" s="7">
        <f>INDEX('面板-景气指数'!$37:$244,MATCH('面板-总览'!$R56,'面板-景气指数'!$A$37:$A$244,0),MATCH('面板-总览'!T$2,'面板-景气指数'!$36:$36,0))</f>
        <v>0.7639999999999999</v>
      </c>
      <c r="U56" s="7">
        <f>INDEX('面板-景气指数'!$37:$244,MATCH('面板-总览'!$R56,'面板-景气指数'!$A$37:$A$244,0),MATCH('面板-总览'!U$2,'面板-景气指数'!$36:$36,0))</f>
        <v>0.84100000000000008</v>
      </c>
      <c r="V56" s="7">
        <f>INDEX('面板-景气指数'!$37:$244,MATCH('面板-总览'!$R56,'面板-景气指数'!$A$37:$A$244,0),MATCH('面板-总览'!V$2,'面板-景气指数'!$36:$36,0))</f>
        <v>0.88400000000000001</v>
      </c>
      <c r="W56" s="7">
        <f>INDEX('面板-景气指数'!$37:$244,MATCH('面板-总览'!$R56,'面板-景气指数'!$A$37:$A$244,0),MATCH('面板-总览'!W$2,'面板-景气指数'!$36:$36,0))</f>
        <v>0.80750000000000011</v>
      </c>
      <c r="X56" s="7">
        <f>INDEX('面板-景气指数'!$37:$244,MATCH('面板-总览'!$R56,'面板-景气指数'!$A$37:$A$244,0),MATCH('面板-总览'!X$2,'面板-景气指数'!$36:$36,0))</f>
        <v>0.63450000000000006</v>
      </c>
      <c r="Y56" s="7">
        <f>INDEX('面板-景气指数'!$37:$244,MATCH('面板-总览'!$R56,'面板-景气指数'!$A$37:$A$244,0),MATCH('面板-总览'!Y$2,'面板-景气指数'!$36:$36,0))</f>
        <v>0.58099999999999996</v>
      </c>
      <c r="Z56" s="7">
        <f>INDEX('面板-景气指数'!$37:$244,MATCH('面板-总览'!$R56,'面板-景气指数'!$A$37:$A$244,0),MATCH('面板-总览'!Z$2,'面板-景气指数'!$36:$36,0))</f>
        <v>0.58100000000000007</v>
      </c>
      <c r="AA56" s="7">
        <f>INDEX('面板-景气指数'!$37:$244,MATCH('面板-总览'!$R56,'面板-景气指数'!$A$37:$A$244,0),MATCH('面板-总览'!AA$2,'面板-景气指数'!$36:$36,0))</f>
        <v>0.46600000000000003</v>
      </c>
      <c r="AB56" s="7">
        <f>INDEX('面板-景气指数'!$37:$244,MATCH('面板-总览'!$R56,'面板-景气指数'!$A$37:$A$244,0),MATCH('面板-总览'!AB$2,'面板-景气指数'!$36:$36,0))</f>
        <v>0.42249999999999999</v>
      </c>
      <c r="AC56" s="7">
        <f>INDEX('面板-景气指数'!$37:$244,MATCH('面板-总览'!$R56,'面板-景气指数'!$A$37:$A$244,0),MATCH('面板-总览'!AC$2,'面板-景气指数'!$36:$36,0))</f>
        <v>0.38900000000000001</v>
      </c>
      <c r="AD56" s="7">
        <f>INDEX('面板-景气指数'!$37:$244,MATCH('面板-总览'!$R56,'面板-景气指数'!$A$37:$A$244,0),MATCH('面板-总览'!AD$2,'面板-景气指数'!$36:$36,0))</f>
        <v>0.36500000000000005</v>
      </c>
      <c r="AE56" s="7">
        <f>INDEX('面板-景气指数'!$37:$244,MATCH('面板-总览'!$R56,'面板-景气指数'!$A$37:$A$244,0),MATCH('面板-总览'!AE$2,'面板-景气指数'!$36:$36,0))</f>
        <v>0.38850000000000001</v>
      </c>
      <c r="AG56" s="12">
        <f t="shared" si="3"/>
        <v>-3.3999999999999975E-2</v>
      </c>
      <c r="AI56" s="6" t="s">
        <v>139</v>
      </c>
      <c r="AJ56" s="7">
        <f>INDEX('面板-景气指数'!$37:$244,MATCH('面板-总览'!$AI56,'面板-景气指数'!$A$37:$A$244,0),MATCH('面板-总览'!AJ$2,'面板-景气指数'!$36:$36,0))</f>
        <v>0.625</v>
      </c>
      <c r="AK56" s="7">
        <f>INDEX('面板-景气指数'!$37:$244,MATCH('面板-总览'!$AI56,'面板-景气指数'!$A$37:$A$244,0),MATCH('面板-总览'!AK$2,'面板-景气指数'!$36:$36,0))</f>
        <v>0.59599999999999997</v>
      </c>
      <c r="AL56" s="7">
        <f>INDEX('面板-景气指数'!$37:$244,MATCH('面板-总览'!$AI56,'面板-景气指数'!$A$37:$A$244,0),MATCH('面板-总览'!AL$2,'面板-景气指数'!$36:$36,0))</f>
        <v>0.68200000000000005</v>
      </c>
      <c r="AM56" s="7">
        <f>INDEX('面板-景气指数'!$37:$244,MATCH('面板-总览'!$AI56,'面板-景气指数'!$A$37:$A$244,0),MATCH('面板-总览'!AM$2,'面板-景气指数'!$36:$36,0))</f>
        <v>0.70099999999999996</v>
      </c>
      <c r="AN56" s="7">
        <f>INDEX('面板-景气指数'!$37:$244,MATCH('面板-总览'!$AI56,'面板-景气指数'!$A$37:$A$244,0),MATCH('面板-总览'!AN$2,'面板-景气指数'!$36:$36,0))</f>
        <v>0.80700000000000005</v>
      </c>
      <c r="AO56" s="7">
        <f>INDEX('面板-景气指数'!$37:$244,MATCH('面板-总览'!$AI56,'面板-景气指数'!$A$37:$A$244,0),MATCH('面板-总览'!AO$2,'面板-景气指数'!$36:$36,0))</f>
        <v>0.75900000000000001</v>
      </c>
      <c r="AP56" s="7">
        <f>INDEX('面板-景气指数'!$37:$244,MATCH('面板-总览'!$AI56,'面板-景气指数'!$A$37:$A$244,0),MATCH('面板-总览'!AP$2,'面板-景气指数'!$36:$36,0))</f>
        <v>0.82599999999999996</v>
      </c>
      <c r="AQ56" s="7">
        <f>INDEX('面板-景气指数'!$37:$244,MATCH('面板-总览'!$AI56,'面板-景气指数'!$A$37:$A$244,0),MATCH('面板-总览'!AQ$2,'面板-景气指数'!$36:$36,0))</f>
        <v>0.83599999999999997</v>
      </c>
      <c r="AR56" s="7">
        <f>INDEX('面板-景气指数'!$37:$244,MATCH('面板-总览'!$AI56,'面板-景气指数'!$A$37:$A$244,0),MATCH('面板-总览'!AR$2,'面板-景气指数'!$36:$36,0))</f>
        <v>0.90300000000000002</v>
      </c>
      <c r="AS56" s="7">
        <f>INDEX('面板-景气指数'!$37:$244,MATCH('面板-总览'!$AI56,'面板-景气指数'!$A$37:$A$244,0),MATCH('面板-总览'!AS$2,'面板-景气指数'!$36:$36,0))</f>
        <v>0.85499999999999998</v>
      </c>
      <c r="AT56" s="7">
        <f>INDEX('面板-景气指数'!$37:$244,MATCH('面板-总览'!$AI56,'面板-景气指数'!$A$37:$A$244,0),MATCH('面板-总览'!AT$2,'面板-景气指数'!$36:$36,0))</f>
        <v>0.88400000000000001</v>
      </c>
      <c r="AU56" s="7">
        <f>INDEX('面板-景气指数'!$37:$244,MATCH('面板-总览'!$AI56,'面板-景气指数'!$A$37:$A$244,0),MATCH('面板-总览'!AU$2,'面板-景气指数'!$36:$36,0))</f>
        <v>0.91300000000000003</v>
      </c>
      <c r="AV56" s="7">
        <f>INDEX('面板-景气指数'!$37:$244,MATCH('面板-总览'!$AI56,'面板-景气指数'!$A$37:$A$244,0),MATCH('面板-总览'!AV$2,'面板-景气指数'!$36:$36,0))</f>
        <v>0.86499999999999999</v>
      </c>
      <c r="AX56" s="12">
        <f t="shared" si="2"/>
        <v>1.0000000000000009E-2</v>
      </c>
    </row>
    <row r="57" spans="18:50" ht="21" customHeight="1" x14ac:dyDescent="0.2">
      <c r="R57" s="6" t="s">
        <v>140</v>
      </c>
      <c r="S57" s="7">
        <f>INDEX('面板-景气指数'!$37:$244,MATCH('面板-总览'!$R57,'面板-景气指数'!$A$37:$A$244,0),MATCH('面板-总览'!S$2,'面板-景气指数'!$36:$36,0))</f>
        <v>0.64653356239307336</v>
      </c>
      <c r="T57" s="7">
        <f>INDEX('面板-景气指数'!$37:$244,MATCH('面板-总览'!$R57,'面板-景气指数'!$A$37:$A$244,0),MATCH('面板-总览'!T$2,'面板-景气指数'!$36:$36,0))</f>
        <v>0.68165366268906313</v>
      </c>
      <c r="U57" s="7">
        <f>INDEX('面板-景气指数'!$37:$244,MATCH('面板-总览'!$R57,'面板-景气指数'!$A$37:$A$244,0),MATCH('面板-总览'!U$2,'面板-景气指数'!$36:$36,0))</f>
        <v>0.7569876145727078</v>
      </c>
      <c r="V57" s="7">
        <f>INDEX('面板-景气指数'!$37:$244,MATCH('面板-总览'!$R57,'面板-景气指数'!$A$37:$A$244,0),MATCH('面板-总览'!V$2,'面板-景气指数'!$36:$36,0))</f>
        <v>0.76667107637704235</v>
      </c>
      <c r="W57" s="7">
        <f>INDEX('面板-景气指数'!$37:$244,MATCH('面板-总览'!$R57,'面板-景气指数'!$A$37:$A$244,0),MATCH('面板-总览'!W$2,'面板-景气指数'!$36:$36,0))</f>
        <v>0.75057799124507674</v>
      </c>
      <c r="X57" s="7">
        <f>INDEX('面板-景气指数'!$37:$244,MATCH('面板-总览'!$R57,'面板-景气指数'!$A$37:$A$244,0),MATCH('面板-总览'!X$2,'面板-景气指数'!$36:$36,0))</f>
        <v>0.65062338481670301</v>
      </c>
      <c r="Y57" s="7">
        <f>INDEX('面板-景气指数'!$37:$244,MATCH('面板-总览'!$R57,'面板-景气指数'!$A$37:$A$244,0),MATCH('面板-总览'!Y$2,'面板-景气指数'!$36:$36,0))</f>
        <v>0.69886126921031444</v>
      </c>
      <c r="Z57" s="7">
        <f>INDEX('面板-景气指数'!$37:$244,MATCH('面板-总览'!$R57,'面板-景气指数'!$A$37:$A$244,0),MATCH('面板-总览'!Z$2,'面板-景气指数'!$36:$36,0))</f>
        <v>0.76087598904562959</v>
      </c>
      <c r="AA57" s="7">
        <f>INDEX('面板-景气指数'!$37:$244,MATCH('面板-总览'!$R57,'面板-景气指数'!$A$37:$A$244,0),MATCH('面板-总览'!AA$2,'面板-景气指数'!$36:$36,0))</f>
        <v>0.75270656630997812</v>
      </c>
      <c r="AB57" s="7">
        <f>INDEX('面板-景气指数'!$37:$244,MATCH('面板-总览'!$R57,'面板-景气指数'!$A$37:$A$244,0),MATCH('面板-总览'!AB$2,'面板-景气指数'!$36:$36,0))</f>
        <v>0.69899543133705566</v>
      </c>
      <c r="AC57" s="7">
        <f>INDEX('面板-景气指数'!$37:$244,MATCH('面板-总览'!$R57,'面板-景气指数'!$A$37:$A$244,0),MATCH('面板-总览'!AC$2,'面板-景气指数'!$36:$36,0))</f>
        <v>0.65567140945689217</v>
      </c>
      <c r="AD57" s="7">
        <f>INDEX('面板-景气指数'!$37:$244,MATCH('面板-总览'!$R57,'面板-景气指数'!$A$37:$A$244,0),MATCH('面板-总览'!AD$2,'面板-景气指数'!$36:$36,0))</f>
        <v>0.61453278697544433</v>
      </c>
      <c r="AE57" s="7">
        <f>INDEX('面板-景气指数'!$37:$244,MATCH('面板-总览'!$R57,'面板-景气指数'!$A$37:$A$244,0),MATCH('面板-总览'!AE$2,'面板-景气指数'!$36:$36,0))</f>
        <v>0.61186219751062698</v>
      </c>
      <c r="AG57" s="12">
        <f t="shared" si="3"/>
        <v>-8.713323382642868E-2</v>
      </c>
      <c r="AI57" s="6" t="s">
        <v>141</v>
      </c>
      <c r="AJ57" s="7">
        <f>INDEX('面板-景气指数'!$37:$244,MATCH('面板-总览'!$AI57,'面板-景气指数'!$A$37:$A$244,0),MATCH('面板-总览'!AJ$2,'面板-景气指数'!$36:$36,0))</f>
        <v>0.40799999999999997</v>
      </c>
      <c r="AK57" s="7">
        <f>INDEX('面板-景气指数'!$37:$244,MATCH('面板-总览'!$AI57,'面板-景气指数'!$A$37:$A$244,0),MATCH('面板-总览'!AK$2,'面板-景气指数'!$36:$36,0))</f>
        <v>0.47049999999999997</v>
      </c>
      <c r="AL57" s="7">
        <f>INDEX('面板-景气指数'!$37:$244,MATCH('面板-总览'!$AI57,'面板-景气指数'!$A$37:$A$244,0),MATCH('面板-总览'!AL$2,'面板-景气指数'!$36:$36,0))</f>
        <v>0.44200000000000006</v>
      </c>
      <c r="AM57" s="7">
        <f>INDEX('面板-景气指数'!$37:$244,MATCH('面板-总览'!$AI57,'面板-景气指数'!$A$37:$A$244,0),MATCH('面板-总览'!AM$2,'面板-景气指数'!$36:$36,0))</f>
        <v>0.46549999999999997</v>
      </c>
      <c r="AN57" s="7">
        <f>INDEX('面板-景气指数'!$37:$244,MATCH('面板-总览'!$AI57,'面板-景气指数'!$A$37:$A$244,0),MATCH('面板-总览'!AN$2,'面板-景气指数'!$36:$36,0))</f>
        <v>0.45599999999999996</v>
      </c>
      <c r="AO57" s="7">
        <f>INDEX('面板-景气指数'!$37:$244,MATCH('面板-总览'!$AI57,'面板-景气指数'!$A$37:$A$244,0),MATCH('面板-总览'!AO$2,'面板-景气指数'!$36:$36,0))</f>
        <v>0.54749999999999999</v>
      </c>
      <c r="AP57" s="7">
        <f>INDEX('面板-景气指数'!$37:$244,MATCH('面板-总览'!$AI57,'面板-景气指数'!$A$37:$A$244,0),MATCH('面板-总览'!AP$2,'面板-景气指数'!$36:$36,0))</f>
        <v>0.58600000000000008</v>
      </c>
      <c r="AQ57" s="7">
        <f>INDEX('面板-景气指数'!$37:$244,MATCH('面板-总览'!$AI57,'面板-景气指数'!$A$37:$A$244,0),MATCH('面板-总览'!AQ$2,'面板-景气指数'!$36:$36,0))</f>
        <v>0.74949999999999994</v>
      </c>
      <c r="AR57" s="7">
        <f>INDEX('面板-景气指数'!$37:$244,MATCH('面板-总览'!$AI57,'面板-景气指数'!$A$37:$A$244,0),MATCH('面板-总览'!AR$2,'面板-景气指数'!$36:$36,0))</f>
        <v>0.74949999999999994</v>
      </c>
      <c r="AS57" s="7">
        <f>INDEX('面板-景气指数'!$37:$244,MATCH('面板-总览'!$AI57,'面板-景气指数'!$A$37:$A$244,0),MATCH('面板-总览'!AS$2,'面板-景气指数'!$36:$36,0))</f>
        <v>0.75949999999999995</v>
      </c>
      <c r="AT57" s="7">
        <f>INDEX('面板-景气指数'!$37:$244,MATCH('面板-总览'!$AI57,'面板-景气指数'!$A$37:$A$244,0),MATCH('面板-总览'!AT$2,'面板-景气指数'!$36:$36,0))</f>
        <v>0.71550000000000002</v>
      </c>
      <c r="AU57" s="7">
        <f>INDEX('面板-景气指数'!$37:$244,MATCH('面板-总览'!$AI57,'面板-景气指数'!$A$37:$A$244,0),MATCH('面板-总览'!AU$2,'面板-景气指数'!$36:$36,0))</f>
        <v>0.69650000000000001</v>
      </c>
      <c r="AV57" s="7">
        <f>INDEX('面板-景气指数'!$37:$244,MATCH('面板-总览'!$AI57,'面板-景气指数'!$A$37:$A$244,0),MATCH('面板-总览'!AV$2,'面板-景气指数'!$36:$36,0))</f>
        <v>0.66749999999999998</v>
      </c>
      <c r="AX57" s="12">
        <f t="shared" si="2"/>
        <v>-9.1999999999999971E-2</v>
      </c>
    </row>
    <row r="58" spans="18:50" ht="21" customHeight="1" x14ac:dyDescent="0.2">
      <c r="R58" s="6" t="s">
        <v>142</v>
      </c>
      <c r="S58" s="7">
        <f>INDEX('面板-景气指数'!$37:$244,MATCH('面板-总览'!$R58,'面板-景气指数'!$A$37:$A$244,0),MATCH('面板-总览'!S$2,'面板-景气指数'!$36:$36,0))</f>
        <v>5.2999999999999999E-2</v>
      </c>
      <c r="T58" s="7">
        <f>INDEX('面板-景气指数'!$37:$244,MATCH('面板-总览'!$R58,'面板-景气指数'!$A$37:$A$244,0),MATCH('面板-总览'!T$2,'面板-景气指数'!$36:$36,0))</f>
        <v>0.25800000000000001</v>
      </c>
      <c r="U58" s="7">
        <f>INDEX('面板-景气指数'!$37:$244,MATCH('面板-总览'!$R58,'面板-景气指数'!$A$37:$A$244,0),MATCH('面板-总览'!U$2,'面板-景气指数'!$36:$36,0))</f>
        <v>0.65500000000000003</v>
      </c>
      <c r="V58" s="7">
        <f>INDEX('面板-景气指数'!$37:$244,MATCH('面板-总览'!$R58,'面板-景气指数'!$A$37:$A$244,0),MATCH('面板-总览'!V$2,'面板-景气指数'!$36:$36,0))</f>
        <v>0.623</v>
      </c>
      <c r="W58" s="7">
        <f>INDEX('面板-景气指数'!$37:$244,MATCH('面板-总览'!$R58,'面板-景气指数'!$A$37:$A$244,0),MATCH('面板-总览'!W$2,'面板-景气指数'!$36:$36,0))</f>
        <v>0.27900000000000003</v>
      </c>
      <c r="X58" s="7">
        <f>INDEX('面板-景气指数'!$37:$244,MATCH('面板-总览'!$R58,'面板-景气指数'!$A$37:$A$244,0),MATCH('面板-总览'!X$2,'面板-景气指数'!$36:$36,0))</f>
        <v>0.39700000000000002</v>
      </c>
      <c r="Y58" s="7">
        <f>INDEX('面板-景气指数'!$37:$244,MATCH('面板-总览'!$R58,'面板-景气指数'!$A$37:$A$244,0),MATCH('面板-总览'!Y$2,'面板-景气指数'!$36:$36,0))</f>
        <v>0.41899999999999998</v>
      </c>
      <c r="Z58" s="7">
        <f>INDEX('面板-景气指数'!$37:$244,MATCH('面板-总览'!$R58,'面板-景气指数'!$A$37:$A$244,0),MATCH('面板-总览'!Z$2,'面板-景气指数'!$36:$36,0))</f>
        <v>0.56899999999999995</v>
      </c>
      <c r="AA58" s="7">
        <f>INDEX('面板-景气指数'!$37:$244,MATCH('面板-总览'!$R58,'面板-景气指数'!$A$37:$A$244,0),MATCH('面板-总览'!AA$2,'面板-景气指数'!$36:$36,0))</f>
        <v>0.505</v>
      </c>
      <c r="AB58" s="7">
        <f>INDEX('面板-景气指数'!$37:$244,MATCH('面板-总览'!$R58,'面板-景气指数'!$A$37:$A$244,0),MATCH('面板-总览'!AB$2,'面板-景气指数'!$36:$36,0))</f>
        <v>0.80600000000000005</v>
      </c>
      <c r="AC58" s="7">
        <f>INDEX('面板-景气指数'!$37:$244,MATCH('面板-总览'!$R58,'面板-景气指数'!$A$37:$A$244,0),MATCH('面板-总览'!AC$2,'面板-景气指数'!$36:$36,0))</f>
        <v>0.91300000000000003</v>
      </c>
      <c r="AD58" s="7">
        <f>INDEX('面板-景气指数'!$37:$244,MATCH('面板-总览'!$R58,'面板-景气指数'!$A$37:$A$244,0),MATCH('面板-总览'!AD$2,'面板-景气指数'!$36:$36,0))</f>
        <v>0.97799999999999998</v>
      </c>
      <c r="AE58" s="7">
        <f>INDEX('面板-景气指数'!$37:$244,MATCH('面板-总览'!$R58,'面板-景气指数'!$A$37:$A$244,0),MATCH('面板-总览'!AE$2,'面板-景气指数'!$36:$36,0))</f>
        <v>0.92400000000000004</v>
      </c>
      <c r="AG58" s="12">
        <f t="shared" si="3"/>
        <v>0.11799999999999999</v>
      </c>
      <c r="AI58" s="6" t="s">
        <v>143</v>
      </c>
      <c r="AJ58" s="7">
        <f>INDEX('面板-景气指数'!$37:$244,MATCH('面板-总览'!$AI58,'面板-景气指数'!$A$37:$A$244,0),MATCH('面板-总览'!AJ$2,'面板-景气指数'!$36:$36,0))</f>
        <v>0.14457142857142843</v>
      </c>
      <c r="AK58" s="7">
        <f>INDEX('面板-景气指数'!$37:$244,MATCH('面板-总览'!$AI58,'面板-景气指数'!$A$37:$A$244,0),MATCH('面板-总览'!AK$2,'面板-景气指数'!$36:$36,0))</f>
        <v>0.18571428571428561</v>
      </c>
      <c r="AL58" s="7">
        <f>INDEX('面板-景气指数'!$37:$244,MATCH('面板-总览'!$AI58,'面板-景气指数'!$A$37:$A$244,0),MATCH('面板-总览'!AL$2,'面板-景气指数'!$36:$36,0))</f>
        <v>0.31142857142857133</v>
      </c>
      <c r="AM58" s="7">
        <f>INDEX('面板-景气指数'!$37:$244,MATCH('面板-总览'!$AI58,'面板-景气指数'!$A$37:$A$244,0),MATCH('面板-总览'!AM$2,'面板-景气指数'!$36:$36,0))</f>
        <v>0.37742857142857128</v>
      </c>
      <c r="AN58" s="7">
        <f>INDEX('面板-景气指数'!$37:$244,MATCH('面板-总览'!$AI58,'面板-景气指数'!$A$37:$A$244,0),MATCH('面板-总览'!AN$2,'面板-景气指数'!$36:$36,0))</f>
        <v>0.46828571428571425</v>
      </c>
      <c r="AO58" s="7">
        <f>INDEX('面板-景气指数'!$37:$244,MATCH('面板-总览'!$AI58,'面板-景气指数'!$A$37:$A$244,0),MATCH('面板-总览'!AO$2,'面板-景气指数'!$36:$36,0))</f>
        <v>0.56171428571428561</v>
      </c>
      <c r="AP58" s="7">
        <f>INDEX('面板-景气指数'!$37:$244,MATCH('面板-总览'!$AI58,'面板-景气指数'!$A$37:$A$244,0),MATCH('面板-总览'!AP$2,'面板-景气指数'!$36:$36,0))</f>
        <v>0.61914285714285711</v>
      </c>
      <c r="AQ58" s="7">
        <f>INDEX('面板-景气指数'!$37:$244,MATCH('面板-总览'!$AI58,'面板-景气指数'!$A$37:$A$244,0),MATCH('面板-总览'!AQ$2,'面板-景气指数'!$36:$36,0))</f>
        <v>0.66114285714285703</v>
      </c>
      <c r="AR58" s="7">
        <f>INDEX('面板-景气指数'!$37:$244,MATCH('面板-总览'!$AI58,'面板-景气指数'!$A$37:$A$244,0),MATCH('面板-总览'!AR$2,'面板-景气指数'!$36:$36,0))</f>
        <v>0.67642857142857138</v>
      </c>
      <c r="AS58" s="7">
        <f>INDEX('面板-景气指数'!$37:$244,MATCH('面板-总览'!$AI58,'面板-景气指数'!$A$37:$A$244,0),MATCH('面板-总览'!AS$2,'面板-景气指数'!$36:$36,0))</f>
        <v>0.74242857142857133</v>
      </c>
      <c r="AT58" s="7">
        <f>INDEX('面板-景气指数'!$37:$244,MATCH('面板-总览'!$AI58,'面板-景气指数'!$A$37:$A$244,0),MATCH('面板-总览'!AT$2,'面板-景气指数'!$36:$36,0))</f>
        <v>0.80071428571428571</v>
      </c>
      <c r="AU58" s="7">
        <f>INDEX('面板-景气指数'!$37:$244,MATCH('面板-总览'!$AI58,'面板-景气指数'!$A$37:$A$244,0),MATCH('面板-总览'!AU$2,'面板-景气指数'!$36:$36,0))</f>
        <v>0.84185714285714275</v>
      </c>
      <c r="AV58" s="7">
        <f>INDEX('面板-景气指数'!$37:$244,MATCH('面板-总览'!$AI58,'面板-景气指数'!$A$37:$A$244,0),MATCH('面板-总览'!AV$2,'面板-景气指数'!$36:$36,0))</f>
        <v>0.84957142857142853</v>
      </c>
      <c r="AX58" s="12">
        <f t="shared" si="2"/>
        <v>0.10714285714285721</v>
      </c>
    </row>
    <row r="59" spans="18:50" ht="21" customHeight="1" x14ac:dyDescent="0.2">
      <c r="R59" s="6" t="s">
        <v>144</v>
      </c>
      <c r="S59" s="7">
        <f>INDEX('面板-景气指数'!$37:$244,MATCH('面板-总览'!$R59,'面板-景气指数'!$A$37:$A$244,0),MATCH('面板-总览'!S$2,'面板-景气指数'!$36:$36,0))</f>
        <v>0.41900000000000004</v>
      </c>
      <c r="T59" s="7">
        <f>INDEX('面板-景气指数'!$37:$244,MATCH('面板-总览'!$R59,'面板-景气指数'!$A$37:$A$244,0),MATCH('面板-总览'!T$2,'面板-景气指数'!$36:$36,0))</f>
        <v>0.3755</v>
      </c>
      <c r="U59" s="7">
        <f>INDEX('面板-景气指数'!$37:$244,MATCH('面板-总览'!$R59,'面板-景气指数'!$A$37:$A$244,0),MATCH('面板-总览'!U$2,'面板-景气指数'!$36:$36,0))</f>
        <v>0.41900000000000004</v>
      </c>
      <c r="V59" s="7">
        <f>INDEX('面板-景气指数'!$37:$244,MATCH('面板-总览'!$R59,'面板-景气指数'!$A$37:$A$244,0),MATCH('面板-总览'!V$2,'面板-景气指数'!$36:$36,0))</f>
        <v>0.30099999999999999</v>
      </c>
      <c r="W59" s="7">
        <f>INDEX('面板-景气指数'!$37:$244,MATCH('面板-总览'!$R59,'面板-景气指数'!$A$37:$A$244,0),MATCH('面板-总览'!W$2,'面板-景气指数'!$36:$36,0))</f>
        <v>0.38100000000000001</v>
      </c>
      <c r="X59" s="7">
        <f>INDEX('面板-景气指数'!$37:$244,MATCH('面板-总览'!$R59,'面板-景气指数'!$A$37:$A$244,0),MATCH('面板-总览'!X$2,'面板-景气指数'!$36:$36,0))</f>
        <v>0.42949999999999999</v>
      </c>
      <c r="Y59" s="7">
        <f>INDEX('面板-景气指数'!$37:$244,MATCH('面板-总览'!$R59,'面板-景气指数'!$A$37:$A$244,0),MATCH('面板-总览'!Y$2,'面板-景气指数'!$36:$36,0))</f>
        <v>0.32199999999999995</v>
      </c>
      <c r="Z59" s="7">
        <f>INDEX('面板-景气指数'!$37:$244,MATCH('面板-总览'!$R59,'面板-景气指数'!$A$37:$A$244,0),MATCH('面板-总览'!Z$2,'面板-景气指数'!$36:$36,0))</f>
        <v>0.33300000000000002</v>
      </c>
      <c r="AA59" s="7">
        <f>INDEX('面板-景气指数'!$37:$244,MATCH('面板-总览'!$R59,'面板-景气指数'!$A$37:$A$244,0),MATCH('面板-总览'!AA$2,'面板-景气指数'!$36:$36,0))</f>
        <v>0.20950000000000002</v>
      </c>
      <c r="AB59" s="7">
        <f>INDEX('面板-景气指数'!$37:$244,MATCH('面板-总览'!$R59,'面板-景气指数'!$A$37:$A$244,0),MATCH('面板-总览'!AB$2,'面板-景气指数'!$36:$36,0))</f>
        <v>0.28450000000000003</v>
      </c>
      <c r="AC59" s="7">
        <f>INDEX('面板-景气指数'!$37:$244,MATCH('面板-总览'!$R59,'面板-景气指数'!$A$37:$A$244,0),MATCH('面板-总览'!AC$2,'面板-景气指数'!$36:$36,0))</f>
        <v>0.28450000000000003</v>
      </c>
      <c r="AD59" s="7">
        <f>INDEX('面板-景气指数'!$37:$244,MATCH('面板-总览'!$R59,'面板-景气指数'!$A$37:$A$244,0),MATCH('面板-总览'!AD$2,'面板-景气指数'!$36:$36,0))</f>
        <v>0.28450000000000003</v>
      </c>
      <c r="AE59" s="7">
        <f>INDEX('面板-景气指数'!$37:$244,MATCH('面板-总览'!$R59,'面板-景气指数'!$A$37:$A$244,0),MATCH('面板-总览'!AE$2,'面板-景气指数'!$36:$36,0))</f>
        <v>0.28450000000000003</v>
      </c>
      <c r="AG59" s="12">
        <f t="shared" si="3"/>
        <v>0</v>
      </c>
      <c r="AI59" s="6" t="s">
        <v>145</v>
      </c>
      <c r="AJ59" s="7">
        <f>INDEX('面板-景气指数'!$37:$244,MATCH('面板-总览'!$AI59,'面板-景气指数'!$A$37:$A$244,0),MATCH('面板-总览'!AJ$2,'面板-景气指数'!$36:$36,0))</f>
        <v>0.52074999999999994</v>
      </c>
      <c r="AK59" s="7">
        <f>INDEX('面板-景气指数'!$37:$244,MATCH('面板-总览'!$AI59,'面板-景气指数'!$A$37:$A$244,0),MATCH('面板-总览'!AK$2,'面板-景气指数'!$36:$36,0))</f>
        <v>0.56325000000000003</v>
      </c>
      <c r="AL59" s="7">
        <f>INDEX('面板-景气指数'!$37:$244,MATCH('面板-总览'!$AI59,'面板-景气指数'!$A$37:$A$244,0),MATCH('面板-总览'!AL$2,'面板-景气指数'!$36:$36,0))</f>
        <v>0.51950000000000007</v>
      </c>
      <c r="AM59" s="7">
        <f>INDEX('面板-景气指数'!$37:$244,MATCH('面板-总览'!$AI59,'面板-景气指数'!$A$37:$A$244,0),MATCH('面板-总览'!AM$2,'面板-景气指数'!$36:$36,0))</f>
        <v>0.65800000000000003</v>
      </c>
      <c r="AN59" s="7">
        <f>INDEX('面板-景气指数'!$37:$244,MATCH('面板-总览'!$AI59,'面板-景气指数'!$A$37:$A$244,0),MATCH('面板-总览'!AN$2,'面板-景气指数'!$36:$36,0))</f>
        <v>0.57874999999999988</v>
      </c>
      <c r="AO59" s="7">
        <f>INDEX('面板-景气指数'!$37:$244,MATCH('面板-总览'!$AI59,'面板-景气指数'!$A$37:$A$244,0),MATCH('面板-总览'!AO$2,'面板-景气指数'!$36:$36,0))</f>
        <v>0.48625000000000007</v>
      </c>
      <c r="AP59" s="7">
        <f>INDEX('面板-景气指数'!$37:$244,MATCH('面板-总览'!$AI59,'面板-景气指数'!$A$37:$A$244,0),MATCH('面板-总览'!AP$2,'面板-景气指数'!$36:$36,0))</f>
        <v>0.52625</v>
      </c>
      <c r="AQ59" s="7">
        <f>INDEX('面板-景气指数'!$37:$244,MATCH('面板-总览'!$AI59,'面板-景气指数'!$A$37:$A$244,0),MATCH('面板-总览'!AQ$2,'面板-景气指数'!$36:$36,0))</f>
        <v>0.60399999999999998</v>
      </c>
      <c r="AR59" s="7">
        <f>INDEX('面板-景气指数'!$37:$244,MATCH('面板-总览'!$AI59,'面板-景气指数'!$A$37:$A$244,0),MATCH('面板-总览'!AR$2,'面板-景气指数'!$36:$36,0))</f>
        <v>0.68174999999999997</v>
      </c>
      <c r="AS59" s="7">
        <f>INDEX('面板-景气指数'!$37:$244,MATCH('面板-总览'!$AI59,'面板-景气指数'!$A$37:$A$244,0),MATCH('面板-总览'!AS$2,'面板-景气指数'!$36:$36,0))</f>
        <v>0.68300000000000005</v>
      </c>
      <c r="AT59" s="7">
        <f>INDEX('面板-景气指数'!$37:$244,MATCH('面板-总览'!$AI59,'面板-景气指数'!$A$37:$A$244,0),MATCH('面板-总览'!AT$2,'面板-景气指数'!$36:$36,0))</f>
        <v>0.72050000000000003</v>
      </c>
      <c r="AU59" s="7">
        <f>INDEX('面板-景气指数'!$37:$244,MATCH('面板-总览'!$AI59,'面板-景气指数'!$A$37:$A$244,0),MATCH('面板-总览'!AU$2,'面板-景气指数'!$36:$36,0))</f>
        <v>0.74124999999999996</v>
      </c>
      <c r="AV59" s="7">
        <f>INDEX('面板-景气指数'!$37:$244,MATCH('面板-总览'!$AI59,'面板-景气指数'!$A$37:$A$244,0),MATCH('面板-总览'!AV$2,'面板-景气指数'!$36:$36,0))</f>
        <v>0.67225000000000001</v>
      </c>
      <c r="AX59" s="12">
        <f t="shared" si="2"/>
        <v>-1.0750000000000037E-2</v>
      </c>
    </row>
    <row r="60" spans="18:50" ht="21" customHeight="1" x14ac:dyDescent="0.2">
      <c r="R60" s="6" t="s">
        <v>146</v>
      </c>
      <c r="S60" s="7">
        <f>INDEX('面板-景气指数'!$37:$244,MATCH('面板-总览'!$R60,'面板-景气指数'!$A$37:$A$244,0),MATCH('面板-总览'!S$2,'面板-景气指数'!$36:$36,0))</f>
        <v>0.71700000000000008</v>
      </c>
      <c r="T60" s="7">
        <f>INDEX('面板-景气指数'!$37:$244,MATCH('面板-总览'!$R60,'面板-景气指数'!$A$37:$A$244,0),MATCH('面板-总览'!T$2,'面板-景气指数'!$36:$36,0))</f>
        <v>0.84</v>
      </c>
      <c r="U60" s="7">
        <f>INDEX('面板-景气指数'!$37:$244,MATCH('面板-总览'!$R60,'面板-景气指数'!$A$37:$A$244,0),MATCH('面板-总览'!U$2,'面板-景气指数'!$36:$36,0))</f>
        <v>0.84</v>
      </c>
      <c r="V60" s="7">
        <f>INDEX('面板-景气指数'!$37:$244,MATCH('面板-总览'!$R60,'面板-景气指数'!$A$37:$A$244,0),MATCH('面板-总览'!V$2,'面板-景气指数'!$36:$36,0))</f>
        <v>0.94899999999999995</v>
      </c>
      <c r="W60" s="7">
        <f>INDEX('面板-景气指数'!$37:$244,MATCH('面板-总览'!$R60,'面板-景气指数'!$A$37:$A$244,0),MATCH('面板-总览'!W$2,'面板-景气指数'!$36:$36,0))</f>
        <v>0.92</v>
      </c>
      <c r="X60" s="7">
        <f>INDEX('面板-景气指数'!$37:$244,MATCH('面板-总览'!$R60,'面板-景气指数'!$A$37:$A$244,0),MATCH('面板-总览'!X$2,'面板-景气指数'!$36:$36,0))</f>
        <v>0.78949999999999998</v>
      </c>
      <c r="Y60" s="7">
        <f>INDEX('面板-景气指数'!$37:$244,MATCH('面板-总览'!$R60,'面板-景气指数'!$A$37:$A$244,0),MATCH('面板-总览'!Y$2,'面板-景气指数'!$36:$36,0))</f>
        <v>0.78949999999999998</v>
      </c>
      <c r="Z60" s="7">
        <f>INDEX('面板-景气指数'!$37:$244,MATCH('面板-总览'!$R60,'面板-景气指数'!$A$37:$A$244,0),MATCH('面板-总览'!Z$2,'面板-景气指数'!$36:$36,0))</f>
        <v>0.78949999999999998</v>
      </c>
      <c r="AA60" s="7">
        <f>INDEX('面板-景气指数'!$37:$244,MATCH('面板-总览'!$R60,'面板-景气指数'!$A$37:$A$244,0),MATCH('面板-总览'!AA$2,'面板-景气指数'!$36:$36,0))</f>
        <v>0.78949999999999998</v>
      </c>
      <c r="AB60" s="7">
        <f>INDEX('面板-景气指数'!$37:$244,MATCH('面板-总览'!$R60,'面板-景气指数'!$A$37:$A$244,0),MATCH('面板-总览'!AB$2,'面板-景气指数'!$36:$36,0))</f>
        <v>0.78949999999999998</v>
      </c>
      <c r="AC60" s="7">
        <f>INDEX('面板-景气指数'!$37:$244,MATCH('面板-总览'!$R60,'面板-景气指数'!$A$37:$A$244,0),MATCH('面板-总览'!AC$2,'面板-景气指数'!$36:$36,0))</f>
        <v>0.78949999999999998</v>
      </c>
      <c r="AD60" s="7">
        <f>INDEX('面板-景气指数'!$37:$244,MATCH('面板-总览'!$R60,'面板-景气指数'!$A$37:$A$244,0),MATCH('面板-总览'!AD$2,'面板-景气指数'!$36:$36,0))</f>
        <v>0.78949999999999998</v>
      </c>
      <c r="AE60" s="7">
        <f>INDEX('面板-景气指数'!$37:$244,MATCH('面板-总览'!$R60,'面板-景气指数'!$A$37:$A$244,0),MATCH('面板-总览'!AE$2,'面板-景气指数'!$36:$36,0))</f>
        <v>0.78949999999999998</v>
      </c>
      <c r="AG60" s="12">
        <f t="shared" si="3"/>
        <v>0</v>
      </c>
      <c r="AI60" s="6" t="s">
        <v>147</v>
      </c>
      <c r="AJ60" s="7">
        <f>INDEX('面板-景气指数'!$37:$244,MATCH('面板-总览'!$AI60,'面板-景气指数'!$A$37:$A$244,0),MATCH('面板-总览'!AJ$2,'面板-景气指数'!$36:$36,0))</f>
        <v>0.48750000000000004</v>
      </c>
      <c r="AK60" s="7">
        <f>INDEX('面板-景气指数'!$37:$244,MATCH('面板-总览'!$AI60,'面板-景气指数'!$A$37:$A$244,0),MATCH('面板-总览'!AK$2,'面板-景气指数'!$36:$36,0))</f>
        <v>0.51875000000000004</v>
      </c>
      <c r="AL60" s="7">
        <f>INDEX('面板-景气指数'!$37:$244,MATCH('面板-总览'!$AI60,'面板-景气指数'!$A$37:$A$244,0),MATCH('面板-总览'!AL$2,'面板-景气指数'!$36:$36,0))</f>
        <v>0.49975000000000003</v>
      </c>
      <c r="AM60" s="7">
        <f>INDEX('面板-景气指数'!$37:$244,MATCH('面板-总览'!$AI60,'面板-景气指数'!$A$37:$A$244,0),MATCH('面板-总览'!AM$2,'面板-景气指数'!$36:$36,0))</f>
        <v>0.49950000000000006</v>
      </c>
      <c r="AN60" s="7">
        <f>INDEX('面板-景气指数'!$37:$244,MATCH('面板-总览'!$AI60,'面板-景气指数'!$A$37:$A$244,0),MATCH('面板-总览'!AN$2,'面板-景气指数'!$36:$36,0))</f>
        <v>0.50649999999999995</v>
      </c>
      <c r="AO60" s="7">
        <f>INDEX('面板-景气指数'!$37:$244,MATCH('面板-总览'!$AI60,'面板-景气指数'!$A$37:$A$244,0),MATCH('面板-总览'!AO$2,'面板-景气指数'!$36:$36,0))</f>
        <v>0.51900000000000002</v>
      </c>
      <c r="AP60" s="7">
        <f>INDEX('面板-景气指数'!$37:$244,MATCH('面板-总览'!$AI60,'面板-景气指数'!$A$37:$A$244,0),MATCH('面板-总览'!AP$2,'面板-景气指数'!$36:$36,0))</f>
        <v>0.53300000000000003</v>
      </c>
      <c r="AQ60" s="7">
        <f>INDEX('面板-景气指数'!$37:$244,MATCH('面板-总览'!$AI60,'面板-景气指数'!$A$37:$A$244,0),MATCH('面板-总览'!AQ$2,'面板-景气指数'!$36:$36,0))</f>
        <v>0.54275000000000007</v>
      </c>
      <c r="AR60" s="7">
        <f>INDEX('面板-景气指数'!$37:$244,MATCH('面板-总览'!$AI60,'面板-景气指数'!$A$37:$A$244,0),MATCH('面板-总览'!AR$2,'面板-景气指数'!$36:$36,0))</f>
        <v>0.54275000000000007</v>
      </c>
      <c r="AS60" s="7">
        <f>INDEX('面板-景气指数'!$37:$244,MATCH('面板-总览'!$AI60,'面板-景气指数'!$A$37:$A$244,0),MATCH('面板-总览'!AS$2,'面板-景气指数'!$36:$36,0))</f>
        <v>0.67</v>
      </c>
      <c r="AT60" s="7">
        <f>INDEX('面板-景气指数'!$37:$244,MATCH('面板-总览'!$AI60,'面板-景气指数'!$A$37:$A$244,0),MATCH('面板-总览'!AT$2,'面板-景气指数'!$36:$36,0))</f>
        <v>0.70125000000000004</v>
      </c>
      <c r="AU60" s="7">
        <f>INDEX('面板-景气指数'!$37:$244,MATCH('面板-总览'!$AI60,'面板-景气指数'!$A$37:$A$244,0),MATCH('面板-总览'!AU$2,'面板-景气指数'!$36:$36,0))</f>
        <v>0.72075000000000011</v>
      </c>
      <c r="AV60" s="7">
        <f>INDEX('面板-景气指数'!$37:$244,MATCH('面板-总览'!$AI60,'面板-景气指数'!$A$37:$A$244,0),MATCH('面板-总览'!AV$2,'面板-景气指数'!$36:$36,0))</f>
        <v>0.72075000000000011</v>
      </c>
      <c r="AX60" s="12">
        <f t="shared" si="2"/>
        <v>5.0750000000000073E-2</v>
      </c>
    </row>
    <row r="61" spans="18:50" ht="21" customHeight="1" x14ac:dyDescent="0.2">
      <c r="R61" s="6" t="s">
        <v>148</v>
      </c>
      <c r="S61" s="7">
        <f>INDEX('面板-景气指数'!$37:$244,MATCH('面板-总览'!$R61,'面板-景气指数'!$A$37:$A$244,0),MATCH('面板-总览'!S$2,'面板-景气指数'!$36:$36,0))</f>
        <v>0.50900000000000001</v>
      </c>
      <c r="T61" s="7">
        <f>INDEX('面板-景气指数'!$37:$244,MATCH('面板-总览'!$R61,'面板-景气指数'!$A$37:$A$244,0),MATCH('面板-总览'!T$2,'面板-景气指数'!$36:$36,0))</f>
        <v>0.51900000000000002</v>
      </c>
      <c r="U61" s="7">
        <f>INDEX('面板-景气指数'!$37:$244,MATCH('面板-总览'!$R61,'面板-景气指数'!$A$37:$A$244,0),MATCH('面板-总览'!U$2,'面板-景气指数'!$36:$36,0))</f>
        <v>0.54800000000000004</v>
      </c>
      <c r="V61" s="7">
        <f>INDEX('面板-景气指数'!$37:$244,MATCH('面板-总览'!$R61,'面板-景气指数'!$A$37:$A$244,0),MATCH('面板-总览'!V$2,'面板-景气指数'!$36:$36,0))</f>
        <v>0.56699999999999995</v>
      </c>
      <c r="W61" s="7">
        <f>INDEX('面板-景气指数'!$37:$244,MATCH('面板-总览'!$R61,'面板-景气指数'!$A$37:$A$244,0),MATCH('面板-总览'!W$2,'面板-景气指数'!$36:$36,0))</f>
        <v>0.46100000000000008</v>
      </c>
      <c r="X61" s="7">
        <f>INDEX('面板-景气指数'!$37:$244,MATCH('面板-总览'!$R61,'面板-景气指数'!$A$37:$A$244,0),MATCH('面板-总览'!X$2,'面板-景气指数'!$36:$36,0))</f>
        <v>0.41299999999999998</v>
      </c>
      <c r="Y61" s="7">
        <f>INDEX('面板-景气指数'!$37:$244,MATCH('面板-总览'!$R61,'面板-景气指数'!$A$37:$A$244,0),MATCH('面板-总览'!Y$2,'面板-景气指数'!$36:$36,0))</f>
        <v>0.40300000000000002</v>
      </c>
      <c r="Z61" s="7">
        <f>INDEX('面板-景气指数'!$37:$244,MATCH('面板-总览'!$R61,'面板-景气指数'!$A$37:$A$244,0),MATCH('面板-总览'!Z$2,'面板-景气指数'!$36:$36,0))</f>
        <v>0.375</v>
      </c>
      <c r="AA61" s="7">
        <f>INDEX('面板-景气指数'!$37:$244,MATCH('面板-总览'!$R61,'面板-景气指数'!$A$37:$A$244,0),MATCH('面板-总览'!AA$2,'面板-景气指数'!$36:$36,0))</f>
        <v>0.33600000000000002</v>
      </c>
      <c r="AB61" s="7">
        <f>INDEX('面板-景气指数'!$37:$244,MATCH('面板-总览'!$R61,'面板-景气指数'!$A$37:$A$244,0),MATCH('面板-总览'!AB$2,'面板-景气指数'!$36:$36,0))</f>
        <v>0.307</v>
      </c>
      <c r="AC61" s="7">
        <f>INDEX('面板-景气指数'!$37:$244,MATCH('面板-总览'!$R61,'面板-景气指数'!$A$37:$A$244,0),MATCH('面板-总览'!AC$2,'面板-景气指数'!$36:$36,0))</f>
        <v>0.25900000000000001</v>
      </c>
      <c r="AD61" s="7">
        <f>INDEX('面板-景气指数'!$37:$244,MATCH('面板-总览'!$R61,'面板-景气指数'!$A$37:$A$244,0),MATCH('面板-总览'!AD$2,'面板-景气指数'!$36:$36,0))</f>
        <v>0.24</v>
      </c>
      <c r="AE61" s="7">
        <f>INDEX('面板-景气指数'!$37:$244,MATCH('面板-总览'!$R61,'面板-景气指数'!$A$37:$A$244,0),MATCH('面板-总览'!AE$2,'面板-景气指数'!$36:$36,0))</f>
        <v>0.221</v>
      </c>
      <c r="AG61" s="12">
        <f t="shared" si="3"/>
        <v>-8.5999999999999993E-2</v>
      </c>
      <c r="AI61" s="6" t="s">
        <v>149</v>
      </c>
      <c r="AJ61" s="7">
        <f>INDEX('面板-景气指数'!$37:$244,MATCH('面板-总览'!$AI61,'面板-景气指数'!$A$37:$A$244,0),MATCH('面板-总览'!AJ$2,'面板-景气指数'!$36:$36,0))</f>
        <v>0.46550000000000002</v>
      </c>
      <c r="AK61" s="7">
        <f>INDEX('面板-景气指数'!$37:$244,MATCH('面板-总览'!$AI61,'面板-景气指数'!$A$37:$A$244,0),MATCH('面板-总览'!AK$2,'面板-景气指数'!$36:$36,0))</f>
        <v>0.47550000000000003</v>
      </c>
      <c r="AL61" s="7">
        <f>INDEX('面板-景气指数'!$37:$244,MATCH('面板-总览'!$AI61,'面板-景气指数'!$A$37:$A$244,0),MATCH('面板-总览'!AL$2,'面板-景气指数'!$36:$36,0))</f>
        <v>0.3745</v>
      </c>
      <c r="AM61" s="7">
        <f>INDEX('面板-景气指数'!$37:$244,MATCH('面板-总览'!$AI61,'面板-景气指数'!$A$37:$A$244,0),MATCH('面板-总览'!AM$2,'面板-景气指数'!$36:$36,0))</f>
        <v>0.32149999999999995</v>
      </c>
      <c r="AN61" s="7">
        <f>INDEX('面板-景气指数'!$37:$244,MATCH('面板-总览'!$AI61,'面板-景气指数'!$A$37:$A$244,0),MATCH('面板-总览'!AN$2,'面板-景气指数'!$36:$36,0))</f>
        <v>0.21150000000000002</v>
      </c>
      <c r="AO61" s="7">
        <f>INDEX('面板-景气指数'!$37:$244,MATCH('面板-总览'!$AI61,'面板-景气指数'!$A$37:$A$244,0),MATCH('面板-总览'!AO$2,'面板-景气指数'!$36:$36,0))</f>
        <v>0.17250000000000004</v>
      </c>
      <c r="AP61" s="7">
        <f>INDEX('面板-景气指数'!$37:$244,MATCH('面板-总览'!$AI61,'面板-景气指数'!$A$37:$A$244,0),MATCH('面板-总览'!AP$2,'面板-景气指数'!$36:$36,0))</f>
        <v>0.1535</v>
      </c>
      <c r="AQ61" s="7">
        <f>INDEX('面板-景气指数'!$37:$244,MATCH('面板-总览'!$AI61,'面板-景气指数'!$A$37:$A$244,0),MATCH('面板-总览'!AQ$2,'面板-景气指数'!$36:$36,0))</f>
        <v>0.25</v>
      </c>
      <c r="AR61" s="7">
        <f>INDEX('面板-景气指数'!$37:$244,MATCH('面板-总览'!$AI61,'面板-景气指数'!$A$37:$A$244,0),MATCH('面板-总览'!AR$2,'面板-景气指数'!$36:$36,0))</f>
        <v>0.19700000000000004</v>
      </c>
      <c r="AS61" s="7">
        <f>INDEX('面板-景气指数'!$37:$244,MATCH('面板-总览'!$AI61,'面板-景气指数'!$A$37:$A$244,0),MATCH('面板-总览'!AS$2,'面板-景气指数'!$36:$36,0))</f>
        <v>0.192</v>
      </c>
      <c r="AT61" s="7">
        <f>INDEX('面板-景气指数'!$37:$244,MATCH('面板-总览'!$AI61,'面板-景气指数'!$A$37:$A$244,0),MATCH('面板-总览'!AT$2,'面板-景气指数'!$36:$36,0))</f>
        <v>0.16800000000000001</v>
      </c>
      <c r="AU61" s="7">
        <f>INDEX('面板-景气指数'!$37:$244,MATCH('面板-总览'!$AI61,'面板-景气指数'!$A$37:$A$244,0),MATCH('面板-总览'!AU$2,'面板-景气指数'!$36:$36,0))</f>
        <v>0.16800000000000001</v>
      </c>
      <c r="AV61" s="7">
        <f>INDEX('面板-景气指数'!$37:$244,MATCH('面板-总览'!$AI61,'面板-景气指数'!$A$37:$A$244,0),MATCH('面板-总览'!AV$2,'面板-景气指数'!$36:$36,0))</f>
        <v>0.16800000000000001</v>
      </c>
      <c r="AX61" s="12">
        <f t="shared" si="2"/>
        <v>-2.3999999999999994E-2</v>
      </c>
    </row>
    <row r="62" spans="18:50" ht="21" customHeight="1" x14ac:dyDescent="0.2">
      <c r="R62" s="6" t="s">
        <v>150</v>
      </c>
      <c r="S62" s="7">
        <f>INDEX('面板-景气指数'!$37:$244,MATCH('面板-总览'!$R62,'面板-景气指数'!$A$37:$A$244,0),MATCH('面板-总览'!S$2,'面板-景气指数'!$36:$36,0))</f>
        <v>0.92133333333333323</v>
      </c>
      <c r="T62" s="7">
        <f>INDEX('面板-景气指数'!$37:$244,MATCH('面板-总览'!$R62,'面板-景气指数'!$A$37:$A$244,0),MATCH('面板-总览'!T$2,'面板-景气指数'!$36:$36,0))</f>
        <v>0.85966666666666647</v>
      </c>
      <c r="U62" s="7">
        <f>INDEX('面板-景气指数'!$37:$244,MATCH('面板-总览'!$R62,'面板-景气指数'!$A$37:$A$244,0),MATCH('面板-总览'!U$2,'面板-景气指数'!$36:$36,0))</f>
        <v>0.75466666666666637</v>
      </c>
      <c r="V62" s="7">
        <f>INDEX('面板-景气指数'!$37:$244,MATCH('面板-总览'!$R62,'面板-景气指数'!$A$37:$A$244,0),MATCH('面板-总览'!V$2,'面板-景气指数'!$36:$36,0))</f>
        <v>0.67799999999999971</v>
      </c>
      <c r="W62" s="7">
        <f>INDEX('面板-景气指数'!$37:$244,MATCH('面板-总览'!$R62,'面板-景气指数'!$A$37:$A$244,0),MATCH('面板-总览'!W$2,'面板-景气指数'!$36:$36,0))</f>
        <v>0.66933333333333311</v>
      </c>
      <c r="X62" s="7">
        <f>INDEX('面板-景气指数'!$37:$244,MATCH('面板-总览'!$R62,'面板-景气指数'!$A$37:$A$244,0),MATCH('面板-总览'!X$2,'面板-景气指数'!$36:$36,0))</f>
        <v>0.48799999999999982</v>
      </c>
      <c r="Y62" s="7">
        <f>INDEX('面板-景气指数'!$37:$244,MATCH('面板-总览'!$R62,'面板-景气指数'!$A$37:$A$244,0),MATCH('面板-总览'!Y$2,'面板-景气指数'!$36:$36,0))</f>
        <v>0.35399999999999993</v>
      </c>
      <c r="Z62" s="7">
        <f>INDEX('面板-景气指数'!$37:$244,MATCH('面板-总览'!$R62,'面板-景气指数'!$A$37:$A$244,0),MATCH('面板-总览'!Z$2,'面板-景气指数'!$36:$36,0))</f>
        <v>0.24833333333333318</v>
      </c>
      <c r="AA62" s="7">
        <f>INDEX('面板-景气指数'!$37:$244,MATCH('面板-总览'!$R62,'面板-景气指数'!$A$37:$A$244,0),MATCH('面板-总览'!AA$2,'面板-景气指数'!$36:$36,0))</f>
        <v>0.18199999999999994</v>
      </c>
      <c r="AB62" s="7">
        <f>INDEX('面板-景气指数'!$37:$244,MATCH('面板-总览'!$R62,'面板-景气指数'!$A$37:$A$244,0),MATCH('面板-总览'!AB$2,'面板-景气指数'!$36:$36,0))</f>
        <v>0.21033333333333326</v>
      </c>
      <c r="AC62" s="7">
        <f>INDEX('面板-景气指数'!$37:$244,MATCH('面板-总览'!$R62,'面板-景气指数'!$A$37:$A$244,0),MATCH('面板-总览'!AC$2,'面板-景气指数'!$36:$36,0))</f>
        <v>0.22999999999999998</v>
      </c>
      <c r="AD62" s="7">
        <f>INDEX('面板-景气指数'!$37:$244,MATCH('面板-总览'!$R62,'面板-景气指数'!$A$37:$A$244,0),MATCH('面板-总览'!AD$2,'面板-景气指数'!$36:$36,0))</f>
        <v>0.22333333333333327</v>
      </c>
      <c r="AE62" s="7">
        <f>INDEX('面板-景气指数'!$37:$244,MATCH('面板-总览'!$R62,'面板-景气指数'!$A$37:$A$244,0),MATCH('面板-总览'!AE$2,'面板-景气指数'!$36:$36,0))</f>
        <v>0.23633333333333331</v>
      </c>
      <c r="AG62" s="12">
        <f t="shared" si="3"/>
        <v>2.6000000000000051E-2</v>
      </c>
      <c r="AI62" s="6" t="s">
        <v>151</v>
      </c>
      <c r="AJ62" s="7">
        <f>INDEX('面板-景气指数'!$37:$244,MATCH('面板-总览'!$AI62,'面板-景气指数'!$A$37:$A$244,0),MATCH('面板-总览'!AJ$2,'面板-景气指数'!$36:$36,0))</f>
        <v>0.67666666666666664</v>
      </c>
      <c r="AK62" s="7">
        <f>INDEX('面板-景气指数'!$37:$244,MATCH('面板-总览'!$AI62,'面板-景气指数'!$A$37:$A$244,0),MATCH('面板-总览'!AK$2,'面板-景气指数'!$36:$36,0))</f>
        <v>0.71466666666666667</v>
      </c>
      <c r="AL62" s="7">
        <f>INDEX('面板-景气指数'!$37:$244,MATCH('面板-总览'!$AI62,'面板-景气指数'!$A$37:$A$244,0),MATCH('面板-总览'!AL$2,'面板-景气指数'!$36:$36,0))</f>
        <v>0.71533333333333349</v>
      </c>
      <c r="AM62" s="7">
        <f>INDEX('面板-景气指数'!$37:$244,MATCH('面板-总览'!$AI62,'面板-景气指数'!$A$37:$A$244,0),MATCH('面板-总览'!AM$2,'面板-景气指数'!$36:$36,0))</f>
        <v>0.71300000000000019</v>
      </c>
      <c r="AN62" s="7">
        <f>INDEX('面板-景气指数'!$37:$244,MATCH('面板-总览'!$AI62,'面板-景气指数'!$A$37:$A$244,0),MATCH('面板-总览'!AN$2,'面板-景气指数'!$36:$36,0))</f>
        <v>0.57233333333333336</v>
      </c>
      <c r="AO62" s="7">
        <f>INDEX('面板-景气指数'!$37:$244,MATCH('面板-总览'!$AI62,'面板-景气指数'!$A$37:$A$244,0),MATCH('面板-总览'!AO$2,'面板-景气指数'!$36:$36,0))</f>
        <v>0.45200000000000001</v>
      </c>
      <c r="AP62" s="7">
        <f>INDEX('面板-景气指数'!$37:$244,MATCH('面板-总览'!$AI62,'面板-景气指数'!$A$37:$A$244,0),MATCH('面板-总览'!AP$2,'面板-景气指数'!$36:$36,0))</f>
        <v>0.11966666666666674</v>
      </c>
      <c r="AQ62" s="7">
        <f>INDEX('面板-景气指数'!$37:$244,MATCH('面板-总览'!$AI62,'面板-景气指数'!$A$37:$A$244,0),MATCH('面板-总览'!AQ$2,'面板-景气指数'!$36:$36,0))</f>
        <v>5.9000000000000025E-2</v>
      </c>
      <c r="AR62" s="7">
        <f>INDEX('面板-景气指数'!$37:$244,MATCH('面板-总览'!$AI62,'面板-景气指数'!$A$37:$A$244,0),MATCH('面板-总览'!AR$2,'面板-景气指数'!$36:$36,0))</f>
        <v>5.9000000000000025E-2</v>
      </c>
      <c r="AS62" s="7">
        <f>INDEX('面板-景气指数'!$37:$244,MATCH('面板-总览'!$AI62,'面板-景气指数'!$A$37:$A$244,0),MATCH('面板-总览'!AS$2,'面板-景气指数'!$36:$36,0))</f>
        <v>5.9000000000000025E-2</v>
      </c>
      <c r="AT62" s="7">
        <f>INDEX('面板-景气指数'!$37:$244,MATCH('面板-总览'!$AI62,'面板-景气指数'!$A$37:$A$244,0),MATCH('面板-总览'!AT$2,'面板-景气指数'!$36:$36,0))</f>
        <v>5.9000000000000025E-2</v>
      </c>
      <c r="AU62" s="7">
        <f>INDEX('面板-景气指数'!$37:$244,MATCH('面板-总览'!$AI62,'面板-景气指数'!$A$37:$A$244,0),MATCH('面板-总览'!AU$2,'面板-景气指数'!$36:$36,0))</f>
        <v>5.9000000000000025E-2</v>
      </c>
      <c r="AV62" s="7">
        <f>INDEX('面板-景气指数'!$37:$244,MATCH('面板-总览'!$AI62,'面板-景气指数'!$A$37:$A$244,0),MATCH('面板-总览'!AV$2,'面板-景气指数'!$36:$36,0))</f>
        <v>5.9000000000000025E-2</v>
      </c>
      <c r="AX62" s="12">
        <f t="shared" si="2"/>
        <v>0</v>
      </c>
    </row>
    <row r="63" spans="18:50" ht="21" customHeight="1" x14ac:dyDescent="0.2">
      <c r="R63" s="6" t="s">
        <v>152</v>
      </c>
      <c r="S63" s="7">
        <f>INDEX('面板-景气指数'!$37:$244,MATCH('面板-总览'!$R63,'面板-景气指数'!$A$37:$A$244,0),MATCH('面板-总览'!S$2,'面板-景气指数'!$36:$36,0))</f>
        <v>0.71533333333333338</v>
      </c>
      <c r="T63" s="7">
        <f>INDEX('面板-景气指数'!$37:$244,MATCH('面板-总览'!$R63,'面板-景气指数'!$A$37:$A$244,0),MATCH('面板-总览'!T$2,'面板-景气指数'!$36:$36,0))</f>
        <v>0.75633333333333341</v>
      </c>
      <c r="U63" s="7">
        <f>INDEX('面板-景气指数'!$37:$244,MATCH('面板-总览'!$R63,'面板-景气指数'!$A$37:$A$244,0),MATCH('面板-总览'!U$2,'面板-景气指数'!$36:$36,0))</f>
        <v>0.76900000000000002</v>
      </c>
      <c r="V63" s="7">
        <f>INDEX('面板-景气指数'!$37:$244,MATCH('面板-总览'!$R63,'面板-景气指数'!$A$37:$A$244,0),MATCH('面板-总览'!V$2,'面板-景气指数'!$36:$36,0))</f>
        <v>0.78200000000000014</v>
      </c>
      <c r="W63" s="7">
        <f>INDEX('面板-景气指数'!$37:$244,MATCH('面板-总览'!$R63,'面板-景气指数'!$A$37:$A$244,0),MATCH('面板-总览'!W$2,'面板-景气指数'!$36:$36,0))</f>
        <v>0.75933333333333342</v>
      </c>
      <c r="X63" s="7">
        <f>INDEX('面板-景气指数'!$37:$244,MATCH('面板-总览'!$R63,'面板-景气指数'!$A$37:$A$244,0),MATCH('面板-总览'!X$2,'面板-景气指数'!$36:$36,0))</f>
        <v>0.7370000000000001</v>
      </c>
      <c r="Y63" s="7">
        <f>INDEX('面板-景气指数'!$37:$244,MATCH('面板-总览'!$R63,'面板-景气指数'!$A$37:$A$244,0),MATCH('面板-总览'!Y$2,'面板-景气指数'!$36:$36,0))</f>
        <v>0.71766666666666679</v>
      </c>
      <c r="Z63" s="7">
        <f>INDEX('面板-景气指数'!$37:$244,MATCH('面板-总览'!$R63,'面板-景气指数'!$A$37:$A$244,0),MATCH('面板-总览'!Z$2,'面板-景气指数'!$36:$36,0))</f>
        <v>0.57366666666666677</v>
      </c>
      <c r="AA63" s="7">
        <f>INDEX('面板-景气指数'!$37:$244,MATCH('面板-总览'!$R63,'面板-景气指数'!$A$37:$A$244,0),MATCH('面板-总览'!AA$2,'面板-景气指数'!$36:$36,0))</f>
        <v>0.57033333333333336</v>
      </c>
      <c r="AB63" s="7">
        <f>INDEX('面板-景气指数'!$37:$244,MATCH('面板-总览'!$R63,'面板-景气指数'!$A$37:$A$244,0),MATCH('面板-总览'!AB$2,'面板-景气指数'!$36:$36,0))</f>
        <v>0.56733333333333336</v>
      </c>
      <c r="AC63" s="7">
        <f>INDEX('面板-景气指数'!$37:$244,MATCH('面板-总览'!$R63,'面板-景气指数'!$A$37:$A$244,0),MATCH('面板-总览'!AC$2,'面板-景气指数'!$36:$36,0))</f>
        <v>0.55766666666666664</v>
      </c>
      <c r="AD63" s="7">
        <f>INDEX('面板-景气指数'!$37:$244,MATCH('面板-总览'!$R63,'面板-景气指数'!$A$37:$A$244,0),MATCH('面板-总览'!AD$2,'面板-景气指数'!$36:$36,0))</f>
        <v>0.55766666666666664</v>
      </c>
      <c r="AE63" s="7">
        <f>INDEX('面板-景气指数'!$37:$244,MATCH('面板-总览'!$R63,'面板-景气指数'!$A$37:$A$244,0),MATCH('面板-总览'!AE$2,'面板-景气指数'!$36:$36,0))</f>
        <v>0.56400000000000006</v>
      </c>
      <c r="AG63" s="12">
        <f t="shared" si="3"/>
        <v>-3.3333333333332993E-3</v>
      </c>
      <c r="AI63" s="6" t="s">
        <v>153</v>
      </c>
      <c r="AJ63" s="7">
        <f>INDEX('面板-景气指数'!$37:$244,MATCH('面板-总览'!$AI63,'面板-景气指数'!$A$37:$A$244,0),MATCH('面板-总览'!AJ$2,'面板-景气指数'!$36:$36,0))</f>
        <v>0.42799999999999994</v>
      </c>
      <c r="AK63" s="7">
        <f>INDEX('面板-景气指数'!$37:$244,MATCH('面板-总览'!$AI63,'面板-景气指数'!$A$37:$A$244,0),MATCH('面板-总览'!AK$2,'面板-景气指数'!$36:$36,0))</f>
        <v>0.63200000000000001</v>
      </c>
      <c r="AL63" s="7">
        <f>INDEX('面板-景气指数'!$37:$244,MATCH('面板-总览'!$AI63,'面板-景气指数'!$A$37:$A$244,0),MATCH('面板-总览'!AL$2,'面板-景气指数'!$36:$36,0))</f>
        <v>0.89900000000000002</v>
      </c>
      <c r="AM63" s="7">
        <f>INDEX('面板-景气指数'!$37:$244,MATCH('面板-总览'!$AI63,'面板-景气指数'!$A$37:$A$244,0),MATCH('面板-总览'!AM$2,'面板-景气指数'!$36:$36,0))</f>
        <v>0.81850000000000001</v>
      </c>
      <c r="AN63" s="7">
        <f>INDEX('面板-景气指数'!$37:$244,MATCH('面板-总览'!$AI63,'面板-景气指数'!$A$37:$A$244,0),MATCH('面板-总览'!AN$2,'面板-景气指数'!$36:$36,0))</f>
        <v>0.63849999999999996</v>
      </c>
      <c r="AO63" s="7">
        <f>INDEX('面板-景气指数'!$37:$244,MATCH('面板-总览'!$AI63,'面板-景气指数'!$A$37:$A$244,0),MATCH('面板-总览'!AO$2,'面板-景气指数'!$36:$36,0))</f>
        <v>0.1285</v>
      </c>
      <c r="AP63" s="7">
        <f>INDEX('面板-景气指数'!$37:$244,MATCH('面板-总览'!$AI63,'面板-景气指数'!$A$37:$A$244,0),MATCH('面板-总览'!AP$2,'面板-景气指数'!$36:$36,0))</f>
        <v>0.19700000000000001</v>
      </c>
      <c r="AQ63" s="7">
        <f>INDEX('面板-景气指数'!$37:$244,MATCH('面板-总览'!$AI63,'面板-景气指数'!$A$37:$A$244,0),MATCH('面板-总览'!AQ$2,'面板-景气指数'!$36:$36,0))</f>
        <v>0.2215</v>
      </c>
      <c r="AR63" s="7">
        <f>INDEX('面板-景气指数'!$37:$244,MATCH('面板-总览'!$AI63,'面板-景气指数'!$A$37:$A$244,0),MATCH('面板-总览'!AR$2,'面板-景气指数'!$36:$36,0))</f>
        <v>0.21300000000000002</v>
      </c>
      <c r="AS63" s="7">
        <f>INDEX('面板-景气指数'!$37:$244,MATCH('面板-总览'!$AI63,'面板-景气指数'!$A$37:$A$244,0),MATCH('面板-总览'!AS$2,'面板-景气指数'!$36:$36,0))</f>
        <v>0.17449999999999999</v>
      </c>
      <c r="AT63" s="7">
        <f>INDEX('面板-景气指数'!$37:$244,MATCH('面板-总览'!$AI63,'面板-景气指数'!$A$37:$A$244,0),MATCH('面板-总览'!AT$2,'面板-景气指数'!$36:$36,0))</f>
        <v>0.309</v>
      </c>
      <c r="AU63" s="7">
        <f>INDEX('面板-景气指数'!$37:$244,MATCH('面板-总览'!$AI63,'面板-景气指数'!$A$37:$A$244,0),MATCH('面板-总览'!AU$2,'面板-景气指数'!$36:$36,0))</f>
        <v>0.2515</v>
      </c>
      <c r="AV63" s="7">
        <f>INDEX('面板-景气指数'!$37:$244,MATCH('面板-总览'!$AI63,'面板-景气指数'!$A$37:$A$244,0),MATCH('面板-总览'!AV$2,'面板-景气指数'!$36:$36,0))</f>
        <v>0.28049999999999997</v>
      </c>
      <c r="AX63" s="12">
        <f t="shared" si="2"/>
        <v>0.10599999999999998</v>
      </c>
    </row>
    <row r="64" spans="18:50" ht="21" customHeight="1" x14ac:dyDescent="0.2">
      <c r="R64" s="6" t="s">
        <v>154</v>
      </c>
      <c r="S64" s="7">
        <f>INDEX('面板-景气指数'!$37:$244,MATCH('面板-总览'!$R64,'面板-景气指数'!$A$37:$A$244,0),MATCH('面板-总览'!S$2,'面板-景气指数'!$36:$36,0))</f>
        <v>0.95150000000000001</v>
      </c>
      <c r="T64" s="7">
        <f>INDEX('面板-景气指数'!$37:$244,MATCH('面板-总览'!$R64,'面板-景气指数'!$A$37:$A$244,0),MATCH('面板-总览'!T$2,'面板-景气指数'!$36:$36,0))</f>
        <v>0.94199999999999995</v>
      </c>
      <c r="U64" s="7">
        <f>INDEX('面板-景气指数'!$37:$244,MATCH('面板-总览'!$R64,'面板-景气指数'!$A$37:$A$244,0),MATCH('面板-总览'!U$2,'面板-景气指数'!$36:$36,0))</f>
        <v>0.92249999999999999</v>
      </c>
      <c r="V64" s="7">
        <f>INDEX('面板-景气指数'!$37:$244,MATCH('面板-总览'!$R64,'面板-景气指数'!$A$37:$A$244,0),MATCH('面板-总览'!V$2,'面板-景气指数'!$36:$36,0))</f>
        <v>0.8839999999999999</v>
      </c>
      <c r="W64" s="7">
        <f>INDEX('面板-景气指数'!$37:$244,MATCH('面板-总览'!$R64,'面板-景气指数'!$A$37:$A$244,0),MATCH('面板-总览'!W$2,'面板-景气指数'!$36:$36,0))</f>
        <v>0.84550000000000003</v>
      </c>
      <c r="X64" s="7">
        <f>INDEX('面板-景气指数'!$37:$244,MATCH('面板-总览'!$R64,'面板-景气指数'!$A$37:$A$244,0),MATCH('面板-总览'!X$2,'面板-景气指数'!$36:$36,0))</f>
        <v>0.75900000000000001</v>
      </c>
      <c r="Y64" s="7">
        <f>INDEX('面板-景气指数'!$37:$244,MATCH('面板-总览'!$R64,'面板-景气指数'!$A$37:$A$244,0),MATCH('面板-总览'!Y$2,'面板-景气指数'!$36:$36,0))</f>
        <v>0.79299999999999993</v>
      </c>
      <c r="Z64" s="7">
        <f>INDEX('面板-景气指数'!$37:$244,MATCH('面板-总览'!$R64,'面板-景气指数'!$A$37:$A$244,0),MATCH('面板-总览'!Z$2,'面板-景气指数'!$36:$36,0))</f>
        <v>0.63900000000000001</v>
      </c>
      <c r="AA64" s="7">
        <f>INDEX('面板-景气指数'!$37:$244,MATCH('面板-总览'!$R64,'面板-景气指数'!$A$37:$A$244,0),MATCH('面板-总览'!AA$2,'面板-景气指数'!$36:$36,0))</f>
        <v>0.63900000000000001</v>
      </c>
      <c r="AB64" s="7">
        <f>INDEX('面板-景气指数'!$37:$244,MATCH('面板-总览'!$R64,'面板-景气指数'!$A$37:$A$244,0),MATCH('面板-总览'!AB$2,'面板-景气指数'!$36:$36,0))</f>
        <v>0.63900000000000001</v>
      </c>
      <c r="AC64" s="7">
        <f>INDEX('面板-景气指数'!$37:$244,MATCH('面板-总览'!$R64,'面板-景气指数'!$A$37:$A$244,0),MATCH('面板-总览'!AC$2,'面板-景气指数'!$36:$36,0))</f>
        <v>0.63900000000000001</v>
      </c>
      <c r="AD64" s="7">
        <f>INDEX('面板-景气指数'!$37:$244,MATCH('面板-总览'!$R64,'面板-景气指数'!$A$37:$A$244,0),MATCH('面板-总览'!AD$2,'面板-景气指数'!$36:$36,0))</f>
        <v>0.63900000000000001</v>
      </c>
      <c r="AE64" s="7">
        <f>INDEX('面板-景气指数'!$37:$244,MATCH('面板-总览'!$R64,'面板-景气指数'!$A$37:$A$244,0),MATCH('面板-总览'!AE$2,'面板-景气指数'!$36:$36,0))</f>
        <v>0.63900000000000001</v>
      </c>
      <c r="AG64" s="12">
        <f t="shared" si="3"/>
        <v>0</v>
      </c>
      <c r="AI64" s="6" t="s">
        <v>155</v>
      </c>
      <c r="AJ64" s="7">
        <f>INDEX('面板-景气指数'!$37:$244,MATCH('面板-总览'!$AI64,'面板-景气指数'!$A$37:$A$244,0),MATCH('面板-总览'!AJ$2,'面板-景气指数'!$36:$36,0))</f>
        <v>0.34499999999999997</v>
      </c>
      <c r="AK64" s="7">
        <f>INDEX('面板-景气指数'!$37:$244,MATCH('面板-总览'!$AI64,'面板-景气指数'!$A$37:$A$244,0),MATCH('面板-总览'!AK$2,'面板-景气指数'!$36:$36,0))</f>
        <v>0.313</v>
      </c>
      <c r="AL64" s="7">
        <f>INDEX('面板-景气指数'!$37:$244,MATCH('面板-总览'!$AI64,'面板-景气指数'!$A$37:$A$244,0),MATCH('面板-总览'!AL$2,'面板-景气指数'!$36:$36,0))</f>
        <v>0.23299999999999998</v>
      </c>
      <c r="AM64" s="7">
        <f>INDEX('面板-景气指数'!$37:$244,MATCH('面板-总览'!$AI64,'面板-景气指数'!$A$37:$A$244,0),MATCH('面板-总览'!AM$2,'面板-景气指数'!$36:$36,0))</f>
        <v>0.27200000000000002</v>
      </c>
      <c r="AN64" s="7">
        <f>INDEX('面板-景气指数'!$37:$244,MATCH('面板-总览'!$AI64,'面板-景气指数'!$A$37:$A$244,0),MATCH('面板-总览'!AN$2,'面板-景气指数'!$36:$36,0))</f>
        <v>0.39150000000000007</v>
      </c>
      <c r="AO64" s="7">
        <f>INDEX('面板-景气指数'!$37:$244,MATCH('面板-总览'!$AI64,'面板-景气指数'!$A$37:$A$244,0),MATCH('面板-总览'!AO$2,'面板-景气指数'!$36:$36,0))</f>
        <v>0.43450000000000005</v>
      </c>
      <c r="AP64" s="7">
        <f>INDEX('面板-景气指数'!$37:$244,MATCH('面板-总览'!$AI64,'面板-景气指数'!$A$37:$A$244,0),MATCH('面板-总览'!AP$2,'面板-景气指数'!$36:$36,0))</f>
        <v>0.32199999999999995</v>
      </c>
      <c r="AQ64" s="7">
        <f>INDEX('面板-景气指数'!$37:$244,MATCH('面板-总览'!$AI64,'面板-景气指数'!$A$37:$A$244,0),MATCH('面板-总览'!AQ$2,'面板-景气指数'!$36:$36,0))</f>
        <v>0.22750000000000004</v>
      </c>
      <c r="AR64" s="7">
        <f>INDEX('面板-景气指数'!$37:$244,MATCH('面板-总览'!$AI64,'面板-景气指数'!$A$37:$A$244,0),MATCH('面板-总览'!AR$2,'面板-景气指数'!$36:$36,0))</f>
        <v>0.21199999999999997</v>
      </c>
      <c r="AS64" s="7">
        <f>INDEX('面板-景气指数'!$37:$244,MATCH('面板-总览'!$AI64,'面板-景气指数'!$A$37:$A$244,0),MATCH('面板-总览'!AS$2,'面板-景气指数'!$36:$36,0))</f>
        <v>0.192</v>
      </c>
      <c r="AT64" s="7">
        <f>INDEX('面板-景气指数'!$37:$244,MATCH('面板-总览'!$AI64,'面板-景气指数'!$A$37:$A$244,0),MATCH('面板-总览'!AT$2,'面板-景气指数'!$36:$36,0))</f>
        <v>0.21199999999999997</v>
      </c>
      <c r="AU64" s="7">
        <f>INDEX('面板-景气指数'!$37:$244,MATCH('面板-总览'!$AI64,'面板-景气指数'!$A$37:$A$244,0),MATCH('面板-总览'!AU$2,'面板-景气指数'!$36:$36,0))</f>
        <v>0.20100000000000001</v>
      </c>
      <c r="AV64" s="7">
        <f>INDEX('面板-景气指数'!$37:$244,MATCH('面板-总览'!$AI64,'面板-景气指数'!$A$37:$A$244,0),MATCH('面板-总览'!AV$2,'面板-景气指数'!$36:$36,0))</f>
        <v>0.1855</v>
      </c>
      <c r="AX64" s="12">
        <f t="shared" si="2"/>
        <v>-6.5000000000000058E-3</v>
      </c>
    </row>
    <row r="65" spans="18:50" ht="21" customHeight="1" x14ac:dyDescent="0.2">
      <c r="R65" s="6" t="s">
        <v>156</v>
      </c>
      <c r="S65" s="7">
        <f>INDEX('面板-景气指数'!$37:$244,MATCH('面板-总览'!$R65,'面板-景气指数'!$A$37:$A$244,0),MATCH('面板-总览'!S$2,'面板-景气指数'!$36:$36,0))</f>
        <v>0.42880000000000007</v>
      </c>
      <c r="T65" s="7">
        <f>INDEX('面板-景气指数'!$37:$244,MATCH('面板-总览'!$R65,'面板-景气指数'!$A$37:$A$244,0),MATCH('面板-总览'!T$2,'面板-景气指数'!$36:$36,0))</f>
        <v>0.51339999999999997</v>
      </c>
      <c r="U65" s="7">
        <f>INDEX('面板-景气指数'!$37:$244,MATCH('面板-总览'!$R65,'面板-景气指数'!$A$37:$A$244,0),MATCH('面板-总览'!U$2,'面板-景气指数'!$36:$36,0))</f>
        <v>0.59060000000000001</v>
      </c>
      <c r="V65" s="7">
        <f>INDEX('面板-景气指数'!$37:$244,MATCH('面板-总览'!$R65,'面板-景气指数'!$A$37:$A$244,0),MATCH('面板-总览'!V$2,'面板-景气指数'!$36:$36,0))</f>
        <v>0.58919999999999995</v>
      </c>
      <c r="W65" s="7">
        <f>INDEX('面板-景气指数'!$37:$244,MATCH('面板-总览'!$R65,'面板-景气指数'!$A$37:$A$244,0),MATCH('面板-总览'!W$2,'面板-景气指数'!$36:$36,0))</f>
        <v>0.67999999999999994</v>
      </c>
      <c r="X65" s="7">
        <f>INDEX('面板-景气指数'!$37:$244,MATCH('面板-总览'!$R65,'面板-景气指数'!$A$37:$A$244,0),MATCH('面板-总览'!X$2,'面板-景气指数'!$36:$36,0))</f>
        <v>0.42159999999999997</v>
      </c>
      <c r="Y65" s="7">
        <f>INDEX('面板-景气指数'!$37:$244,MATCH('面板-总览'!$R65,'面板-景气指数'!$A$37:$A$244,0),MATCH('面板-总览'!Y$2,'面板-景气指数'!$36:$36,0))</f>
        <v>0.43659999999999999</v>
      </c>
      <c r="Z65" s="7">
        <f>INDEX('面板-景气指数'!$37:$244,MATCH('面板-总览'!$R65,'面板-景气指数'!$A$37:$A$244,0),MATCH('面板-总览'!Z$2,'面板-景气指数'!$36:$36,0))</f>
        <v>0.39999999999999997</v>
      </c>
      <c r="AA65" s="7">
        <f>INDEX('面板-景气指数'!$37:$244,MATCH('面板-总览'!$R65,'面板-景气指数'!$A$37:$A$244,0),MATCH('面板-总览'!AA$2,'面板-景气指数'!$36:$36,0))</f>
        <v>0.46399999999999997</v>
      </c>
      <c r="AB65" s="7">
        <f>INDEX('面板-景气指数'!$37:$244,MATCH('面板-总览'!$R65,'面板-景气指数'!$A$37:$A$244,0),MATCH('面板-总览'!AB$2,'面板-景气指数'!$36:$36,0))</f>
        <v>0.44099999999999995</v>
      </c>
      <c r="AC65" s="7">
        <f>INDEX('面板-景气指数'!$37:$244,MATCH('面板-总览'!$R65,'面板-景气指数'!$A$37:$A$244,0),MATCH('面板-总览'!AC$2,'面板-景气指数'!$36:$36,0))</f>
        <v>0.39480000000000004</v>
      </c>
      <c r="AD65" s="7">
        <f>INDEX('面板-景气指数'!$37:$244,MATCH('面板-总览'!$R65,'面板-景气指数'!$A$37:$A$244,0),MATCH('面板-总览'!AD$2,'面板-景气指数'!$36:$36,0))</f>
        <v>0.29860000000000003</v>
      </c>
      <c r="AE65" s="7">
        <f>INDEX('面板-景气指数'!$37:$244,MATCH('面板-总览'!$R65,'面板-景气指数'!$A$37:$A$244,0),MATCH('面板-总览'!AE$2,'面板-景气指数'!$36:$36,0))</f>
        <v>0.31240000000000001</v>
      </c>
      <c r="AG65" s="12">
        <f t="shared" si="3"/>
        <v>-0.12859999999999994</v>
      </c>
      <c r="AI65" s="6" t="s">
        <v>157</v>
      </c>
      <c r="AJ65" s="7">
        <f>INDEX('面板-景气指数'!$37:$244,MATCH('面板-总览'!$AI65,'面板-景气指数'!$A$37:$A$244,0),MATCH('面板-总览'!AJ$2,'面板-景气指数'!$36:$36,0))</f>
        <v>0.5575</v>
      </c>
      <c r="AK65" s="7">
        <f>INDEX('面板-景气指数'!$37:$244,MATCH('面板-总览'!$AI65,'面板-景气指数'!$A$37:$A$244,0),MATCH('面板-总览'!AK$2,'面板-景气指数'!$36:$36,0))</f>
        <v>0.5764999999999999</v>
      </c>
      <c r="AL65" s="7">
        <f>INDEX('面板-景气指数'!$37:$244,MATCH('面板-总览'!$AI65,'面板-景气指数'!$A$37:$A$244,0),MATCH('面板-总览'!AL$2,'面板-景气指数'!$36:$36,0))</f>
        <v>0.62</v>
      </c>
      <c r="AM65" s="7">
        <f>INDEX('面板-景气指数'!$37:$244,MATCH('面板-总览'!$AI65,'面板-景气指数'!$A$37:$A$244,0),MATCH('面板-总览'!AM$2,'面板-景气指数'!$36:$36,0))</f>
        <v>0.62950000000000006</v>
      </c>
      <c r="AN65" s="7">
        <f>INDEX('面板-景气指数'!$37:$244,MATCH('面板-总览'!$AI65,'面板-景气指数'!$A$37:$A$244,0),MATCH('面板-总览'!AN$2,'面板-景气指数'!$36:$36,0))</f>
        <v>0.55700000000000005</v>
      </c>
      <c r="AO65" s="7">
        <f>INDEX('面板-景气指数'!$37:$244,MATCH('面板-总览'!$AI65,'面板-景气指数'!$A$37:$A$244,0),MATCH('面板-总览'!AO$2,'面板-景气指数'!$36:$36,0))</f>
        <v>0.47100000000000003</v>
      </c>
      <c r="AP65" s="7">
        <f>INDEX('面板-景气指数'!$37:$244,MATCH('面板-总览'!$AI65,'面板-景气指数'!$A$37:$A$244,0),MATCH('面板-总览'!AP$2,'面板-景气指数'!$36:$36,0))</f>
        <v>0.45149999999999996</v>
      </c>
      <c r="AQ65" s="7">
        <f>INDEX('面板-景气指数'!$37:$244,MATCH('面板-总览'!$AI65,'面板-景气指数'!$A$37:$A$244,0),MATCH('面板-总览'!AQ$2,'面板-景气指数'!$36:$36,0))</f>
        <v>0.45150000000000007</v>
      </c>
      <c r="AR65" s="7">
        <f>INDEX('面板-景气指数'!$37:$244,MATCH('面板-总览'!$AI65,'面板-景气指数'!$A$37:$A$244,0),MATCH('面板-总览'!AR$2,'面板-景气指数'!$36:$36,0))</f>
        <v>0.46600000000000003</v>
      </c>
      <c r="AS65" s="7">
        <f>INDEX('面板-景气指数'!$37:$244,MATCH('面板-总览'!$AI65,'面板-景气指数'!$A$37:$A$244,0),MATCH('面板-总览'!AS$2,'面板-景气指数'!$36:$36,0))</f>
        <v>0.50900000000000001</v>
      </c>
      <c r="AT65" s="7">
        <f>INDEX('面板-景气指数'!$37:$244,MATCH('面板-总览'!$AI65,'面板-景气指数'!$A$37:$A$244,0),MATCH('面板-总览'!AT$2,'面板-景气指数'!$36:$36,0))</f>
        <v>0.51849999999999996</v>
      </c>
      <c r="AU65" s="7">
        <f>INDEX('面板-景气指数'!$37:$244,MATCH('面板-总览'!$AI65,'面板-景气指数'!$A$37:$A$244,0),MATCH('面板-总览'!AU$2,'面板-景气指数'!$36:$36,0))</f>
        <v>0.52349999999999997</v>
      </c>
      <c r="AV65" s="7">
        <f>INDEX('面板-景气指数'!$37:$244,MATCH('面板-总览'!$AI65,'面板-景气指数'!$A$37:$A$244,0),MATCH('面板-总览'!AV$2,'面板-景气指数'!$36:$36,0))</f>
        <v>0.53300000000000003</v>
      </c>
      <c r="AX65" s="12">
        <f t="shared" si="2"/>
        <v>2.4000000000000021E-2</v>
      </c>
    </row>
    <row r="66" spans="18:50" ht="21" customHeight="1" x14ac:dyDescent="0.2">
      <c r="R66" s="6" t="s">
        <v>158</v>
      </c>
      <c r="S66" s="7">
        <f>INDEX('面板-景气指数'!$37:$244,MATCH('面板-总览'!$R66,'面板-景气指数'!$A$37:$A$244,0),MATCH('面板-总览'!S$2,'面板-景气指数'!$36:$36,0))</f>
        <v>0.42880000000000001</v>
      </c>
      <c r="T66" s="7">
        <f>INDEX('面板-景气指数'!$37:$244,MATCH('面板-总览'!$R66,'面板-景气指数'!$A$37:$A$244,0),MATCH('面板-总览'!T$2,'面板-景气指数'!$36:$36,0))</f>
        <v>0.45080000000000003</v>
      </c>
      <c r="U66" s="7">
        <f>INDEX('面板-景气指数'!$37:$244,MATCH('面板-总览'!$R66,'面板-景气指数'!$A$37:$A$244,0),MATCH('面板-总览'!U$2,'面板-景气指数'!$36:$36,0))</f>
        <v>0.49000000000000005</v>
      </c>
      <c r="V66" s="7">
        <f>INDEX('面板-景气指数'!$37:$244,MATCH('面板-总览'!$R66,'面板-景气指数'!$A$37:$A$244,0),MATCH('面板-总览'!V$2,'面板-景气指数'!$36:$36,0))</f>
        <v>0.54120000000000001</v>
      </c>
      <c r="W66" s="7">
        <f>INDEX('面板-景气指数'!$37:$244,MATCH('面板-总览'!$R66,'面板-景气指数'!$A$37:$A$244,0),MATCH('面板-总览'!W$2,'面板-景气指数'!$36:$36,0))</f>
        <v>0.65759999999999996</v>
      </c>
      <c r="X66" s="7">
        <f>INDEX('面板-景气指数'!$37:$244,MATCH('面板-总览'!$R66,'面板-景气指数'!$A$37:$A$244,0),MATCH('面板-总览'!X$2,'面板-景气指数'!$36:$36,0))</f>
        <v>0.63159999999999994</v>
      </c>
      <c r="Y66" s="7">
        <f>INDEX('面板-景气指数'!$37:$244,MATCH('面板-总览'!$R66,'面板-景气指数'!$A$37:$A$244,0),MATCH('面板-总览'!Y$2,'面板-景气指数'!$36:$36,0))</f>
        <v>0.57579999999999998</v>
      </c>
      <c r="Z66" s="7">
        <f>INDEX('面板-景气指数'!$37:$244,MATCH('面板-总览'!$R66,'面板-景气指数'!$A$37:$A$244,0),MATCH('面板-总览'!Z$2,'面板-景气指数'!$36:$36,0))</f>
        <v>0.50859999999999994</v>
      </c>
      <c r="AA66" s="7">
        <f>INDEX('面板-景气指数'!$37:$244,MATCH('面板-总览'!$R66,'面板-景气指数'!$A$37:$A$244,0),MATCH('面板-总览'!AA$2,'面板-景气指数'!$36:$36,0))</f>
        <v>0.54900000000000004</v>
      </c>
      <c r="AB66" s="7">
        <f>INDEX('面板-景气指数'!$37:$244,MATCH('面板-总览'!$R66,'面板-景气指数'!$A$37:$A$244,0),MATCH('面板-总览'!AB$2,'面板-景气指数'!$36:$36,0))</f>
        <v>0.54320000000000002</v>
      </c>
      <c r="AC66" s="7">
        <f>INDEX('面板-景气指数'!$37:$244,MATCH('面板-总览'!$R66,'面板-景气指数'!$A$37:$A$244,0),MATCH('面板-总览'!AC$2,'面板-景气指数'!$36:$36,0))</f>
        <v>0.52580000000000005</v>
      </c>
      <c r="AD66" s="7">
        <f>INDEX('面板-景气指数'!$37:$244,MATCH('面板-总览'!$R66,'面板-景气指数'!$A$37:$A$244,0),MATCH('面板-总览'!AD$2,'面板-景气指数'!$36:$36,0))</f>
        <v>0.51999999999999991</v>
      </c>
      <c r="AE66" s="7">
        <f>INDEX('面板-景气指数'!$37:$244,MATCH('面板-总览'!$R66,'面板-景气指数'!$A$37:$A$244,0),MATCH('面板-总览'!AE$2,'面板-景气指数'!$36:$36,0))</f>
        <v>0.52200000000000002</v>
      </c>
      <c r="AG66" s="12">
        <f t="shared" si="3"/>
        <v>-2.1199999999999997E-2</v>
      </c>
      <c r="AI66" s="6" t="s">
        <v>159</v>
      </c>
      <c r="AJ66" s="7">
        <f>INDEX('面板-景气指数'!$37:$244,MATCH('面板-总览'!$AI66,'面板-景气指数'!$A$37:$A$244,0),MATCH('面板-总览'!AJ$2,'面板-景气指数'!$36:$36,0))</f>
        <v>0.83599999999999985</v>
      </c>
      <c r="AK66" s="7">
        <f>INDEX('面板-景气指数'!$37:$244,MATCH('面板-总览'!$AI66,'面板-景气指数'!$A$37:$A$244,0),MATCH('面板-总览'!AK$2,'面板-景气指数'!$36:$36,0))</f>
        <v>0.85550000000000004</v>
      </c>
      <c r="AL66" s="7">
        <f>INDEX('面板-景气指数'!$37:$244,MATCH('面板-总览'!$AI66,'面板-景气指数'!$A$37:$A$244,0),MATCH('面板-总览'!AL$2,'面板-景气指数'!$36:$36,0))</f>
        <v>0.87449999999999994</v>
      </c>
      <c r="AM66" s="7">
        <f>INDEX('面板-景气指数'!$37:$244,MATCH('面板-总览'!$AI66,'面板-景气指数'!$A$37:$A$244,0),MATCH('面板-总览'!AM$2,'面板-景气指数'!$36:$36,0))</f>
        <v>0.88900000000000001</v>
      </c>
      <c r="AN66" s="7">
        <f>INDEX('面板-景气指数'!$37:$244,MATCH('面板-总览'!$AI66,'面板-景气指数'!$A$37:$A$244,0),MATCH('面板-总览'!AN$2,'面板-景气指数'!$36:$36,0))</f>
        <v>0.87000000000000011</v>
      </c>
      <c r="AO66" s="7">
        <f>INDEX('面板-景气指数'!$37:$244,MATCH('面板-总览'!$AI66,'面板-景气指数'!$A$37:$A$244,0),MATCH('面板-总览'!AO$2,'面板-景气指数'!$36:$36,0))</f>
        <v>0.75900000000000001</v>
      </c>
      <c r="AP66" s="7">
        <f>INDEX('面板-景气指数'!$37:$244,MATCH('面板-总览'!$AI66,'面板-景气指数'!$A$37:$A$244,0),MATCH('面板-总览'!AP$2,'面板-景气指数'!$36:$36,0))</f>
        <v>0.73050000000000004</v>
      </c>
      <c r="AQ66" s="7">
        <f>INDEX('面板-景气指数'!$37:$244,MATCH('面板-总览'!$AI66,'面板-景气指数'!$A$37:$A$244,0),MATCH('面板-总览'!AQ$2,'面板-景气指数'!$36:$36,0))</f>
        <v>0.63900000000000001</v>
      </c>
      <c r="AR66" s="7">
        <f>INDEX('面板-景气指数'!$37:$244,MATCH('面板-总览'!$AI66,'面板-景气指数'!$A$37:$A$244,0),MATCH('面板-总览'!AR$2,'面板-景气指数'!$36:$36,0))</f>
        <v>0.61950000000000005</v>
      </c>
      <c r="AS66" s="7">
        <f>INDEX('面板-景气指数'!$37:$244,MATCH('面板-总览'!$AI66,'面板-景气指数'!$A$37:$A$244,0),MATCH('面板-总览'!AS$2,'面板-景气指数'!$36:$36,0))</f>
        <v>0.59599999999999997</v>
      </c>
      <c r="AT66" s="7">
        <f>INDEX('面板-景气指数'!$37:$244,MATCH('面板-总览'!$AI66,'面板-景气指数'!$A$37:$A$244,0),MATCH('面板-总览'!AT$2,'面板-景气指数'!$36:$36,0))</f>
        <v>0.58150000000000002</v>
      </c>
      <c r="AU66" s="7">
        <f>INDEX('面板-景气指数'!$37:$244,MATCH('面板-总览'!$AI66,'面板-景气指数'!$A$37:$A$244,0),MATCH('面板-总览'!AU$2,'面板-景气指数'!$36:$36,0))</f>
        <v>0.5575</v>
      </c>
      <c r="AV66" s="7">
        <f>INDEX('面板-景气指数'!$37:$244,MATCH('面板-总览'!$AI66,'面板-景气指数'!$A$37:$A$244,0),MATCH('面板-总览'!AV$2,'面板-景气指数'!$36:$36,0))</f>
        <v>0.54749999999999999</v>
      </c>
      <c r="AX66" s="12">
        <f t="shared" si="2"/>
        <v>-4.8499999999999988E-2</v>
      </c>
    </row>
    <row r="67" spans="18:50" ht="21" customHeight="1" x14ac:dyDescent="0.2">
      <c r="R67" s="6" t="s">
        <v>160</v>
      </c>
      <c r="S67" s="7">
        <f>INDEX('面板-景气指数'!$37:$244,MATCH('面板-总览'!$R67,'面板-景气指数'!$A$37:$A$244,0),MATCH('面板-总览'!S$2,'面板-景气指数'!$36:$36,0))</f>
        <v>0.75700000000000001</v>
      </c>
      <c r="T67" s="7">
        <f>INDEX('面板-景气指数'!$37:$244,MATCH('面板-总览'!$R67,'面板-景气指数'!$A$37:$A$244,0),MATCH('面板-总览'!T$2,'面板-景气指数'!$36:$36,0))</f>
        <v>0.76600000000000001</v>
      </c>
      <c r="U67" s="7">
        <f>INDEX('面板-景气指数'!$37:$244,MATCH('面板-总览'!$R67,'面板-景气指数'!$A$37:$A$244,0),MATCH('面板-总览'!U$2,'面板-景气指数'!$36:$36,0))</f>
        <v>0.85399999999999998</v>
      </c>
      <c r="V67" s="7">
        <f>INDEX('面板-景气指数'!$37:$244,MATCH('面板-总览'!$R67,'面板-景气指数'!$A$37:$A$244,0),MATCH('面板-总览'!V$2,'面板-景气指数'!$36:$36,0))</f>
        <v>0.90200000000000002</v>
      </c>
      <c r="W67" s="7">
        <f>INDEX('面板-景气指数'!$37:$244,MATCH('面板-总览'!$R67,'面板-景气指数'!$A$37:$A$244,0),MATCH('面板-总览'!W$2,'面板-景气指数'!$36:$36,0))</f>
        <v>0.93199999999999994</v>
      </c>
      <c r="X67" s="7">
        <f>INDEX('面板-景气指数'!$37:$244,MATCH('面板-总览'!$R67,'面板-景气指数'!$A$37:$A$244,0),MATCH('面板-总览'!X$2,'面板-景气指数'!$36:$36,0))</f>
        <v>0.58199999999999996</v>
      </c>
      <c r="Y67" s="7">
        <f>INDEX('面板-景气指数'!$37:$244,MATCH('面板-总览'!$R67,'面板-景气指数'!$A$37:$A$244,0),MATCH('面板-总览'!Y$2,'面板-景气指数'!$36:$36,0))</f>
        <v>0.57199999999999995</v>
      </c>
      <c r="Z67" s="7">
        <f>INDEX('面板-景气指数'!$37:$244,MATCH('面板-总览'!$R67,'面板-景气指数'!$A$37:$A$244,0),MATCH('面板-总览'!Z$2,'面板-景气指数'!$36:$36,0))</f>
        <v>0.45600000000000002</v>
      </c>
      <c r="AA67" s="7">
        <f>INDEX('面板-景气指数'!$37:$244,MATCH('面板-总览'!$R67,'面板-景气指数'!$A$37:$A$244,0),MATCH('面板-总览'!AA$2,'面板-景气指数'!$36:$36,0))</f>
        <v>0.41699999999999998</v>
      </c>
      <c r="AB67" s="7">
        <f>INDEX('面板-景气指数'!$37:$244,MATCH('面板-总览'!$R67,'面板-景气指数'!$A$37:$A$244,0),MATCH('面板-总览'!AB$2,'面板-景气指数'!$36:$36,0))</f>
        <v>0.3</v>
      </c>
      <c r="AC67" s="7">
        <f>INDEX('面板-景气指数'!$37:$244,MATCH('面板-总览'!$R67,'面板-景气指数'!$A$37:$A$244,0),MATCH('面板-总览'!AC$2,'面板-景气指数'!$36:$36,0))</f>
        <v>0.31</v>
      </c>
      <c r="AD67" s="7">
        <f>INDEX('面板-景气指数'!$37:$244,MATCH('面板-总览'!$R67,'面板-景气指数'!$A$37:$A$244,0),MATCH('面板-总览'!AD$2,'面板-景气指数'!$36:$36,0))</f>
        <v>0.19400000000000001</v>
      </c>
      <c r="AE67" s="7">
        <f>INDEX('面板-景气指数'!$37:$244,MATCH('面板-总览'!$R67,'面板-景气指数'!$A$37:$A$244,0),MATCH('面板-总览'!AE$2,'面板-景气指数'!$36:$36,0))</f>
        <v>0.184</v>
      </c>
      <c r="AG67" s="12">
        <f t="shared" si="3"/>
        <v>-0.11599999999999999</v>
      </c>
      <c r="AI67" s="6" t="s">
        <v>161</v>
      </c>
      <c r="AJ67" s="7">
        <f>INDEX('面板-景气指数'!$37:$244,MATCH('面板-总览'!$AI67,'面板-景气指数'!$A$37:$A$244,0),MATCH('面板-总览'!AJ$2,'面板-景气指数'!$36:$36,0))</f>
        <v>0.622</v>
      </c>
      <c r="AK67" s="7">
        <f>INDEX('面板-景气指数'!$37:$244,MATCH('面板-总览'!$AI67,'面板-景气指数'!$A$37:$A$244,0),MATCH('面板-总览'!AK$2,'面板-景气指数'!$36:$36,0))</f>
        <v>0.63675000000000004</v>
      </c>
      <c r="AL67" s="7">
        <f>INDEX('面板-景气指数'!$37:$244,MATCH('面板-总览'!$AI67,'面板-景气指数'!$A$37:$A$244,0),MATCH('面板-总览'!AL$2,'面板-景气指数'!$36:$36,0))</f>
        <v>0.68924999999999992</v>
      </c>
      <c r="AM67" s="7">
        <f>INDEX('面板-景气指数'!$37:$244,MATCH('面板-总览'!$AI67,'面板-景气指数'!$A$37:$A$244,0),MATCH('面板-总览'!AM$2,'面板-景气指数'!$36:$36,0))</f>
        <v>0.752</v>
      </c>
      <c r="AN67" s="7">
        <f>INDEX('面板-景气指数'!$37:$244,MATCH('面板-总览'!$AI67,'面板-景气指数'!$A$37:$A$244,0),MATCH('面板-总览'!AN$2,'面板-景气指数'!$36:$36,0))</f>
        <v>0.76649999999999996</v>
      </c>
      <c r="AO67" s="7">
        <f>INDEX('面板-景气指数'!$37:$244,MATCH('面板-总览'!$AI67,'面板-景气指数'!$A$37:$A$244,0),MATCH('面板-总览'!AO$2,'面板-景气指数'!$36:$36,0))</f>
        <v>0.77100000000000002</v>
      </c>
      <c r="AP67" s="7">
        <f>INDEX('面板-景气指数'!$37:$244,MATCH('面板-总览'!$AI67,'面板-景气指数'!$A$37:$A$244,0),MATCH('面板-总览'!AP$2,'面板-景气指数'!$36:$36,0))</f>
        <v>0.78075000000000006</v>
      </c>
      <c r="AQ67" s="7">
        <f>INDEX('面板-景气指数'!$37:$244,MATCH('面板-总览'!$AI67,'面板-景气指数'!$A$37:$A$244,0),MATCH('面板-总览'!AQ$2,'面板-景气指数'!$36:$36,0))</f>
        <v>0.79749999999999999</v>
      </c>
      <c r="AR67" s="7">
        <f>INDEX('面板-景气指数'!$37:$244,MATCH('面板-总览'!$AI67,'面板-景气指数'!$A$37:$A$244,0),MATCH('面板-总览'!AR$2,'面板-景气指数'!$36:$36,0))</f>
        <v>0.80249999999999999</v>
      </c>
      <c r="AS67" s="7">
        <f>INDEX('面板-景气指数'!$37:$244,MATCH('面板-总览'!$AI67,'面板-景气指数'!$A$37:$A$244,0),MATCH('面板-总览'!AS$2,'面板-景气指数'!$36:$36,0))</f>
        <v>0.83599999999999997</v>
      </c>
      <c r="AT67" s="7">
        <f>INDEX('面板-景气指数'!$37:$244,MATCH('面板-总览'!$AI67,'面板-景气指数'!$A$37:$A$244,0),MATCH('面板-总览'!AT$2,'面板-景气指数'!$36:$36,0))</f>
        <v>0.84799999999999998</v>
      </c>
      <c r="AU67" s="7">
        <f>INDEX('面板-景气指数'!$37:$244,MATCH('面板-总览'!$AI67,'面板-景气指数'!$A$37:$A$244,0),MATCH('面板-总览'!AU$2,'面板-景气指数'!$36:$36,0))</f>
        <v>0.84799999999999998</v>
      </c>
      <c r="AV67" s="7">
        <f>INDEX('面板-景气指数'!$37:$244,MATCH('面板-总览'!$AI67,'面板-景气指数'!$A$37:$A$244,0),MATCH('面板-总览'!AV$2,'面板-景气指数'!$36:$36,0))</f>
        <v>0.82874999999999999</v>
      </c>
      <c r="AX67" s="12">
        <f t="shared" si="2"/>
        <v>-7.2499999999999787E-3</v>
      </c>
    </row>
    <row r="68" spans="18:50" ht="21" customHeight="1" x14ac:dyDescent="0.2">
      <c r="R68" s="6" t="s">
        <v>162</v>
      </c>
      <c r="S68" s="7">
        <f>INDEX('面板-景气指数'!$37:$244,MATCH('面板-总览'!$R68,'面板-景气指数'!$A$37:$A$244,0),MATCH('面板-总览'!S$2,'面板-景气指数'!$36:$36,0))</f>
        <v>0.65625</v>
      </c>
      <c r="T68" s="7">
        <f>INDEX('面板-景气指数'!$37:$244,MATCH('面板-总览'!$R68,'面板-景气指数'!$A$37:$A$244,0),MATCH('面板-总览'!T$2,'面板-景气指数'!$36:$36,0))</f>
        <v>0.64806249999999987</v>
      </c>
      <c r="U68" s="7">
        <f>INDEX('面板-景气指数'!$37:$244,MATCH('面板-总览'!$R68,'面板-景气指数'!$A$37:$A$244,0),MATCH('面板-总览'!U$2,'面板-景气指数'!$36:$36,0))</f>
        <v>0.64400000000000002</v>
      </c>
      <c r="V68" s="7">
        <f>INDEX('面板-景气指数'!$37:$244,MATCH('面板-总览'!$R68,'面板-景气指数'!$A$37:$A$244,0),MATCH('面板-总览'!V$2,'面板-景气指数'!$36:$36,0))</f>
        <v>0.62575000000000003</v>
      </c>
      <c r="W68" s="7">
        <f>INDEX('面板-景气指数'!$37:$244,MATCH('面板-总览'!$R68,'面板-景气指数'!$A$37:$A$244,0),MATCH('面板-总览'!W$2,'面板-景气指数'!$36:$36,0))</f>
        <v>0.54325000000000012</v>
      </c>
      <c r="X68" s="7">
        <f>INDEX('面板-景气指数'!$37:$244,MATCH('面板-总览'!$R68,'面板-景气指数'!$A$37:$A$244,0),MATCH('面板-总览'!X$2,'面板-景气指数'!$36:$36,0))</f>
        <v>0.3470625</v>
      </c>
      <c r="Y68" s="7">
        <f>INDEX('面板-景气指数'!$37:$244,MATCH('面板-总览'!$R68,'面板-景气指数'!$A$37:$A$244,0),MATCH('面板-总览'!Y$2,'面板-景气指数'!$36:$36,0))</f>
        <v>0.27968749999999998</v>
      </c>
      <c r="Z68" s="7">
        <f>INDEX('面板-景气指数'!$37:$244,MATCH('面板-总览'!$R68,'面板-景气指数'!$A$37:$A$244,0),MATCH('面板-总览'!Z$2,'面板-景气指数'!$36:$36,0))</f>
        <v>0.30725000000000002</v>
      </c>
      <c r="AA68" s="7">
        <f>INDEX('面板-景气指数'!$37:$244,MATCH('面板-总览'!$R68,'面板-景气指数'!$A$37:$A$244,0),MATCH('面板-总览'!AA$2,'面板-景气指数'!$36:$36,0))</f>
        <v>0.34537499999999999</v>
      </c>
      <c r="AB68" s="7">
        <f>INDEX('面板-景气指数'!$37:$244,MATCH('面板-总览'!$R68,'面板-景气指数'!$A$37:$A$244,0),MATCH('面板-总览'!AB$2,'面板-景气指数'!$36:$36,0))</f>
        <v>0.35249999999999998</v>
      </c>
      <c r="AC68" s="7">
        <f>INDEX('面板-景气指数'!$37:$244,MATCH('面板-总览'!$R68,'面板-景气指数'!$A$37:$A$244,0),MATCH('面板-总览'!AC$2,'面板-景气指数'!$36:$36,0))</f>
        <v>0.38937500000000003</v>
      </c>
      <c r="AD68" s="7">
        <f>INDEX('面板-景气指数'!$37:$244,MATCH('面板-总览'!$R68,'面板-景气指数'!$A$37:$A$244,0),MATCH('面板-总览'!AD$2,'面板-景气指数'!$36:$36,0))</f>
        <v>0.36568750000000005</v>
      </c>
      <c r="AE68" s="7">
        <f>INDEX('面板-景气指数'!$37:$244,MATCH('面板-总览'!$R68,'面板-景气指数'!$A$37:$A$244,0),MATCH('面板-总览'!AE$2,'面板-景气指数'!$36:$36,0))</f>
        <v>0.35600000000000004</v>
      </c>
      <c r="AG68" s="12">
        <f t="shared" si="3"/>
        <v>3.5000000000000586E-3</v>
      </c>
      <c r="AI68" s="6" t="s">
        <v>163</v>
      </c>
      <c r="AJ68" s="7">
        <f>INDEX('面板-景气指数'!$37:$244,MATCH('面板-总览'!$AI68,'面板-景气指数'!$A$37:$A$244,0),MATCH('面板-总览'!AJ$2,'面板-景气指数'!$36:$36,0))</f>
        <v>0.39399999999999996</v>
      </c>
      <c r="AK68" s="7">
        <f>INDEX('面板-景气指数'!$37:$244,MATCH('面板-总览'!$AI68,'面板-景气指数'!$A$37:$A$244,0),MATCH('面板-总览'!AK$2,'面板-景气指数'!$36:$36,0))</f>
        <v>0.3783333333333333</v>
      </c>
      <c r="AL68" s="7">
        <f>INDEX('面板-景气指数'!$37:$244,MATCH('面板-总览'!$AI68,'面板-景气指数'!$A$37:$A$244,0),MATCH('面板-总览'!AL$2,'面板-景气指数'!$36:$36,0))</f>
        <v>0.36233333333333329</v>
      </c>
      <c r="AM68" s="7">
        <f>INDEX('面板-景气指数'!$37:$244,MATCH('面板-总览'!$AI68,'面板-景气指数'!$A$37:$A$244,0),MATCH('面板-总览'!AM$2,'面板-景气指数'!$36:$36,0))</f>
        <v>0.3783333333333333</v>
      </c>
      <c r="AN68" s="7">
        <f>INDEX('面板-景气指数'!$37:$244,MATCH('面板-总览'!$AI68,'面板-景气指数'!$A$37:$A$244,0),MATCH('面板-总览'!AN$2,'面板-景气指数'!$36:$36,0))</f>
        <v>0.46466666666666667</v>
      </c>
      <c r="AO68" s="7">
        <f>INDEX('面板-景气指数'!$37:$244,MATCH('面板-总览'!$AI68,'面板-景气指数'!$A$37:$A$244,0),MATCH('面板-总览'!AO$2,'面板-景气指数'!$36:$36,0))</f>
        <v>0.47766666666666668</v>
      </c>
      <c r="AP68" s="7">
        <f>INDEX('面板-景气指数'!$37:$244,MATCH('面板-总览'!$AI68,'面板-景气指数'!$A$37:$A$244,0),MATCH('面板-总览'!AP$2,'面板-景气指数'!$36:$36,0))</f>
        <v>0.45500000000000002</v>
      </c>
      <c r="AQ68" s="7">
        <f>INDEX('面板-景气指数'!$37:$244,MATCH('面板-总览'!$AI68,'面板-景气指数'!$A$37:$A$244,0),MATCH('面板-总览'!AQ$2,'面板-景气指数'!$36:$36,0))</f>
        <v>0.39100000000000001</v>
      </c>
      <c r="AR68" s="7">
        <f>INDEX('面板-景气指数'!$37:$244,MATCH('面板-总览'!$AI68,'面板-景气指数'!$A$37:$A$244,0),MATCH('面板-总览'!AR$2,'面板-景气指数'!$36:$36,0))</f>
        <v>0.40366666666666667</v>
      </c>
      <c r="AS68" s="7">
        <f>INDEX('面板-景气指数'!$37:$244,MATCH('面板-总览'!$AI68,'面板-景气指数'!$A$37:$A$244,0),MATCH('面板-总览'!AS$2,'面板-景气指数'!$36:$36,0))</f>
        <v>0.38166666666666665</v>
      </c>
      <c r="AT68" s="7">
        <f>INDEX('面板-景气指数'!$37:$244,MATCH('面板-总览'!$AI68,'面板-景气指数'!$A$37:$A$244,0),MATCH('面板-总览'!AT$2,'面板-景气指数'!$36:$36,0))</f>
        <v>0.37166666666666665</v>
      </c>
      <c r="AU68" s="7">
        <f>INDEX('面板-景气指数'!$37:$244,MATCH('面板-总览'!$AI68,'面板-景气指数'!$A$37:$A$244,0),MATCH('面板-总览'!AU$2,'面板-景气指数'!$36:$36,0))</f>
        <v>0.33333333333333331</v>
      </c>
      <c r="AV68" s="7">
        <f>INDEX('面板-景气指数'!$37:$244,MATCH('面板-总览'!$AI68,'面板-景气指数'!$A$37:$A$244,0),MATCH('面板-总览'!AV$2,'面板-景气指数'!$36:$36,0))</f>
        <v>0.34633333333333333</v>
      </c>
      <c r="AX68" s="12">
        <f>AV68-AS68</f>
        <v>-3.5333333333333328E-2</v>
      </c>
    </row>
    <row r="69" spans="18:50" ht="21" customHeight="1" x14ac:dyDescent="0.2">
      <c r="R69" s="6" t="s">
        <v>164</v>
      </c>
      <c r="S69" s="7">
        <f>INDEX('面板-景气指数'!$37:$244,MATCH('面板-总览'!$R69,'面板-景气指数'!$A$37:$A$244,0),MATCH('面板-总览'!S$2,'面板-景气指数'!$36:$36,0))</f>
        <v>8.5999999999999993E-2</v>
      </c>
      <c r="T69" s="7">
        <f>INDEX('面板-景气指数'!$37:$244,MATCH('面板-总览'!$R69,'面板-景气指数'!$A$37:$A$244,0),MATCH('面板-总览'!T$2,'面板-景气指数'!$36:$36,0))</f>
        <v>9.6000000000000002E-2</v>
      </c>
      <c r="U69" s="7">
        <f>INDEX('面板-景气指数'!$37:$244,MATCH('面板-总览'!$R69,'面板-景气指数'!$A$37:$A$244,0),MATCH('面板-总览'!U$2,'面板-景气指数'!$36:$36,0))</f>
        <v>0.13400000000000001</v>
      </c>
      <c r="V69" s="7">
        <f>INDEX('面板-景气指数'!$37:$244,MATCH('面板-总览'!$R69,'面板-景气指数'!$A$37:$A$244,0),MATCH('面板-总览'!V$2,'面板-景气指数'!$36:$36,0))</f>
        <v>3.7999999999999999E-2</v>
      </c>
      <c r="W69" s="7">
        <f>INDEX('面板-景气指数'!$37:$244,MATCH('面板-总览'!$R69,'面板-景气指数'!$A$37:$A$244,0),MATCH('面板-总览'!W$2,'面板-景气指数'!$36:$36,0))</f>
        <v>2.8000000000000001E-2</v>
      </c>
      <c r="X69" s="7">
        <f>INDEX('面板-景气指数'!$37:$244,MATCH('面板-总览'!$R69,'面板-景气指数'!$A$37:$A$244,0),MATCH('面板-总览'!X$2,'面板-景气指数'!$36:$36,0))</f>
        <v>5.7000000000000002E-2</v>
      </c>
      <c r="Y69" s="7">
        <f>INDEX('面板-景气指数'!$37:$244,MATCH('面板-总览'!$R69,'面板-景气指数'!$A$37:$A$244,0),MATCH('面板-总览'!Y$2,'面板-景气指数'!$36:$36,0))</f>
        <v>6.7000000000000004E-2</v>
      </c>
      <c r="Z69" s="7">
        <f>INDEX('面板-景气指数'!$37:$244,MATCH('面板-总览'!$R69,'面板-景气指数'!$A$37:$A$244,0),MATCH('面板-总览'!Z$2,'面板-景气指数'!$36:$36,0))</f>
        <v>0.182</v>
      </c>
      <c r="AA69" s="7">
        <f>INDEX('面板-景气指数'!$37:$244,MATCH('面板-总览'!$R69,'面板-景气指数'!$A$37:$A$244,0),MATCH('面板-总览'!AA$2,'面板-景气指数'!$36:$36,0))</f>
        <v>0.14399999999999999</v>
      </c>
      <c r="AB69" s="7">
        <f>INDEX('面板-景气指数'!$37:$244,MATCH('面板-总览'!$R69,'面板-景气指数'!$A$37:$A$244,0),MATCH('面板-总览'!AB$2,'面板-景气指数'!$36:$36,0))</f>
        <v>0.192</v>
      </c>
      <c r="AC69" s="7">
        <f>INDEX('面板-景气指数'!$37:$244,MATCH('面板-总览'!$R69,'面板-景气指数'!$A$37:$A$244,0),MATCH('面板-总览'!AC$2,'面板-景气指数'!$36:$36,0))</f>
        <v>0.105</v>
      </c>
      <c r="AD69" s="7">
        <f>INDEX('面板-景气指数'!$37:$244,MATCH('面板-总览'!$R69,'面板-景气指数'!$A$37:$A$244,0),MATCH('面板-总览'!AD$2,'面板-景气指数'!$36:$36,0))</f>
        <v>0.21099999999999999</v>
      </c>
      <c r="AE69" s="7">
        <f>INDEX('面板-景气指数'!$37:$244,MATCH('面板-总览'!$R69,'面板-景气指数'!$A$37:$A$244,0),MATCH('面板-总览'!AE$2,'面板-景气指数'!$36:$36,0))</f>
        <v>0.22099999999999997</v>
      </c>
      <c r="AG69" s="12">
        <f t="shared" si="3"/>
        <v>2.899999999999997E-2</v>
      </c>
      <c r="AI69" s="6" t="s">
        <v>165</v>
      </c>
      <c r="AJ69" s="7">
        <f>INDEX('面板-景气指数'!$37:$244,MATCH('面板-总览'!$AI69,'面板-景气指数'!$A$37:$A$244,0),MATCH('面板-总览'!AJ$2,'面板-景气指数'!$36:$36,0))</f>
        <v>0.49299999999999999</v>
      </c>
      <c r="AK69" s="7">
        <f>INDEX('面板-景气指数'!$37:$244,MATCH('面板-总览'!$AI69,'面板-景气指数'!$A$37:$A$244,0),MATCH('面板-总览'!AK$2,'面板-景气指数'!$36:$36,0))</f>
        <v>0.50219999999999998</v>
      </c>
      <c r="AL69" s="7">
        <f>INDEX('面板-景气指数'!$37:$244,MATCH('面板-总览'!$AI69,'面板-景气指数'!$A$37:$A$244,0),MATCH('面板-总览'!AL$2,'面板-景气指数'!$36:$36,0))</f>
        <v>0.47359999999999997</v>
      </c>
      <c r="AM69" s="7">
        <f>INDEX('面板-景气指数'!$37:$244,MATCH('面板-总览'!$AI69,'面板-景气指数'!$A$37:$A$244,0),MATCH('面板-总览'!AM$2,'面板-景气指数'!$36:$36,0))</f>
        <v>0.44639999999999996</v>
      </c>
      <c r="AN69" s="7">
        <f>INDEX('面板-景气指数'!$37:$244,MATCH('面板-总览'!$AI69,'面板-景气指数'!$A$37:$A$244,0),MATCH('面板-总览'!AN$2,'面板-景气指数'!$36:$36,0))</f>
        <v>0.41760000000000003</v>
      </c>
      <c r="AO69" s="7">
        <f>INDEX('面板-景气指数'!$37:$244,MATCH('面板-总览'!$AI69,'面板-景气指数'!$A$37:$A$244,0),MATCH('面板-总览'!AO$2,'面板-景气指数'!$36:$36,0))</f>
        <v>0.49940000000000007</v>
      </c>
      <c r="AP69" s="7">
        <f>INDEX('面板-景气指数'!$37:$244,MATCH('面板-总览'!$AI69,'面板-景气指数'!$A$37:$A$244,0),MATCH('面板-总览'!AP$2,'面板-景气指数'!$36:$36,0))</f>
        <v>0.56120000000000003</v>
      </c>
      <c r="AQ69" s="7">
        <f>INDEX('面板-景气指数'!$37:$244,MATCH('面板-总览'!$AI69,'面板-景气指数'!$A$37:$A$244,0),MATCH('面板-总览'!AQ$2,'面板-景气指数'!$36:$36,0))</f>
        <v>0.68440000000000001</v>
      </c>
      <c r="AR69" s="7">
        <f>INDEX('面板-景气指数'!$37:$244,MATCH('面板-总览'!$AI69,'面板-景气指数'!$A$37:$A$244,0),MATCH('面板-总览'!AR$2,'面板-景气指数'!$36:$36,0))</f>
        <v>0.75019999999999998</v>
      </c>
      <c r="AS69" s="7">
        <f>INDEX('面板-景气指数'!$37:$244,MATCH('面板-总览'!$AI69,'面板-景气指数'!$A$37:$A$244,0),MATCH('面板-总览'!AS$2,'面板-景气指数'!$36:$36,0))</f>
        <v>0.74660000000000004</v>
      </c>
      <c r="AT69" s="7">
        <f>INDEX('面板-景气指数'!$37:$244,MATCH('面板-总览'!$AI69,'面板-景气指数'!$A$37:$A$244,0),MATCH('面板-总览'!AT$2,'面板-景气指数'!$36:$36,0))</f>
        <v>0.70999999999999985</v>
      </c>
      <c r="AU69" s="7">
        <f>INDEX('面板-景气指数'!$37:$244,MATCH('面板-总览'!$AI69,'面板-景气指数'!$A$37:$A$244,0),MATCH('面板-总览'!AU$2,'面板-景气指数'!$36:$36,0))</f>
        <v>0.66959999999999997</v>
      </c>
      <c r="AV69" s="7">
        <f>INDEX('面板-景气指数'!$37:$244,MATCH('面板-总览'!$AI69,'面板-景气指数'!$A$37:$A$244,0),MATCH('面板-总览'!AV$2,'面板-景气指数'!$36:$36,0))</f>
        <v>0.51959999999999995</v>
      </c>
      <c r="AX69" s="12">
        <f>AV69-AS69</f>
        <v>-0.22700000000000009</v>
      </c>
    </row>
    <row r="70" spans="18:50" ht="21" customHeight="1" x14ac:dyDescent="0.2">
      <c r="R70" s="6" t="s">
        <v>166</v>
      </c>
      <c r="S70" s="7">
        <f>INDEX('面板-景气指数'!$37:$244,MATCH('面板-总览'!$R70,'面板-景气指数'!$A$37:$A$244,0),MATCH('面板-总览'!S$2,'面板-景气指数'!$36:$36,0))</f>
        <v>7.2000000000000008E-2</v>
      </c>
      <c r="T70" s="7">
        <f>INDEX('面板-景气指数'!$37:$244,MATCH('面板-总览'!$R70,'面板-景气指数'!$A$37:$A$244,0),MATCH('面板-总览'!T$2,'面板-景气指数'!$36:$36,0))</f>
        <v>5.2000000000000005E-2</v>
      </c>
      <c r="U70" s="7">
        <f>INDEX('面板-景气指数'!$37:$244,MATCH('面板-总览'!$R70,'面板-景气指数'!$A$37:$A$244,0),MATCH('面板-总览'!U$2,'面板-景气指数'!$36:$36,0))</f>
        <v>7.6499999999999999E-2</v>
      </c>
      <c r="V70" s="7">
        <f>INDEX('面板-景气指数'!$37:$244,MATCH('面板-总览'!$R70,'面板-景气指数'!$A$37:$A$244,0),MATCH('面板-总览'!V$2,'面板-景气指数'!$36:$36,0))</f>
        <v>9.0499999999999997E-2</v>
      </c>
      <c r="W70" s="7">
        <f>INDEX('面板-景气指数'!$37:$244,MATCH('面板-总览'!$R70,'面板-景气指数'!$A$37:$A$244,0),MATCH('面板-总览'!W$2,'面板-景气指数'!$36:$36,0))</f>
        <v>0.13900000000000001</v>
      </c>
      <c r="X70" s="7">
        <f>INDEX('面板-景气指数'!$37:$244,MATCH('面板-总览'!$R70,'面板-景气指数'!$A$37:$A$244,0),MATCH('面板-总览'!X$2,'面板-景气指数'!$36:$36,0))</f>
        <v>0.14849999999999999</v>
      </c>
      <c r="Y70" s="7">
        <f>INDEX('面板-景气指数'!$37:$244,MATCH('面板-总览'!$R70,'面板-景气指数'!$A$37:$A$244,0),MATCH('面板-总览'!Y$2,'面板-景气指数'!$36:$36,0))</f>
        <v>0.17750000000000002</v>
      </c>
      <c r="Z70" s="7">
        <f>INDEX('面板-景气指数'!$37:$244,MATCH('面板-总览'!$R70,'面板-景气指数'!$A$37:$A$244,0),MATCH('面板-总览'!Z$2,'面板-景气指数'!$36:$36,0))</f>
        <v>0.22550000000000001</v>
      </c>
      <c r="AA70" s="7">
        <f>INDEX('面板-景气指数'!$37:$244,MATCH('面板-总览'!$R70,'面板-景气指数'!$A$37:$A$244,0),MATCH('面板-总览'!AA$2,'面板-景气指数'!$36:$36,0))</f>
        <v>0.27350000000000002</v>
      </c>
      <c r="AB70" s="7">
        <f>INDEX('面板-景气指数'!$37:$244,MATCH('面板-总览'!$R70,'面板-景气指数'!$A$37:$A$244,0),MATCH('面板-总览'!AB$2,'面板-景气指数'!$36:$36,0))</f>
        <v>0.312</v>
      </c>
      <c r="AC70" s="7">
        <f>INDEX('面板-景气指数'!$37:$244,MATCH('面板-总览'!$R70,'面板-景气指数'!$A$37:$A$244,0),MATCH('面板-总览'!AC$2,'面板-景气指数'!$36:$36,0))</f>
        <v>0.38899999999999996</v>
      </c>
      <c r="AD70" s="7">
        <f>INDEX('面板-景气指数'!$37:$244,MATCH('面板-总览'!$R70,'面板-景气指数'!$A$37:$A$244,0),MATCH('面板-总览'!AD$2,'面板-景气指数'!$36:$36,0))</f>
        <v>0.45149999999999996</v>
      </c>
      <c r="AE70" s="7">
        <f>INDEX('面板-景气指数'!$37:$244,MATCH('面板-总览'!$R70,'面板-景气指数'!$A$37:$A$244,0),MATCH('面板-总览'!AE$2,'面板-景气指数'!$36:$36,0))</f>
        <v>0.49500000000000005</v>
      </c>
      <c r="AG70" s="12">
        <f t="shared" si="3"/>
        <v>0.18300000000000005</v>
      </c>
      <c r="AI70" s="6" t="s">
        <v>167</v>
      </c>
      <c r="AJ70" s="7">
        <f>INDEX('面板-景气指数'!$37:$244,MATCH('面板-总览'!$AI70,'面板-景气指数'!$A$37:$A$244,0),MATCH('面板-总览'!AJ$2,'面板-景气指数'!$36:$36,0))</f>
        <v>0.54300000000000004</v>
      </c>
      <c r="AK70" s="7">
        <f>INDEX('面板-景气指数'!$37:$244,MATCH('面板-总览'!$AI70,'面板-景气指数'!$A$37:$A$244,0),MATCH('面板-总览'!AK$2,'面板-景气指数'!$36:$36,0))</f>
        <v>0.48499999999999999</v>
      </c>
      <c r="AL70" s="7">
        <f>INDEX('面板-景气指数'!$37:$244,MATCH('面板-总览'!$AI70,'面板-景气指数'!$A$37:$A$244,0),MATCH('面板-总览'!AL$2,'面板-景气指数'!$36:$36,0))</f>
        <v>0.44699999999999995</v>
      </c>
      <c r="AM70" s="7">
        <f>INDEX('面板-景气指数'!$37:$244,MATCH('面板-总览'!$AI70,'面板-景气指数'!$A$37:$A$244,0),MATCH('面板-总览'!AM$2,'面板-景气指数'!$36:$36,0))</f>
        <v>0.49000000000000005</v>
      </c>
      <c r="AN70" s="7">
        <f>INDEX('面板-景气指数'!$37:$244,MATCH('面板-总览'!$AI70,'面板-景气指数'!$A$37:$A$244,0),MATCH('面板-总览'!AN$2,'面板-景气指数'!$36:$36,0))</f>
        <v>0.38400000000000006</v>
      </c>
      <c r="AO70" s="7">
        <f>INDEX('面板-景气指数'!$37:$244,MATCH('面板-总览'!$AI70,'面板-景气指数'!$A$37:$A$244,0),MATCH('面板-总览'!AO$2,'面板-景气指数'!$36:$36,0))</f>
        <v>0.3165</v>
      </c>
      <c r="AP70" s="7">
        <f>INDEX('面板-景气指数'!$37:$244,MATCH('面板-总览'!$AI70,'面板-景气指数'!$A$37:$A$244,0),MATCH('面板-总览'!AP$2,'面板-景气指数'!$36:$36,0))</f>
        <v>0.24500000000000002</v>
      </c>
      <c r="AQ70" s="7">
        <f>INDEX('面板-景气指数'!$37:$244,MATCH('面板-总览'!$AI70,'面板-景气指数'!$A$37:$A$244,0),MATCH('面板-总览'!AQ$2,'面板-景气指数'!$36:$36,0))</f>
        <v>0.1825</v>
      </c>
      <c r="AR70" s="7">
        <f>INDEX('面板-景气指数'!$37:$244,MATCH('面板-总览'!$AI70,'面板-景气指数'!$A$37:$A$244,0),MATCH('面板-总览'!AR$2,'面板-景气指数'!$36:$36,0))</f>
        <v>0.10049999999999999</v>
      </c>
      <c r="AS70" s="7">
        <f>INDEX('面板-景气指数'!$37:$244,MATCH('面板-总览'!$AI70,'面板-景气指数'!$A$37:$A$244,0),MATCH('面板-总览'!AS$2,'面板-景气指数'!$36:$36,0))</f>
        <v>0.10049999999999999</v>
      </c>
      <c r="AT70" s="7">
        <f>INDEX('面板-景气指数'!$37:$244,MATCH('面板-总览'!$AI70,'面板-景气指数'!$A$37:$A$244,0),MATCH('面板-总览'!AT$2,'面板-景气指数'!$36:$36,0))</f>
        <v>0.12</v>
      </c>
      <c r="AU70" s="7">
        <f>INDEX('面板-景气指数'!$37:$244,MATCH('面板-总览'!$AI70,'面板-景气指数'!$A$37:$A$244,0),MATCH('面板-总览'!AU$2,'面板-景气指数'!$36:$36,0))</f>
        <v>0.1245</v>
      </c>
      <c r="AV70" s="7">
        <f>INDEX('面板-景气指数'!$37:$244,MATCH('面板-总览'!$AI70,'面板-景气指数'!$A$37:$A$244,0),MATCH('面板-总览'!AV$2,'面板-景气指数'!$36:$36,0))</f>
        <v>0.1295</v>
      </c>
      <c r="AX70" s="12">
        <f>AV70-AS70</f>
        <v>2.9000000000000012E-2</v>
      </c>
    </row>
    <row r="71" spans="18:50" ht="21" customHeight="1" x14ac:dyDescent="0.2">
      <c r="R71" s="6" t="s">
        <v>168</v>
      </c>
      <c r="S71" s="7">
        <f>INDEX('面板-景气指数'!$37:$244,MATCH('面板-总览'!$R71,'面板-景气指数'!$A$37:$A$244,0),MATCH('面板-总览'!S$2,'面板-景气指数'!$36:$36,0))</f>
        <v>0.26900000000000002</v>
      </c>
      <c r="T71" s="7">
        <f>INDEX('面板-景气指数'!$37:$244,MATCH('面板-总览'!$R71,'面板-景气指数'!$A$37:$A$244,0),MATCH('面板-总览'!T$2,'面板-景气指数'!$36:$36,0))</f>
        <v>0.16300000000000001</v>
      </c>
      <c r="U71" s="7">
        <f>INDEX('面板-景气指数'!$37:$244,MATCH('面板-总览'!$R71,'面板-景气指数'!$A$37:$A$244,0),MATCH('面板-总览'!U$2,'面板-景气指数'!$36:$36,0))</f>
        <v>0.23</v>
      </c>
      <c r="V71" s="7">
        <f>INDEX('面板-景气指数'!$37:$244,MATCH('面板-总览'!$R71,'面板-景气指数'!$A$37:$A$244,0),MATCH('面板-总览'!V$2,'面板-景气指数'!$36:$36,0))</f>
        <v>0.307</v>
      </c>
      <c r="W71" s="7">
        <f>INDEX('面板-景气指数'!$37:$244,MATCH('面板-总览'!$R71,'面板-景气指数'!$A$37:$A$244,0),MATCH('面板-总览'!W$2,'面板-景气指数'!$36:$36,0))</f>
        <v>0.5</v>
      </c>
      <c r="X71" s="7">
        <f>INDEX('面板-景气指数'!$37:$244,MATCH('面板-总览'!$R71,'面板-景气指数'!$A$37:$A$244,0),MATCH('面板-总览'!X$2,'面板-景气指数'!$36:$36,0))</f>
        <v>0.307</v>
      </c>
      <c r="Y71" s="7">
        <f>INDEX('面板-景气指数'!$37:$244,MATCH('面板-总览'!$R71,'面板-景气指数'!$A$37:$A$244,0),MATCH('面板-总览'!Y$2,'面板-景气指数'!$36:$36,0))</f>
        <v>0.20100000000000004</v>
      </c>
      <c r="Z71" s="7">
        <f>INDEX('面板-景气指数'!$37:$244,MATCH('面板-总览'!$R71,'面板-景气指数'!$A$37:$A$244,0),MATCH('面板-总览'!Z$2,'面板-景气指数'!$36:$36,0))</f>
        <v>0.37500000000000006</v>
      </c>
      <c r="AA71" s="7">
        <f>INDEX('面板-景气指数'!$37:$244,MATCH('面板-总览'!$R71,'面板-景气指数'!$A$37:$A$244,0),MATCH('面板-总览'!AA$2,'面板-景气指数'!$36:$36,0))</f>
        <v>0.182</v>
      </c>
      <c r="AB71" s="7">
        <f>INDEX('面板-景气指数'!$37:$244,MATCH('面板-总览'!$R71,'面板-景气指数'!$A$37:$A$244,0),MATCH('面板-总览'!AB$2,'面板-景气指数'!$36:$36,0))</f>
        <v>0.153</v>
      </c>
      <c r="AC71" s="7">
        <f>INDEX('面板-景气指数'!$37:$244,MATCH('面板-总览'!$R71,'面板-景气指数'!$A$37:$A$244,0),MATCH('面板-总览'!AC$2,'面板-景气指数'!$36:$36,0))</f>
        <v>3.7999999999999999E-2</v>
      </c>
      <c r="AD71" s="7">
        <f>INDEX('面板-景气指数'!$37:$244,MATCH('面板-总览'!$R71,'面板-景气指数'!$A$37:$A$244,0),MATCH('面板-总览'!AD$2,'面板-景气指数'!$36:$36,0))</f>
        <v>8.5999999999999993E-2</v>
      </c>
      <c r="AE71" s="7">
        <f>INDEX('面板-景气指数'!$37:$244,MATCH('面板-总览'!$R71,'面板-景气指数'!$A$37:$A$244,0),MATCH('面板-总览'!AE$2,'面板-景气指数'!$36:$36,0))</f>
        <v>8.5999999999999993E-2</v>
      </c>
      <c r="AG71" s="12">
        <f t="shared" si="3"/>
        <v>-6.7000000000000004E-2</v>
      </c>
      <c r="AI71" s="6" t="s">
        <v>169</v>
      </c>
      <c r="AJ71" s="7">
        <f>INDEX('面板-景气指数'!$37:$244,MATCH('面板-总览'!$AI71,'面板-景气指数'!$A$37:$A$244,0),MATCH('面板-总览'!AJ$2,'面板-景气指数'!$36:$36,0))</f>
        <v>0.28300000000000003</v>
      </c>
      <c r="AK71" s="7">
        <f>INDEX('面板-景气指数'!$37:$244,MATCH('面板-总览'!$AI71,'面板-景气指数'!$A$37:$A$244,0),MATCH('面板-总览'!AK$2,'面板-景气指数'!$36:$36,0))</f>
        <v>0.36450000000000005</v>
      </c>
      <c r="AL71" s="7">
        <f>INDEX('面板-景气指数'!$37:$244,MATCH('面板-总览'!$AI71,'面板-景气指数'!$A$37:$A$244,0),MATCH('面板-总览'!AL$2,'面板-景气指数'!$36:$36,0))</f>
        <v>0.42649999999999999</v>
      </c>
      <c r="AM71" s="7">
        <f>INDEX('面板-景气指数'!$37:$244,MATCH('面板-总览'!$AI71,'面板-景气指数'!$A$37:$A$244,0),MATCH('面板-总览'!AM$2,'面板-景气指数'!$36:$36,0))</f>
        <v>0.44400000000000001</v>
      </c>
      <c r="AN71" s="7">
        <f>INDEX('面板-景气指数'!$37:$244,MATCH('面板-总览'!$AI71,'面板-景气指数'!$A$37:$A$244,0),MATCH('面板-总览'!AN$2,'面板-景气指数'!$36:$36,0))</f>
        <v>4.3999999999999997E-2</v>
      </c>
      <c r="AO71" s="7">
        <f>INDEX('面板-景气指数'!$37:$244,MATCH('面板-总览'!$AI71,'面板-景气指数'!$A$37:$A$244,0),MATCH('面板-总览'!AO$2,'面板-景气指数'!$36:$36,0))</f>
        <v>1.9E-2</v>
      </c>
      <c r="AP71" s="7">
        <f>INDEX('面板-景气指数'!$37:$244,MATCH('面板-总览'!$AI71,'面板-景气指数'!$A$37:$A$244,0),MATCH('面板-总览'!AP$2,'面板-景气指数'!$36:$36,0))</f>
        <v>1.6500000000000001E-2</v>
      </c>
      <c r="AQ71" s="7">
        <f>INDEX('面板-景气指数'!$37:$244,MATCH('面板-总览'!$AI71,'面板-景气指数'!$A$37:$A$244,0),MATCH('面板-总览'!AQ$2,'面板-景气指数'!$36:$36,0))</f>
        <v>0.33650000000000002</v>
      </c>
      <c r="AR71" s="7">
        <f>INDEX('面板-景气指数'!$37:$244,MATCH('面板-总览'!$AI71,'面板-景气指数'!$A$37:$A$244,0),MATCH('面板-总览'!AR$2,'面板-景气指数'!$36:$36,0))</f>
        <v>0.37299999999999994</v>
      </c>
      <c r="AS71" s="7">
        <f>INDEX('面板-景气指数'!$37:$244,MATCH('面板-总览'!$AI71,'面板-景气指数'!$A$37:$A$244,0),MATCH('面板-总览'!AS$2,'面板-景气指数'!$36:$36,0))</f>
        <v>0.39249999999999996</v>
      </c>
      <c r="AT71" s="7">
        <f>INDEX('面板-景气指数'!$37:$244,MATCH('面板-总览'!$AI71,'面板-景气指数'!$A$37:$A$244,0),MATCH('面板-总览'!AT$2,'面板-景气指数'!$36:$36,0))</f>
        <v>0.44950000000000001</v>
      </c>
      <c r="AU71" s="7">
        <f>INDEX('面板-景气指数'!$37:$244,MATCH('面板-总览'!$AI71,'面板-景气指数'!$A$37:$A$244,0),MATCH('面板-总览'!AU$2,'面板-景气指数'!$36:$36,0))</f>
        <v>0.42700000000000005</v>
      </c>
      <c r="AV71" s="7">
        <f>INDEX('面板-景气指数'!$37:$244,MATCH('面板-总览'!$AI71,'面板-景气指数'!$A$37:$A$244,0),MATCH('面板-总览'!AV$2,'面板-景气指数'!$36:$36,0))</f>
        <v>0.44650000000000001</v>
      </c>
      <c r="AX71" s="12">
        <f>AV71-AS71</f>
        <v>5.4000000000000048E-2</v>
      </c>
    </row>
    <row r="72" spans="18:50" ht="21" customHeight="1" x14ac:dyDescent="0.2">
      <c r="R72" s="6" t="s">
        <v>170</v>
      </c>
      <c r="S72" s="7">
        <f>INDEX('面板-景气指数'!$37:$244,MATCH('面板-总览'!$R72,'面板-景气指数'!$A$37:$A$244,0),MATCH('面板-总览'!S$2,'面板-景气指数'!$36:$36,0))</f>
        <v>0.14450000000000002</v>
      </c>
      <c r="T72" s="7">
        <f>INDEX('面板-景气指数'!$37:$244,MATCH('面板-总览'!$R72,'面板-景气指数'!$A$37:$A$244,0),MATCH('面板-总览'!T$2,'面板-景气指数'!$36:$36,0))</f>
        <v>0.17050000000000001</v>
      </c>
      <c r="U72" s="7">
        <f>INDEX('面板-景气指数'!$37:$244,MATCH('面板-总览'!$R72,'面板-景气指数'!$A$37:$A$244,0),MATCH('面板-总览'!U$2,'面板-景气指数'!$36:$36,0))</f>
        <v>0.13350000000000001</v>
      </c>
      <c r="V72" s="7">
        <f>INDEX('面板-景气指数'!$37:$244,MATCH('面板-总览'!$R72,'面板-景气指数'!$A$37:$A$244,0),MATCH('面板-总览'!V$2,'面板-景气指数'!$36:$36,0))</f>
        <v>0.217</v>
      </c>
      <c r="W72" s="7">
        <f>INDEX('面板-景气指数'!$37:$244,MATCH('面板-总览'!$R72,'面板-景气指数'!$A$37:$A$244,0),MATCH('面板-总览'!W$2,'面板-景气指数'!$36:$36,0))</f>
        <v>0.1075</v>
      </c>
      <c r="X72" s="7">
        <f>INDEX('面板-景气指数'!$37:$244,MATCH('面板-总览'!$R72,'面板-景气指数'!$A$37:$A$244,0),MATCH('面板-总览'!X$2,'面板-景气指数'!$36:$36,0))</f>
        <v>0.13150000000000001</v>
      </c>
      <c r="Y72" s="7">
        <f>INDEX('面板-景气指数'!$37:$244,MATCH('面板-总览'!$R72,'面板-景气指数'!$A$37:$A$244,0),MATCH('面板-总览'!Y$2,'面板-景气指数'!$36:$36,0))</f>
        <v>0.19900000000000001</v>
      </c>
      <c r="Z72" s="7">
        <f>INDEX('面板-景气指数'!$37:$244,MATCH('面板-总览'!$R72,'面板-景气指数'!$A$37:$A$244,0),MATCH('面板-总览'!Z$2,'面板-景气指数'!$36:$36,0))</f>
        <v>0.24700000000000003</v>
      </c>
      <c r="AA72" s="7">
        <f>INDEX('面板-景气指数'!$37:$244,MATCH('面板-总览'!$R72,'面板-景气指数'!$A$37:$A$244,0),MATCH('面板-总览'!AA$2,'面板-景气指数'!$36:$36,0))</f>
        <v>0.22749999999999998</v>
      </c>
      <c r="AB72" s="7">
        <f>INDEX('面板-景气指数'!$37:$244,MATCH('面板-总览'!$R72,'面板-景气指数'!$A$37:$A$244,0),MATCH('面板-总览'!AB$2,'面板-景气指数'!$36:$36,0))</f>
        <v>0.218</v>
      </c>
      <c r="AC72" s="7">
        <f>INDEX('面板-景气指数'!$37:$244,MATCH('面板-总览'!$R72,'面板-景气指数'!$A$37:$A$244,0),MATCH('面板-总览'!AC$2,'面板-景气指数'!$36:$36,0))</f>
        <v>0.16500000000000004</v>
      </c>
      <c r="AD72" s="7">
        <f>INDEX('面板-景气指数'!$37:$244,MATCH('面板-总览'!$R72,'面板-景气指数'!$A$37:$A$244,0),MATCH('面板-总览'!AD$2,'面板-景气指数'!$36:$36,0))</f>
        <v>0.17949999999999999</v>
      </c>
      <c r="AE72" s="7">
        <f>INDEX('面板-景气指数'!$37:$244,MATCH('面板-总览'!$R72,'面板-景气指数'!$A$37:$A$244,0),MATCH('面板-总览'!AE$2,'面板-景气指数'!$36:$36,0))</f>
        <v>0.17500000000000002</v>
      </c>
      <c r="AG72" s="12">
        <f t="shared" si="3"/>
        <v>-4.2999999999999983E-2</v>
      </c>
    </row>
    <row r="73" spans="18:50" ht="21" customHeight="1" x14ac:dyDescent="0.2">
      <c r="R73" s="6" t="s">
        <v>171</v>
      </c>
      <c r="S73" s="7">
        <f>INDEX('面板-景气指数'!$37:$244,MATCH('面板-总览'!$R73,'面板-景气指数'!$A$37:$A$244,0),MATCH('面板-总览'!S$2,'面板-景气指数'!$36:$36,0))</f>
        <v>0.45400000000000007</v>
      </c>
      <c r="T73" s="7">
        <f>INDEX('面板-景气指数'!$37:$244,MATCH('面板-总览'!$R73,'面板-景气指数'!$A$37:$A$244,0),MATCH('面板-总览'!T$2,'面板-景气指数'!$36:$36,0))</f>
        <v>0.34666666666666673</v>
      </c>
      <c r="U73" s="7">
        <f>INDEX('面板-景气指数'!$37:$244,MATCH('面板-总览'!$R73,'面板-景气指数'!$A$37:$A$244,0),MATCH('面板-总览'!U$2,'面板-景气指数'!$36:$36,0))</f>
        <v>0.28366666666666668</v>
      </c>
      <c r="V73" s="7">
        <f>INDEX('面板-景气指数'!$37:$244,MATCH('面板-总览'!$R73,'面板-景气指数'!$A$37:$A$244,0),MATCH('面板-总览'!V$2,'面板-景气指数'!$36:$36,0))</f>
        <v>0.20283333333333334</v>
      </c>
      <c r="W73" s="7">
        <f>INDEX('面板-景气指数'!$37:$244,MATCH('面板-总览'!$R73,'面板-景气指数'!$A$37:$A$244,0),MATCH('面板-总览'!W$2,'面板-景气指数'!$36:$36,0))</f>
        <v>0.16833333333333333</v>
      </c>
      <c r="X73" s="7">
        <f>INDEX('面板-景气指数'!$37:$244,MATCH('面板-总览'!$R73,'面板-景气指数'!$A$37:$A$244,0),MATCH('面板-总览'!X$2,'面板-景气指数'!$36:$36,0))</f>
        <v>0.14283333333333334</v>
      </c>
      <c r="Y73" s="7">
        <f>INDEX('面板-景气指数'!$37:$244,MATCH('面板-总览'!$R73,'面板-景气指数'!$A$37:$A$244,0),MATCH('面板-总览'!Y$2,'面板-景气指数'!$36:$36,0))</f>
        <v>8.7000000000000008E-2</v>
      </c>
      <c r="Z73" s="7">
        <f>INDEX('面板-景气指数'!$37:$244,MATCH('面板-总览'!$R73,'面板-景气指数'!$A$37:$A$244,0),MATCH('面板-总览'!Z$2,'面板-景气指数'!$36:$36,0))</f>
        <v>0.10050000000000002</v>
      </c>
      <c r="AA73" s="7">
        <f>INDEX('面板-景气指数'!$37:$244,MATCH('面板-总览'!$R73,'面板-景气指数'!$A$37:$A$244,0),MATCH('面板-总览'!AA$2,'面板-景气指数'!$36:$36,0))</f>
        <v>0.11316666666666667</v>
      </c>
      <c r="AB73" s="7">
        <f>INDEX('面板-景气指数'!$37:$244,MATCH('面板-总览'!$R73,'面板-景气指数'!$A$37:$A$244,0),MATCH('面板-总览'!AB$2,'面板-景气指数'!$36:$36,0))</f>
        <v>0.11316666666666667</v>
      </c>
      <c r="AC73" s="7">
        <f>INDEX('面板-景气指数'!$37:$244,MATCH('面板-总览'!$R73,'面板-景气指数'!$A$37:$A$244,0),MATCH('面板-总览'!AC$2,'面板-景气指数'!$36:$36,0))</f>
        <v>0.11316666666666667</v>
      </c>
      <c r="AD73" s="7">
        <f>INDEX('面板-景气指数'!$37:$244,MATCH('面板-总览'!$R73,'面板-景气指数'!$A$37:$A$244,0),MATCH('面板-总览'!AD$2,'面板-景气指数'!$36:$36,0))</f>
        <v>0.11316666666666667</v>
      </c>
      <c r="AE73" s="7">
        <f>INDEX('面板-景气指数'!$37:$244,MATCH('面板-总览'!$R73,'面板-景气指数'!$A$37:$A$244,0),MATCH('面板-总览'!AE$2,'面板-景气指数'!$36:$36,0))</f>
        <v>0.11316666666666667</v>
      </c>
      <c r="AG73" s="12">
        <f t="shared" si="3"/>
        <v>0</v>
      </c>
    </row>
    <row r="74" spans="18:50" ht="21" customHeight="1" x14ac:dyDescent="0.2">
      <c r="R74" s="6" t="s">
        <v>172</v>
      </c>
      <c r="S74" s="7">
        <f>INDEX('面板-景气指数'!$37:$244,MATCH('面板-总览'!$R74,'面板-景气指数'!$A$37:$A$244,0),MATCH('面板-总览'!S$2,'面板-景气指数'!$36:$36,0))</f>
        <v>0.28879999999999995</v>
      </c>
      <c r="T74" s="7">
        <f>INDEX('面板-景气指数'!$37:$244,MATCH('面板-总览'!$R74,'面板-景气指数'!$A$37:$A$244,0),MATCH('面板-总览'!T$2,'面板-景气指数'!$36:$36,0))</f>
        <v>0.23619999999999999</v>
      </c>
      <c r="U74" s="7">
        <f>INDEX('面板-景气指数'!$37:$244,MATCH('面板-总览'!$R74,'面板-景气指数'!$A$37:$A$244,0),MATCH('面板-总览'!U$2,'面板-景气指数'!$36:$36,0))</f>
        <v>0.20999999999999996</v>
      </c>
      <c r="V74" s="7">
        <f>INDEX('面板-景气指数'!$37:$244,MATCH('面板-总览'!$R74,'面板-景气指数'!$A$37:$A$244,0),MATCH('面板-总览'!V$2,'面板-景气指数'!$36:$36,0))</f>
        <v>0.21779999999999991</v>
      </c>
      <c r="W74" s="7">
        <f>INDEX('面板-景气指数'!$37:$244,MATCH('面板-总览'!$R74,'面板-景气指数'!$A$37:$A$244,0),MATCH('面板-总览'!W$2,'面板-景气指数'!$36:$36,0))</f>
        <v>0.25619999999999998</v>
      </c>
      <c r="X74" s="7">
        <f>INDEX('面板-景气指数'!$37:$244,MATCH('面板-总览'!$R74,'面板-景气指数'!$A$37:$A$244,0),MATCH('面板-总览'!X$2,'面板-景气指数'!$36:$36,0))</f>
        <v>0.27150000000000007</v>
      </c>
      <c r="Y74" s="7">
        <f>INDEX('面板-景气指数'!$37:$244,MATCH('面板-总览'!$R74,'面板-景气指数'!$A$37:$A$244,0),MATCH('面板-总览'!Y$2,'面板-景气指数'!$36:$36,0))</f>
        <v>0.27270000000000005</v>
      </c>
      <c r="Z74" s="7">
        <f>INDEX('面板-景气指数'!$37:$244,MATCH('面板-总览'!$R74,'面板-景气指数'!$A$37:$A$244,0),MATCH('面板-总览'!Z$2,'面板-景气指数'!$36:$36,0))</f>
        <v>0.29260000000000003</v>
      </c>
      <c r="AA74" s="7">
        <f>INDEX('面板-景气指数'!$37:$244,MATCH('面板-总览'!$R74,'面板-景气指数'!$A$37:$A$244,0),MATCH('面板-总览'!AA$2,'面板-景气指数'!$36:$36,0))</f>
        <v>0.35060000000000002</v>
      </c>
      <c r="AB74" s="7">
        <f>INDEX('面板-景气指数'!$37:$244,MATCH('面板-总览'!$R74,'面板-景气指数'!$A$37:$A$244,0),MATCH('面板-总览'!AB$2,'面板-景气指数'!$36:$36,0))</f>
        <v>0.43869999999999998</v>
      </c>
      <c r="AC74" s="7">
        <f>INDEX('面板-景气指数'!$37:$244,MATCH('面板-总览'!$R74,'面板-景气指数'!$A$37:$A$244,0),MATCH('面板-总览'!AC$2,'面板-景气指数'!$36:$36,0))</f>
        <v>0.51380000000000003</v>
      </c>
      <c r="AD74" s="7">
        <f>INDEX('面板-景气指数'!$37:$244,MATCH('面板-总览'!$R74,'面板-景气指数'!$A$37:$A$244,0),MATCH('面板-总览'!AD$2,'面板-景气指数'!$36:$36,0))</f>
        <v>0.54290000000000016</v>
      </c>
      <c r="AE74" s="7">
        <f>INDEX('面板-景气指数'!$37:$244,MATCH('面板-总览'!$R74,'面板-景气指数'!$A$37:$A$244,0),MATCH('面板-总览'!AE$2,'面板-景气指数'!$36:$36,0))</f>
        <v>0.57450000000000012</v>
      </c>
      <c r="AG74" s="12">
        <f t="shared" si="3"/>
        <v>0.13580000000000014</v>
      </c>
    </row>
    <row r="75" spans="18:50" ht="21" customHeight="1" x14ac:dyDescent="0.2">
      <c r="R75" s="6" t="s">
        <v>173</v>
      </c>
      <c r="S75" s="7">
        <f>INDEX('面板-景气指数'!$37:$244,MATCH('面板-总览'!$R75,'面板-景气指数'!$A$37:$A$244,0),MATCH('面板-总览'!S$2,'面板-景气指数'!$36:$36,0))</f>
        <v>0.25900000000000001</v>
      </c>
      <c r="T75" s="7">
        <f>INDEX('面板-景气指数'!$37:$244,MATCH('面板-总览'!$R75,'面板-景气指数'!$A$37:$A$244,0),MATCH('面板-总览'!T$2,'面板-景气指数'!$36:$36,0))</f>
        <v>0.23</v>
      </c>
      <c r="U75" s="7">
        <f>INDEX('面板-景气指数'!$37:$244,MATCH('面板-总览'!$R75,'面板-景气指数'!$A$37:$A$244,0),MATCH('面板-总览'!U$2,'面板-景气指数'!$36:$36,0))</f>
        <v>0.14399999999999999</v>
      </c>
      <c r="V75" s="7">
        <f>INDEX('面板-景气指数'!$37:$244,MATCH('面板-总览'!$R75,'面板-景气指数'!$A$37:$A$244,0),MATCH('面板-总览'!V$2,'面板-景气指数'!$36:$36,0))</f>
        <v>0.17299999999999999</v>
      </c>
      <c r="W75" s="7">
        <f>INDEX('面板-景气指数'!$37:$244,MATCH('面板-总览'!$R75,'面板-景气指数'!$A$37:$A$244,0),MATCH('面板-总览'!W$2,'面板-景气指数'!$36:$36,0))</f>
        <v>0.20100000000000001</v>
      </c>
      <c r="X75" s="7">
        <f>INDEX('面板-景气指数'!$37:$244,MATCH('面板-总览'!$R75,'面板-景气指数'!$A$37:$A$244,0),MATCH('面板-总览'!X$2,'面板-景气指数'!$36:$36,0))</f>
        <v>0.307</v>
      </c>
      <c r="Y75" s="7">
        <f>INDEX('面板-景气指数'!$37:$244,MATCH('面板-总览'!$R75,'面板-景气指数'!$A$37:$A$244,0),MATCH('面板-总览'!Y$2,'面板-景气指数'!$36:$36,0))</f>
        <v>0.32600000000000001</v>
      </c>
      <c r="Z75" s="7">
        <f>INDEX('面板-景气指数'!$37:$244,MATCH('面板-总览'!$R75,'面板-景气指数'!$A$37:$A$244,0),MATCH('面板-总览'!Z$2,'面板-景气指数'!$36:$36,0))</f>
        <v>0.35499999999999998</v>
      </c>
      <c r="AA75" s="7">
        <f>INDEX('面板-景气指数'!$37:$244,MATCH('面板-总览'!$R75,'面板-景气指数'!$A$37:$A$244,0),MATCH('面板-总览'!AA$2,'面板-景气指数'!$36:$36,0))</f>
        <v>0.39400000000000002</v>
      </c>
      <c r="AB75" s="7">
        <f>INDEX('面板-景气指数'!$37:$244,MATCH('面板-总览'!$R75,'面板-景气指数'!$A$37:$A$244,0),MATCH('面板-总览'!AB$2,'面板-景气指数'!$36:$36,0))</f>
        <v>0.442</v>
      </c>
      <c r="AC75" s="7">
        <f>INDEX('面板-景气指数'!$37:$244,MATCH('面板-总览'!$R75,'面板-景气指数'!$A$37:$A$244,0),MATCH('面板-总览'!AC$2,'面板-景气指数'!$36:$36,0))</f>
        <v>0.79800000000000004</v>
      </c>
      <c r="AD75" s="7">
        <f>INDEX('面板-景气指数'!$37:$244,MATCH('面板-总览'!$R75,'面板-景气指数'!$A$37:$A$244,0),MATCH('面板-总览'!AD$2,'面板-景气指数'!$36:$36,0))</f>
        <v>0.81699999999999995</v>
      </c>
      <c r="AE75" s="7">
        <f>INDEX('面板-景气指数'!$37:$244,MATCH('面板-总览'!$R75,'面板-景气指数'!$A$37:$A$244,0),MATCH('面板-总览'!AE$2,'面板-景气指数'!$36:$36,0))</f>
        <v>0.83599999999999997</v>
      </c>
      <c r="AG75" s="12">
        <f t="shared" si="3"/>
        <v>0.39399999999999996</v>
      </c>
    </row>
    <row r="76" spans="18:50" ht="21" customHeight="1" x14ac:dyDescent="0.2">
      <c r="R76" s="6" t="s">
        <v>174</v>
      </c>
      <c r="S76" s="7">
        <f>INDEX('面板-景气指数'!$37:$244,MATCH('面板-总览'!$R76,'面板-景气指数'!$A$37:$A$244,0),MATCH('面板-总览'!S$2,'面板-景气指数'!$36:$36,0))</f>
        <v>0.307</v>
      </c>
      <c r="T76" s="7">
        <f>INDEX('面板-景气指数'!$37:$244,MATCH('面板-总览'!$R76,'面板-景气指数'!$A$37:$A$244,0),MATCH('面板-总览'!T$2,'面板-景气指数'!$36:$36,0))</f>
        <v>0.115</v>
      </c>
      <c r="U76" s="7">
        <f>INDEX('面板-景气指数'!$37:$244,MATCH('面板-总览'!$R76,'面板-景气指数'!$A$37:$A$244,0),MATCH('面板-总览'!U$2,'面板-景气指数'!$36:$36,0))</f>
        <v>5.7000000000000002E-2</v>
      </c>
      <c r="V76" s="7">
        <f>INDEX('面板-景气指数'!$37:$244,MATCH('面板-总览'!$R76,'面板-景气指数'!$A$37:$A$244,0),MATCH('面板-总览'!V$2,'面板-景气指数'!$36:$36,0))</f>
        <v>2.8000000000000001E-2</v>
      </c>
      <c r="W76" s="7">
        <f>INDEX('面板-景气指数'!$37:$244,MATCH('面板-总览'!$R76,'面板-景气指数'!$A$37:$A$244,0),MATCH('面板-总览'!W$2,'面板-景气指数'!$36:$36,0))</f>
        <v>1.9E-2</v>
      </c>
      <c r="X76" s="7">
        <f>INDEX('面板-景气指数'!$37:$244,MATCH('面板-总览'!$R76,'面板-景气指数'!$A$37:$A$244,0),MATCH('面板-总览'!X$2,'面板-景气指数'!$36:$36,0))</f>
        <v>4.8000000000000001E-2</v>
      </c>
      <c r="Y76" s="7">
        <f>INDEX('面板-景气指数'!$37:$244,MATCH('面板-总览'!$R76,'面板-景气指数'!$A$37:$A$244,0),MATCH('面板-总览'!Y$2,'面板-景气指数'!$36:$36,0))</f>
        <v>7.5999999999999998E-2</v>
      </c>
      <c r="Z76" s="7">
        <f>INDEX('面板-景气指数'!$37:$244,MATCH('面板-总览'!$R76,'面板-景气指数'!$A$37:$A$244,0),MATCH('面板-总览'!Z$2,'面板-景气指数'!$36:$36,0))</f>
        <v>0.125</v>
      </c>
      <c r="AA76" s="7">
        <f>INDEX('面板-景气指数'!$37:$244,MATCH('面板-总览'!$R76,'面板-景气指数'!$A$37:$A$244,0),MATCH('面板-总览'!AA$2,'面板-景气指数'!$36:$36,0))</f>
        <v>0.105</v>
      </c>
      <c r="AB76" s="7">
        <f>INDEX('面板-景气指数'!$37:$244,MATCH('面板-总览'!$R76,'面板-景气指数'!$A$37:$A$244,0),MATCH('面板-总览'!AB$2,'面板-景气指数'!$36:$36,0))</f>
        <v>8.5999999999999993E-2</v>
      </c>
      <c r="AC76" s="7">
        <f>INDEX('面板-景气指数'!$37:$244,MATCH('面板-总览'!$R76,'面板-景气指数'!$A$37:$A$244,0),MATCH('面板-总览'!AC$2,'面板-景气指数'!$36:$36,0))</f>
        <v>3.7999999999999999E-2</v>
      </c>
      <c r="AD76" s="7">
        <f>INDEX('面板-景气指数'!$37:$244,MATCH('面板-总览'!$R76,'面板-景气指数'!$A$37:$A$244,0),MATCH('面板-总览'!AD$2,'面板-景气指数'!$36:$36,0))</f>
        <v>8.9999999999999993E-3</v>
      </c>
      <c r="AE76" s="7">
        <f>INDEX('面板-景气指数'!$37:$244,MATCH('面板-总览'!$R76,'面板-景气指数'!$A$37:$A$244,0),MATCH('面板-总览'!AE$2,'面板-景气指数'!$36:$36,0))</f>
        <v>0</v>
      </c>
      <c r="AG76" s="12">
        <f t="shared" si="3"/>
        <v>-8.5999999999999993E-2</v>
      </c>
    </row>
    <row r="77" spans="18:50" ht="21" customHeight="1" x14ac:dyDescent="0.2">
      <c r="R77" s="6" t="s">
        <v>175</v>
      </c>
      <c r="S77" s="7">
        <f>INDEX('面板-景气指数'!$37:$244,MATCH('面板-总览'!$R77,'面板-景气指数'!$A$37:$A$244,0),MATCH('面板-总览'!S$2,'面板-景气指数'!$36:$36,0))</f>
        <v>8.2863280037789783E-2</v>
      </c>
      <c r="T77" s="7">
        <f>INDEX('面板-景气指数'!$37:$244,MATCH('面板-总览'!$R77,'面板-景气指数'!$A$37:$A$244,0),MATCH('面板-总览'!T$2,'面板-景气指数'!$36:$36,0))</f>
        <v>0.10818101320791775</v>
      </c>
      <c r="U77" s="7">
        <f>INDEX('面板-景气指数'!$37:$244,MATCH('面板-总览'!$R77,'面板-景气指数'!$A$37:$A$244,0),MATCH('面板-总览'!U$2,'面板-景气指数'!$36:$36,0))</f>
        <v>0.11174447177223862</v>
      </c>
      <c r="V77" s="7">
        <f>INDEX('面板-景气指数'!$37:$244,MATCH('面板-总览'!$R77,'面板-景气指数'!$A$37:$A$244,0),MATCH('面板-总览'!V$2,'面板-景气指数'!$36:$36,0))</f>
        <v>0.11902690125679681</v>
      </c>
      <c r="W77" s="7">
        <f>INDEX('面板-景气指数'!$37:$244,MATCH('面板-总览'!$R77,'面板-景气指数'!$A$37:$A$244,0),MATCH('面板-总览'!W$2,'面板-景气指数'!$36:$36,0))</f>
        <v>8.5888487324108698E-2</v>
      </c>
      <c r="X77" s="7">
        <f>INDEX('面板-景气指数'!$37:$244,MATCH('面板-总览'!$R77,'面板-景气指数'!$A$37:$A$244,0),MATCH('面板-总览'!X$2,'面板-景气指数'!$36:$36,0))</f>
        <v>0.15160495100043739</v>
      </c>
      <c r="Y77" s="7">
        <f>INDEX('面板-景气指数'!$37:$244,MATCH('面板-总览'!$R77,'面板-景气指数'!$A$37:$A$244,0),MATCH('面板-总览'!Y$2,'面板-景气指数'!$36:$36,0))</f>
        <v>0.12747774030611325</v>
      </c>
      <c r="Z77" s="7">
        <f>INDEX('面板-景气指数'!$37:$244,MATCH('面板-总览'!$R77,'面板-景气指数'!$A$37:$A$244,0),MATCH('面板-总览'!Z$2,'面板-景气指数'!$36:$36,0))</f>
        <v>0.13803979846563866</v>
      </c>
      <c r="AA77" s="7">
        <f>INDEX('面板-景气指数'!$37:$244,MATCH('面板-总览'!$R77,'面板-景气指数'!$A$37:$A$244,0),MATCH('面板-总览'!AA$2,'面板-景气指数'!$36:$36,0))</f>
        <v>0.1643278295693788</v>
      </c>
      <c r="AB77" s="7">
        <f>INDEX('面板-景气指数'!$37:$244,MATCH('面板-总览'!$R77,'面板-景气指数'!$A$37:$A$244,0),MATCH('面板-总览'!AB$2,'面板-景气指数'!$36:$36,0))</f>
        <v>0.19361165945873252</v>
      </c>
      <c r="AC77" s="7">
        <f>INDEX('面板-景气指数'!$37:$244,MATCH('面板-总览'!$R77,'面板-景气指数'!$A$37:$A$244,0),MATCH('面板-总览'!AC$2,'面板-景气指数'!$36:$36,0))</f>
        <v>0.20647184512124891</v>
      </c>
      <c r="AD77" s="7">
        <f>INDEX('面板-景气指数'!$37:$244,MATCH('面板-总览'!$R77,'面板-景气指数'!$A$37:$A$244,0),MATCH('面板-总览'!AD$2,'面板-景气指数'!$36:$36,0))</f>
        <v>0.14819361685107721</v>
      </c>
      <c r="AE77" s="7">
        <f>INDEX('面板-景气指数'!$37:$244,MATCH('面板-总览'!$R77,'面板-景气指数'!$A$37:$A$244,0),MATCH('面板-总览'!AE$2,'面板-景气指数'!$36:$36,0))</f>
        <v>0.10915691276071193</v>
      </c>
      <c r="AG77" s="12">
        <f t="shared" si="3"/>
        <v>-8.4454746698020583E-2</v>
      </c>
    </row>
    <row r="78" spans="18:50" ht="21" customHeight="1" x14ac:dyDescent="0.2">
      <c r="R78" s="6" t="s">
        <v>176</v>
      </c>
      <c r="S78" s="7">
        <f>INDEX('面板-景气指数'!$37:$244,MATCH('面板-总览'!$R78,'面板-景气指数'!$A$37:$A$244,0),MATCH('面板-总览'!S$2,'面板-景气指数'!$36:$36,0))</f>
        <v>0.2172159090909091</v>
      </c>
      <c r="T78" s="7">
        <f>INDEX('面板-景气指数'!$37:$244,MATCH('面板-总览'!$R78,'面板-景气指数'!$A$37:$A$244,0),MATCH('面板-总览'!T$2,'面板-景气指数'!$36:$36,0))</f>
        <v>0.24769318181818184</v>
      </c>
      <c r="U78" s="7">
        <f>INDEX('面板-景气指数'!$37:$244,MATCH('面板-总览'!$R78,'面板-景气指数'!$A$37:$A$244,0),MATCH('面板-总览'!U$2,'面板-景气指数'!$36:$36,0))</f>
        <v>0.27981818181818185</v>
      </c>
      <c r="V78" s="7">
        <f>INDEX('面板-景气指数'!$37:$244,MATCH('面板-总览'!$R78,'面板-景气指数'!$A$37:$A$244,0),MATCH('面板-总览'!V$2,'面板-景气指数'!$36:$36,0))</f>
        <v>0.28881818181818186</v>
      </c>
      <c r="W78" s="7">
        <f>INDEX('面板-景气指数'!$37:$244,MATCH('面板-总览'!$R78,'面板-景气指数'!$A$37:$A$244,0),MATCH('面板-总览'!W$2,'面板-景气指数'!$36:$36,0))</f>
        <v>0.27089772727272726</v>
      </c>
      <c r="X78" s="7">
        <f>INDEX('面板-景气指数'!$37:$244,MATCH('面板-总览'!$R78,'面板-景气指数'!$A$37:$A$244,0),MATCH('面板-总览'!X$2,'面板-景气指数'!$36:$36,0))</f>
        <v>0.23293181818181818</v>
      </c>
      <c r="Y78" s="7">
        <f>INDEX('面板-景气指数'!$37:$244,MATCH('面板-总览'!$R78,'面板-景气指数'!$A$37:$A$244,0),MATCH('面板-总览'!Y$2,'面板-景气指数'!$36:$36,0))</f>
        <v>0.20501136363636363</v>
      </c>
      <c r="Z78" s="7">
        <f>INDEX('面板-景气指数'!$37:$244,MATCH('面板-总览'!$R78,'面板-景气指数'!$A$37:$A$244,0),MATCH('面板-总览'!Z$2,'面板-景气指数'!$36:$36,0))</f>
        <v>0.20425000000000001</v>
      </c>
      <c r="AA78" s="7">
        <f>INDEX('面板-景气指数'!$37:$244,MATCH('面板-总览'!$R78,'面板-景气指数'!$A$37:$A$244,0),MATCH('面板-总览'!AA$2,'面板-景气指数'!$36:$36,0))</f>
        <v>0.19964772727272731</v>
      </c>
      <c r="AB78" s="7">
        <f>INDEX('面板-景气指数'!$37:$244,MATCH('面板-总览'!$R78,'面板-景气指数'!$A$37:$A$244,0),MATCH('面板-总览'!AB$2,'面板-景气指数'!$36:$36,0))</f>
        <v>0.15072727272727277</v>
      </c>
      <c r="AC78" s="7">
        <f>INDEX('面板-景气指数'!$37:$244,MATCH('面板-总览'!$R78,'面板-景气指数'!$A$37:$A$244,0),MATCH('面板-总览'!AC$2,'面板-景气指数'!$36:$36,0))</f>
        <v>6.3920454545454558E-2</v>
      </c>
      <c r="AD78" s="7">
        <f>INDEX('面板-景气指数'!$37:$244,MATCH('面板-总览'!$R78,'面板-景气指数'!$A$37:$A$244,0),MATCH('面板-总览'!AD$2,'面板-景气指数'!$36:$36,0))</f>
        <v>4.68409090909091E-2</v>
      </c>
      <c r="AE78" s="7">
        <f>INDEX('面板-景气指数'!$37:$244,MATCH('面板-总览'!$R78,'面板-景气指数'!$A$37:$A$244,0),MATCH('面板-总览'!AE$2,'面板-景气指数'!$36:$36,0))</f>
        <v>4.2522727272727281E-2</v>
      </c>
      <c r="AG78" s="12">
        <f t="shared" si="3"/>
        <v>-0.10820454545454548</v>
      </c>
    </row>
    <row r="79" spans="18:50" ht="21" customHeight="1" x14ac:dyDescent="0.2">
      <c r="R79" s="6" t="s">
        <v>177</v>
      </c>
      <c r="S79" s="7">
        <f>INDEX('面板-景气指数'!$37:$244,MATCH('面板-总览'!$R79,'面板-景气指数'!$A$37:$A$244,0),MATCH('面板-总览'!S$2,'面板-景气指数'!$36:$36,0))</f>
        <v>0.70113375796178323</v>
      </c>
      <c r="T79" s="7">
        <f>INDEX('面板-景气指数'!$37:$244,MATCH('面板-总览'!$R79,'面板-景气指数'!$A$37:$A$244,0),MATCH('面板-总览'!T$2,'面板-景气指数'!$36:$36,0))</f>
        <v>0.73185350318471332</v>
      </c>
      <c r="U79" s="7">
        <f>INDEX('面板-景气指数'!$37:$244,MATCH('面板-总览'!$R79,'面板-景气指数'!$A$37:$A$244,0),MATCH('面板-总览'!U$2,'面板-景气指数'!$36:$36,0))</f>
        <v>0.73802547770700622</v>
      </c>
      <c r="V79" s="7">
        <f>INDEX('面板-景气指数'!$37:$244,MATCH('面板-总览'!$R79,'面板-景气指数'!$A$37:$A$244,0),MATCH('面板-总览'!V$2,'面板-景气指数'!$36:$36,0))</f>
        <v>0.75589171974522296</v>
      </c>
      <c r="W79" s="7">
        <f>INDEX('面板-景气指数'!$37:$244,MATCH('面板-总览'!$R79,'面板-景气指数'!$A$37:$A$244,0),MATCH('面板-总览'!W$2,'面板-景气指数'!$36:$36,0))</f>
        <v>0.84738853503184708</v>
      </c>
      <c r="X79" s="7">
        <f>INDEX('面板-景气指数'!$37:$244,MATCH('面板-总览'!$R79,'面板-景气指数'!$A$37:$A$244,0),MATCH('面板-总览'!X$2,'面板-景气指数'!$36:$36,0))</f>
        <v>0.63915923566878985</v>
      </c>
      <c r="Y79" s="7">
        <f>INDEX('面板-景气指数'!$37:$244,MATCH('面板-总览'!$R79,'面板-景气指数'!$A$37:$A$244,0),MATCH('面板-总览'!Y$2,'面板-景气指数'!$36:$36,0))</f>
        <v>0.51984076433121018</v>
      </c>
      <c r="Z79" s="7">
        <f>INDEX('面板-景气指数'!$37:$244,MATCH('面板-总览'!$R79,'面板-景气指数'!$A$37:$A$244,0),MATCH('面板-总览'!Z$2,'面板-景气指数'!$36:$36,0))</f>
        <v>0.47205095541401276</v>
      </c>
      <c r="AA79" s="7">
        <f>INDEX('面板-景气指数'!$37:$244,MATCH('面板-总览'!$R79,'面板-景气指数'!$A$37:$A$244,0),MATCH('面板-总览'!AA$2,'面板-景气指数'!$36:$36,0))</f>
        <v>0.38803821656050957</v>
      </c>
      <c r="AB79" s="7">
        <f>INDEX('面板-景气指数'!$37:$244,MATCH('面板-总览'!$R79,'面板-景气指数'!$A$37:$A$244,0),MATCH('面板-总览'!AB$2,'面板-景气指数'!$36:$36,0))</f>
        <v>0.31764331210191077</v>
      </c>
      <c r="AC79" s="7">
        <f>INDEX('面板-景气指数'!$37:$244,MATCH('面板-总览'!$R79,'面板-景气指数'!$A$37:$A$244,0),MATCH('面板-总览'!AC$2,'面板-景气指数'!$36:$36,0))</f>
        <v>0.26089808917197443</v>
      </c>
      <c r="AD79" s="7">
        <f>INDEX('面板-景气指数'!$37:$244,MATCH('面板-总览'!$R79,'面板-景气指数'!$A$37:$A$244,0),MATCH('面板-总览'!AD$2,'面板-景气指数'!$36:$36,0))</f>
        <v>0.22440764331210183</v>
      </c>
      <c r="AE79" s="7">
        <f>INDEX('面板-景气指数'!$37:$244,MATCH('面板-总览'!$R79,'面板-景气指数'!$A$37:$A$244,0),MATCH('面板-总览'!AE$2,'面板-景气指数'!$36:$36,0))</f>
        <v>0.23875796178343942</v>
      </c>
      <c r="AG79" s="12">
        <f t="shared" si="3"/>
        <v>-7.8885350318471353E-2</v>
      </c>
    </row>
    <row r="80" spans="18:50" ht="21" customHeight="1" x14ac:dyDescent="0.2">
      <c r="R80" s="6" t="s">
        <v>178</v>
      </c>
      <c r="S80" s="7">
        <f>INDEX('面板-景气指数'!$37:$244,MATCH('面板-总览'!$R80,'面板-景气指数'!$A$37:$A$244,0),MATCH('面板-总览'!S$2,'面板-景气指数'!$36:$36,0))</f>
        <v>0.2586226141073994</v>
      </c>
      <c r="T80" s="7">
        <f>INDEX('面板-景气指数'!$37:$244,MATCH('面板-总览'!$R80,'面板-景气指数'!$A$37:$A$244,0),MATCH('面板-总览'!T$2,'面板-景气指数'!$36:$36,0))</f>
        <v>0.2744852544673646</v>
      </c>
      <c r="U80" s="7">
        <f>INDEX('面板-景气指数'!$37:$244,MATCH('面板-总览'!$R80,'面板-景气指数'!$A$37:$A$244,0),MATCH('面板-总览'!U$2,'面板-景气指数'!$36:$36,0))</f>
        <v>0.29869833512326704</v>
      </c>
      <c r="V80" s="7">
        <f>INDEX('面板-景气指数'!$37:$244,MATCH('面板-总览'!$R80,'面板-景气指数'!$A$37:$A$244,0),MATCH('面板-总览'!V$2,'面板-景气指数'!$36:$36,0))</f>
        <v>0.31402587394923676</v>
      </c>
      <c r="W80" s="7">
        <f>INDEX('面板-景气指数'!$37:$244,MATCH('面板-总览'!$R80,'面板-景气指数'!$A$37:$A$244,0),MATCH('面板-总览'!W$2,'面板-景气指数'!$36:$36,0))</f>
        <v>0.3230688770331443</v>
      </c>
      <c r="X80" s="7">
        <f>INDEX('面板-景气指数'!$37:$244,MATCH('面板-总览'!$R80,'面板-景气指数'!$A$37:$A$244,0),MATCH('面板-总览'!X$2,'面板-景气指数'!$36:$36,0))</f>
        <v>0.29117566412452695</v>
      </c>
      <c r="Y80" s="7">
        <f>INDEX('面板-景气指数'!$37:$244,MATCH('面板-总览'!$R80,'面板-景气指数'!$A$37:$A$244,0),MATCH('面板-总览'!Y$2,'面板-景气指数'!$36:$36,0))</f>
        <v>0.29088786217195961</v>
      </c>
      <c r="Z80" s="7">
        <f>INDEX('面板-景气指数'!$37:$244,MATCH('面板-总览'!$R80,'面板-景气指数'!$A$37:$A$244,0),MATCH('面板-总览'!Z$2,'面板-景气指数'!$36:$36,0))</f>
        <v>0.30176011145079068</v>
      </c>
      <c r="AA80" s="7">
        <f>INDEX('面板-景气指数'!$37:$244,MATCH('面板-总览'!$R80,'面板-景气指数'!$A$37:$A$244,0),MATCH('面板-总览'!AA$2,'面板-景气指数'!$36:$36,0))</f>
        <v>0.3299343884362923</v>
      </c>
      <c r="AB80" s="7">
        <f>INDEX('面板-景气指数'!$37:$244,MATCH('面板-总览'!$R80,'面板-景气指数'!$A$37:$A$244,0),MATCH('面板-总览'!AB$2,'面板-景气指数'!$36:$36,0))</f>
        <v>0.35394361977128969</v>
      </c>
      <c r="AC80" s="7">
        <f>INDEX('面板-景气指数'!$37:$244,MATCH('面板-总览'!$R80,'面板-景气指数'!$A$37:$A$244,0),MATCH('面板-总览'!AC$2,'面板-景气指数'!$36:$36,0))</f>
        <v>0.3602056168733217</v>
      </c>
      <c r="AD80" s="7">
        <f>INDEX('面板-景气指数'!$37:$244,MATCH('面板-总览'!$R80,'面板-景气指数'!$A$37:$A$244,0),MATCH('面板-总览'!AD$2,'面板-景气指数'!$36:$36,0))</f>
        <v>0.33295923082298706</v>
      </c>
      <c r="AE80" s="7">
        <f>INDEX('面板-景气指数'!$37:$244,MATCH('面板-总览'!$R80,'面板-景气指数'!$A$37:$A$244,0),MATCH('面板-总览'!AE$2,'面板-景气指数'!$36:$36,0))</f>
        <v>0.33385423095592903</v>
      </c>
      <c r="AG80" s="12">
        <f t="shared" si="3"/>
        <v>-2.0089388815360654E-2</v>
      </c>
    </row>
    <row r="81" spans="18:33" ht="21" customHeight="1" x14ac:dyDescent="0.2">
      <c r="R81" s="6" t="s">
        <v>179</v>
      </c>
      <c r="S81" s="7">
        <f>INDEX('面板-景气指数'!$37:$244,MATCH('面板-总览'!$R81,'面板-景气指数'!$A$37:$A$244,0),MATCH('面板-总览'!S$2,'面板-景气指数'!$36:$36,0))</f>
        <v>7.0999999999999994E-2</v>
      </c>
      <c r="T81" s="7">
        <f>INDEX('面板-景气指数'!$37:$244,MATCH('面板-总览'!$R81,'面板-景气指数'!$A$37:$A$244,0),MATCH('面板-总览'!T$2,'面板-景气指数'!$36:$36,0))</f>
        <v>7.0999999999999994E-2</v>
      </c>
      <c r="U81" s="7">
        <f>INDEX('面板-景气指数'!$37:$244,MATCH('面板-总览'!$R81,'面板-景气指数'!$A$37:$A$244,0),MATCH('面板-总览'!U$2,'面板-景气指数'!$36:$36,0))</f>
        <v>7.0999999999999994E-2</v>
      </c>
      <c r="V81" s="7">
        <f>INDEX('面板-景气指数'!$37:$244,MATCH('面板-总览'!$R81,'面板-景气指数'!$A$37:$A$244,0),MATCH('面板-总览'!V$2,'面板-景气指数'!$36:$36,0))</f>
        <v>7.0999999999999994E-2</v>
      </c>
      <c r="W81" s="7">
        <f>INDEX('面板-景气指数'!$37:$244,MATCH('面板-总览'!$R81,'面板-景气指数'!$A$37:$A$244,0),MATCH('面板-总览'!W$2,'面板-景气指数'!$36:$36,0))</f>
        <v>7.0999999999999994E-2</v>
      </c>
      <c r="X81" s="7">
        <f>INDEX('面板-景气指数'!$37:$244,MATCH('面板-总览'!$R81,'面板-景气指数'!$A$37:$A$244,0),MATCH('面板-总览'!X$2,'面板-景气指数'!$36:$36,0))</f>
        <v>7.0999999999999994E-2</v>
      </c>
      <c r="Y81" s="7">
        <f>INDEX('面板-景气指数'!$37:$244,MATCH('面板-总览'!$R81,'面板-景气指数'!$A$37:$A$244,0),MATCH('面板-总览'!Y$2,'面板-景气指数'!$36:$36,0))</f>
        <v>7.0999999999999994E-2</v>
      </c>
      <c r="Z81" s="7">
        <f>INDEX('面板-景气指数'!$37:$244,MATCH('面板-总览'!$R81,'面板-景气指数'!$A$37:$A$244,0),MATCH('面板-总览'!Z$2,'面板-景气指数'!$36:$36,0))</f>
        <v>7.0999999999999994E-2</v>
      </c>
      <c r="AA81" s="7">
        <f>INDEX('面板-景气指数'!$37:$244,MATCH('面板-总览'!$R81,'面板-景气指数'!$A$37:$A$244,0),MATCH('面板-总览'!AA$2,'面板-景气指数'!$36:$36,0))</f>
        <v>7.0999999999999994E-2</v>
      </c>
      <c r="AB81" s="7">
        <f>INDEX('面板-景气指数'!$37:$244,MATCH('面板-总览'!$R81,'面板-景气指数'!$A$37:$A$244,0),MATCH('面板-总览'!AB$2,'面板-景气指数'!$36:$36,0))</f>
        <v>7.0999999999999994E-2</v>
      </c>
      <c r="AC81" s="7">
        <f>INDEX('面板-景气指数'!$37:$244,MATCH('面板-总览'!$R81,'面板-景气指数'!$A$37:$A$244,0),MATCH('面板-总览'!AC$2,'面板-景气指数'!$36:$36,0))</f>
        <v>7.0999999999999994E-2</v>
      </c>
      <c r="AD81" s="7">
        <f>INDEX('面板-景气指数'!$37:$244,MATCH('面板-总览'!$R81,'面板-景气指数'!$A$37:$A$244,0),MATCH('面板-总览'!AD$2,'面板-景气指数'!$36:$36,0))</f>
        <v>7.0999999999999994E-2</v>
      </c>
      <c r="AE81" s="7">
        <f>INDEX('面板-景气指数'!$37:$244,MATCH('面板-总览'!$R81,'面板-景气指数'!$A$37:$A$244,0),MATCH('面板-总览'!AE$2,'面板-景气指数'!$36:$36,0))</f>
        <v>7.0999999999999994E-2</v>
      </c>
      <c r="AG81" s="12">
        <f t="shared" si="3"/>
        <v>0</v>
      </c>
    </row>
    <row r="82" spans="18:33" ht="21" customHeight="1" x14ac:dyDescent="0.2">
      <c r="R82" s="6" t="s">
        <v>180</v>
      </c>
      <c r="S82" s="7">
        <f>INDEX('面板-景气指数'!$37:$244,MATCH('面板-总览'!$R82,'面板-景气指数'!$A$37:$A$244,0),MATCH('面板-总览'!S$2,'面板-景气指数'!$36:$36,0))</f>
        <v>0.70266666666666655</v>
      </c>
      <c r="T82" s="7">
        <f>INDEX('面板-景气指数'!$37:$244,MATCH('面板-总览'!$R82,'面板-景气指数'!$A$37:$A$244,0),MATCH('面板-总览'!T$2,'面板-景气指数'!$36:$36,0))</f>
        <v>0.71166666666666656</v>
      </c>
      <c r="U82" s="7">
        <f>INDEX('面板-景气指数'!$37:$244,MATCH('面板-总览'!$R82,'面板-景气指数'!$A$37:$A$244,0),MATCH('面板-总览'!U$2,'面板-景气指数'!$36:$36,0))</f>
        <v>0.71916666666666651</v>
      </c>
      <c r="V82" s="7">
        <f>INDEX('面板-景气指数'!$37:$244,MATCH('面板-总览'!$R82,'面板-景气指数'!$A$37:$A$244,0),MATCH('面板-总览'!V$2,'面板-景气指数'!$36:$36,0))</f>
        <v>0.75733333333333319</v>
      </c>
      <c r="W82" s="7">
        <f>INDEX('面板-景气指数'!$37:$244,MATCH('面板-总览'!$R82,'面板-景气指数'!$A$37:$A$244,0),MATCH('面板-总览'!W$2,'面板-景气指数'!$36:$36,0))</f>
        <v>0.78916666666666657</v>
      </c>
      <c r="X82" s="7">
        <f>INDEX('面板-景气指数'!$37:$244,MATCH('面板-总览'!$R82,'面板-景气指数'!$A$37:$A$244,0),MATCH('面板-总览'!X$2,'面板-景气指数'!$36:$36,0))</f>
        <v>0.61033333333333351</v>
      </c>
      <c r="Y82" s="7">
        <f>INDEX('面板-景气指数'!$37:$244,MATCH('面板-总览'!$R82,'面板-景气指数'!$A$37:$A$244,0),MATCH('面板-总览'!Y$2,'面板-景气指数'!$36:$36,0))</f>
        <v>0.55450000000000021</v>
      </c>
      <c r="Z82" s="7">
        <f>INDEX('面板-景气指数'!$37:$244,MATCH('面板-总览'!$R82,'面板-景气指数'!$A$37:$A$244,0),MATCH('面板-总览'!Z$2,'面板-景气指数'!$36:$36,0))</f>
        <v>0.50550000000000028</v>
      </c>
      <c r="AA82" s="7">
        <f>INDEX('面板-景气指数'!$37:$244,MATCH('面板-总览'!$R82,'面板-景气指数'!$A$37:$A$244,0),MATCH('面板-总览'!AA$2,'面板-景气指数'!$36:$36,0))</f>
        <v>0.44066666666666687</v>
      </c>
      <c r="AB82" s="7">
        <f>INDEX('面板-景气指数'!$37:$244,MATCH('面板-总览'!$R82,'面板-景气指数'!$A$37:$A$244,0),MATCH('面板-总览'!AB$2,'面板-景气指数'!$36:$36,0))</f>
        <v>0.43816666666666682</v>
      </c>
      <c r="AC82" s="7">
        <f>INDEX('面板-景气指数'!$37:$244,MATCH('面板-总览'!$R82,'面板-景气指数'!$A$37:$A$244,0),MATCH('面板-总览'!AC$2,'面板-景气指数'!$36:$36,0))</f>
        <v>0.5148333333333337</v>
      </c>
      <c r="AD82" s="7">
        <f>INDEX('面板-景气指数'!$37:$244,MATCH('面板-总览'!$R82,'面板-景气指数'!$A$37:$A$244,0),MATCH('面板-总览'!AD$2,'面板-景气指数'!$36:$36,0))</f>
        <v>0.53966666666666707</v>
      </c>
      <c r="AE82" s="7">
        <f>INDEX('面板-景气指数'!$37:$244,MATCH('面板-总览'!$R82,'面板-景气指数'!$A$37:$A$244,0),MATCH('面板-总览'!AE$2,'面板-景气指数'!$36:$36,0))</f>
        <v>0.55983333333333374</v>
      </c>
      <c r="AG82" s="12">
        <f t="shared" si="3"/>
        <v>0.12166666666666692</v>
      </c>
    </row>
    <row r="83" spans="18:33" ht="21" customHeight="1" x14ac:dyDescent="0.2">
      <c r="R83" s="6" t="s">
        <v>181</v>
      </c>
      <c r="S83" s="7">
        <f>INDEX('面板-景气指数'!$37:$244,MATCH('面板-总览'!$R83,'面板-景气指数'!$A$37:$A$244,0),MATCH('面板-总览'!S$2,'面板-景气指数'!$36:$36,0))</f>
        <v>0.37733333333333341</v>
      </c>
      <c r="T83" s="7">
        <f>INDEX('面板-景气指数'!$37:$244,MATCH('面板-总览'!$R83,'面板-景气指数'!$A$37:$A$244,0),MATCH('面板-总览'!T$2,'面板-景气指数'!$36:$36,0))</f>
        <v>0.44791666666666669</v>
      </c>
      <c r="U83" s="7">
        <f>INDEX('面板-景气指数'!$37:$244,MATCH('面板-总览'!$R83,'面板-景气指数'!$A$37:$A$244,0),MATCH('面板-总览'!U$2,'面板-景气指数'!$36:$36,0))</f>
        <v>0.52224999999999999</v>
      </c>
      <c r="V83" s="7">
        <f>INDEX('面板-景气指数'!$37:$244,MATCH('面板-总览'!$R83,'面板-景气指数'!$A$37:$A$244,0),MATCH('面板-总览'!V$2,'面板-景气指数'!$36:$36,0))</f>
        <v>0.49958333333333332</v>
      </c>
      <c r="W83" s="7">
        <f>INDEX('面板-景气指数'!$37:$244,MATCH('面板-总览'!$R83,'面板-景气指数'!$A$37:$A$244,0),MATCH('面板-总览'!W$2,'面板-景气指数'!$36:$36,0))</f>
        <v>0.46333333333333326</v>
      </c>
      <c r="X83" s="7">
        <f>INDEX('面板-景气指数'!$37:$244,MATCH('面板-总览'!$R83,'面板-景气指数'!$A$37:$A$244,0),MATCH('面板-总览'!X$2,'面板-景气指数'!$36:$36,0))</f>
        <v>0.29475000000000007</v>
      </c>
      <c r="Y83" s="7">
        <f>INDEX('面板-景气指数'!$37:$244,MATCH('面板-总览'!$R83,'面板-景气指数'!$A$37:$A$244,0),MATCH('面板-总览'!Y$2,'面板-景气指数'!$36:$36,0))</f>
        <v>0.32575000000000004</v>
      </c>
      <c r="Z83" s="7">
        <f>INDEX('面板-景气指数'!$37:$244,MATCH('面板-总览'!$R83,'面板-景气指数'!$A$37:$A$244,0),MATCH('面板-总览'!Z$2,'面板-景气指数'!$36:$36,0))</f>
        <v>0.39833333333333337</v>
      </c>
      <c r="AA83" s="7">
        <f>INDEX('面板-景气指数'!$37:$244,MATCH('面板-总览'!$R83,'面板-景气指数'!$A$37:$A$244,0),MATCH('面板-总览'!AA$2,'面板-景气指数'!$36:$36,0))</f>
        <v>0.35400000000000004</v>
      </c>
      <c r="AB83" s="7">
        <f>INDEX('面板-景气指数'!$37:$244,MATCH('面板-总览'!$R83,'面板-景气指数'!$A$37:$A$244,0),MATCH('面板-总览'!AB$2,'面板-景气指数'!$36:$36,0))</f>
        <v>0.39058333333333345</v>
      </c>
      <c r="AC83" s="7">
        <f>INDEX('面板-景气指数'!$37:$244,MATCH('面板-总览'!$R83,'面板-景气指数'!$A$37:$A$244,0),MATCH('面板-总览'!AC$2,'面板-景气指数'!$36:$36,0))</f>
        <v>0.39000000000000007</v>
      </c>
      <c r="AD83" s="7">
        <f>INDEX('面板-景气指数'!$37:$244,MATCH('面板-总览'!$R83,'面板-景气指数'!$A$37:$A$244,0),MATCH('面板-总览'!AD$2,'面板-景气指数'!$36:$36,0))</f>
        <v>0.39650000000000002</v>
      </c>
      <c r="AE83" s="7">
        <f>INDEX('面板-景气指数'!$37:$244,MATCH('面板-总览'!$R83,'面板-景气指数'!$A$37:$A$244,0),MATCH('面板-总览'!AE$2,'面板-景气指数'!$36:$36,0))</f>
        <v>0.40125000000000005</v>
      </c>
      <c r="AG83" s="12">
        <f t="shared" si="3"/>
        <v>1.0666666666666602E-2</v>
      </c>
    </row>
    <row r="84" spans="18:33" ht="21" customHeight="1" x14ac:dyDescent="0.2">
      <c r="R84" s="6" t="s">
        <v>182</v>
      </c>
      <c r="S84" s="7">
        <f>INDEX('面板-景气指数'!$37:$244,MATCH('面板-总览'!$R84,'面板-景气指数'!$A$37:$A$244,0),MATCH('面板-总览'!S$2,'面板-景气指数'!$36:$36,0))</f>
        <v>0.125</v>
      </c>
      <c r="T84" s="7">
        <f>INDEX('面板-景气指数'!$37:$244,MATCH('面板-总览'!$R84,'面板-景气指数'!$A$37:$A$244,0),MATCH('面板-总览'!T$2,'面板-景气指数'!$36:$36,0))</f>
        <v>0.221</v>
      </c>
      <c r="U84" s="7">
        <f>INDEX('面板-景气指数'!$37:$244,MATCH('面板-总览'!$R84,'面板-景气指数'!$A$37:$A$244,0),MATCH('面板-总览'!U$2,'面板-景气指数'!$36:$36,0))</f>
        <v>1.8999999999999996E-2</v>
      </c>
      <c r="V84" s="7">
        <f>INDEX('面板-景气指数'!$37:$244,MATCH('面板-总览'!$R84,'面板-景气指数'!$A$37:$A$244,0),MATCH('面板-总览'!V$2,'面板-景气指数'!$36:$36,0))</f>
        <v>8.9999999999999993E-3</v>
      </c>
      <c r="W84" s="7">
        <f>INDEX('面板-景气指数'!$37:$244,MATCH('面板-总览'!$R84,'面板-景气指数'!$A$37:$A$244,0),MATCH('面板-总览'!W$2,'面板-景气指数'!$36:$36,0))</f>
        <v>0</v>
      </c>
      <c r="X84" s="7">
        <f>INDEX('面板-景气指数'!$37:$244,MATCH('面板-总览'!$R84,'面板-景气指数'!$A$37:$A$244,0),MATCH('面板-总览'!X$2,'面板-景气指数'!$36:$36,0))</f>
        <v>2.8000000000000001E-2</v>
      </c>
      <c r="Y84" s="7">
        <f>INDEX('面板-景气指数'!$37:$244,MATCH('面板-总览'!$R84,'面板-景气指数'!$A$37:$A$244,0),MATCH('面板-总览'!Y$2,'面板-景气指数'!$36:$36,0))</f>
        <v>0.11499999999999999</v>
      </c>
      <c r="Z84" s="7">
        <f>INDEX('面板-景气指数'!$37:$244,MATCH('面板-总览'!$R84,'面板-景气指数'!$A$37:$A$244,0),MATCH('面板-总览'!Z$2,'面板-景气指数'!$36:$36,0))</f>
        <v>0.182</v>
      </c>
      <c r="AA84" s="7">
        <f>INDEX('面板-景气指数'!$37:$244,MATCH('面板-总览'!$R84,'面板-景气指数'!$A$37:$A$244,0),MATCH('面板-总览'!AA$2,'面板-景气指数'!$36:$36,0))</f>
        <v>0.13400000000000001</v>
      </c>
      <c r="AB84" s="7">
        <f>INDEX('面板-景气指数'!$37:$244,MATCH('面板-总览'!$R84,'面板-景气指数'!$A$37:$A$244,0),MATCH('面板-总览'!AB$2,'面板-景气指数'!$36:$36,0))</f>
        <v>9.6000000000000002E-2</v>
      </c>
      <c r="AC84" s="7">
        <f>INDEX('面板-景气指数'!$37:$244,MATCH('面板-总览'!$R84,'面板-景气指数'!$A$37:$A$244,0),MATCH('面板-总览'!AC$2,'面板-景气指数'!$36:$36,0))</f>
        <v>8.5999999999999993E-2</v>
      </c>
      <c r="AD84" s="7">
        <f>INDEX('面板-景气指数'!$37:$244,MATCH('面板-总览'!$R84,'面板-景气指数'!$A$37:$A$244,0),MATCH('面板-总览'!AD$2,'面板-景气指数'!$36:$36,0))</f>
        <v>0.105</v>
      </c>
      <c r="AE84" s="7">
        <f>INDEX('面板-景气指数'!$37:$244,MATCH('面板-总览'!$R84,'面板-景气指数'!$A$37:$A$244,0),MATCH('面板-总览'!AE$2,'面板-景气指数'!$36:$36,0))</f>
        <v>6.7000000000000004E-2</v>
      </c>
      <c r="AG84" s="12">
        <f t="shared" si="3"/>
        <v>-2.8999999999999998E-2</v>
      </c>
    </row>
    <row r="85" spans="18:33" ht="21" customHeight="1" x14ac:dyDescent="0.2">
      <c r="R85" s="6" t="s">
        <v>183</v>
      </c>
      <c r="S85" s="7">
        <f>INDEX('面板-景气指数'!$37:$244,MATCH('面板-总览'!$R85,'面板-景气指数'!$A$37:$A$244,0),MATCH('面板-总览'!S$2,'面板-景气指数'!$36:$36,0))</f>
        <v>0.73999999999999977</v>
      </c>
      <c r="T85" s="7">
        <f>INDEX('面板-景气指数'!$37:$244,MATCH('面板-总览'!$R85,'面板-景气指数'!$A$37:$A$244,0),MATCH('面板-总览'!T$2,'面板-景气指数'!$36:$36,0))</f>
        <v>0.72279999999999989</v>
      </c>
      <c r="U85" s="7">
        <f>INDEX('面板-景气指数'!$37:$244,MATCH('面板-总览'!$R85,'面板-景气指数'!$A$37:$A$244,0),MATCH('面板-总览'!U$2,'面板-景气指数'!$36:$36,0))</f>
        <v>0.70659999999999978</v>
      </c>
      <c r="V85" s="7">
        <f>INDEX('面板-景气指数'!$37:$244,MATCH('面板-总览'!$R85,'面板-景气指数'!$A$37:$A$244,0),MATCH('面板-总览'!V$2,'面板-景气指数'!$36:$36,0))</f>
        <v>0.74699999999999989</v>
      </c>
      <c r="W85" s="7">
        <f>INDEX('面板-景气指数'!$37:$244,MATCH('面板-总览'!$R85,'面板-景气指数'!$A$37:$A$244,0),MATCH('面板-总览'!W$2,'面板-景气指数'!$36:$36,0))</f>
        <v>0.78799999999999992</v>
      </c>
      <c r="X85" s="7">
        <f>INDEX('面板-景气指数'!$37:$244,MATCH('面板-总览'!$R85,'面板-景气指数'!$A$37:$A$244,0),MATCH('面板-总览'!X$2,'面板-景气指数'!$36:$36,0))</f>
        <v>0.68839999999999979</v>
      </c>
      <c r="Y85" s="7">
        <f>INDEX('面板-景气指数'!$37:$244,MATCH('面板-总览'!$R85,'面板-景气指数'!$A$37:$A$244,0),MATCH('面板-总览'!Y$2,'面板-景气指数'!$36:$36,0))</f>
        <v>0.65159999999999996</v>
      </c>
      <c r="Z85" s="7">
        <f>INDEX('面板-景气指数'!$37:$244,MATCH('面板-总览'!$R85,'面板-景气指数'!$A$37:$A$244,0),MATCH('面板-总览'!Z$2,'面板-景气指数'!$36:$36,0))</f>
        <v>0.60699999999999987</v>
      </c>
      <c r="AA85" s="7">
        <f>INDEX('面板-景气指数'!$37:$244,MATCH('面板-总览'!$R85,'面板-景气指数'!$A$37:$A$244,0),MATCH('面板-总览'!AA$2,'面板-景气指数'!$36:$36,0))</f>
        <v>0.44080000000000008</v>
      </c>
      <c r="AB85" s="7">
        <f>INDEX('面板-景气指数'!$37:$244,MATCH('面板-总览'!$R85,'面板-景气指数'!$A$37:$A$244,0),MATCH('面板-总览'!AB$2,'面板-景气指数'!$36:$36,0))</f>
        <v>0.29120000000000018</v>
      </c>
      <c r="AC85" s="7">
        <f>INDEX('面板-景气指数'!$37:$244,MATCH('面板-总览'!$R85,'面板-景气指数'!$A$37:$A$244,0),MATCH('面板-总览'!AC$2,'面板-景气指数'!$36:$36,0))</f>
        <v>0.29700000000000021</v>
      </c>
      <c r="AD85" s="7">
        <f>INDEX('面板-景气指数'!$37:$244,MATCH('面板-总览'!$R85,'面板-景气指数'!$A$37:$A$244,0),MATCH('面板-总览'!AD$2,'面板-景气指数'!$36:$36,0))</f>
        <v>0.24620000000000017</v>
      </c>
      <c r="AE85" s="7">
        <f>INDEX('面板-景气指数'!$37:$244,MATCH('面板-总览'!$R85,'面板-景气指数'!$A$37:$A$244,0),MATCH('面板-总览'!AE$2,'面板-景气指数'!$36:$36,0))</f>
        <v>0.25960000000000022</v>
      </c>
      <c r="AG85" s="12">
        <f t="shared" si="3"/>
        <v>-3.1599999999999961E-2</v>
      </c>
    </row>
    <row r="86" spans="18:33" ht="21" customHeight="1" x14ac:dyDescent="0.2">
      <c r="R86" s="6" t="s">
        <v>184</v>
      </c>
      <c r="S86" s="7">
        <f>INDEX('面板-景气指数'!$37:$244,MATCH('面板-总览'!$R86,'面板-景气指数'!$A$37:$A$244,0),MATCH('面板-总览'!S$2,'面板-景气指数'!$36:$36,0))</f>
        <v>0.61450000000000005</v>
      </c>
      <c r="T86" s="7">
        <f>INDEX('面板-景气指数'!$37:$244,MATCH('面板-总览'!$R86,'面板-景气指数'!$A$37:$A$244,0),MATCH('面板-总览'!T$2,'面板-景气指数'!$36:$36,0))</f>
        <v>0.69400000000000006</v>
      </c>
      <c r="U86" s="7">
        <f>INDEX('面板-景气指数'!$37:$244,MATCH('面板-总览'!$R86,'面板-景气指数'!$A$37:$A$244,0),MATCH('面板-总览'!U$2,'面板-景气指数'!$36:$36,0))</f>
        <v>0.7612500000000002</v>
      </c>
      <c r="V86" s="7">
        <f>INDEX('面板-景气指数'!$37:$244,MATCH('面板-总览'!$R86,'面板-景气指数'!$A$37:$A$244,0),MATCH('面板-总览'!V$2,'面板-景气指数'!$36:$36,0))</f>
        <v>0.73937500000000012</v>
      </c>
      <c r="W86" s="7">
        <f>INDEX('面板-景气指数'!$37:$244,MATCH('面板-总览'!$R86,'面板-景气指数'!$A$37:$A$244,0),MATCH('面板-总览'!W$2,'面板-景气指数'!$36:$36,0))</f>
        <v>0.58887500000000004</v>
      </c>
      <c r="X86" s="7">
        <f>INDEX('面板-景气指数'!$37:$244,MATCH('面板-总览'!$R86,'面板-景气指数'!$A$37:$A$244,0),MATCH('面板-总览'!X$2,'面板-景气指数'!$36:$36,0))</f>
        <v>0.37112500000000009</v>
      </c>
      <c r="Y86" s="7">
        <f>INDEX('面板-景气指数'!$37:$244,MATCH('面板-总览'!$R86,'面板-景气指数'!$A$37:$A$244,0),MATCH('面板-总览'!Y$2,'面板-景气指数'!$36:$36,0))</f>
        <v>0.13900000000000007</v>
      </c>
      <c r="Z86" s="7">
        <f>INDEX('面板-景气指数'!$37:$244,MATCH('面板-总览'!$R86,'面板-景气指数'!$A$37:$A$244,0),MATCH('面板-总览'!Z$2,'面板-景气指数'!$36:$36,0))</f>
        <v>9.9624999999999991E-2</v>
      </c>
      <c r="AA86" s="7">
        <f>INDEX('面板-景气指数'!$37:$244,MATCH('面板-总览'!$R86,'面板-景气指数'!$A$37:$A$244,0),MATCH('面板-总览'!AA$2,'面板-景气指数'!$36:$36,0))</f>
        <v>9.7499999999999989E-2</v>
      </c>
      <c r="AB86" s="7">
        <f>INDEX('面板-景气指数'!$37:$244,MATCH('面板-总览'!$R86,'面板-景气指数'!$A$37:$A$244,0),MATCH('面板-总览'!AB$2,'面板-景气指数'!$36:$36,0))</f>
        <v>8.7875000000000009E-2</v>
      </c>
      <c r="AC86" s="7">
        <f>INDEX('面板-景气指数'!$37:$244,MATCH('面板-总览'!$R86,'面板-景气指数'!$A$37:$A$244,0),MATCH('面板-总览'!AC$2,'面板-景气指数'!$36:$36,0))</f>
        <v>0.12149999999999996</v>
      </c>
      <c r="AD86" s="7">
        <f>INDEX('面板-景气指数'!$37:$244,MATCH('面板-总览'!$R86,'面板-景气指数'!$A$37:$A$244,0),MATCH('面板-总览'!AD$2,'面板-景气指数'!$36:$36,0))</f>
        <v>0.10712499999999997</v>
      </c>
      <c r="AE86" s="7">
        <f>INDEX('面板-景气指数'!$37:$244,MATCH('面板-总览'!$R86,'面板-景气指数'!$A$37:$A$244,0),MATCH('面板-总览'!AE$2,'面板-景气指数'!$36:$36,0))</f>
        <v>0.11437499999999996</v>
      </c>
      <c r="AG86" s="12">
        <f t="shared" si="3"/>
        <v>2.6499999999999954E-2</v>
      </c>
    </row>
    <row r="87" spans="18:33" ht="21" customHeight="1" x14ac:dyDescent="0.2">
      <c r="R87" s="6" t="s">
        <v>185</v>
      </c>
      <c r="S87" s="7">
        <f>INDEX('面板-景气指数'!$37:$244,MATCH('面板-总览'!$R87,'面板-景气指数'!$A$37:$A$244,0),MATCH('面板-总览'!S$2,'面板-景气指数'!$36:$36,0))</f>
        <v>0.75900000000000001</v>
      </c>
      <c r="T87" s="7">
        <f>INDEX('面板-景气指数'!$37:$244,MATCH('面板-总览'!$R87,'面板-景气指数'!$A$37:$A$244,0),MATCH('面板-总览'!T$2,'面板-景气指数'!$36:$36,0))</f>
        <v>0.72099999999999997</v>
      </c>
      <c r="U87" s="7">
        <f>INDEX('面板-景气指数'!$37:$244,MATCH('面板-总览'!$R87,'面板-景气指数'!$A$37:$A$244,0),MATCH('面板-总览'!U$2,'面板-景气指数'!$36:$36,0))</f>
        <v>0.66300000000000003</v>
      </c>
      <c r="V87" s="7">
        <f>INDEX('面板-景气指数'!$37:$244,MATCH('面板-总览'!$R87,'面板-景气指数'!$A$37:$A$244,0),MATCH('面板-总览'!V$2,'面板-景气指数'!$36:$36,0))</f>
        <v>0.58599999999999997</v>
      </c>
      <c r="W87" s="7">
        <f>INDEX('面板-景气指数'!$37:$244,MATCH('面板-总览'!$R87,'面板-景气指数'!$A$37:$A$244,0),MATCH('面板-总览'!W$2,'面板-景气指数'!$36:$36,0))</f>
        <v>0.53800000000000003</v>
      </c>
      <c r="X87" s="7">
        <f>INDEX('面板-景气指数'!$37:$244,MATCH('面板-总览'!$R87,'面板-景气指数'!$A$37:$A$244,0),MATCH('面板-总览'!X$2,'面板-景气指数'!$36:$36,0))</f>
        <v>0.47099999999999997</v>
      </c>
      <c r="Y87" s="7">
        <f>INDEX('面板-景气指数'!$37:$244,MATCH('面板-总览'!$R87,'面板-景气指数'!$A$37:$A$244,0),MATCH('面板-总览'!Y$2,'面板-景气指数'!$36:$36,0))</f>
        <v>0.442</v>
      </c>
      <c r="Z87" s="7">
        <f>INDEX('面板-景气指数'!$37:$244,MATCH('面板-总览'!$R87,'面板-景气指数'!$A$37:$A$244,0),MATCH('面板-总览'!Z$2,'面板-景气指数'!$36:$36,0))</f>
        <v>0.39400000000000002</v>
      </c>
      <c r="AA87" s="7">
        <f>INDEX('面板-景气指数'!$37:$244,MATCH('面板-总览'!$R87,'面板-景气指数'!$A$37:$A$244,0),MATCH('面板-总览'!AA$2,'面板-景气指数'!$36:$36,0))</f>
        <v>0.45100000000000007</v>
      </c>
      <c r="AB87" s="7">
        <f>INDEX('面板-景气指数'!$37:$244,MATCH('面板-总览'!$R87,'面板-景气指数'!$A$37:$A$244,0),MATCH('面板-总览'!AB$2,'面板-景气指数'!$36:$36,0))</f>
        <v>0.42299999999999999</v>
      </c>
      <c r="AC87" s="7">
        <f>INDEX('面板-景气指数'!$37:$244,MATCH('面板-总览'!$R87,'面板-景气指数'!$A$37:$A$244,0),MATCH('面板-总览'!AC$2,'面板-景气指数'!$36:$36,0))</f>
        <v>0.25900000000000001</v>
      </c>
      <c r="AD87" s="7">
        <f>INDEX('面板-景气指数'!$37:$244,MATCH('面板-总览'!$R87,'面板-景气指数'!$A$37:$A$244,0),MATCH('面板-总览'!AD$2,'面板-景气指数'!$36:$36,0))</f>
        <v>0.20100000000000001</v>
      </c>
      <c r="AE87" s="7">
        <f>INDEX('面板-景气指数'!$37:$244,MATCH('面板-总览'!$R87,'面板-景气指数'!$A$37:$A$244,0),MATCH('面板-总览'!AE$2,'面板-景气指数'!$36:$36,0))</f>
        <v>0.182</v>
      </c>
      <c r="AG87" s="12">
        <f t="shared" si="3"/>
        <v>-0.24099999999999999</v>
      </c>
    </row>
    <row r="88" spans="18:33" ht="21" customHeight="1" x14ac:dyDescent="0.2">
      <c r="R88" s="6" t="s">
        <v>186</v>
      </c>
      <c r="S88" s="7">
        <f>INDEX('面板-景气指数'!$37:$244,MATCH('面板-总览'!$R88,'面板-景气指数'!$A$37:$A$244,0),MATCH('面板-总览'!S$2,'面板-景气指数'!$36:$36,0))</f>
        <v>0.497</v>
      </c>
      <c r="T88" s="7">
        <f>INDEX('面板-景气指数'!$37:$244,MATCH('面板-总览'!$R88,'面板-景气指数'!$A$37:$A$244,0),MATCH('面板-总览'!T$2,'面板-景气指数'!$36:$36,0))</f>
        <v>0.4955</v>
      </c>
      <c r="U88" s="7">
        <f>INDEX('面板-景气指数'!$37:$244,MATCH('面板-总览'!$R88,'面板-景气指数'!$A$37:$A$244,0),MATCH('面板-总览'!U$2,'面板-景气指数'!$36:$36,0))</f>
        <v>0.5</v>
      </c>
      <c r="V88" s="7">
        <f>INDEX('面板-景气指数'!$37:$244,MATCH('面板-总览'!$R88,'面板-景气指数'!$A$37:$A$244,0),MATCH('面板-总览'!V$2,'面板-景气指数'!$36:$36,0))</f>
        <v>0.4965</v>
      </c>
      <c r="W88" s="7">
        <f>INDEX('面板-景气指数'!$37:$244,MATCH('面板-总览'!$R88,'面板-景气指数'!$A$37:$A$244,0),MATCH('面板-总览'!W$2,'面板-景气指数'!$36:$36,0))</f>
        <v>0.504</v>
      </c>
      <c r="X88" s="7">
        <f>INDEX('面板-景气指数'!$37:$244,MATCH('面板-总览'!$R88,'面板-景气指数'!$A$37:$A$244,0),MATCH('面板-总览'!X$2,'面板-景气指数'!$36:$36,0))</f>
        <v>0.56400000000000006</v>
      </c>
      <c r="Y88" s="7">
        <f>INDEX('面板-景气指数'!$37:$244,MATCH('面板-总览'!$R88,'面板-景气指数'!$A$37:$A$244,0),MATCH('面板-总览'!Y$2,'面板-景气指数'!$36:$36,0))</f>
        <v>0.53849999999999998</v>
      </c>
      <c r="Z88" s="7">
        <f>INDEX('面板-景气指数'!$37:$244,MATCH('面板-总览'!$R88,'面板-景气指数'!$A$37:$A$244,0),MATCH('面板-总览'!Z$2,'面板-景气指数'!$36:$36,0))</f>
        <v>0.504</v>
      </c>
      <c r="AA88" s="7">
        <f>INDEX('面板-景气指数'!$37:$244,MATCH('面板-总览'!$R88,'面板-景气指数'!$A$37:$A$244,0),MATCH('面板-总览'!AA$2,'面板-景气指数'!$36:$36,0))</f>
        <v>0.48349999999999999</v>
      </c>
      <c r="AB88" s="7">
        <f>INDEX('面板-景气指数'!$37:$244,MATCH('面板-总览'!$R88,'面板-景气指数'!$A$37:$A$244,0),MATCH('面板-总览'!AB$2,'面板-景气指数'!$36:$36,0))</f>
        <v>0.46149999999999991</v>
      </c>
      <c r="AC88" s="7">
        <f>INDEX('面板-景气指数'!$37:$244,MATCH('面板-总览'!$R88,'面板-景气指数'!$A$37:$A$244,0),MATCH('面板-总览'!AC$2,'面板-景气指数'!$36:$36,0))</f>
        <v>0.46149999999999991</v>
      </c>
      <c r="AD88" s="7">
        <f>INDEX('面板-景气指数'!$37:$244,MATCH('面板-总览'!$R88,'面板-景气指数'!$A$37:$A$244,0),MATCH('面板-总览'!AD$2,'面板-景气指数'!$36:$36,0))</f>
        <v>0.46149999999999991</v>
      </c>
      <c r="AE88" s="7">
        <f>INDEX('面板-景气指数'!$37:$244,MATCH('面板-总览'!$R88,'面板-景气指数'!$A$37:$A$244,0),MATCH('面板-总览'!AE$2,'面板-景气指数'!$36:$36,0))</f>
        <v>0.46149999999999991</v>
      </c>
      <c r="AG88" s="12">
        <f t="shared" si="3"/>
        <v>0</v>
      </c>
    </row>
    <row r="89" spans="18:33" ht="21" customHeight="1" x14ac:dyDescent="0.2">
      <c r="R89" s="6" t="s">
        <v>187</v>
      </c>
      <c r="S89" s="7">
        <f>INDEX('面板-景气指数'!$37:$244,MATCH('面板-总览'!$R89,'面板-景气指数'!$A$37:$A$244,0),MATCH('面板-总览'!S$2,'面板-景气指数'!$36:$36,0))</f>
        <v>0.51849999999999996</v>
      </c>
      <c r="T89" s="7">
        <f>INDEX('面板-景气指数'!$37:$244,MATCH('面板-总览'!$R89,'面板-景气指数'!$A$37:$A$244,0),MATCH('面板-总览'!T$2,'面板-景气指数'!$36:$36,0))</f>
        <v>0.50600000000000001</v>
      </c>
      <c r="U89" s="7">
        <f>INDEX('面板-景气指数'!$37:$244,MATCH('面板-总览'!$R89,'面板-景气指数'!$A$37:$A$244,0),MATCH('面板-总览'!U$2,'面板-景气指数'!$36:$36,0))</f>
        <v>0.5</v>
      </c>
      <c r="V89" s="7">
        <f>INDEX('面板-景气指数'!$37:$244,MATCH('面板-总览'!$R89,'面板-景气指数'!$A$37:$A$244,0),MATCH('面板-总览'!V$2,'面板-景气指数'!$36:$36,0))</f>
        <v>0.51200000000000001</v>
      </c>
      <c r="W89" s="7">
        <f>INDEX('面板-景气指数'!$37:$244,MATCH('面板-总览'!$R89,'面板-景气指数'!$A$37:$A$244,0),MATCH('面板-总览'!W$2,'面板-景气指数'!$36:$36,0))</f>
        <v>0.52400000000000002</v>
      </c>
      <c r="X89" s="7">
        <f>INDEX('面板-景气指数'!$37:$244,MATCH('面板-总览'!$R89,'面板-景气指数'!$A$37:$A$244,0),MATCH('面板-总览'!X$2,'面板-景气指数'!$36:$36,0))</f>
        <v>0.54349999999999998</v>
      </c>
      <c r="Y89" s="7">
        <f>INDEX('面板-景气指数'!$37:$244,MATCH('面板-总览'!$R89,'面板-景气指数'!$A$37:$A$244,0),MATCH('面板-总览'!Y$2,'面板-景气指数'!$36:$36,0))</f>
        <v>0.54300000000000004</v>
      </c>
      <c r="Z89" s="7">
        <f>INDEX('面板-景气指数'!$37:$244,MATCH('面板-总览'!$R89,'面板-景气指数'!$A$37:$A$244,0),MATCH('面板-总览'!Z$2,'面板-景气指数'!$36:$36,0))</f>
        <v>0.55100000000000005</v>
      </c>
      <c r="AA89" s="7">
        <f>INDEX('面板-景气指数'!$37:$244,MATCH('面板-总览'!$R89,'面板-景气指数'!$A$37:$A$244,0),MATCH('面板-总览'!AA$2,'面板-景气指数'!$36:$36,0))</f>
        <v>0.55200000000000005</v>
      </c>
      <c r="AB89" s="7">
        <f>INDEX('面板-景气指数'!$37:$244,MATCH('面板-总览'!$R89,'面板-景气指数'!$A$37:$A$244,0),MATCH('面板-总览'!AB$2,'面板-景气指数'!$36:$36,0))</f>
        <v>0.55200000000000005</v>
      </c>
      <c r="AC89" s="7">
        <f>INDEX('面板-景气指数'!$37:$244,MATCH('面板-总览'!$R89,'面板-景气指数'!$A$37:$A$244,0),MATCH('面板-总览'!AC$2,'面板-景气指数'!$36:$36,0))</f>
        <v>0.55200000000000005</v>
      </c>
      <c r="AD89" s="7">
        <f>INDEX('面板-景气指数'!$37:$244,MATCH('面板-总览'!$R89,'面板-景气指数'!$A$37:$A$244,0),MATCH('面板-总览'!AD$2,'面板-景气指数'!$36:$36,0))</f>
        <v>0.55200000000000005</v>
      </c>
      <c r="AE89" s="7">
        <f>INDEX('面板-景气指数'!$37:$244,MATCH('面板-总览'!$R89,'面板-景气指数'!$A$37:$A$244,0),MATCH('面板-总览'!AE$2,'面板-景气指数'!$36:$36,0))</f>
        <v>0.55200000000000005</v>
      </c>
      <c r="AG89" s="12">
        <f t="shared" si="3"/>
        <v>0</v>
      </c>
    </row>
    <row r="90" spans="18:33" ht="21" customHeight="1" x14ac:dyDescent="0.2">
      <c r="R90" s="6" t="s">
        <v>188</v>
      </c>
      <c r="S90" s="7">
        <f>INDEX('面板-景气指数'!$37:$244,MATCH('面板-总览'!$R90,'面板-景气指数'!$A$37:$A$244,0),MATCH('面板-总览'!S$2,'面板-景气指数'!$36:$36,0))</f>
        <v>0.28049999999999997</v>
      </c>
      <c r="T90" s="7">
        <f>INDEX('面板-景气指数'!$37:$244,MATCH('面板-总览'!$R90,'面板-景气指数'!$A$37:$A$244,0),MATCH('面板-总览'!T$2,'面板-景气指数'!$36:$36,0))</f>
        <v>0.32750000000000001</v>
      </c>
      <c r="U90" s="7">
        <f>INDEX('面板-景气指数'!$37:$244,MATCH('面板-总览'!$R90,'面板-景气指数'!$A$37:$A$244,0),MATCH('面板-总览'!U$2,'面板-景气指数'!$36:$36,0))</f>
        <v>0.33699999999999997</v>
      </c>
      <c r="V90" s="7">
        <f>INDEX('面板-景气指数'!$37:$244,MATCH('面板-总览'!$R90,'面板-景气指数'!$A$37:$A$244,0),MATCH('面板-总览'!V$2,'面板-景气指数'!$36:$36,0))</f>
        <v>0.33750000000000002</v>
      </c>
      <c r="W90" s="7">
        <f>INDEX('面板-景气指数'!$37:$244,MATCH('面板-总览'!$R90,'面板-景气指数'!$A$37:$A$244,0),MATCH('面板-总览'!W$2,'面板-景气指数'!$36:$36,0))</f>
        <v>0.30599999999999999</v>
      </c>
      <c r="X90" s="7">
        <f>INDEX('面板-景气指数'!$37:$244,MATCH('面板-总览'!$R90,'面板-景气指数'!$A$37:$A$244,0),MATCH('面板-总览'!X$2,'面板-景气指数'!$36:$36,0))</f>
        <v>0.1925</v>
      </c>
      <c r="Y90" s="7">
        <f>INDEX('面板-景气指数'!$37:$244,MATCH('面板-总览'!$R90,'面板-景气指数'!$A$37:$A$244,0),MATCH('面板-总览'!Y$2,'面板-景气指数'!$36:$36,0))</f>
        <v>0.21749999999999997</v>
      </c>
      <c r="Z90" s="7">
        <f>INDEX('面板-景气指数'!$37:$244,MATCH('面板-总览'!$R90,'面板-景气指数'!$A$37:$A$244,0),MATCH('面板-总览'!Z$2,'面板-景气指数'!$36:$36,0))</f>
        <v>0.23850000000000002</v>
      </c>
      <c r="AA90" s="7">
        <f>INDEX('面板-景气指数'!$37:$244,MATCH('面板-总览'!$R90,'面板-景气指数'!$A$37:$A$244,0),MATCH('面板-总览'!AA$2,'面板-景气指数'!$36:$36,0))</f>
        <v>0.27799999999999997</v>
      </c>
      <c r="AB90" s="7">
        <f>INDEX('面板-景气指数'!$37:$244,MATCH('面板-总览'!$R90,'面板-景气指数'!$A$37:$A$244,0),MATCH('面板-总览'!AB$2,'面板-景气指数'!$36:$36,0))</f>
        <v>0.27799999999999997</v>
      </c>
      <c r="AC90" s="7">
        <f>INDEX('面板-景气指数'!$37:$244,MATCH('面板-总览'!$R90,'面板-景气指数'!$A$37:$A$244,0),MATCH('面板-总览'!AC$2,'面板-景气指数'!$36:$36,0))</f>
        <v>0.27799999999999997</v>
      </c>
      <c r="AD90" s="7">
        <f>INDEX('面板-景气指数'!$37:$244,MATCH('面板-总览'!$R90,'面板-景气指数'!$A$37:$A$244,0),MATCH('面板-总览'!AD$2,'面板-景气指数'!$36:$36,0))</f>
        <v>0.27799999999999997</v>
      </c>
      <c r="AE90" s="7">
        <f>INDEX('面板-景气指数'!$37:$244,MATCH('面板-总览'!$R90,'面板-景气指数'!$A$37:$A$244,0),MATCH('面板-总览'!AE$2,'面板-景气指数'!$36:$36,0))</f>
        <v>0.27799999999999997</v>
      </c>
      <c r="AG90" s="12">
        <f t="shared" si="3"/>
        <v>0</v>
      </c>
    </row>
    <row r="91" spans="18:33" ht="21" customHeight="1" x14ac:dyDescent="0.2">
      <c r="R91" s="6" t="s">
        <v>189</v>
      </c>
      <c r="S91" s="7">
        <f>INDEX('面板-景气指数'!$37:$244,MATCH('面板-总览'!$R91,'面板-景气指数'!$A$37:$A$244,0),MATCH('面板-总览'!S$2,'面板-景气指数'!$36:$36,0))</f>
        <v>0.4385</v>
      </c>
      <c r="T91" s="7">
        <f>INDEX('面板-景气指数'!$37:$244,MATCH('面板-总览'!$R91,'面板-景气指数'!$A$37:$A$244,0),MATCH('面板-总览'!T$2,'面板-景气指数'!$36:$36,0))</f>
        <v>0.36200000000000004</v>
      </c>
      <c r="U91" s="7">
        <f>INDEX('面板-景气指数'!$37:$244,MATCH('面板-总览'!$R91,'面板-景气指数'!$A$37:$A$244,0),MATCH('面板-总览'!U$2,'面板-景气指数'!$36:$36,0))</f>
        <v>0.33899999999999997</v>
      </c>
      <c r="V91" s="7">
        <f>INDEX('面板-景气指数'!$37:$244,MATCH('面板-总览'!$R91,'面板-景气指数'!$A$37:$A$244,0),MATCH('面板-总览'!V$2,'面板-景气指数'!$36:$36,0))</f>
        <v>0.28349999999999997</v>
      </c>
      <c r="W91" s="7">
        <f>INDEX('面板-景气指数'!$37:$244,MATCH('面板-总览'!$R91,'面板-景气指数'!$A$37:$A$244,0),MATCH('面板-总览'!W$2,'面板-景气指数'!$36:$36,0))</f>
        <v>0.30049999999999999</v>
      </c>
      <c r="X91" s="7">
        <f>INDEX('面板-景气指数'!$37:$244,MATCH('面板-总览'!$R91,'面板-景气指数'!$A$37:$A$244,0),MATCH('面板-总览'!X$2,'面板-景气指数'!$36:$36,0))</f>
        <v>0.35599999999999998</v>
      </c>
      <c r="Y91" s="7">
        <f>INDEX('面板-景气指数'!$37:$244,MATCH('面板-总览'!$R91,'面板-景气指数'!$A$37:$A$244,0),MATCH('面板-总览'!Y$2,'面板-景气指数'!$36:$36,0))</f>
        <v>0.35199999999999998</v>
      </c>
      <c r="Z91" s="7">
        <f>INDEX('面板-景气指数'!$37:$244,MATCH('面板-总览'!$R91,'面板-景气指数'!$A$37:$A$244,0),MATCH('面板-总览'!Z$2,'面板-景气指数'!$36:$36,0))</f>
        <v>0.35399999999999998</v>
      </c>
      <c r="AA91" s="7">
        <f>INDEX('面板-景气指数'!$37:$244,MATCH('面板-总览'!$R91,'面板-景气指数'!$A$37:$A$244,0),MATCH('面板-总览'!AA$2,'面板-景气指数'!$36:$36,0))</f>
        <v>0.36049999999999999</v>
      </c>
      <c r="AB91" s="7">
        <f>INDEX('面板-景气指数'!$37:$244,MATCH('面板-总览'!$R91,'面板-景气指数'!$A$37:$A$244,0),MATCH('面板-总览'!AB$2,'面板-景气指数'!$36:$36,0))</f>
        <v>0.3715</v>
      </c>
      <c r="AC91" s="7">
        <f>INDEX('面板-景气指数'!$37:$244,MATCH('面板-总览'!$R91,'面板-景气指数'!$A$37:$A$244,0),MATCH('面板-总览'!AC$2,'面板-景气指数'!$36:$36,0))</f>
        <v>0.3715</v>
      </c>
      <c r="AD91" s="7">
        <f>INDEX('面板-景气指数'!$37:$244,MATCH('面板-总览'!$R91,'面板-景气指数'!$A$37:$A$244,0),MATCH('面板-总览'!AD$2,'面板-景气指数'!$36:$36,0))</f>
        <v>0.3715</v>
      </c>
      <c r="AE91" s="7">
        <f>INDEX('面板-景气指数'!$37:$244,MATCH('面板-总览'!$R91,'面板-景气指数'!$A$37:$A$244,0),MATCH('面板-总览'!AE$2,'面板-景气指数'!$36:$36,0))</f>
        <v>0.3715</v>
      </c>
      <c r="AG91" s="12">
        <f t="shared" si="3"/>
        <v>0</v>
      </c>
    </row>
    <row r="92" spans="18:33" ht="21" customHeight="1" x14ac:dyDescent="0.2">
      <c r="R92" s="6" t="s">
        <v>190</v>
      </c>
      <c r="S92" s="7">
        <f>INDEX('面板-景气指数'!$37:$244,MATCH('面板-总览'!$R92,'面板-景气指数'!$A$37:$A$244,0),MATCH('面板-总览'!S$2,'面板-景气指数'!$36:$36,0))</f>
        <v>0.47060000000000007</v>
      </c>
      <c r="T92" s="7">
        <f>INDEX('面板-景气指数'!$37:$244,MATCH('面板-总览'!$R92,'面板-景气指数'!$A$37:$A$244,0),MATCH('面板-总览'!T$2,'面板-景气指数'!$36:$36,0))</f>
        <v>0.46679999999999994</v>
      </c>
      <c r="U92" s="7">
        <f>INDEX('面板-景气指数'!$37:$244,MATCH('面板-总览'!$R92,'面板-景气指数'!$A$37:$A$244,0),MATCH('面板-总览'!U$2,'面板-景气指数'!$36:$36,0))</f>
        <v>0.46700000000000003</v>
      </c>
      <c r="V92" s="7">
        <f>INDEX('面板-景气指数'!$37:$244,MATCH('面板-总览'!$R92,'面板-景气指数'!$A$37:$A$244,0),MATCH('面板-总览'!V$2,'面板-景气指数'!$36:$36,0))</f>
        <v>0.38579999999999998</v>
      </c>
      <c r="W92" s="7">
        <f>INDEX('面板-景气指数'!$37:$244,MATCH('面板-总览'!$R92,'面板-景气指数'!$A$37:$A$244,0),MATCH('面板-总览'!W$2,'面板-景气指数'!$36:$36,0))</f>
        <v>0.42639999999999995</v>
      </c>
      <c r="X92" s="7">
        <f>INDEX('面板-景气指数'!$37:$244,MATCH('面板-总览'!$R92,'面板-景气指数'!$A$37:$A$244,0),MATCH('面板-总览'!X$2,'面板-景气指数'!$36:$36,0))</f>
        <v>0.42459999999999998</v>
      </c>
      <c r="Y92" s="7">
        <f>INDEX('面板-景气指数'!$37:$244,MATCH('面板-总览'!$R92,'面板-景气指数'!$A$37:$A$244,0),MATCH('面板-总览'!Y$2,'面板-景气指数'!$36:$36,0))</f>
        <v>0.39960000000000001</v>
      </c>
      <c r="Z92" s="7">
        <f>INDEX('面板-景气指数'!$37:$244,MATCH('面板-总览'!$R92,'面板-景气指数'!$A$37:$A$244,0),MATCH('面板-总览'!Z$2,'面板-景气指数'!$36:$36,0))</f>
        <v>0.35719999999999996</v>
      </c>
      <c r="AA92" s="7">
        <f>INDEX('面板-景气指数'!$37:$244,MATCH('面板-总览'!$R92,'面板-景气指数'!$A$37:$A$244,0),MATCH('面板-总览'!AA$2,'面板-景气指数'!$36:$36,0))</f>
        <v>0.34359999999999996</v>
      </c>
      <c r="AB92" s="7">
        <f>INDEX('面板-景气指数'!$37:$244,MATCH('面板-总览'!$R92,'面板-景气指数'!$A$37:$A$244,0),MATCH('面板-总览'!AB$2,'面板-景气指数'!$36:$36,0))</f>
        <v>0.27839999999999998</v>
      </c>
      <c r="AC92" s="7">
        <f>INDEX('面板-景气指数'!$37:$244,MATCH('面板-总览'!$R92,'面板-景气指数'!$A$37:$A$244,0),MATCH('面板-总览'!AC$2,'面板-景气指数'!$36:$36,0))</f>
        <v>0.37659999999999993</v>
      </c>
      <c r="AD92" s="7">
        <f>INDEX('面板-景气指数'!$37:$244,MATCH('面板-总览'!$R92,'面板-景气指数'!$A$37:$A$244,0),MATCH('面板-总览'!AD$2,'面板-景气指数'!$36:$36,0))</f>
        <v>0.36480000000000001</v>
      </c>
      <c r="AE92" s="7">
        <f>INDEX('面板-景气指数'!$37:$244,MATCH('面板-总览'!$R92,'面板-景气指数'!$A$37:$A$244,0),MATCH('面板-总览'!AE$2,'面板-景气指数'!$36:$36,0))</f>
        <v>0.42459999999999998</v>
      </c>
      <c r="AG92" s="12">
        <f t="shared" si="3"/>
        <v>0.1462</v>
      </c>
    </row>
    <row r="93" spans="18:33" ht="21" customHeight="1" x14ac:dyDescent="0.2">
      <c r="R93" s="6" t="s">
        <v>191</v>
      </c>
      <c r="S93" s="7">
        <f>INDEX('面板-景气指数'!$37:$244,MATCH('面板-总览'!$R93,'面板-景气指数'!$A$37:$A$244,0),MATCH('面板-总览'!S$2,'面板-景气指数'!$36:$36,0))</f>
        <v>0.53662500000000002</v>
      </c>
      <c r="T93" s="7">
        <f>INDEX('面板-景气指数'!$37:$244,MATCH('面板-总览'!$R93,'面板-景气指数'!$A$37:$A$244,0),MATCH('面板-总览'!T$2,'面板-景气指数'!$36:$36,0))</f>
        <v>0.50062499999999999</v>
      </c>
      <c r="U93" s="7">
        <f>INDEX('面板-景气指数'!$37:$244,MATCH('面板-总览'!$R93,'面板-景气指数'!$A$37:$A$244,0),MATCH('面板-总览'!U$2,'面板-景气指数'!$36:$36,0))</f>
        <v>0.46012500000000006</v>
      </c>
      <c r="V93" s="7">
        <f>INDEX('面板-景气指数'!$37:$244,MATCH('面板-总览'!$R93,'面板-景气指数'!$A$37:$A$244,0),MATCH('面板-总览'!V$2,'面板-景气指数'!$36:$36,0))</f>
        <v>0.45412499999999995</v>
      </c>
      <c r="W93" s="7">
        <f>INDEX('面板-景气指数'!$37:$244,MATCH('面板-总览'!$R93,'面板-景气指数'!$A$37:$A$244,0),MATCH('面板-总览'!W$2,'面板-景气指数'!$36:$36,0))</f>
        <v>0.46325000000000011</v>
      </c>
      <c r="X93" s="7">
        <f>INDEX('面板-景气指数'!$37:$244,MATCH('面板-总览'!$R93,'面板-景气指数'!$A$37:$A$244,0),MATCH('面板-总览'!X$2,'面板-景气指数'!$36:$36,0))</f>
        <v>0.48037500000000005</v>
      </c>
      <c r="Y93" s="7">
        <f>INDEX('面板-景气指数'!$37:$244,MATCH('面板-总览'!$R93,'面板-景气指数'!$A$37:$A$244,0),MATCH('面板-总览'!Y$2,'面板-景气指数'!$36:$36,0))</f>
        <v>0.50050000000000006</v>
      </c>
      <c r="Z93" s="7">
        <f>INDEX('面板-景气指数'!$37:$244,MATCH('面板-总览'!$R93,'面板-景气指数'!$A$37:$A$244,0),MATCH('面板-总览'!Z$2,'面板-景气指数'!$36:$36,0))</f>
        <v>0.51975000000000005</v>
      </c>
      <c r="AA93" s="7">
        <f>INDEX('面板-景气指数'!$37:$244,MATCH('面板-总览'!$R93,'面板-景气指数'!$A$37:$A$244,0),MATCH('面板-总览'!AA$2,'面板-景气指数'!$36:$36,0))</f>
        <v>0.50437499999999991</v>
      </c>
      <c r="AB93" s="7">
        <f>INDEX('面板-景气指数'!$37:$244,MATCH('面板-总览'!$R93,'面板-景气指数'!$A$37:$A$244,0),MATCH('面板-总览'!AB$2,'面板-景气指数'!$36:$36,0))</f>
        <v>0.4852499999999999</v>
      </c>
      <c r="AC93" s="7">
        <f>INDEX('面板-景气指数'!$37:$244,MATCH('面板-总览'!$R93,'面板-景气指数'!$A$37:$A$244,0),MATCH('面板-总览'!AC$2,'面板-景气指数'!$36:$36,0))</f>
        <v>0.50337499999999991</v>
      </c>
      <c r="AD93" s="7">
        <f>INDEX('面板-景气指数'!$37:$244,MATCH('面板-总览'!$R93,'面板-景气指数'!$A$37:$A$244,0),MATCH('面板-总览'!AD$2,'面板-景气指数'!$36:$36,0))</f>
        <v>0.56575000000000009</v>
      </c>
      <c r="AE93" s="7">
        <f>INDEX('面板-景气指数'!$37:$244,MATCH('面板-总览'!$R93,'面板-景气指数'!$A$37:$A$244,0),MATCH('面板-总览'!AE$2,'面板-景气指数'!$36:$36,0))</f>
        <v>0.66050000000000009</v>
      </c>
      <c r="AG93" s="12">
        <f t="shared" si="3"/>
        <v>0.17525000000000018</v>
      </c>
    </row>
    <row r="94" spans="18:33" ht="21" customHeight="1" x14ac:dyDescent="0.2">
      <c r="R94" s="6" t="s">
        <v>192</v>
      </c>
      <c r="S94" s="7">
        <f>INDEX('面板-景气指数'!$37:$244,MATCH('面板-总览'!$R94,'面板-景气指数'!$A$37:$A$244,0),MATCH('面板-总览'!S$2,'面板-景气指数'!$36:$36,0))</f>
        <v>0.22799999999999992</v>
      </c>
      <c r="T94" s="7">
        <f>INDEX('面板-景气指数'!$37:$244,MATCH('面板-总览'!$R94,'面板-景气指数'!$A$37:$A$244,0),MATCH('面板-总览'!T$2,'面板-景气指数'!$36:$36,0))</f>
        <v>0.23862499999999995</v>
      </c>
      <c r="U94" s="7">
        <f>INDEX('面板-景气指数'!$37:$244,MATCH('面板-总览'!$R94,'面板-景气指数'!$A$37:$A$244,0),MATCH('面板-总览'!U$2,'面板-景气指数'!$36:$36,0))</f>
        <v>0.27599999999999997</v>
      </c>
      <c r="V94" s="7">
        <f>INDEX('面板-景气指数'!$37:$244,MATCH('面板-总览'!$R94,'面板-景气指数'!$A$37:$A$244,0),MATCH('面板-总览'!V$2,'面板-景气指数'!$36:$36,0))</f>
        <v>0.24824999999999997</v>
      </c>
      <c r="W94" s="7">
        <f>INDEX('面板-景气指数'!$37:$244,MATCH('面板-总览'!$R94,'面板-景气指数'!$A$37:$A$244,0),MATCH('面板-总览'!W$2,'面板-景气指数'!$36:$36,0))</f>
        <v>0.18224999999999991</v>
      </c>
      <c r="X94" s="7">
        <f>INDEX('面板-景气指数'!$37:$244,MATCH('面板-总览'!$R94,'面板-景气指数'!$A$37:$A$244,0),MATCH('面板-总览'!X$2,'面板-景气指数'!$36:$36,0))</f>
        <v>0.12587499999999999</v>
      </c>
      <c r="Y94" s="7">
        <f>INDEX('面板-景气指数'!$37:$244,MATCH('面板-总览'!$R94,'面板-景气指数'!$A$37:$A$244,0),MATCH('面板-总览'!Y$2,'面板-景气指数'!$36:$36,0))</f>
        <v>0.11762500000000001</v>
      </c>
      <c r="Z94" s="7">
        <f>INDEX('面板-景气指数'!$37:$244,MATCH('面板-总览'!$R94,'面板-景气指数'!$A$37:$A$244,0),MATCH('面板-总览'!Z$2,'面板-景气指数'!$36:$36,0))</f>
        <v>0.12212500000000001</v>
      </c>
      <c r="AA94" s="7">
        <f>INDEX('面板-景气指数'!$37:$244,MATCH('面板-总览'!$R94,'面板-景气指数'!$A$37:$A$244,0),MATCH('面板-总览'!AA$2,'面板-景气指数'!$36:$36,0))</f>
        <v>0.11962499999999997</v>
      </c>
      <c r="AB94" s="7">
        <f>INDEX('面板-景气指数'!$37:$244,MATCH('面板-总览'!$R94,'面板-景气指数'!$A$37:$A$244,0),MATCH('面板-总览'!AB$2,'面板-景气指数'!$36:$36,0))</f>
        <v>0.15087499999999998</v>
      </c>
      <c r="AC94" s="7">
        <f>INDEX('面板-景气指数'!$37:$244,MATCH('面板-总览'!$R94,'面板-景气指数'!$A$37:$A$244,0),MATCH('面板-总览'!AC$2,'面板-景气指数'!$36:$36,0))</f>
        <v>0.24137500000000006</v>
      </c>
      <c r="AD94" s="7">
        <f>INDEX('面板-景气指数'!$37:$244,MATCH('面板-总览'!$R94,'面板-景气指数'!$A$37:$A$244,0),MATCH('面板-总览'!AD$2,'面板-景气指数'!$36:$36,0))</f>
        <v>0.29500000000000015</v>
      </c>
      <c r="AE94" s="7">
        <f>INDEX('面板-景气指数'!$37:$244,MATCH('面板-总览'!$R94,'面板-景气指数'!$A$37:$A$244,0),MATCH('面板-总览'!AE$2,'面板-景气指数'!$36:$36,0))</f>
        <v>0.32987500000000008</v>
      </c>
      <c r="AG94" s="12">
        <f t="shared" si="3"/>
        <v>0.1790000000000001</v>
      </c>
    </row>
    <row r="95" spans="18:33" ht="21" customHeight="1" x14ac:dyDescent="0.2">
      <c r="R95" s="6" t="s">
        <v>193</v>
      </c>
      <c r="S95" s="7">
        <f>INDEX('面板-景气指数'!$37:$244,MATCH('面板-总览'!$R95,'面板-景气指数'!$A$37:$A$244,0),MATCH('面板-总览'!S$2,'面板-景气指数'!$36:$36,0))</f>
        <v>0.16300000000000001</v>
      </c>
      <c r="T95" s="7">
        <f>INDEX('面板-景气指数'!$37:$244,MATCH('面板-总览'!$R95,'面板-景气指数'!$A$37:$A$244,0),MATCH('面板-总览'!T$2,'面板-景气指数'!$36:$36,0))</f>
        <v>1.9E-2</v>
      </c>
      <c r="U95" s="7">
        <f>INDEX('面板-景气指数'!$37:$244,MATCH('面板-总览'!$R95,'面板-景气指数'!$A$37:$A$244,0),MATCH('面板-总览'!U$2,'面板-景气指数'!$36:$36,0))</f>
        <v>1.9E-2</v>
      </c>
      <c r="V95" s="7">
        <f>INDEX('面板-景气指数'!$37:$244,MATCH('面板-总览'!$R95,'面板-景气指数'!$A$37:$A$244,0),MATCH('面板-总览'!V$2,'面板-景气指数'!$36:$36,0))</f>
        <v>1.9E-2</v>
      </c>
      <c r="W95" s="7">
        <f>INDEX('面板-景气指数'!$37:$244,MATCH('面板-总览'!$R95,'面板-景气指数'!$A$37:$A$244,0),MATCH('面板-总览'!W$2,'面板-景气指数'!$36:$36,0))</f>
        <v>1.9E-2</v>
      </c>
      <c r="X95" s="7">
        <f>INDEX('面板-景气指数'!$37:$244,MATCH('面板-总览'!$R95,'面板-景气指数'!$A$37:$A$244,0),MATCH('面板-总览'!X$2,'面板-景气指数'!$36:$36,0))</f>
        <v>1.9E-2</v>
      </c>
      <c r="Y95" s="7">
        <f>INDEX('面板-景气指数'!$37:$244,MATCH('面板-总览'!$R95,'面板-景气指数'!$A$37:$A$244,0),MATCH('面板-总览'!Y$2,'面板-景气指数'!$36:$36,0))</f>
        <v>1.9E-2</v>
      </c>
      <c r="Z95" s="7">
        <f>INDEX('面板-景气指数'!$37:$244,MATCH('面板-总览'!$R95,'面板-景气指数'!$A$37:$A$244,0),MATCH('面板-总览'!Z$2,'面板-景气指数'!$36:$36,0))</f>
        <v>1.9E-2</v>
      </c>
      <c r="AA95" s="7">
        <f>INDEX('面板-景气指数'!$37:$244,MATCH('面板-总览'!$R95,'面板-景气指数'!$A$37:$A$244,0),MATCH('面板-总览'!AA$2,'面板-景气指数'!$36:$36,0))</f>
        <v>1.9E-2</v>
      </c>
      <c r="AB95" s="7">
        <f>INDEX('面板-景气指数'!$37:$244,MATCH('面板-总览'!$R95,'面板-景气指数'!$A$37:$A$244,0),MATCH('面板-总览'!AB$2,'面板-景气指数'!$36:$36,0))</f>
        <v>1.9E-2</v>
      </c>
      <c r="AC95" s="7">
        <f>INDEX('面板-景气指数'!$37:$244,MATCH('面板-总览'!$R95,'面板-景气指数'!$A$37:$A$244,0),MATCH('面板-总览'!AC$2,'面板-景气指数'!$36:$36,0))</f>
        <v>1.9E-2</v>
      </c>
      <c r="AD95" s="7">
        <f>INDEX('面板-景气指数'!$37:$244,MATCH('面板-总览'!$R95,'面板-景气指数'!$A$37:$A$244,0),MATCH('面板-总览'!AD$2,'面板-景气指数'!$36:$36,0))</f>
        <v>1.9E-2</v>
      </c>
      <c r="AE95" s="7">
        <f>INDEX('面板-景气指数'!$37:$244,MATCH('面板-总览'!$R95,'面板-景气指数'!$A$37:$A$244,0),MATCH('面板-总览'!AE$2,'面板-景气指数'!$36:$36,0))</f>
        <v>1.9E-2</v>
      </c>
      <c r="AG95" s="12">
        <f t="shared" si="3"/>
        <v>0</v>
      </c>
    </row>
    <row r="96" spans="18:33" ht="21" customHeight="1" x14ac:dyDescent="0.2">
      <c r="R96" s="6" t="s">
        <v>194</v>
      </c>
      <c r="S96" s="7">
        <f>INDEX('面板-景气指数'!$37:$244,MATCH('面板-总览'!$R96,'面板-景气指数'!$A$37:$A$244,0),MATCH('面板-总览'!S$2,'面板-景气指数'!$36:$36,0))</f>
        <v>0.46203763098149908</v>
      </c>
      <c r="T96" s="7">
        <f>INDEX('面板-景气指数'!$37:$244,MATCH('面板-总览'!$R96,'面板-景气指数'!$A$37:$A$244,0),MATCH('面板-总览'!T$2,'面板-景气指数'!$36:$36,0))</f>
        <v>0.46627228256533398</v>
      </c>
      <c r="U96" s="7">
        <f>INDEX('面板-景气指数'!$37:$244,MATCH('面板-总览'!$R96,'面板-景气指数'!$A$37:$A$244,0),MATCH('面板-总览'!U$2,'面板-景气指数'!$36:$36,0))</f>
        <v>0.4636917525679165</v>
      </c>
      <c r="V96" s="7">
        <f>INDEX('面板-景气指数'!$37:$244,MATCH('面板-总览'!$R96,'面板-景气指数'!$A$37:$A$244,0),MATCH('面板-总览'!V$2,'面板-景气指数'!$36:$36,0))</f>
        <v>0.48369473318731543</v>
      </c>
      <c r="W96" s="7">
        <f>INDEX('面板-景气指数'!$37:$244,MATCH('面板-总览'!$R96,'面板-景气指数'!$A$37:$A$244,0),MATCH('面板-总览'!W$2,'面板-景气指数'!$36:$36,0))</f>
        <v>0.60541881178308432</v>
      </c>
      <c r="X96" s="7">
        <f>INDEX('面板-景气指数'!$37:$244,MATCH('面板-总览'!$R96,'面板-景气指数'!$A$37:$A$244,0),MATCH('面板-总览'!X$2,'面板-景气指数'!$36:$36,0))</f>
        <v>0.66192874243580835</v>
      </c>
      <c r="Y96" s="7">
        <f>INDEX('面板-景气指数'!$37:$244,MATCH('面板-总览'!$R96,'面板-景气指数'!$A$37:$A$244,0),MATCH('面板-总览'!Y$2,'面板-景气指数'!$36:$36,0))</f>
        <v>0.64997680741079533</v>
      </c>
      <c r="Z96" s="7">
        <f>INDEX('面板-景气指数'!$37:$244,MATCH('面板-总览'!$R96,'面板-景气指数'!$A$37:$A$244,0),MATCH('面板-总览'!Z$2,'面板-景气指数'!$36:$36,0))</f>
        <v>0.60690535629254971</v>
      </c>
      <c r="AA96" s="7">
        <f>INDEX('面板-景气指数'!$37:$244,MATCH('面板-总览'!$R96,'面板-景气指数'!$A$37:$A$244,0),MATCH('面板-总览'!AA$2,'面板-景气指数'!$36:$36,0))</f>
        <v>0.59131124033492499</v>
      </c>
      <c r="AB96" s="7">
        <f>INDEX('面板-景气指数'!$37:$244,MATCH('面板-总览'!$R96,'面板-景气指数'!$A$37:$A$244,0),MATCH('面板-总览'!AB$2,'面板-景气指数'!$36:$36,0))</f>
        <v>0.56789604479304789</v>
      </c>
      <c r="AC96" s="7">
        <f>INDEX('面板-景气指数'!$37:$244,MATCH('面板-总览'!$R96,'面板-景气指数'!$A$37:$A$244,0),MATCH('面板-总览'!AC$2,'面板-景气指数'!$36:$36,0))</f>
        <v>0.55305162687022069</v>
      </c>
      <c r="AD96" s="7">
        <f>INDEX('面板-景气指数'!$37:$244,MATCH('面板-总览'!$R96,'面板-景气指数'!$A$37:$A$244,0),MATCH('面板-总览'!AD$2,'面板-景气指数'!$36:$36,0))</f>
        <v>0.52515352605674159</v>
      </c>
      <c r="AE96" s="7">
        <f>INDEX('面板-景气指数'!$37:$244,MATCH('面板-总览'!$R96,'面板-景气指数'!$A$37:$A$244,0),MATCH('面板-总览'!AE$2,'面板-景气指数'!$36:$36,0))</f>
        <v>0.52760959756652825</v>
      </c>
      <c r="AG96" s="12">
        <f t="shared" si="3"/>
        <v>-4.0286447226519639E-2</v>
      </c>
    </row>
    <row r="97" spans="18:33" ht="21" customHeight="1" x14ac:dyDescent="0.2">
      <c r="R97" s="6" t="s">
        <v>195</v>
      </c>
      <c r="S97" s="7">
        <f>INDEX('面板-景气指数'!$37:$244,MATCH('面板-总览'!$R97,'面板-景气指数'!$A$37:$A$244,0),MATCH('面板-总览'!S$2,'面板-景气指数'!$36:$36,0))</f>
        <v>4.8000000000000001E-2</v>
      </c>
      <c r="T97" s="7">
        <f>INDEX('面板-景气指数'!$37:$244,MATCH('面板-总览'!$R97,'面板-景气指数'!$A$37:$A$244,0),MATCH('面板-总览'!T$2,'面板-景气指数'!$36:$36,0))</f>
        <v>9.6000000000000002E-2</v>
      </c>
      <c r="U97" s="7">
        <f>INDEX('面板-景气指数'!$37:$244,MATCH('面板-总览'!$R97,'面板-景气指数'!$A$37:$A$244,0),MATCH('面板-总览'!U$2,'面板-景气指数'!$36:$36,0))</f>
        <v>0.28799999999999998</v>
      </c>
      <c r="V97" s="7">
        <f>INDEX('面板-景气指数'!$37:$244,MATCH('面板-总览'!$R97,'面板-景气指数'!$A$37:$A$244,0),MATCH('面板-总览'!V$2,'面板-景气指数'!$36:$36,0))</f>
        <v>0.33600000000000002</v>
      </c>
      <c r="W97" s="7">
        <f>INDEX('面板-景气指数'!$37:$244,MATCH('面板-总览'!$R97,'面板-景气指数'!$A$37:$A$244,0),MATCH('面板-总览'!W$2,'面板-景气指数'!$36:$36,0))</f>
        <v>0.192</v>
      </c>
      <c r="X97" s="7">
        <f>INDEX('面板-景气指数'!$37:$244,MATCH('面板-总览'!$R97,'面板-景气指数'!$A$37:$A$244,0),MATCH('面板-总览'!X$2,'面板-景气指数'!$36:$36,0))</f>
        <v>0.182</v>
      </c>
      <c r="Y97" s="7">
        <f>INDEX('面板-景气指数'!$37:$244,MATCH('面板-总览'!$R97,'面板-景气指数'!$A$37:$A$244,0),MATCH('面板-总览'!Y$2,'面板-景气指数'!$36:$36,0))</f>
        <v>0.29799999999999999</v>
      </c>
      <c r="Z97" s="7">
        <f>INDEX('面板-景气指数'!$37:$244,MATCH('面板-总览'!$R97,'面板-景气指数'!$A$37:$A$244,0),MATCH('面板-总览'!Z$2,'面板-景气指数'!$36:$36,0))</f>
        <v>0.42299999999999999</v>
      </c>
      <c r="AA97" s="7">
        <f>INDEX('面板-景气指数'!$37:$244,MATCH('面板-总览'!$R97,'面板-景气指数'!$A$37:$A$244,0),MATCH('面板-总览'!AA$2,'面板-景气指数'!$36:$36,0))</f>
        <v>0.47999999999999993</v>
      </c>
      <c r="AB97" s="7">
        <f>INDEX('面板-景气指数'!$37:$244,MATCH('面板-总览'!$R97,'面板-景气指数'!$A$37:$A$244,0),MATCH('面板-总览'!AB$2,'面板-景气指数'!$36:$36,0))</f>
        <v>0.54800000000000004</v>
      </c>
      <c r="AC97" s="7">
        <f>INDEX('面板-景气指数'!$37:$244,MATCH('面板-总览'!$R97,'面板-景气指数'!$A$37:$A$244,0),MATCH('面板-总览'!AC$2,'面板-景气指数'!$36:$36,0))</f>
        <v>0.66300000000000003</v>
      </c>
      <c r="AD97" s="7">
        <f>INDEX('面板-景气指数'!$37:$244,MATCH('面板-总览'!$R97,'面板-景气指数'!$A$37:$A$244,0),MATCH('面板-总览'!AD$2,'面板-景气指数'!$36:$36,0))</f>
        <v>0.70099999999999996</v>
      </c>
      <c r="AE97" s="7">
        <f>INDEX('面板-景气指数'!$37:$244,MATCH('面板-总览'!$R97,'面板-景气指数'!$A$37:$A$244,0),MATCH('面板-总览'!AE$2,'面板-景气指数'!$36:$36,0))</f>
        <v>0.76900000000000002</v>
      </c>
      <c r="AG97" s="12">
        <f t="shared" si="3"/>
        <v>0.22099999999999997</v>
      </c>
    </row>
    <row r="98" spans="18:33" ht="21" customHeight="1" x14ac:dyDescent="0.2">
      <c r="R98" s="6" t="s">
        <v>196</v>
      </c>
      <c r="S98" s="7">
        <f>INDEX('面板-景气指数'!$37:$244,MATCH('面板-总览'!$R98,'面板-景气指数'!$A$37:$A$244,0),MATCH('面板-总览'!S$2,'面板-景气指数'!$36:$36,0))</f>
        <v>0.36000000000000004</v>
      </c>
      <c r="T98" s="7">
        <f>INDEX('面板-景气指数'!$37:$244,MATCH('面板-总览'!$R98,'面板-景气指数'!$A$37:$A$244,0),MATCH('面板-总览'!T$2,'面板-景气指数'!$36:$36,0))</f>
        <v>0.43050000000000005</v>
      </c>
      <c r="U98" s="7">
        <f>INDEX('面板-景气指数'!$37:$244,MATCH('面板-总览'!$R98,'面板-景气指数'!$A$37:$A$244,0),MATCH('面板-总览'!U$2,'面板-景气指数'!$36:$36,0))</f>
        <v>0.39050000000000007</v>
      </c>
      <c r="V98" s="7">
        <f>INDEX('面板-景气指数'!$37:$244,MATCH('面板-总览'!$R98,'面板-景气指数'!$A$37:$A$244,0),MATCH('面板-总览'!V$2,'面板-景气指数'!$36:$36,0))</f>
        <v>0.40500000000000003</v>
      </c>
      <c r="W98" s="7">
        <f>INDEX('面板-景气指数'!$37:$244,MATCH('面板-总览'!$R98,'面板-景气指数'!$A$37:$A$244,0),MATCH('面板-总览'!W$2,'面板-景气指数'!$36:$36,0))</f>
        <v>0.45524999999999993</v>
      </c>
      <c r="X98" s="7">
        <f>INDEX('面板-景气指数'!$37:$244,MATCH('面板-总览'!$R98,'面板-景气指数'!$A$37:$A$244,0),MATCH('面板-总览'!X$2,'面板-景气指数'!$36:$36,0))</f>
        <v>0.39475000000000005</v>
      </c>
      <c r="Y98" s="7">
        <f>INDEX('面板-景气指数'!$37:$244,MATCH('面板-总览'!$R98,'面板-景气指数'!$A$37:$A$244,0),MATCH('面板-总览'!Y$2,'面板-景气指数'!$36:$36,0))</f>
        <v>0.32400000000000001</v>
      </c>
      <c r="Z98" s="7">
        <f>INDEX('面板-景气指数'!$37:$244,MATCH('面板-总览'!$R98,'面板-景气指数'!$A$37:$A$244,0),MATCH('面板-总览'!Z$2,'面板-景气指数'!$36:$36,0))</f>
        <v>0.25275000000000003</v>
      </c>
      <c r="AA98" s="7">
        <f>INDEX('面板-景气指数'!$37:$244,MATCH('面板-总览'!$R98,'面板-景气指数'!$A$37:$A$244,0),MATCH('面板-总览'!AA$2,'面板-景气指数'!$36:$36,0))</f>
        <v>0.25950000000000001</v>
      </c>
      <c r="AB98" s="7">
        <f>INDEX('面板-景气指数'!$37:$244,MATCH('面板-总览'!$R98,'面板-景气指数'!$A$37:$A$244,0),MATCH('面板-总览'!AB$2,'面板-景气指数'!$36:$36,0))</f>
        <v>0.20150000000000001</v>
      </c>
      <c r="AC98" s="7">
        <f>INDEX('面板-景气指数'!$37:$244,MATCH('面板-总览'!$R98,'面板-景气指数'!$A$37:$A$244,0),MATCH('面板-总览'!AC$2,'面板-景气指数'!$36:$36,0))</f>
        <v>0.20199999999999999</v>
      </c>
      <c r="AD98" s="7">
        <f>INDEX('面板-景气指数'!$37:$244,MATCH('面板-总览'!$R98,'面板-景气指数'!$A$37:$A$244,0),MATCH('面板-总览'!AD$2,'面板-景气指数'!$36:$36,0))</f>
        <v>0.187</v>
      </c>
      <c r="AE98" s="7">
        <f>INDEX('面板-景气指数'!$37:$244,MATCH('面板-总览'!$R98,'面板-景气指数'!$A$37:$A$244,0),MATCH('面板-总览'!AE$2,'面板-景气指数'!$36:$36,0))</f>
        <v>0.20775000000000002</v>
      </c>
      <c r="AG98" s="12">
        <f t="shared" si="3"/>
        <v>6.2500000000000056E-3</v>
      </c>
    </row>
    <row r="99" spans="18:33" ht="21" customHeight="1" x14ac:dyDescent="0.2">
      <c r="R99" s="6" t="s">
        <v>197</v>
      </c>
      <c r="S99" s="7">
        <f>INDEX('面板-景气指数'!$37:$244,MATCH('面板-总览'!$R99,'面板-景气指数'!$A$37:$A$244,0),MATCH('面板-总览'!S$2,'面板-景气指数'!$36:$36,0))</f>
        <v>0.69674999999999998</v>
      </c>
      <c r="T99" s="7">
        <f>INDEX('面板-景气指数'!$37:$244,MATCH('面板-总览'!$R99,'面板-景气指数'!$A$37:$A$244,0),MATCH('面板-总览'!T$2,'面板-景气指数'!$36:$36,0))</f>
        <v>0.71599999999999986</v>
      </c>
      <c r="U99" s="7">
        <f>INDEX('面板-景气指数'!$37:$244,MATCH('面板-总览'!$R99,'面板-景气指数'!$A$37:$A$244,0),MATCH('面板-总览'!U$2,'面板-景气指数'!$36:$36,0))</f>
        <v>0.74724999999999997</v>
      </c>
      <c r="V99" s="7">
        <f>INDEX('面板-景气指数'!$37:$244,MATCH('面板-总览'!$R99,'面板-景气指数'!$A$37:$A$244,0),MATCH('面板-总览'!V$2,'面板-景气指数'!$36:$36,0))</f>
        <v>0.75924999999999998</v>
      </c>
      <c r="W99" s="7">
        <f>INDEX('面板-景气指数'!$37:$244,MATCH('面板-总览'!$R99,'面板-景气指数'!$A$37:$A$244,0),MATCH('面板-总览'!W$2,'面板-景气指数'!$36:$36,0))</f>
        <v>0.71350000000000002</v>
      </c>
      <c r="X99" s="7">
        <f>INDEX('面板-景气指数'!$37:$244,MATCH('面板-总览'!$R99,'面板-景气指数'!$A$37:$A$244,0),MATCH('面板-总览'!X$2,'面板-景气指数'!$36:$36,0))</f>
        <v>0.61499999999999999</v>
      </c>
      <c r="Y99" s="7">
        <f>INDEX('面板-景气指数'!$37:$244,MATCH('面板-总览'!$R99,'面板-景气指数'!$A$37:$A$244,0),MATCH('面板-总览'!Y$2,'面板-景气指数'!$36:$36,0))</f>
        <v>0.59099999999999997</v>
      </c>
      <c r="Z99" s="7">
        <f>INDEX('面板-景气指数'!$37:$244,MATCH('面板-总览'!$R99,'面板-景气指数'!$A$37:$A$244,0),MATCH('面板-总览'!Z$2,'面板-景气指数'!$36:$36,0))</f>
        <v>0.54525000000000001</v>
      </c>
      <c r="AA99" s="7">
        <f>INDEX('面板-景气指数'!$37:$244,MATCH('面板-总览'!$R99,'面板-景气指数'!$A$37:$A$244,0),MATCH('面板-总览'!AA$2,'面板-景气指数'!$36:$36,0))</f>
        <v>0.54275000000000007</v>
      </c>
      <c r="AB99" s="7">
        <f>INDEX('面板-景气指数'!$37:$244,MATCH('面板-总览'!$R99,'面板-景气指数'!$A$37:$A$244,0),MATCH('面板-总览'!AB$2,'面板-景气指数'!$36:$36,0))</f>
        <v>0.55249999999999999</v>
      </c>
      <c r="AC99" s="7">
        <f>INDEX('面板-景气指数'!$37:$244,MATCH('面板-总览'!$R99,'面板-景气指数'!$A$37:$A$244,0),MATCH('面板-总览'!AC$2,'面板-景气指数'!$36:$36,0))</f>
        <v>0.54999999999999993</v>
      </c>
      <c r="AD99" s="7">
        <f>INDEX('面板-景气指数'!$37:$244,MATCH('面板-总览'!$R99,'面板-景气指数'!$A$37:$A$244,0),MATCH('面板-总览'!AD$2,'面板-景气指数'!$36:$36,0))</f>
        <v>0.54049999999999998</v>
      </c>
      <c r="AE99" s="7">
        <f>INDEX('面板-景气指数'!$37:$244,MATCH('面板-总览'!$R99,'面板-景气指数'!$A$37:$A$244,0),MATCH('面板-总览'!AE$2,'面板-景气指数'!$36:$36,0))</f>
        <v>0.5402499999999999</v>
      </c>
      <c r="AG99" s="12">
        <f t="shared" si="3"/>
        <v>-1.2250000000000094E-2</v>
      </c>
    </row>
    <row r="100" spans="18:33" ht="21" customHeight="1" x14ac:dyDescent="0.2">
      <c r="R100" s="6" t="s">
        <v>198</v>
      </c>
      <c r="S100" s="7">
        <f>INDEX('面板-景气指数'!$37:$244,MATCH('面板-总览'!$R100,'面板-景气指数'!$A$37:$A$244,0),MATCH('面板-总览'!S$2,'面板-景气指数'!$36:$36,0))</f>
        <v>0.94199999999999995</v>
      </c>
      <c r="T100" s="7">
        <f>INDEX('面板-景气指数'!$37:$244,MATCH('面板-总览'!$R100,'面板-景气指数'!$A$37:$A$244,0),MATCH('面板-总览'!T$2,'面板-景气指数'!$36:$36,0))</f>
        <v>0.97100000000000009</v>
      </c>
      <c r="U100" s="7">
        <f>INDEX('面板-景气指数'!$37:$244,MATCH('面板-总览'!$R100,'面板-景气指数'!$A$37:$A$244,0),MATCH('面板-总览'!U$2,'面板-景气指数'!$36:$36,0))</f>
        <v>0.99</v>
      </c>
      <c r="V100" s="7">
        <f>INDEX('面板-景气指数'!$37:$244,MATCH('面板-总览'!$R100,'面板-景气指数'!$A$37:$A$244,0),MATCH('面板-总览'!V$2,'面板-景气指数'!$36:$36,0))</f>
        <v>1</v>
      </c>
      <c r="W100" s="7">
        <f>INDEX('面板-景气指数'!$37:$244,MATCH('面板-总览'!$R100,'面板-景气指数'!$A$37:$A$244,0),MATCH('面板-总览'!W$2,'面板-景气指数'!$36:$36,0))</f>
        <v>0.91300000000000003</v>
      </c>
      <c r="X100" s="7">
        <f>INDEX('面板-景气指数'!$37:$244,MATCH('面板-总览'!$R100,'面板-景气指数'!$A$37:$A$244,0),MATCH('面板-总览'!X$2,'面板-景气指数'!$36:$36,0))</f>
        <v>0.84599999999999997</v>
      </c>
      <c r="Y100" s="7">
        <f>INDEX('面板-景气指数'!$37:$244,MATCH('面板-总览'!$R100,'面板-景气指数'!$A$37:$A$244,0),MATCH('面板-总览'!Y$2,'面板-景气指数'!$36:$36,0))</f>
        <v>0.82599999999999996</v>
      </c>
      <c r="Z100" s="7">
        <f>INDEX('面板-景气指数'!$37:$244,MATCH('面板-总览'!$R100,'面板-景气指数'!$A$37:$A$244,0),MATCH('面板-总览'!Z$2,'面板-景气指数'!$36:$36,0))</f>
        <v>0.80700000000000005</v>
      </c>
      <c r="AA100" s="7">
        <f>INDEX('面板-景气指数'!$37:$244,MATCH('面板-总览'!$R100,'面板-景气指数'!$A$37:$A$244,0),MATCH('面板-总览'!AA$2,'面板-景气指数'!$36:$36,0))</f>
        <v>0.78800000000000003</v>
      </c>
      <c r="AB100" s="7">
        <f>INDEX('面板-景气指数'!$37:$244,MATCH('面板-总览'!$R100,'面板-景气指数'!$A$37:$A$244,0),MATCH('面板-总览'!AB$2,'面板-景气指数'!$36:$36,0))</f>
        <v>0.77800000000000002</v>
      </c>
      <c r="AC100" s="7">
        <f>INDEX('面板-景气指数'!$37:$244,MATCH('面板-总览'!$R100,'面板-景气指数'!$A$37:$A$244,0),MATCH('面板-总览'!AC$2,'面板-景气指数'!$36:$36,0))</f>
        <v>0.76900000000000002</v>
      </c>
      <c r="AD100" s="7">
        <f>INDEX('面板-景气指数'!$37:$244,MATCH('面板-总览'!$R100,'面板-景气指数'!$A$37:$A$244,0),MATCH('面板-总览'!AD$2,'面板-景气指数'!$36:$36,0))</f>
        <v>0.75900000000000001</v>
      </c>
      <c r="AE100" s="7">
        <f>INDEX('面板-景气指数'!$37:$244,MATCH('面板-总览'!$R100,'面板-景气指数'!$A$37:$A$244,0),MATCH('面板-总览'!AE$2,'面板-景气指数'!$36:$36,0))</f>
        <v>0.75</v>
      </c>
      <c r="AG100" s="12">
        <f t="shared" si="3"/>
        <v>-2.8000000000000025E-2</v>
      </c>
    </row>
    <row r="101" spans="18:33" ht="21" customHeight="1" x14ac:dyDescent="0.2">
      <c r="R101" s="6" t="s">
        <v>199</v>
      </c>
      <c r="S101" s="7">
        <f>INDEX('面板-景气指数'!$37:$244,MATCH('面板-总览'!$R101,'面板-景气指数'!$A$37:$A$244,0),MATCH('面板-总览'!S$2,'面板-景气指数'!$36:$36,0))</f>
        <v>0.622</v>
      </c>
      <c r="T101" s="7">
        <f>INDEX('面板-景气指数'!$37:$244,MATCH('面板-总览'!$R101,'面板-景气指数'!$A$37:$A$244,0),MATCH('面板-总览'!T$2,'面板-景气指数'!$36:$36,0))</f>
        <v>0.63675000000000004</v>
      </c>
      <c r="U101" s="7">
        <f>INDEX('面板-景气指数'!$37:$244,MATCH('面板-总览'!$R101,'面板-景气指数'!$A$37:$A$244,0),MATCH('面板-总览'!U$2,'面板-景气指数'!$36:$36,0))</f>
        <v>0.68924999999999992</v>
      </c>
      <c r="V101" s="7">
        <f>INDEX('面板-景气指数'!$37:$244,MATCH('面板-总览'!$R101,'面板-景气指数'!$A$37:$A$244,0),MATCH('面板-总览'!V$2,'面板-景气指数'!$36:$36,0))</f>
        <v>0.752</v>
      </c>
      <c r="W101" s="7">
        <f>INDEX('面板-景气指数'!$37:$244,MATCH('面板-总览'!$R101,'面板-景气指数'!$A$37:$A$244,0),MATCH('面板-总览'!W$2,'面板-景气指数'!$36:$36,0))</f>
        <v>0.76649999999999996</v>
      </c>
      <c r="X101" s="7">
        <f>INDEX('面板-景气指数'!$37:$244,MATCH('面板-总览'!$R101,'面板-景气指数'!$A$37:$A$244,0),MATCH('面板-总览'!X$2,'面板-景气指数'!$36:$36,0))</f>
        <v>0.77100000000000002</v>
      </c>
      <c r="Y101" s="7">
        <f>INDEX('面板-景气指数'!$37:$244,MATCH('面板-总览'!$R101,'面板-景气指数'!$A$37:$A$244,0),MATCH('面板-总览'!Y$2,'面板-景气指数'!$36:$36,0))</f>
        <v>0.78075000000000006</v>
      </c>
      <c r="Z101" s="7">
        <f>INDEX('面板-景气指数'!$37:$244,MATCH('面板-总览'!$R101,'面板-景气指数'!$A$37:$A$244,0),MATCH('面板-总览'!Z$2,'面板-景气指数'!$36:$36,0))</f>
        <v>0.79749999999999999</v>
      </c>
      <c r="AA101" s="7">
        <f>INDEX('面板-景气指数'!$37:$244,MATCH('面板-总览'!$R101,'面板-景气指数'!$A$37:$A$244,0),MATCH('面板-总览'!AA$2,'面板-景气指数'!$36:$36,0))</f>
        <v>0.80249999999999999</v>
      </c>
      <c r="AB101" s="7">
        <f>INDEX('面板-景气指数'!$37:$244,MATCH('面板-总览'!$R101,'面板-景气指数'!$A$37:$A$244,0),MATCH('面板-总览'!AB$2,'面板-景气指数'!$36:$36,0))</f>
        <v>0.83599999999999997</v>
      </c>
      <c r="AC101" s="7">
        <f>INDEX('面板-景气指数'!$37:$244,MATCH('面板-总览'!$R101,'面板-景气指数'!$A$37:$A$244,0),MATCH('面板-总览'!AC$2,'面板-景气指数'!$36:$36,0))</f>
        <v>0.84799999999999998</v>
      </c>
      <c r="AD101" s="7">
        <f>INDEX('面板-景气指数'!$37:$244,MATCH('面板-总览'!$R101,'面板-景气指数'!$A$37:$A$244,0),MATCH('面板-总览'!AD$2,'面板-景气指数'!$36:$36,0))</f>
        <v>0.84799999999999998</v>
      </c>
      <c r="AE101" s="7">
        <f>INDEX('面板-景气指数'!$37:$244,MATCH('面板-总览'!$R101,'面板-景气指数'!$A$37:$A$244,0),MATCH('面板-总览'!AE$2,'面板-景气指数'!$36:$36,0))</f>
        <v>0.82874999999999999</v>
      </c>
      <c r="AG101" s="12">
        <f t="shared" si="3"/>
        <v>-7.2499999999999787E-3</v>
      </c>
    </row>
  </sheetData>
  <mergeCells count="5">
    <mergeCell ref="O2:P2"/>
    <mergeCell ref="AF2:AG2"/>
    <mergeCell ref="AW2:AX2"/>
    <mergeCell ref="O37:P37"/>
    <mergeCell ref="AF52:AG52"/>
  </mergeCells>
  <phoneticPr fontId="3" type="noConversion"/>
  <conditionalFormatting sqref="P3:P31">
    <cfRule type="iconSet" priority="2">
      <iconSet iconSet="3Arrows">
        <cfvo type="percent" val="0"/>
        <cfvo type="num" val="-0.03" gte="0"/>
        <cfvo type="num" val="0.03"/>
      </iconSet>
    </cfRule>
  </conditionalFormatting>
  <conditionalFormatting sqref="S3:AE50 S53:AE101 AJ3:AV71 B3:N31">
    <cfRule type="colorScale" priority="1">
      <colorScale>
        <cfvo type="num" val="0"/>
        <cfvo type="num" val="0.5"/>
        <cfvo type="num" val="1"/>
        <color rgb="FF5A8AC6"/>
        <color rgb="FFFCFCFF"/>
        <color rgb="FFF8696B"/>
      </colorScale>
    </cfRule>
  </conditionalFormatting>
  <conditionalFormatting sqref="AG3:AG50 AG53:AG101">
    <cfRule type="iconSet" priority="3">
      <iconSet iconSet="3Arrows">
        <cfvo type="percent" val="0"/>
        <cfvo type="num" val="-0.03" gte="0"/>
        <cfvo type="num" val="0.03"/>
      </iconSet>
    </cfRule>
  </conditionalFormatting>
  <conditionalFormatting sqref="AX3:AX71">
    <cfRule type="iconSet" priority="4">
      <iconSet iconSet="3Arrows">
        <cfvo type="percent" val="0"/>
        <cfvo type="num" val="-0.03" gte="0"/>
        <cfvo type="num" val="0.03"/>
      </iconSet>
    </cfRule>
  </conditionalFormatting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D17B-5037-421E-9EF4-0CB077CE2EA8}">
  <sheetPr>
    <tabColor rgb="FFC00000"/>
  </sheetPr>
  <dimension ref="A2:G61"/>
  <sheetViews>
    <sheetView showGridLines="0" workbookViewId="0">
      <selection activeCell="P12" sqref="P12"/>
    </sheetView>
  </sheetViews>
  <sheetFormatPr defaultColWidth="8.5" defaultRowHeight="12.75" x14ac:dyDescent="0.2"/>
  <cols>
    <col min="1" max="1" width="100.5" style="25" customWidth="1"/>
    <col min="2" max="2" width="1.5" style="24" customWidth="1"/>
    <col min="3" max="3" width="8.125" style="24" customWidth="1"/>
    <col min="4" max="4" width="12.375" style="21" customWidth="1"/>
    <col min="5" max="6" width="10.5" style="30" customWidth="1"/>
    <col min="7" max="7" width="15.875" style="30" customWidth="1"/>
    <col min="8" max="16384" width="8.5" style="21"/>
  </cols>
  <sheetData>
    <row r="2" spans="1:7" s="24" customFormat="1" x14ac:dyDescent="0.2">
      <c r="A2" s="20"/>
      <c r="B2" s="21"/>
      <c r="C2" s="22" t="s">
        <v>200</v>
      </c>
      <c r="D2" s="22" t="s">
        <v>201</v>
      </c>
      <c r="E2" s="23" t="s">
        <v>202</v>
      </c>
      <c r="F2" s="23" t="s">
        <v>4</v>
      </c>
      <c r="G2" s="23" t="s">
        <v>203</v>
      </c>
    </row>
    <row r="3" spans="1:7" x14ac:dyDescent="0.2">
      <c r="B3" s="21"/>
      <c r="C3" s="26" t="s">
        <v>204</v>
      </c>
      <c r="D3" s="27" t="s">
        <v>5</v>
      </c>
      <c r="E3" s="28">
        <f>INDEX('面板-景气指数'!F:F,MATCH(景气时钟!D3,'面板-景气指数'!A:A,0))</f>
        <v>0.57969999999999999</v>
      </c>
      <c r="F3" s="29">
        <f>INDEX('面板-景气指数'!C:C,MATCH(景气时钟!D3,'面板-景气指数'!A:A,0))</f>
        <v>-3.454999999999997</v>
      </c>
      <c r="G3" s="29">
        <f t="shared" ref="G3:G61" si="0">F3</f>
        <v>-3.454999999999997</v>
      </c>
    </row>
    <row r="4" spans="1:7" x14ac:dyDescent="0.2">
      <c r="B4" s="21"/>
      <c r="C4" s="26" t="s">
        <v>8</v>
      </c>
      <c r="D4" s="27" t="s">
        <v>8</v>
      </c>
      <c r="E4" s="28">
        <f>INDEX('面板-景气指数'!F:F,MATCH(景气时钟!D4,'面板-景气指数'!A:A,0))</f>
        <v>0.52933333333333377</v>
      </c>
      <c r="F4" s="29">
        <f>INDEX('面板-景气指数'!C:C,MATCH(景气时钟!D4,'面板-景气指数'!A:A,0))</f>
        <v>-8.9833333333333538</v>
      </c>
      <c r="G4" s="29">
        <f t="shared" si="0"/>
        <v>-8.9833333333333538</v>
      </c>
    </row>
    <row r="5" spans="1:7" x14ac:dyDescent="0.2">
      <c r="B5" s="21"/>
      <c r="C5" s="26" t="s">
        <v>21</v>
      </c>
      <c r="D5" s="27" t="s">
        <v>21</v>
      </c>
      <c r="E5" s="28">
        <f>INDEX('面板-景气指数'!F:F,MATCH(景气时钟!D5,'面板-景气指数'!A:A,0))</f>
        <v>0.57066809653157446</v>
      </c>
      <c r="F5" s="29">
        <f>INDEX('面板-景气指数'!C:C,MATCH(景气时钟!D5,'面板-景气指数'!A:A,0))</f>
        <v>-19.851740230036054</v>
      </c>
      <c r="G5" s="29">
        <f t="shared" si="0"/>
        <v>-19.851740230036054</v>
      </c>
    </row>
    <row r="6" spans="1:7" x14ac:dyDescent="0.2">
      <c r="B6" s="21"/>
      <c r="C6" s="26" t="s">
        <v>24</v>
      </c>
      <c r="D6" s="27" t="s">
        <v>24</v>
      </c>
      <c r="E6" s="28">
        <f>INDEX('面板-景气指数'!F:F,MATCH(景气时钟!D6,'面板-景气指数'!A:A,0))</f>
        <v>0.9325</v>
      </c>
      <c r="F6" s="29">
        <f>INDEX('面板-景气指数'!C:C,MATCH(景气时钟!D6,'面板-景气指数'!A:A,0))</f>
        <v>11.099999999999998</v>
      </c>
      <c r="G6" s="29">
        <f t="shared" si="0"/>
        <v>11.099999999999998</v>
      </c>
    </row>
    <row r="7" spans="1:7" x14ac:dyDescent="0.2">
      <c r="B7" s="21"/>
      <c r="C7" s="26" t="s">
        <v>27</v>
      </c>
      <c r="D7" s="27" t="s">
        <v>27</v>
      </c>
      <c r="E7" s="28">
        <f>INDEX('面板-景气指数'!F:F,MATCH(景气时钟!D7,'面板-景气指数'!A:A,0))</f>
        <v>0.50700000000000001</v>
      </c>
      <c r="F7" s="29">
        <f>INDEX('面板-景气指数'!C:C,MATCH(景气时钟!D7,'面板-景气指数'!A:A,0))</f>
        <v>-9.0999999999999979</v>
      </c>
      <c r="G7" s="29">
        <f t="shared" si="0"/>
        <v>-9.0999999999999979</v>
      </c>
    </row>
    <row r="8" spans="1:7" x14ac:dyDescent="0.2">
      <c r="B8" s="21"/>
      <c r="C8" s="26" t="s">
        <v>30</v>
      </c>
      <c r="D8" s="27" t="s">
        <v>30</v>
      </c>
      <c r="E8" s="28">
        <f>INDEX('面板-景气指数'!F:F,MATCH(景气时钟!D8,'面板-景气指数'!A:A,0))</f>
        <v>0.24266666666666667</v>
      </c>
      <c r="F8" s="29">
        <f>INDEX('面板-景气指数'!C:C,MATCH(景气时钟!D8,'面板-景气指数'!A:A,0))</f>
        <v>0.50000000000000322</v>
      </c>
      <c r="G8" s="29">
        <f t="shared" si="0"/>
        <v>0.50000000000000322</v>
      </c>
    </row>
    <row r="9" spans="1:7" x14ac:dyDescent="0.2">
      <c r="B9" s="21"/>
      <c r="C9" s="26" t="s">
        <v>205</v>
      </c>
      <c r="D9" s="27" t="s">
        <v>14</v>
      </c>
      <c r="E9" s="28">
        <f>INDEX('面板-景气指数'!F:F,MATCH(景气时钟!D9,'面板-景气指数'!A:A,0))</f>
        <v>0.27327123568178846</v>
      </c>
      <c r="F9" s="29">
        <f>INDEX('面板-景气指数'!C:C,MATCH(景气时钟!D9,'面板-景气指数'!A:A,0))</f>
        <v>-11.694210732128335</v>
      </c>
      <c r="G9" s="29">
        <f t="shared" si="0"/>
        <v>-11.694210732128335</v>
      </c>
    </row>
    <row r="10" spans="1:7" x14ac:dyDescent="0.2">
      <c r="B10" s="21"/>
      <c r="C10" s="26" t="s">
        <v>17</v>
      </c>
      <c r="D10" s="27" t="s">
        <v>17</v>
      </c>
      <c r="E10" s="28">
        <f>INDEX('面板-景气指数'!F:F,MATCH(景气时钟!D10,'面板-景气指数'!A:A,0))</f>
        <v>0.16136377081782605</v>
      </c>
      <c r="F10" s="29">
        <f>INDEX('面板-景气指数'!C:C,MATCH(景气时钟!D10,'面板-景气指数'!A:A,0))</f>
        <v>-13.929227112858067</v>
      </c>
      <c r="G10" s="29">
        <f t="shared" si="0"/>
        <v>-13.929227112858067</v>
      </c>
    </row>
    <row r="11" spans="1:7" x14ac:dyDescent="0.2">
      <c r="B11" s="21"/>
      <c r="C11" s="26" t="s">
        <v>206</v>
      </c>
      <c r="D11" s="27" t="s">
        <v>32</v>
      </c>
      <c r="E11" s="28">
        <f>INDEX('面板-景气指数'!F:F,MATCH(景气时钟!D11,'面板-景气指数'!A:A,0))</f>
        <v>0.26707845633322025</v>
      </c>
      <c r="F11" s="29">
        <f>INDEX('面板-景气指数'!C:C,MATCH(景气时钟!D11,'面板-景气指数'!A:A,0))</f>
        <v>0.3196148845337865</v>
      </c>
      <c r="G11" s="29">
        <f t="shared" si="0"/>
        <v>0.3196148845337865</v>
      </c>
    </row>
    <row r="12" spans="1:7" x14ac:dyDescent="0.2">
      <c r="B12" s="21"/>
      <c r="C12" s="26" t="s">
        <v>207</v>
      </c>
      <c r="D12" s="27" t="s">
        <v>41</v>
      </c>
      <c r="E12" s="28">
        <f>INDEX('面板-景气指数'!F:F,MATCH(景气时钟!D12,'面板-景气指数'!A:A,0))</f>
        <v>0.34787850864032277</v>
      </c>
      <c r="F12" s="29">
        <f>INDEX('面板-景气指数'!C:C,MATCH(景气时钟!D12,'面板-景气指数'!A:A,0))</f>
        <v>-8.4468473755374252</v>
      </c>
      <c r="G12" s="29">
        <f t="shared" si="0"/>
        <v>-8.4468473755374252</v>
      </c>
    </row>
    <row r="13" spans="1:7" x14ac:dyDescent="0.2">
      <c r="B13" s="21"/>
      <c r="C13" s="26" t="s">
        <v>44</v>
      </c>
      <c r="D13" s="27" t="s">
        <v>44</v>
      </c>
      <c r="E13" s="28">
        <f>INDEX('面板-景气指数'!F:F,MATCH(景气时钟!D13,'面板-景气指数'!A:A,0))</f>
        <v>0.31699999999999995</v>
      </c>
      <c r="F13" s="29">
        <f>INDEX('面板-景气指数'!C:C,MATCH(景气时钟!D13,'面板-景气指数'!A:A,0))</f>
        <v>-5.2900000000000063</v>
      </c>
      <c r="G13" s="29">
        <f t="shared" si="0"/>
        <v>-5.2900000000000063</v>
      </c>
    </row>
    <row r="14" spans="1:7" x14ac:dyDescent="0.2">
      <c r="B14" s="21"/>
      <c r="C14" s="26" t="s">
        <v>208</v>
      </c>
      <c r="D14" s="27" t="s">
        <v>47</v>
      </c>
      <c r="E14" s="28">
        <f>INDEX('面板-景气指数'!F:F,MATCH(景气时钟!D14,'面板-景气指数'!A:A,0))</f>
        <v>0.60690291584724421</v>
      </c>
      <c r="F14" s="29">
        <f>INDEX('面板-景气指数'!C:C,MATCH(景气时钟!D14,'面板-景气指数'!A:A,0))</f>
        <v>-6.7492967406480142</v>
      </c>
      <c r="G14" s="29">
        <f t="shared" si="0"/>
        <v>-6.7492967406480142</v>
      </c>
    </row>
    <row r="15" spans="1:7" x14ac:dyDescent="0.2">
      <c r="B15" s="21"/>
      <c r="C15" s="26" t="s">
        <v>209</v>
      </c>
      <c r="D15" s="27" t="s">
        <v>53</v>
      </c>
      <c r="E15" s="28">
        <f>INDEX('面板-景气指数'!F:F,MATCH(景气时钟!D15,'面板-景气指数'!A:A,0))</f>
        <v>0.3014723454025916</v>
      </c>
      <c r="F15" s="29">
        <f>INDEX('面板-景气指数'!C:C,MATCH(景气时钟!D15,'面板-景气指数'!A:A,0))</f>
        <v>-6.2987259114943956</v>
      </c>
      <c r="G15" s="29">
        <f t="shared" si="0"/>
        <v>-6.2987259114943956</v>
      </c>
    </row>
    <row r="16" spans="1:7" x14ac:dyDescent="0.2">
      <c r="B16" s="21"/>
      <c r="C16" s="26" t="s">
        <v>210</v>
      </c>
      <c r="D16" s="27" t="s">
        <v>56</v>
      </c>
      <c r="E16" s="28">
        <f>INDEX('面板-景气指数'!F:F,MATCH(景气时钟!D16,'面板-景气指数'!A:A,0))</f>
        <v>0.60000833967451339</v>
      </c>
      <c r="F16" s="29">
        <f>INDEX('面板-景气指数'!C:C,MATCH(景气时钟!D16,'面板-景气指数'!A:A,0))</f>
        <v>-0.17329626811327659</v>
      </c>
      <c r="G16" s="29">
        <f t="shared" si="0"/>
        <v>-0.17329626811327659</v>
      </c>
    </row>
    <row r="17" spans="2:7" x14ac:dyDescent="0.2">
      <c r="B17" s="21"/>
      <c r="C17" s="26" t="s">
        <v>211</v>
      </c>
      <c r="D17" s="27" t="s">
        <v>59</v>
      </c>
      <c r="E17" s="28">
        <f>INDEX('面板-景气指数'!F:F,MATCH(景气时钟!D17,'面板-景气指数'!A:A,0))</f>
        <v>0.12618481125109635</v>
      </c>
      <c r="F17" s="29">
        <f>INDEX('面板-景气指数'!C:C,MATCH(景气时钟!D17,'面板-景气指数'!A:A,0))</f>
        <v>-5.0032781801294366</v>
      </c>
      <c r="G17" s="29">
        <f t="shared" si="0"/>
        <v>-5.0032781801294366</v>
      </c>
    </row>
    <row r="18" spans="2:7" x14ac:dyDescent="0.2">
      <c r="B18" s="21"/>
      <c r="C18" s="26" t="s">
        <v>65</v>
      </c>
      <c r="D18" s="27" t="s">
        <v>65</v>
      </c>
      <c r="E18" s="28">
        <f>INDEX('面板-景气指数'!F:F,MATCH(景气时钟!D18,'面板-景气指数'!A:A,0))</f>
        <v>0.34670442251789213</v>
      </c>
      <c r="F18" s="29">
        <f>INDEX('面板-景气指数'!C:C,MATCH(景气时钟!D18,'面板-景气指数'!A:A,0))</f>
        <v>-6.0551197093980322</v>
      </c>
      <c r="G18" s="29">
        <f t="shared" si="0"/>
        <v>-6.0551197093980322</v>
      </c>
    </row>
    <row r="19" spans="2:7" x14ac:dyDescent="0.2">
      <c r="B19" s="21"/>
      <c r="C19" s="26" t="s">
        <v>212</v>
      </c>
      <c r="D19" s="27" t="s">
        <v>72</v>
      </c>
      <c r="E19" s="28">
        <f>INDEX('面板-景气指数'!F:F,MATCH(景气时钟!D19,'面板-景气指数'!A:A,0))</f>
        <v>0.218801032161549</v>
      </c>
      <c r="F19" s="29">
        <f>INDEX('面板-景气指数'!C:C,MATCH(景气时钟!D19,'面板-景气指数'!A:A,0))</f>
        <v>-11.854877386805839</v>
      </c>
      <c r="G19" s="29">
        <f t="shared" si="0"/>
        <v>-11.854877386805839</v>
      </c>
    </row>
    <row r="20" spans="2:7" x14ac:dyDescent="0.2">
      <c r="B20" s="21"/>
      <c r="C20" s="26" t="s">
        <v>66</v>
      </c>
      <c r="D20" s="27" t="s">
        <v>66</v>
      </c>
      <c r="E20" s="28">
        <f>INDEX('面板-景气指数'!F:F,MATCH(景气时钟!D20,'面板-景气指数'!A:A,0))</f>
        <v>0.47900000000000009</v>
      </c>
      <c r="F20" s="29">
        <f>INDEX('面板-景气指数'!C:C,MATCH(景气时钟!D20,'面板-景气指数'!A:A,0))</f>
        <v>1.4000000000000123</v>
      </c>
      <c r="G20" s="29">
        <f t="shared" si="0"/>
        <v>1.4000000000000123</v>
      </c>
    </row>
    <row r="21" spans="2:7" x14ac:dyDescent="0.2">
      <c r="B21" s="21"/>
      <c r="C21" s="26" t="s">
        <v>213</v>
      </c>
      <c r="D21" s="27" t="s">
        <v>69</v>
      </c>
      <c r="E21" s="28">
        <f>INDEX('面板-景气指数'!F:F,MATCH(景气时钟!D21,'面板-景气指数'!A:A,0))</f>
        <v>0.45650000000000002</v>
      </c>
      <c r="F21" s="29">
        <f>INDEX('面板-景气指数'!C:C,MATCH(景气时钟!D21,'面板-景气指数'!A:A,0))</f>
        <v>-5.75</v>
      </c>
      <c r="G21" s="29">
        <f t="shared" si="0"/>
        <v>-5.75</v>
      </c>
    </row>
    <row r="22" spans="2:7" x14ac:dyDescent="0.2">
      <c r="B22" s="21"/>
      <c r="C22" s="26" t="s">
        <v>214</v>
      </c>
      <c r="D22" s="27" t="s">
        <v>120</v>
      </c>
      <c r="E22" s="28">
        <f>INDEX('面板-景气指数'!F:F,MATCH(景气时钟!D22,'面板-景气指数'!A:A,0))</f>
        <v>6.7000000000000004E-2</v>
      </c>
      <c r="F22" s="29">
        <f>INDEX('面板-景气指数'!C:C,MATCH(景气时钟!D22,'面板-景气指数'!A:A,0))</f>
        <v>-1.899999999999999</v>
      </c>
      <c r="G22" s="29">
        <f t="shared" si="0"/>
        <v>-1.899999999999999</v>
      </c>
    </row>
    <row r="23" spans="2:7" x14ac:dyDescent="0.2">
      <c r="B23" s="21"/>
      <c r="C23" s="26" t="s">
        <v>77</v>
      </c>
      <c r="D23" s="27" t="s">
        <v>77</v>
      </c>
      <c r="E23" s="28">
        <f>INDEX('面板-景气指数'!F:F,MATCH(景气时钟!D23,'面板-景气指数'!A:A,0))</f>
        <v>0.47096018869272938</v>
      </c>
      <c r="F23" s="29">
        <f>INDEX('面板-景气指数'!C:C,MATCH(景气时钟!D23,'面板-景气指数'!A:A,0))</f>
        <v>0</v>
      </c>
      <c r="G23" s="29">
        <f t="shared" si="0"/>
        <v>0</v>
      </c>
    </row>
    <row r="24" spans="2:7" x14ac:dyDescent="0.2">
      <c r="B24" s="21"/>
      <c r="C24" s="26" t="s">
        <v>215</v>
      </c>
      <c r="D24" s="27" t="s">
        <v>83</v>
      </c>
      <c r="E24" s="28">
        <f>INDEX('面板-景气指数'!F:F,MATCH(景气时钟!D24,'面板-景气指数'!A:A,0))</f>
        <v>0.32588924716626255</v>
      </c>
      <c r="F24" s="29">
        <f>INDEX('面板-景气指数'!C:C,MATCH(景气时钟!D24,'面板-景气指数'!A:A,0))</f>
        <v>17.670502691680262</v>
      </c>
      <c r="G24" s="29">
        <f t="shared" si="0"/>
        <v>17.670502691680262</v>
      </c>
    </row>
    <row r="25" spans="2:7" x14ac:dyDescent="0.2">
      <c r="B25" s="21"/>
      <c r="C25" s="26" t="s">
        <v>86</v>
      </c>
      <c r="D25" s="27" t="s">
        <v>86</v>
      </c>
      <c r="E25" s="28">
        <f>INDEX('面板-景气指数'!F:F,MATCH(景气时钟!D25,'面板-景气指数'!A:A,0))</f>
        <v>0.56116694042633319</v>
      </c>
      <c r="F25" s="29">
        <f>INDEX('面板-景气指数'!C:C,MATCH(景气时钟!D25,'面板-景气指数'!A:A,0))</f>
        <v>-0.39632181096658226</v>
      </c>
      <c r="G25" s="29">
        <f t="shared" si="0"/>
        <v>-0.39632181096658226</v>
      </c>
    </row>
    <row r="26" spans="2:7" x14ac:dyDescent="0.2">
      <c r="B26" s="21"/>
      <c r="C26" s="26" t="s">
        <v>216</v>
      </c>
      <c r="D26" s="27" t="s">
        <v>216</v>
      </c>
      <c r="E26" s="28">
        <f>INDEX('面板-景气指数'!F:F,MATCH(景气时钟!D26,'面板-景气指数'!A:A,0))</f>
        <v>0.14899999999999999</v>
      </c>
      <c r="F26" s="29">
        <f>INDEX('面板-景气指数'!C:C,MATCH(景气时钟!D26,'面板-景气指数'!A:A,0))</f>
        <v>-8.6499999999999986</v>
      </c>
      <c r="G26" s="29">
        <f t="shared" si="0"/>
        <v>-8.6499999999999986</v>
      </c>
    </row>
    <row r="27" spans="2:7" x14ac:dyDescent="0.2">
      <c r="B27" s="21"/>
      <c r="C27" s="26" t="s">
        <v>217</v>
      </c>
      <c r="D27" s="27" t="s">
        <v>217</v>
      </c>
      <c r="E27" s="28">
        <f>INDEX('面板-景气指数'!F:F,MATCH(景气时钟!D27,'面板-景气指数'!A:A,0))</f>
        <v>0.155725</v>
      </c>
      <c r="F27" s="29">
        <f>INDEX('面板-景气指数'!C:C,MATCH(景气时钟!D27,'面板-景气指数'!A:A,0))</f>
        <v>-3.4025000000000025</v>
      </c>
      <c r="G27" s="29">
        <f t="shared" si="0"/>
        <v>-3.4025000000000025</v>
      </c>
    </row>
    <row r="28" spans="2:7" x14ac:dyDescent="0.2">
      <c r="B28" s="21"/>
      <c r="C28" s="26" t="s">
        <v>191</v>
      </c>
      <c r="D28" s="27" t="s">
        <v>191</v>
      </c>
      <c r="E28" s="28">
        <f>INDEX('面板-景气指数'!F:F,MATCH(景气时钟!D28,'面板-景气指数'!A:A,0))</f>
        <v>0.66050000000000009</v>
      </c>
      <c r="F28" s="29">
        <f>INDEX('面板-景气指数'!C:C,MATCH(景气时钟!D28,'面板-景气指数'!A:A,0))</f>
        <v>17.52500000000002</v>
      </c>
      <c r="G28" s="29">
        <f t="shared" si="0"/>
        <v>17.52500000000002</v>
      </c>
    </row>
    <row r="29" spans="2:7" x14ac:dyDescent="0.2">
      <c r="B29" s="21"/>
      <c r="C29" s="26" t="s">
        <v>218</v>
      </c>
      <c r="D29" s="27" t="s">
        <v>128</v>
      </c>
      <c r="E29" s="28">
        <f>INDEX('面板-景气指数'!F:F,MATCH(景气时钟!D29,'面板-景气指数'!A:A,0))</f>
        <v>0.54224366118000222</v>
      </c>
      <c r="F29" s="29">
        <f>INDEX('面板-景气指数'!C:C,MATCH(景气时钟!D29,'面板-景气指数'!A:A,0))</f>
        <v>-0.93337400029070983</v>
      </c>
      <c r="G29" s="29">
        <f t="shared" si="0"/>
        <v>-0.93337400029070983</v>
      </c>
    </row>
    <row r="30" spans="2:7" x14ac:dyDescent="0.2">
      <c r="B30" s="21"/>
      <c r="C30" s="26" t="s">
        <v>118</v>
      </c>
      <c r="D30" s="27" t="s">
        <v>118</v>
      </c>
      <c r="E30" s="28">
        <f>INDEX('面板-景气指数'!F:F,MATCH(景气时钟!D30,'面板-景气指数'!A:A,0))</f>
        <v>0.5414374999999999</v>
      </c>
      <c r="F30" s="29">
        <f>INDEX('面板-景气指数'!C:C,MATCH(景气时钟!D30,'面板-景气指数'!A:A,0))</f>
        <v>8.6249999999999929</v>
      </c>
      <c r="G30" s="29">
        <f t="shared" si="0"/>
        <v>8.6249999999999929</v>
      </c>
    </row>
    <row r="31" spans="2:7" x14ac:dyDescent="0.2">
      <c r="B31" s="21"/>
      <c r="C31" s="26" t="s">
        <v>75</v>
      </c>
      <c r="D31" s="27" t="s">
        <v>75</v>
      </c>
      <c r="E31" s="28">
        <f>INDEX('面板-景气指数'!F:F,MATCH(景气时钟!D31,'面板-景气指数'!A:A,0))</f>
        <v>0.85818020729814104</v>
      </c>
      <c r="F31" s="29">
        <f>INDEX('面板-景气指数'!C:C,MATCH(景气时钟!D31,'面板-景气指数'!A:A,0))</f>
        <v>11.289907221710028</v>
      </c>
      <c r="G31" s="29">
        <f t="shared" si="0"/>
        <v>11.289907221710028</v>
      </c>
    </row>
    <row r="32" spans="2:7" x14ac:dyDescent="0.2">
      <c r="B32" s="21"/>
      <c r="C32" s="26" t="s">
        <v>78</v>
      </c>
      <c r="D32" s="27" t="s">
        <v>78</v>
      </c>
      <c r="E32" s="28">
        <f>INDEX('面板-景气指数'!F:F,MATCH(景气时钟!D32,'面板-景气指数'!A:A,0))</f>
        <v>0.42512500000000003</v>
      </c>
      <c r="F32" s="29">
        <f>INDEX('面板-景气指数'!C:C,MATCH(景气时钟!D32,'面板-景气指数'!A:A,0))</f>
        <v>4.7499999999999929</v>
      </c>
      <c r="G32" s="29">
        <f t="shared" si="0"/>
        <v>4.7499999999999929</v>
      </c>
    </row>
    <row r="33" spans="2:7" x14ac:dyDescent="0.2">
      <c r="B33" s="21"/>
      <c r="C33" s="26" t="s">
        <v>219</v>
      </c>
      <c r="D33" s="27" t="s">
        <v>81</v>
      </c>
      <c r="E33" s="28">
        <f>INDEX('面板-景气指数'!F:F,MATCH(景气时钟!D33,'面板-景气指数'!A:A,0))</f>
        <v>0.41166666666666679</v>
      </c>
      <c r="F33" s="29">
        <f>INDEX('面板-景气指数'!C:C,MATCH(景气时钟!D33,'面板-景气指数'!A:A,0))</f>
        <v>0.38333333333334108</v>
      </c>
      <c r="G33" s="29">
        <f t="shared" si="0"/>
        <v>0.38333333333334108</v>
      </c>
    </row>
    <row r="34" spans="2:7" x14ac:dyDescent="0.2">
      <c r="B34" s="21"/>
      <c r="C34" s="26" t="s">
        <v>108</v>
      </c>
      <c r="D34" s="27" t="s">
        <v>108</v>
      </c>
      <c r="E34" s="28">
        <f>INDEX('面板-景气指数'!F:F,MATCH(景气时钟!D34,'面板-景气指数'!A:A,0))</f>
        <v>4.2750000000000024E-2</v>
      </c>
      <c r="F34" s="29">
        <f>INDEX('面板-景气指数'!C:C,MATCH(景气时钟!D34,'面板-景气指数'!A:A,0))</f>
        <v>2.1500000000000026</v>
      </c>
      <c r="G34" s="29">
        <f t="shared" si="0"/>
        <v>2.1500000000000026</v>
      </c>
    </row>
    <row r="35" spans="2:7" x14ac:dyDescent="0.2">
      <c r="B35" s="21"/>
      <c r="C35" s="26" t="s">
        <v>110</v>
      </c>
      <c r="D35" s="27" t="s">
        <v>110</v>
      </c>
      <c r="E35" s="28">
        <f>INDEX('面板-景气指数'!F:F,MATCH(景气时钟!D35,'面板-景气指数'!A:A,0))</f>
        <v>0.38728571428571451</v>
      </c>
      <c r="F35" s="29">
        <f>INDEX('面板-景气指数'!C:C,MATCH(景气时钟!D35,'面板-景气指数'!A:A,0))</f>
        <v>-0.99285714285713977</v>
      </c>
      <c r="G35" s="29">
        <f t="shared" si="0"/>
        <v>-0.99285714285713977</v>
      </c>
    </row>
    <row r="36" spans="2:7" x14ac:dyDescent="0.2">
      <c r="B36" s="21"/>
      <c r="C36" s="26" t="s">
        <v>94</v>
      </c>
      <c r="D36" s="27" t="s">
        <v>94</v>
      </c>
      <c r="E36" s="28">
        <f>INDEX('面板-景气指数'!F:F,MATCH(景气时钟!D36,'面板-景气指数'!A:A,0))</f>
        <v>0.67749999999999999</v>
      </c>
      <c r="F36" s="29">
        <f>INDEX('面板-景气指数'!C:C,MATCH(景气时钟!D36,'面板-景气指数'!A:A,0))</f>
        <v>-8.6500000000000021</v>
      </c>
      <c r="G36" s="29">
        <f t="shared" si="0"/>
        <v>-8.6500000000000021</v>
      </c>
    </row>
    <row r="37" spans="2:7" x14ac:dyDescent="0.2">
      <c r="B37" s="21"/>
      <c r="C37" s="26" t="s">
        <v>96</v>
      </c>
      <c r="D37" s="27" t="s">
        <v>96</v>
      </c>
      <c r="E37" s="28">
        <f>INDEX('面板-景气指数'!F:F,MATCH(景气时钟!D37,'面板-景气指数'!A:A,0))</f>
        <v>0.2545</v>
      </c>
      <c r="F37" s="29">
        <f>INDEX('面板-景气指数'!C:C,MATCH(景气时钟!D37,'面板-景气指数'!A:A,0))</f>
        <v>13</v>
      </c>
      <c r="G37" s="29">
        <f t="shared" si="0"/>
        <v>13</v>
      </c>
    </row>
    <row r="38" spans="2:7" x14ac:dyDescent="0.2">
      <c r="B38" s="21"/>
      <c r="C38" s="26" t="s">
        <v>98</v>
      </c>
      <c r="D38" s="27" t="s">
        <v>98</v>
      </c>
      <c r="E38" s="28">
        <f>INDEX('面板-景气指数'!F:F,MATCH(景气时钟!D38,'面板-景气指数'!A:A,0))</f>
        <v>0.58599999999999997</v>
      </c>
      <c r="F38" s="29">
        <f>INDEX('面板-景气指数'!C:C,MATCH(景气时钟!D38,'面板-景气指数'!A:A,0))</f>
        <v>-6.7000000000000064</v>
      </c>
      <c r="G38" s="29">
        <f t="shared" si="0"/>
        <v>-6.7000000000000064</v>
      </c>
    </row>
    <row r="39" spans="2:7" x14ac:dyDescent="0.2">
      <c r="B39" s="21"/>
      <c r="C39" s="26" t="s">
        <v>196</v>
      </c>
      <c r="D39" s="27" t="s">
        <v>196</v>
      </c>
      <c r="E39" s="28">
        <f>INDEX('面板-景气指数'!F:F,MATCH(景气时钟!D39,'面板-景气指数'!A:A,0))</f>
        <v>0.20775000000000002</v>
      </c>
      <c r="F39" s="29">
        <f>INDEX('面板-景气指数'!C:C,MATCH(景气时钟!D39,'面板-景气指数'!A:A,0))</f>
        <v>0.62500000000000056</v>
      </c>
      <c r="G39" s="29">
        <f t="shared" si="0"/>
        <v>0.62500000000000056</v>
      </c>
    </row>
    <row r="40" spans="2:7" x14ac:dyDescent="0.2">
      <c r="B40" s="21"/>
      <c r="C40" s="26" t="s">
        <v>197</v>
      </c>
      <c r="D40" s="27" t="s">
        <v>197</v>
      </c>
      <c r="E40" s="28">
        <f>INDEX('面板-景气指数'!F:F,MATCH(景气时钟!D40,'面板-景气指数'!A:A,0))</f>
        <v>0.5402499999999999</v>
      </c>
      <c r="F40" s="29">
        <f>INDEX('面板-景气指数'!C:C,MATCH(景气时钟!D40,'面板-景气指数'!A:A,0))</f>
        <v>-1.2250000000000094</v>
      </c>
      <c r="G40" s="29">
        <f t="shared" si="0"/>
        <v>-1.2250000000000094</v>
      </c>
    </row>
    <row r="41" spans="2:7" x14ac:dyDescent="0.2">
      <c r="B41" s="21"/>
      <c r="C41" s="26" t="s">
        <v>198</v>
      </c>
      <c r="D41" s="27" t="s">
        <v>198</v>
      </c>
      <c r="E41" s="28">
        <f>INDEX('面板-景气指数'!F:F,MATCH(景气时钟!D41,'面板-景气指数'!A:A,0))</f>
        <v>0.75</v>
      </c>
      <c r="F41" s="29">
        <f>INDEX('面板-景气指数'!C:C,MATCH(景气时钟!D41,'面板-景气指数'!A:A,0))</f>
        <v>-2.8000000000000025</v>
      </c>
      <c r="G41" s="29">
        <f t="shared" si="0"/>
        <v>-2.8000000000000025</v>
      </c>
    </row>
    <row r="42" spans="2:7" x14ac:dyDescent="0.2">
      <c r="B42" s="21"/>
      <c r="C42" s="26" t="s">
        <v>199</v>
      </c>
      <c r="D42" s="27" t="s">
        <v>199</v>
      </c>
      <c r="E42" s="28">
        <f>INDEX('面板-景气指数'!F:F,MATCH(景气时钟!D42,'面板-景气指数'!A:A,0))</f>
        <v>0.82874999999999999</v>
      </c>
      <c r="F42" s="29">
        <f>INDEX('面板-景气指数'!C:C,MATCH(景气时钟!D42,'面板-景气指数'!A:A,0))</f>
        <v>-0.72499999999999787</v>
      </c>
      <c r="G42" s="29">
        <f t="shared" si="0"/>
        <v>-0.72499999999999787</v>
      </c>
    </row>
    <row r="43" spans="2:7" x14ac:dyDescent="0.2">
      <c r="B43" s="21"/>
      <c r="C43" s="26" t="s">
        <v>100</v>
      </c>
      <c r="D43" s="27" t="s">
        <v>100</v>
      </c>
      <c r="E43" s="28">
        <f>INDEX('面板-景气指数'!F:F,MATCH(景气时钟!D43,'面板-景气指数'!A:A,0))</f>
        <v>0.5774999999999999</v>
      </c>
      <c r="F43" s="29">
        <f>INDEX('面板-景气指数'!C:C,MATCH(景气时钟!D43,'面板-景气指数'!A:A,0))</f>
        <v>-3.3571428571428585</v>
      </c>
      <c r="G43" s="29">
        <f t="shared" si="0"/>
        <v>-3.3571428571428585</v>
      </c>
    </row>
    <row r="44" spans="2:7" x14ac:dyDescent="0.2">
      <c r="B44" s="21"/>
      <c r="C44" s="26" t="s">
        <v>102</v>
      </c>
      <c r="D44" s="27" t="s">
        <v>102</v>
      </c>
      <c r="E44" s="28">
        <f>INDEX('面板-景气指数'!F:F,MATCH(景气时钟!D44,'面板-景气指数'!A:A,0))</f>
        <v>0.64849999999999997</v>
      </c>
      <c r="F44" s="29">
        <f>INDEX('面板-景气指数'!C:C,MATCH(景气时钟!D44,'面板-景气指数'!A:A,0))</f>
        <v>5.7499999999999885</v>
      </c>
      <c r="G44" s="29">
        <f t="shared" si="0"/>
        <v>5.7499999999999885</v>
      </c>
    </row>
    <row r="45" spans="2:7" x14ac:dyDescent="0.2">
      <c r="B45" s="21"/>
      <c r="C45" s="26" t="s">
        <v>220</v>
      </c>
      <c r="D45" s="27" t="s">
        <v>104</v>
      </c>
      <c r="E45" s="28">
        <f>INDEX('面板-景气指数'!F:F,MATCH(景气时钟!D45,'面板-景气指数'!A:A,0))</f>
        <v>0.54069999999999974</v>
      </c>
      <c r="F45" s="29">
        <f>INDEX('面板-景气指数'!C:C,MATCH(景气时钟!D45,'面板-景气指数'!A:A,0))</f>
        <v>-7.5400000000000134</v>
      </c>
      <c r="G45" s="29">
        <f t="shared" si="0"/>
        <v>-7.5400000000000134</v>
      </c>
    </row>
    <row r="46" spans="2:7" x14ac:dyDescent="0.2">
      <c r="B46" s="21"/>
      <c r="C46" s="26" t="s">
        <v>221</v>
      </c>
      <c r="D46" s="27" t="s">
        <v>106</v>
      </c>
      <c r="E46" s="28">
        <f>INDEX('面板-景气指数'!F:F,MATCH(景气时钟!D46,'面板-景气指数'!A:A,0))</f>
        <v>0.78509090909090917</v>
      </c>
      <c r="F46" s="29">
        <f>INDEX('面板-景气指数'!C:C,MATCH(景气时钟!D46,'面板-景气指数'!A:A,0))</f>
        <v>6.4272727272727153</v>
      </c>
      <c r="G46" s="29">
        <f t="shared" si="0"/>
        <v>6.4272727272727153</v>
      </c>
    </row>
    <row r="47" spans="2:7" x14ac:dyDescent="0.2">
      <c r="B47" s="21"/>
      <c r="C47" s="26" t="s">
        <v>222</v>
      </c>
      <c r="D47" s="27" t="s">
        <v>84</v>
      </c>
      <c r="E47" s="28">
        <f>INDEX('面板-景气指数'!F:F,MATCH(景气时钟!D47,'面板-景气指数'!A:A,0))</f>
        <v>0.21893333333333337</v>
      </c>
      <c r="F47" s="29">
        <f>INDEX('面板-景气指数'!C:C,MATCH(景气时钟!D47,'面板-景气指数'!A:A,0))</f>
        <v>-5.5400000000000009</v>
      </c>
      <c r="G47" s="29">
        <f t="shared" si="0"/>
        <v>-5.5400000000000009</v>
      </c>
    </row>
    <row r="48" spans="2:7" x14ac:dyDescent="0.2">
      <c r="B48" s="21"/>
      <c r="C48" s="26" t="s">
        <v>223</v>
      </c>
      <c r="D48" s="27" t="s">
        <v>87</v>
      </c>
      <c r="E48" s="28">
        <f>INDEX('面板-景气指数'!F:F,MATCH(景气时钟!D48,'面板-景气指数'!A:A,0))</f>
        <v>0.54299999999999993</v>
      </c>
      <c r="F48" s="29">
        <f>INDEX('面板-景气指数'!C:C,MATCH(景气时钟!D48,'面板-景气指数'!A:A,0))</f>
        <v>9.8749999999999893</v>
      </c>
      <c r="G48" s="29">
        <f t="shared" si="0"/>
        <v>9.8749999999999893</v>
      </c>
    </row>
    <row r="49" spans="2:7" x14ac:dyDescent="0.2">
      <c r="B49" s="21"/>
      <c r="C49" s="26" t="s">
        <v>90</v>
      </c>
      <c r="D49" s="27" t="s">
        <v>90</v>
      </c>
      <c r="E49" s="28">
        <f>INDEX('面板-景气指数'!F:F,MATCH(景气时钟!D49,'面板-景气指数'!A:A,0))</f>
        <v>0.30541666666666661</v>
      </c>
      <c r="F49" s="29">
        <f>INDEX('面板-景气指数'!C:C,MATCH(景气时钟!D49,'面板-景气指数'!A:A,0))</f>
        <v>3.9333333333333274</v>
      </c>
      <c r="G49" s="29">
        <f t="shared" si="0"/>
        <v>3.9333333333333274</v>
      </c>
    </row>
    <row r="50" spans="2:7" x14ac:dyDescent="0.2">
      <c r="C50" s="26" t="s">
        <v>176</v>
      </c>
      <c r="D50" s="27" t="s">
        <v>176</v>
      </c>
      <c r="E50" s="28">
        <f>INDEX('面板-景气指数'!F:F,MATCH(景气时钟!D50,'面板-景气指数'!A:A,0))</f>
        <v>4.2522727272727281E-2</v>
      </c>
      <c r="F50" s="29">
        <f>INDEX('面板-景气指数'!C:C,MATCH(景气时钟!D50,'面板-景气指数'!A:A,0))</f>
        <v>-10.820454545454549</v>
      </c>
      <c r="G50" s="29">
        <f t="shared" si="0"/>
        <v>-10.820454545454549</v>
      </c>
    </row>
    <row r="51" spans="2:7" x14ac:dyDescent="0.2">
      <c r="C51" s="26" t="s">
        <v>224</v>
      </c>
      <c r="D51" s="27" t="s">
        <v>177</v>
      </c>
      <c r="E51" s="28">
        <f>INDEX('面板-景气指数'!F:F,MATCH(景气时钟!D51,'面板-景气指数'!A:A,0))</f>
        <v>0.23875796178343942</v>
      </c>
      <c r="F51" s="29">
        <f>INDEX('面板-景气指数'!C:C,MATCH(景气时钟!D51,'面板-景气指数'!A:A,0))</f>
        <v>-7.8885350318471357</v>
      </c>
      <c r="G51" s="29">
        <f t="shared" si="0"/>
        <v>-7.8885350318471357</v>
      </c>
    </row>
    <row r="52" spans="2:7" x14ac:dyDescent="0.2">
      <c r="C52" s="26" t="s">
        <v>225</v>
      </c>
      <c r="D52" s="27" t="s">
        <v>180</v>
      </c>
      <c r="E52" s="28">
        <f>INDEX('面板-景气指数'!F:F,MATCH(景气时钟!D52,'面板-景气指数'!A:A,0))</f>
        <v>0.55983333333333374</v>
      </c>
      <c r="F52" s="29">
        <f>INDEX('面板-景气指数'!C:C,MATCH(景气时钟!D52,'面板-景气指数'!A:A,0))</f>
        <v>12.166666666666693</v>
      </c>
      <c r="G52" s="29">
        <f t="shared" si="0"/>
        <v>12.166666666666693</v>
      </c>
    </row>
    <row r="53" spans="2:7" x14ac:dyDescent="0.2">
      <c r="C53" s="26" t="s">
        <v>178</v>
      </c>
      <c r="D53" s="27" t="s">
        <v>178</v>
      </c>
      <c r="E53" s="28">
        <f>INDEX('面板-景气指数'!F:F,MATCH(景气时钟!D53,'面板-景气指数'!A:A,0))</f>
        <v>0.33385423095592903</v>
      </c>
      <c r="F53" s="29">
        <f>INDEX('面板-景气指数'!C:C,MATCH(景气时钟!D53,'面板-景气指数'!A:A,0))</f>
        <v>-2.0089388815360651</v>
      </c>
      <c r="G53" s="29">
        <f t="shared" si="0"/>
        <v>-2.0089388815360651</v>
      </c>
    </row>
    <row r="54" spans="2:7" x14ac:dyDescent="0.2">
      <c r="C54" s="26" t="s">
        <v>226</v>
      </c>
      <c r="D54" s="27" t="s">
        <v>179</v>
      </c>
      <c r="E54" s="28">
        <f>INDEX('面板-景气指数'!F:F,MATCH(景气时钟!D54,'面板-景气指数'!A:A,0))</f>
        <v>7.0999999999999994E-2</v>
      </c>
      <c r="F54" s="29">
        <f>INDEX('面板-景气指数'!C:C,MATCH(景气时钟!D54,'面板-景气指数'!A:A,0))</f>
        <v>0</v>
      </c>
      <c r="G54" s="29">
        <f t="shared" si="0"/>
        <v>0</v>
      </c>
    </row>
    <row r="55" spans="2:7" x14ac:dyDescent="0.2">
      <c r="C55" s="26" t="s">
        <v>227</v>
      </c>
      <c r="D55" s="27" t="s">
        <v>181</v>
      </c>
      <c r="E55" s="28">
        <f>INDEX('面板-景气指数'!F:F,MATCH(景气时钟!D55,'面板-景气指数'!A:A,0))</f>
        <v>0.40125000000000005</v>
      </c>
      <c r="F55" s="29">
        <f>INDEX('面板-景气指数'!C:C,MATCH(景气时钟!D55,'面板-景气指数'!A:A,0))</f>
        <v>1.0666666666666602</v>
      </c>
      <c r="G55" s="29">
        <f t="shared" si="0"/>
        <v>1.0666666666666602</v>
      </c>
    </row>
    <row r="56" spans="2:7" x14ac:dyDescent="0.2">
      <c r="C56" s="26" t="s">
        <v>182</v>
      </c>
      <c r="D56" s="27" t="s">
        <v>182</v>
      </c>
      <c r="E56" s="28">
        <f>INDEX('面板-景气指数'!F:F,MATCH(景气时钟!D56,'面板-景气指数'!A:A,0))</f>
        <v>6.7000000000000004E-2</v>
      </c>
      <c r="F56" s="29">
        <f>INDEX('面板-景气指数'!C:C,MATCH(景气时钟!D56,'面板-景气指数'!A:A,0))</f>
        <v>-2.9</v>
      </c>
      <c r="G56" s="29">
        <f t="shared" si="0"/>
        <v>-2.9</v>
      </c>
    </row>
    <row r="57" spans="2:7" x14ac:dyDescent="0.2">
      <c r="C57" s="26" t="s">
        <v>183</v>
      </c>
      <c r="D57" s="27" t="s">
        <v>183</v>
      </c>
      <c r="E57" s="28">
        <f>INDEX('面板-景气指数'!F:F,MATCH(景气时钟!D57,'面板-景气指数'!A:A,0))</f>
        <v>0.25960000000000022</v>
      </c>
      <c r="F57" s="29">
        <f>INDEX('面板-景气指数'!C:C,MATCH(景气时钟!D57,'面板-景气指数'!A:A,0))</f>
        <v>-3.1599999999999961</v>
      </c>
      <c r="G57" s="29">
        <f t="shared" si="0"/>
        <v>-3.1599999999999961</v>
      </c>
    </row>
    <row r="58" spans="2:7" x14ac:dyDescent="0.2">
      <c r="C58" s="26" t="s">
        <v>184</v>
      </c>
      <c r="D58" s="27" t="s">
        <v>184</v>
      </c>
      <c r="E58" s="28">
        <f>INDEX('面板-景气指数'!F:F,MATCH(景气时钟!D58,'面板-景气指数'!A:A,0))</f>
        <v>0.11437499999999996</v>
      </c>
      <c r="F58" s="29">
        <f>INDEX('面板-景气指数'!C:C,MATCH(景气时钟!D58,'面板-景气指数'!A:A,0))</f>
        <v>2.6499999999999955</v>
      </c>
      <c r="G58" s="29">
        <f t="shared" si="0"/>
        <v>2.6499999999999955</v>
      </c>
    </row>
    <row r="59" spans="2:7" x14ac:dyDescent="0.2">
      <c r="C59" s="26" t="s">
        <v>185</v>
      </c>
      <c r="D59" s="27" t="s">
        <v>185</v>
      </c>
      <c r="E59" s="28">
        <f>INDEX('面板-景气指数'!F:F,MATCH(景气时钟!D59,'面板-景气指数'!A:A,0))</f>
        <v>0.182</v>
      </c>
      <c r="F59" s="29">
        <f>INDEX('面板-景气指数'!C:C,MATCH(景气时钟!D59,'面板-景气指数'!A:A,0))</f>
        <v>-24.099999999999998</v>
      </c>
      <c r="G59" s="29">
        <f t="shared" si="0"/>
        <v>-24.099999999999998</v>
      </c>
    </row>
    <row r="60" spans="2:7" x14ac:dyDescent="0.2">
      <c r="C60" s="26" t="s">
        <v>166</v>
      </c>
      <c r="D60" s="27" t="s">
        <v>166</v>
      </c>
      <c r="E60" s="28">
        <f>INDEX('面板-景气指数'!F:F,MATCH(景气时钟!D60,'面板-景气指数'!A:A,0))</f>
        <v>0.49500000000000005</v>
      </c>
      <c r="F60" s="29">
        <f>INDEX('面板-景气指数'!C:C,MATCH(景气时钟!D60,'面板-景气指数'!A:A,0))</f>
        <v>18.300000000000004</v>
      </c>
      <c r="G60" s="29">
        <f t="shared" si="0"/>
        <v>18.300000000000004</v>
      </c>
    </row>
    <row r="61" spans="2:7" x14ac:dyDescent="0.2">
      <c r="C61" s="26" t="s">
        <v>228</v>
      </c>
      <c r="D61" s="27" t="s">
        <v>162</v>
      </c>
      <c r="E61" s="28">
        <f>INDEX('面板-景气指数'!F:F,MATCH(景气时钟!D61,'面板-景气指数'!A:A,0))</f>
        <v>0.35600000000000004</v>
      </c>
      <c r="F61" s="29">
        <f>INDEX('面板-景气指数'!C:C,MATCH(景气时钟!D61,'面板-景气指数'!A:A,0))</f>
        <v>0.35000000000000586</v>
      </c>
      <c r="G61" s="29">
        <f t="shared" si="0"/>
        <v>0.35000000000000586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7F23-7755-4BFF-B61B-3AE9F86A325E}">
  <sheetPr>
    <tabColor rgb="FFC00000"/>
  </sheetPr>
  <dimension ref="A2:J53"/>
  <sheetViews>
    <sheetView showGridLines="0" topLeftCell="A34" workbookViewId="0">
      <selection activeCell="P12" sqref="P12"/>
    </sheetView>
  </sheetViews>
  <sheetFormatPr defaultColWidth="8.5" defaultRowHeight="12.75" x14ac:dyDescent="0.2"/>
  <cols>
    <col min="1" max="1" width="100.5" style="40" customWidth="1"/>
    <col min="2" max="2" width="2.125" style="36" customWidth="1"/>
    <col min="3" max="3" width="19.125" style="36" customWidth="1"/>
    <col min="4" max="4" width="12.125" style="36" customWidth="1"/>
    <col min="5" max="6" width="10.5" style="36" customWidth="1"/>
    <col min="7" max="7" width="13.125" style="36" customWidth="1"/>
    <col min="8" max="8" width="18.125" style="36" customWidth="1"/>
    <col min="9" max="10" width="10.5" style="36" customWidth="1"/>
    <col min="11" max="16384" width="8.5" style="36"/>
  </cols>
  <sheetData>
    <row r="2" spans="2:10" x14ac:dyDescent="0.2">
      <c r="B2" s="31"/>
      <c r="C2" s="32" t="s">
        <v>200</v>
      </c>
      <c r="D2" s="32" t="s">
        <v>201</v>
      </c>
      <c r="E2" s="33" t="s">
        <v>229</v>
      </c>
      <c r="F2" s="34" t="s">
        <v>230</v>
      </c>
      <c r="G2" s="34" t="s">
        <v>231</v>
      </c>
      <c r="H2" s="35" t="s">
        <v>232</v>
      </c>
      <c r="I2" s="35" t="s">
        <v>233</v>
      </c>
      <c r="J2" s="35" t="s">
        <v>202</v>
      </c>
    </row>
    <row r="3" spans="2:10" x14ac:dyDescent="0.2">
      <c r="C3" s="37" t="s">
        <v>204</v>
      </c>
      <c r="D3" s="37" t="s">
        <v>5</v>
      </c>
      <c r="E3" s="38">
        <v>0</v>
      </c>
      <c r="F3" s="38">
        <v>27.0942746233167</v>
      </c>
      <c r="G3" s="38">
        <v>78.099999999999994</v>
      </c>
      <c r="H3" s="39">
        <v>0</v>
      </c>
      <c r="I3" s="39">
        <f>INDEX('面板-景气指数'!B:B,MATCH(安全边际!D3,'面板-景气指数'!A:A,0))</f>
        <v>-15.669999999999995</v>
      </c>
      <c r="J3" s="39">
        <f>INDEX('面板-景气指数'!F:F,MATCH(安全边际!D3,'面板-景气指数'!A:A,0))*100</f>
        <v>57.97</v>
      </c>
    </row>
    <row r="4" spans="2:10" x14ac:dyDescent="0.2">
      <c r="C4" s="37" t="s">
        <v>8</v>
      </c>
      <c r="D4" s="37" t="s">
        <v>8</v>
      </c>
      <c r="E4" s="38">
        <v>0</v>
      </c>
      <c r="F4" s="38">
        <v>56.591466163100101</v>
      </c>
      <c r="G4" s="38">
        <v>100</v>
      </c>
      <c r="H4" s="39">
        <v>0</v>
      </c>
      <c r="I4" s="39">
        <f>INDEX('面板-景气指数'!B:B,MATCH(安全边际!D4,'面板-景气指数'!A:A,0))</f>
        <v>-14.016666666666689</v>
      </c>
      <c r="J4" s="39">
        <f>INDEX('面板-景气指数'!F:F,MATCH(安全边际!D4,'面板-景气指数'!A:A,0))*100</f>
        <v>52.93333333333338</v>
      </c>
    </row>
    <row r="5" spans="2:10" x14ac:dyDescent="0.2">
      <c r="C5" s="37" t="s">
        <v>234</v>
      </c>
      <c r="D5" s="37" t="s">
        <v>29</v>
      </c>
      <c r="E5" s="38">
        <v>0</v>
      </c>
      <c r="F5" s="38">
        <v>107.460600100897</v>
      </c>
      <c r="G5" s="38">
        <v>50</v>
      </c>
      <c r="H5" s="39">
        <v>0</v>
      </c>
      <c r="I5" s="39">
        <f>INDEX('面板-景气指数'!B:B,MATCH(安全边际!D5,'面板-景气指数'!A:A,0))</f>
        <v>19.320764068853226</v>
      </c>
      <c r="J5" s="39">
        <f>INDEX('面板-景气指数'!F:F,MATCH(安全边际!D5,'面板-景气指数'!A:A,0))*100</f>
        <v>46.612586175121969</v>
      </c>
    </row>
    <row r="6" spans="2:10" x14ac:dyDescent="0.2">
      <c r="C6" s="37" t="s">
        <v>207</v>
      </c>
      <c r="D6" s="37" t="s">
        <v>41</v>
      </c>
      <c r="E6" s="38">
        <v>0</v>
      </c>
      <c r="F6" s="38">
        <v>93.982790607236595</v>
      </c>
      <c r="G6" s="38">
        <v>96.8</v>
      </c>
      <c r="H6" s="39">
        <v>0</v>
      </c>
      <c r="I6" s="39">
        <f>INDEX('面板-景气指数'!B:B,MATCH(安全边际!D6,'面板-景气指数'!A:A,0))</f>
        <v>-22.585397431119457</v>
      </c>
      <c r="J6" s="39">
        <f>INDEX('面板-景气指数'!F:F,MATCH(安全边际!D6,'面板-景气指数'!A:A,0))*100</f>
        <v>34.787850864032279</v>
      </c>
    </row>
    <row r="7" spans="2:10" x14ac:dyDescent="0.2">
      <c r="C7" s="37" t="s">
        <v>208</v>
      </c>
      <c r="D7" s="37" t="s">
        <v>47</v>
      </c>
      <c r="E7" s="38">
        <v>0</v>
      </c>
      <c r="F7" s="38">
        <v>205.44250158949001</v>
      </c>
      <c r="G7" s="38">
        <v>56.2</v>
      </c>
      <c r="H7" s="39">
        <v>0</v>
      </c>
      <c r="I7" s="39">
        <f>INDEX('面板-景气指数'!B:B,MATCH(安全边际!D7,'面板-景气指数'!A:A,0))</f>
        <v>-3.4110558754074427</v>
      </c>
      <c r="J7" s="39">
        <f>INDEX('面板-景气指数'!F:F,MATCH(安全边际!D7,'面板-景气指数'!A:A,0))*100</f>
        <v>60.69029158472442</v>
      </c>
    </row>
    <row r="8" spans="2:10" x14ac:dyDescent="0.2">
      <c r="C8" s="37" t="s">
        <v>44</v>
      </c>
      <c r="D8" s="37" t="s">
        <v>44</v>
      </c>
      <c r="E8" s="38">
        <v>0</v>
      </c>
      <c r="F8" s="38">
        <v>128.088808384711</v>
      </c>
      <c r="G8" s="38">
        <v>100</v>
      </c>
      <c r="H8" s="39">
        <v>0</v>
      </c>
      <c r="I8" s="39">
        <f>INDEX('面板-景气指数'!B:B,MATCH(安全边际!D8,'面板-景气指数'!A:A,0))</f>
        <v>-46.410000000000018</v>
      </c>
      <c r="J8" s="39">
        <f>INDEX('面板-景气指数'!F:F,MATCH(安全边际!D8,'面板-景气指数'!A:A,0))*100</f>
        <v>31.699999999999996</v>
      </c>
    </row>
    <row r="9" spans="2:10" x14ac:dyDescent="0.2">
      <c r="C9" s="37" t="s">
        <v>235</v>
      </c>
      <c r="D9" s="37" t="s">
        <v>50</v>
      </c>
      <c r="E9" s="38">
        <v>0</v>
      </c>
      <c r="F9" s="38">
        <v>107.221136147172</v>
      </c>
      <c r="G9" s="38">
        <v>62.5</v>
      </c>
      <c r="H9" s="39">
        <v>0</v>
      </c>
      <c r="I9" s="39">
        <f>INDEX('面板-景气指数'!B:B,MATCH(安全边际!D9,'面板-景气指数'!A:A,0))</f>
        <v>4.7569231270108094</v>
      </c>
      <c r="J9" s="39">
        <f>INDEX('面板-景气指数'!F:F,MATCH(安全边际!D9,'面板-景气指数'!A:A,0))*100</f>
        <v>40.321221679832284</v>
      </c>
    </row>
    <row r="10" spans="2:10" x14ac:dyDescent="0.2">
      <c r="C10" s="37" t="s">
        <v>209</v>
      </c>
      <c r="D10" s="37" t="s">
        <v>53</v>
      </c>
      <c r="E10" s="38">
        <v>0</v>
      </c>
      <c r="F10" s="38">
        <v>55.354608157765199</v>
      </c>
      <c r="G10" s="38">
        <v>18.7</v>
      </c>
      <c r="H10" s="39">
        <v>0</v>
      </c>
      <c r="I10" s="39">
        <f>INDEX('面板-景气指数'!B:B,MATCH(安全边际!D10,'面板-景气指数'!A:A,0))</f>
        <v>-23.631860764312119</v>
      </c>
      <c r="J10" s="39">
        <f>INDEX('面板-景气指数'!F:F,MATCH(安全边际!D10,'面板-景气指数'!A:A,0))*100</f>
        <v>30.147234540259159</v>
      </c>
    </row>
    <row r="11" spans="2:10" x14ac:dyDescent="0.2">
      <c r="C11" s="37" t="s">
        <v>210</v>
      </c>
      <c r="D11" s="37" t="s">
        <v>56</v>
      </c>
      <c r="E11" s="38">
        <v>0</v>
      </c>
      <c r="F11" s="38">
        <v>94.769434619842301</v>
      </c>
      <c r="G11" s="38">
        <v>0</v>
      </c>
      <c r="H11" s="39">
        <v>0</v>
      </c>
      <c r="I11" s="39">
        <f>INDEX('面板-景气指数'!B:B,MATCH(安全边际!D11,'面板-景气指数'!A:A,0))</f>
        <v>-24.546563898639306</v>
      </c>
      <c r="J11" s="39">
        <f>INDEX('面板-景气指数'!F:F,MATCH(安全边际!D11,'面板-景气指数'!A:A,0))*100</f>
        <v>60.000833967451342</v>
      </c>
    </row>
    <row r="12" spans="2:10" x14ac:dyDescent="0.2">
      <c r="C12" s="37" t="s">
        <v>68</v>
      </c>
      <c r="D12" s="37" t="s">
        <v>68</v>
      </c>
      <c r="E12" s="38">
        <v>0</v>
      </c>
      <c r="F12" s="38">
        <v>49.576272858183401</v>
      </c>
      <c r="G12" s="38">
        <v>9.3000000000000007</v>
      </c>
      <c r="H12" s="39">
        <v>0</v>
      </c>
      <c r="I12" s="39">
        <f>INDEX('面板-景气指数'!B:B,MATCH(安全边际!D12,'面板-景气指数'!A:A,0))</f>
        <v>-26.955000000000002</v>
      </c>
      <c r="J12" s="39">
        <f>INDEX('面板-景气指数'!F:F,MATCH(安全边际!D12,'面板-景气指数'!A:A,0))*100</f>
        <v>48.154000000000003</v>
      </c>
    </row>
    <row r="13" spans="2:10" x14ac:dyDescent="0.2">
      <c r="C13" s="37" t="s">
        <v>236</v>
      </c>
      <c r="D13" s="37" t="s">
        <v>86</v>
      </c>
      <c r="E13" s="38">
        <v>0</v>
      </c>
      <c r="F13" s="38">
        <v>55.592759713642401</v>
      </c>
      <c r="G13" s="38">
        <v>100</v>
      </c>
      <c r="H13" s="39">
        <v>0</v>
      </c>
      <c r="I13" s="39">
        <f>INDEX('面板-景气指数'!B:B,MATCH(安全边际!D13,'面板-景气指数'!A:A,0))</f>
        <v>14.636875878740913</v>
      </c>
      <c r="J13" s="39">
        <f>INDEX('面板-景气指数'!F:F,MATCH(安全边际!D13,'面板-景气指数'!A:A,0))*100</f>
        <v>56.11669404263332</v>
      </c>
    </row>
    <row r="14" spans="2:10" x14ac:dyDescent="0.2">
      <c r="C14" s="37" t="s">
        <v>216</v>
      </c>
      <c r="D14" s="37" t="s">
        <v>216</v>
      </c>
      <c r="E14" s="38">
        <v>0</v>
      </c>
      <c r="F14" s="38">
        <v>51.236563130608999</v>
      </c>
      <c r="G14" s="38">
        <v>68.7</v>
      </c>
      <c r="H14" s="39">
        <v>0</v>
      </c>
      <c r="I14" s="39">
        <f>INDEX('面板-景气指数'!B:B,MATCH(安全边际!D14,'面板-景气指数'!A:A,0))</f>
        <v>-9.6</v>
      </c>
      <c r="J14" s="39">
        <f>INDEX('面板-景气指数'!F:F,MATCH(安全边际!D14,'面板-景气指数'!A:A,0))*100</f>
        <v>14.899999999999999</v>
      </c>
    </row>
    <row r="15" spans="2:10" x14ac:dyDescent="0.2">
      <c r="C15" s="37" t="s">
        <v>217</v>
      </c>
      <c r="D15" s="37" t="s">
        <v>217</v>
      </c>
      <c r="E15" s="38">
        <v>0</v>
      </c>
      <c r="F15" s="38">
        <v>31.850775566467199</v>
      </c>
      <c r="G15" s="38">
        <v>59.3</v>
      </c>
      <c r="H15" s="39">
        <v>0</v>
      </c>
      <c r="I15" s="39">
        <f>INDEX('面板-景气指数'!B:B,MATCH(安全边际!D15,'面板-景气指数'!A:A,0))</f>
        <v>-19.337500000000006</v>
      </c>
      <c r="J15" s="39">
        <f>INDEX('面板-景气指数'!F:F,MATCH(安全边际!D15,'面板-景气指数'!A:A,0))*100</f>
        <v>15.5725</v>
      </c>
    </row>
    <row r="16" spans="2:10" x14ac:dyDescent="0.2">
      <c r="C16" s="37" t="s">
        <v>211</v>
      </c>
      <c r="D16" s="37" t="s">
        <v>59</v>
      </c>
      <c r="E16" s="38">
        <v>0</v>
      </c>
      <c r="F16" s="38">
        <v>96.697551545386304</v>
      </c>
      <c r="G16" s="38">
        <v>37.5</v>
      </c>
      <c r="H16" s="39">
        <v>0</v>
      </c>
      <c r="I16" s="39">
        <f>INDEX('面板-景气指数'!B:B,MATCH(安全边际!D16,'面板-景气指数'!A:A,0))</f>
        <v>-5.8836079987144521</v>
      </c>
      <c r="J16" s="39">
        <f>INDEX('面板-景气指数'!F:F,MATCH(安全边际!D16,'面板-景气指数'!A:A,0))*100</f>
        <v>12.618481125109634</v>
      </c>
    </row>
    <row r="17" spans="3:10" x14ac:dyDescent="0.2">
      <c r="C17" s="37" t="s">
        <v>63</v>
      </c>
      <c r="D17" s="37" t="s">
        <v>63</v>
      </c>
      <c r="E17" s="38">
        <v>0</v>
      </c>
      <c r="F17" s="38">
        <v>24.1301747239064</v>
      </c>
      <c r="G17" s="38">
        <v>81.2</v>
      </c>
      <c r="H17" s="39">
        <v>0</v>
      </c>
      <c r="I17" s="39">
        <f>INDEX('面板-景气指数'!B:B,MATCH(安全边际!D17,'面板-景气指数'!A:A,0))</f>
        <v>-21.391666666666666</v>
      </c>
      <c r="J17" s="39">
        <f>INDEX('面板-景气指数'!F:F,MATCH(安全边际!D17,'面板-景气指数'!A:A,0))*100</f>
        <v>16.233333333333331</v>
      </c>
    </row>
    <row r="18" spans="3:10" x14ac:dyDescent="0.2">
      <c r="C18" s="37" t="s">
        <v>21</v>
      </c>
      <c r="D18" s="37" t="s">
        <v>21</v>
      </c>
      <c r="E18" s="38">
        <v>0</v>
      </c>
      <c r="F18" s="38">
        <v>192.15731698421001</v>
      </c>
      <c r="G18" s="38">
        <v>100</v>
      </c>
      <c r="H18" s="39">
        <v>0</v>
      </c>
      <c r="I18" s="39">
        <f>INDEX('面板-景气指数'!B:B,MATCH(安全边际!D18,'面板-景气指数'!A:A,0))</f>
        <v>5.8933426125583832</v>
      </c>
      <c r="J18" s="39">
        <f>INDEX('面板-景气指数'!F:F,MATCH(安全边际!D18,'面板-景气指数'!A:A,0))*100</f>
        <v>57.066809653157449</v>
      </c>
    </row>
    <row r="19" spans="3:10" x14ac:dyDescent="0.2">
      <c r="C19" s="37" t="s">
        <v>27</v>
      </c>
      <c r="D19" s="37" t="s">
        <v>27</v>
      </c>
      <c r="E19" s="38">
        <v>0</v>
      </c>
      <c r="F19" s="38">
        <v>129.77783531534701</v>
      </c>
      <c r="G19" s="38">
        <v>78.099999999999994</v>
      </c>
      <c r="H19" s="39">
        <v>0</v>
      </c>
      <c r="I19" s="39">
        <f>INDEX('面板-景气指数'!B:B,MATCH(安全边际!D19,'面板-景气指数'!A:A,0))</f>
        <v>-12.725000000000009</v>
      </c>
      <c r="J19" s="39">
        <f>INDEX('面板-景气指数'!F:F,MATCH(安全边际!D19,'面板-景气指数'!A:A,0))*100</f>
        <v>50.7</v>
      </c>
    </row>
    <row r="20" spans="3:10" x14ac:dyDescent="0.2">
      <c r="C20" s="37" t="s">
        <v>30</v>
      </c>
      <c r="D20" s="37" t="s">
        <v>30</v>
      </c>
      <c r="E20" s="38">
        <v>0</v>
      </c>
      <c r="F20" s="38">
        <v>103.989877975776</v>
      </c>
      <c r="G20" s="38">
        <v>25</v>
      </c>
      <c r="H20" s="39"/>
      <c r="I20" s="39">
        <f>INDEX('面板-景气指数'!B:B,MATCH(安全边际!D20,'面板-景气指数'!A:A,0))</f>
        <v>9.8999999999999986</v>
      </c>
      <c r="J20" s="39">
        <f>INDEX('面板-景气指数'!F:F,MATCH(安全边际!D20,'面板-景气指数'!A:A,0))*100</f>
        <v>24.266666666666666</v>
      </c>
    </row>
    <row r="21" spans="3:10" x14ac:dyDescent="0.2">
      <c r="C21" s="37" t="s">
        <v>36</v>
      </c>
      <c r="D21" s="37" t="s">
        <v>36</v>
      </c>
      <c r="E21" s="38">
        <v>0</v>
      </c>
      <c r="F21" s="38">
        <v>54.655726665742002</v>
      </c>
      <c r="G21" s="38">
        <v>18.7</v>
      </c>
      <c r="H21" s="39">
        <v>0</v>
      </c>
      <c r="I21" s="39">
        <f>INDEX('面板-景气指数'!B:B,MATCH(安全边际!D21,'面板-景气指数'!A:A,0))</f>
        <v>-25.872681648045535</v>
      </c>
      <c r="J21" s="39">
        <f>INDEX('面板-景气指数'!F:F,MATCH(安全边际!D21,'面板-景气指数'!A:A,0))*100</f>
        <v>18.248592971915041</v>
      </c>
    </row>
    <row r="22" spans="3:10" x14ac:dyDescent="0.2">
      <c r="C22" s="37" t="s">
        <v>39</v>
      </c>
      <c r="D22" s="37" t="s">
        <v>39</v>
      </c>
      <c r="E22" s="38">
        <v>0</v>
      </c>
      <c r="F22" s="38">
        <v>93.694622429866101</v>
      </c>
      <c r="G22" s="38">
        <v>25</v>
      </c>
      <c r="H22" s="39">
        <v>0</v>
      </c>
      <c r="I22" s="39">
        <f>INDEX('面板-景气指数'!B:B,MATCH(安全边际!D22,'面板-景气指数'!A:A,0))</f>
        <v>-5.1445883117856752</v>
      </c>
      <c r="J22" s="39">
        <f>INDEX('面板-景气指数'!F:F,MATCH(安全边际!D22,'面板-景气指数'!A:A,0))*100</f>
        <v>42.593580207264722</v>
      </c>
    </row>
    <row r="23" spans="3:10" x14ac:dyDescent="0.2">
      <c r="C23" s="37" t="s">
        <v>237</v>
      </c>
      <c r="D23" s="37" t="s">
        <v>42</v>
      </c>
      <c r="E23" s="38">
        <v>0</v>
      </c>
      <c r="F23" s="38">
        <v>22.041419170000701</v>
      </c>
      <c r="G23" s="38">
        <v>0</v>
      </c>
      <c r="H23" s="39">
        <v>0</v>
      </c>
      <c r="I23" s="39">
        <f>INDEX('面板-景气指数'!B:B,MATCH(安全边际!D23,'面板-景气指数'!A:A,0))</f>
        <v>-18.543763304722745</v>
      </c>
      <c r="J23" s="39">
        <f>INDEX('面板-景气指数'!F:F,MATCH(安全边际!D23,'面板-景气指数'!A:A,0))*100</f>
        <v>17.956416863079021</v>
      </c>
    </row>
    <row r="24" spans="3:10" x14ac:dyDescent="0.2">
      <c r="C24" s="37" t="s">
        <v>238</v>
      </c>
      <c r="D24" s="37" t="s">
        <v>51</v>
      </c>
      <c r="E24" s="38">
        <v>0</v>
      </c>
      <c r="F24" s="38">
        <v>111.146412600543</v>
      </c>
      <c r="G24" s="38">
        <v>87.5</v>
      </c>
      <c r="H24" s="39">
        <v>0</v>
      </c>
      <c r="I24" s="39">
        <f>INDEX('面板-景气指数'!B:B,MATCH(安全边际!D24,'面板-景气指数'!A:A,0))</f>
        <v>-20.971428571428575</v>
      </c>
      <c r="J24" s="39">
        <f>INDEX('面板-景气指数'!F:F,MATCH(安全边际!D24,'面板-景气指数'!A:A,0))*100</f>
        <v>16.357142857142858</v>
      </c>
    </row>
    <row r="25" spans="3:10" x14ac:dyDescent="0.2">
      <c r="C25" s="37" t="s">
        <v>66</v>
      </c>
      <c r="D25" s="37" t="s">
        <v>66</v>
      </c>
      <c r="E25" s="38">
        <v>0</v>
      </c>
      <c r="F25" s="38">
        <v>58.224579068821498</v>
      </c>
      <c r="G25" s="38">
        <v>59.3</v>
      </c>
      <c r="H25" s="39">
        <v>0</v>
      </c>
      <c r="I25" s="39">
        <f>INDEX('面板-景气指数'!B:B,MATCH(安全边际!D25,'面板-景气指数'!A:A,0))</f>
        <v>42.250000000000007</v>
      </c>
      <c r="J25" s="39">
        <f>INDEX('面板-景气指数'!F:F,MATCH(安全边际!D25,'面板-景气指数'!A:A,0))*100</f>
        <v>47.900000000000006</v>
      </c>
    </row>
    <row r="26" spans="3:10" x14ac:dyDescent="0.2">
      <c r="C26" s="37" t="s">
        <v>213</v>
      </c>
      <c r="D26" s="37" t="s">
        <v>69</v>
      </c>
      <c r="E26" s="38">
        <v>0</v>
      </c>
      <c r="F26" s="38">
        <v>23.354078533185099</v>
      </c>
      <c r="G26" s="38">
        <v>3.1</v>
      </c>
      <c r="H26" s="39">
        <v>0</v>
      </c>
      <c r="I26" s="39">
        <f>INDEX('面板-景气指数'!B:B,MATCH(安全边际!D26,'面板-景气指数'!A:A,0))</f>
        <v>9.6000000000000032</v>
      </c>
      <c r="J26" s="39">
        <f>INDEX('面板-景气指数'!F:F,MATCH(安全边际!D26,'面板-景气指数'!A:A,0))*100</f>
        <v>45.65</v>
      </c>
    </row>
    <row r="27" spans="3:10" x14ac:dyDescent="0.2">
      <c r="C27" s="37" t="s">
        <v>72</v>
      </c>
      <c r="D27" s="37" t="s">
        <v>72</v>
      </c>
      <c r="E27" s="38">
        <v>0</v>
      </c>
      <c r="F27" s="38">
        <v>74.568868154645997</v>
      </c>
      <c r="G27" s="38">
        <v>3.1</v>
      </c>
      <c r="H27" s="39">
        <v>0</v>
      </c>
      <c r="I27" s="39">
        <f>INDEX('面板-景气指数'!B:B,MATCH(安全边际!D27,'面板-景气指数'!A:A,0))</f>
        <v>-41.733454049274478</v>
      </c>
      <c r="J27" s="39">
        <f>INDEX('面板-景气指数'!F:F,MATCH(安全边际!D27,'面板-景气指数'!A:A,0))*100</f>
        <v>21.8801032161549</v>
      </c>
    </row>
    <row r="28" spans="3:10" x14ac:dyDescent="0.2">
      <c r="C28" s="37" t="s">
        <v>239</v>
      </c>
      <c r="D28" s="37" t="s">
        <v>75</v>
      </c>
      <c r="E28" s="38">
        <v>0</v>
      </c>
      <c r="F28" s="38">
        <v>114.941607469853</v>
      </c>
      <c r="G28" s="38">
        <v>50</v>
      </c>
      <c r="H28" s="39">
        <v>0</v>
      </c>
      <c r="I28" s="39">
        <f>INDEX('面板-景气指数'!B:B,MATCH(安全边际!D28,'面板-景气指数'!A:A,0))</f>
        <v>14.440924159306112</v>
      </c>
      <c r="J28" s="39">
        <f>INDEX('面板-景气指数'!F:F,MATCH(安全边际!D28,'面板-景气指数'!A:A,0))*100</f>
        <v>85.818020729814108</v>
      </c>
    </row>
    <row r="29" spans="3:10" x14ac:dyDescent="0.2">
      <c r="C29" s="37" t="s">
        <v>219</v>
      </c>
      <c r="D29" s="37" t="s">
        <v>81</v>
      </c>
      <c r="E29" s="38">
        <v>0</v>
      </c>
      <c r="F29" s="38">
        <v>79.6378894200639</v>
      </c>
      <c r="G29" s="38">
        <v>68.7</v>
      </c>
      <c r="H29" s="39">
        <v>0</v>
      </c>
      <c r="I29" s="39">
        <f>INDEX('面板-景气指数'!B:B,MATCH(安全边际!D29,'面板-景气指数'!A:A,0))</f>
        <v>25.550000000000022</v>
      </c>
      <c r="J29" s="39">
        <f>INDEX('面板-景气指数'!F:F,MATCH(安全边际!D29,'面板-景气指数'!A:A,0))*100</f>
        <v>41.166666666666679</v>
      </c>
    </row>
    <row r="30" spans="3:10" x14ac:dyDescent="0.2">
      <c r="C30" s="37" t="s">
        <v>78</v>
      </c>
      <c r="D30" s="37" t="s">
        <v>78</v>
      </c>
      <c r="E30" s="38">
        <v>0</v>
      </c>
      <c r="F30" s="38">
        <v>128.04780120653399</v>
      </c>
      <c r="G30" s="38">
        <v>71.8</v>
      </c>
      <c r="H30" s="39">
        <v>0</v>
      </c>
      <c r="I30" s="39">
        <f>INDEX('面板-景气指数'!B:B,MATCH(安全边际!D30,'面板-景气指数'!A:A,0))</f>
        <v>22.237500000000001</v>
      </c>
      <c r="J30" s="39">
        <f>INDEX('面板-景气指数'!F:F,MATCH(安全边际!D30,'面板-景气指数'!A:A,0))*100</f>
        <v>42.512500000000003</v>
      </c>
    </row>
    <row r="31" spans="3:10" x14ac:dyDescent="0.2">
      <c r="C31" s="37" t="s">
        <v>222</v>
      </c>
      <c r="D31" s="37" t="s">
        <v>84</v>
      </c>
      <c r="E31" s="38">
        <v>0</v>
      </c>
      <c r="F31" s="38">
        <v>183.695496309155</v>
      </c>
      <c r="G31" s="38">
        <v>37.5</v>
      </c>
      <c r="H31" s="39">
        <v>0</v>
      </c>
      <c r="I31" s="39">
        <f>INDEX('面板-景气指数'!B:B,MATCH(安全边际!D31,'面板-景气指数'!A:A,0))</f>
        <v>-39.193333333333342</v>
      </c>
      <c r="J31" s="39">
        <f>INDEX('面板-景气指数'!F:F,MATCH(安全边际!D31,'面板-景气指数'!A:A,0))*100</f>
        <v>21.893333333333338</v>
      </c>
    </row>
    <row r="32" spans="3:10" x14ac:dyDescent="0.2">
      <c r="C32" s="37" t="s">
        <v>223</v>
      </c>
      <c r="D32" s="37" t="s">
        <v>87</v>
      </c>
      <c r="E32" s="38"/>
      <c r="F32" s="38">
        <v>91.499839703641399</v>
      </c>
      <c r="G32" s="38">
        <v>34.299999999999997</v>
      </c>
      <c r="H32" s="39">
        <v>0</v>
      </c>
      <c r="I32" s="39">
        <f>INDEX('面板-景气指数'!B:B,MATCH(安全边际!D32,'面板-景气指数'!A:A,0))</f>
        <v>-5.7750000000000306</v>
      </c>
      <c r="J32" s="39">
        <f>INDEX('面板-景气指数'!F:F,MATCH(安全边际!D32,'面板-景气指数'!A:A,0))*100</f>
        <v>54.29999999999999</v>
      </c>
    </row>
    <row r="33" spans="3:10" x14ac:dyDescent="0.2">
      <c r="C33" s="37" t="s">
        <v>90</v>
      </c>
      <c r="D33" s="37" t="s">
        <v>90</v>
      </c>
      <c r="E33" s="38">
        <v>0</v>
      </c>
      <c r="F33" s="38">
        <v>238.051644908675</v>
      </c>
      <c r="G33" s="38">
        <v>78.099999999999994</v>
      </c>
      <c r="H33" s="39">
        <v>0</v>
      </c>
      <c r="I33" s="39">
        <f>INDEX('面板-景气指数'!B:B,MATCH(安全边际!D33,'面板-景气指数'!A:A,0))</f>
        <v>1.8333333333333313</v>
      </c>
      <c r="J33" s="39">
        <f>INDEX('面板-景气指数'!F:F,MATCH(安全边际!D33,'面板-景气指数'!A:A,0))*100</f>
        <v>30.541666666666661</v>
      </c>
    </row>
    <row r="34" spans="3:10" x14ac:dyDescent="0.2">
      <c r="C34" s="37" t="s">
        <v>240</v>
      </c>
      <c r="D34" s="37" t="s">
        <v>92</v>
      </c>
      <c r="E34" s="38">
        <v>0</v>
      </c>
      <c r="F34" s="38">
        <v>97.055177980851198</v>
      </c>
      <c r="G34" s="38">
        <v>81.2</v>
      </c>
      <c r="H34" s="39">
        <v>0</v>
      </c>
      <c r="I34" s="39">
        <f>INDEX('面板-景气指数'!B:B,MATCH(安全边际!D34,'面板-景气指数'!A:A,0))</f>
        <v>26.949999999999996</v>
      </c>
      <c r="J34" s="39">
        <f>INDEX('面板-景气指数'!F:F,MATCH(安全边际!D34,'面板-景气指数'!A:A,0))*100</f>
        <v>78.825000000000003</v>
      </c>
    </row>
    <row r="35" spans="3:10" x14ac:dyDescent="0.2">
      <c r="C35" s="37" t="s">
        <v>100</v>
      </c>
      <c r="D35" s="37" t="s">
        <v>100</v>
      </c>
      <c r="E35" s="38">
        <v>0</v>
      </c>
      <c r="F35" s="38">
        <v>222.86530421876199</v>
      </c>
      <c r="G35" s="38">
        <v>50</v>
      </c>
      <c r="H35" s="39">
        <v>0</v>
      </c>
      <c r="I35" s="39">
        <f>INDEX('面板-景气指数'!B:B,MATCH(安全边际!D35,'面板-景气指数'!A:A,0))</f>
        <v>27.414285714285707</v>
      </c>
      <c r="J35" s="39">
        <f>INDEX('面板-景气指数'!F:F,MATCH(安全边际!D35,'面板-景气指数'!A:A,0))*100</f>
        <v>57.749999999999993</v>
      </c>
    </row>
    <row r="36" spans="3:10" x14ac:dyDescent="0.2">
      <c r="C36" s="37" t="s">
        <v>241</v>
      </c>
      <c r="D36" s="37" t="s">
        <v>114</v>
      </c>
      <c r="E36" s="38"/>
      <c r="F36" s="38">
        <v>105.35088283260799</v>
      </c>
      <c r="G36" s="38">
        <v>12.5</v>
      </c>
      <c r="H36" s="39">
        <v>0</v>
      </c>
      <c r="I36" s="39">
        <f>INDEX('面板-景气指数'!B:B,MATCH(安全边际!D36,'面板-景气指数'!A:A,0))</f>
        <v>-10.625000000000007</v>
      </c>
      <c r="J36" s="39">
        <f>INDEX('面板-景气指数'!F:F,MATCH(安全边际!D36,'面板-景气指数'!A:A,0))*100</f>
        <v>26.874999999999993</v>
      </c>
    </row>
    <row r="37" spans="3:10" x14ac:dyDescent="0.2">
      <c r="C37" s="37" t="s">
        <v>112</v>
      </c>
      <c r="D37" s="37" t="s">
        <v>112</v>
      </c>
      <c r="E37" s="38">
        <v>0</v>
      </c>
      <c r="F37" s="38">
        <v>124.580159300632</v>
      </c>
      <c r="G37" s="38">
        <v>21.8</v>
      </c>
      <c r="H37" s="39">
        <v>0</v>
      </c>
      <c r="I37" s="39">
        <f>INDEX('面板-景气指数'!B:B,MATCH(安全边际!D37,'面板-景气指数'!A:A,0))</f>
        <v>24.490000000000038</v>
      </c>
      <c r="J37" s="39">
        <f>INDEX('面板-景气指数'!F:F,MATCH(安全边际!D37,'面板-景气指数'!A:A,0))*100</f>
        <v>49.100000000000009</v>
      </c>
    </row>
    <row r="38" spans="3:10" x14ac:dyDescent="0.2">
      <c r="C38" s="37" t="s">
        <v>220</v>
      </c>
      <c r="D38" s="37" t="s">
        <v>104</v>
      </c>
      <c r="E38" s="38">
        <v>0</v>
      </c>
      <c r="F38" s="38">
        <v>79.894940306206195</v>
      </c>
      <c r="G38" s="38">
        <v>34.299999999999997</v>
      </c>
      <c r="H38" s="39">
        <v>0</v>
      </c>
      <c r="I38" s="39">
        <f>INDEX('面板-景气指数'!B:B,MATCH(安全边际!D38,'面板-景气指数'!A:A,0))</f>
        <v>7.1199999999999761</v>
      </c>
      <c r="J38" s="39">
        <f>INDEX('面板-景气指数'!F:F,MATCH(安全边际!D38,'面板-景气指数'!A:A,0))*100</f>
        <v>54.069999999999972</v>
      </c>
    </row>
    <row r="39" spans="3:10" x14ac:dyDescent="0.2">
      <c r="C39" s="37" t="s">
        <v>221</v>
      </c>
      <c r="D39" s="37" t="s">
        <v>106</v>
      </c>
      <c r="E39" s="38">
        <v>0</v>
      </c>
      <c r="F39" s="38">
        <v>129.23359854159401</v>
      </c>
      <c r="G39" s="38">
        <v>31.2</v>
      </c>
      <c r="H39" s="39">
        <v>0</v>
      </c>
      <c r="I39" s="39">
        <f>INDEX('面板-景气指数'!B:B,MATCH(安全边际!D39,'面板-景气指数'!A:A,0))</f>
        <v>46.209090909090932</v>
      </c>
      <c r="J39" s="39">
        <f>INDEX('面板-景气指数'!F:F,MATCH(安全边际!D39,'面板-景气指数'!A:A,0))*100</f>
        <v>78.509090909090915</v>
      </c>
    </row>
    <row r="40" spans="3:10" x14ac:dyDescent="0.2">
      <c r="C40" s="37" t="s">
        <v>102</v>
      </c>
      <c r="D40" s="37" t="s">
        <v>102</v>
      </c>
      <c r="E40" s="38">
        <v>0</v>
      </c>
      <c r="F40" s="38">
        <v>192.91139288857499</v>
      </c>
      <c r="G40" s="38">
        <v>59.3</v>
      </c>
      <c r="H40" s="39">
        <v>0</v>
      </c>
      <c r="I40" s="39">
        <f>INDEX('面板-景气指数'!B:B,MATCH(安全边际!D40,'面板-景气指数'!A:A,0))</f>
        <v>52.400000000000006</v>
      </c>
      <c r="J40" s="39">
        <f>INDEX('面板-景气指数'!F:F,MATCH(安全边际!D40,'面板-景气指数'!A:A,0))*100</f>
        <v>64.849999999999994</v>
      </c>
    </row>
    <row r="41" spans="3:10" x14ac:dyDescent="0.2">
      <c r="C41" s="37" t="s">
        <v>108</v>
      </c>
      <c r="D41" s="37" t="s">
        <v>108</v>
      </c>
      <c r="E41" s="38"/>
      <c r="F41" s="38">
        <v>133.60182104437601</v>
      </c>
      <c r="G41" s="38">
        <v>93.7</v>
      </c>
      <c r="H41" s="39">
        <v>0</v>
      </c>
      <c r="I41" s="39">
        <f>INDEX('面板-景气指数'!B:B,MATCH(安全边际!D41,'面板-景气指数'!A:A,0))</f>
        <v>-11.075000000000003</v>
      </c>
      <c r="J41" s="39">
        <f>INDEX('面板-景气指数'!F:F,MATCH(安全边际!D41,'面板-景气指数'!A:A,0))*100</f>
        <v>4.2750000000000021</v>
      </c>
    </row>
    <row r="42" spans="3:10" x14ac:dyDescent="0.2">
      <c r="C42" s="37" t="s">
        <v>110</v>
      </c>
      <c r="D42" s="37" t="s">
        <v>110</v>
      </c>
      <c r="E42" s="38">
        <v>0</v>
      </c>
      <c r="F42" s="38">
        <v>223.51954282813199</v>
      </c>
      <c r="G42" s="38">
        <v>96.8</v>
      </c>
      <c r="H42" s="39">
        <v>0</v>
      </c>
      <c r="I42" s="39">
        <f>INDEX('面板-景气指数'!B:B,MATCH(安全边际!D42,'面板-景气指数'!A:A,0))</f>
        <v>10.271428571428586</v>
      </c>
      <c r="J42" s="39">
        <f>INDEX('面板-景气指数'!F:F,MATCH(安全边际!D42,'面板-景气指数'!A:A,0))*100</f>
        <v>38.728571428571449</v>
      </c>
    </row>
    <row r="43" spans="3:10" x14ac:dyDescent="0.2">
      <c r="C43" s="37" t="s">
        <v>242</v>
      </c>
      <c r="D43" s="37" t="s">
        <v>128</v>
      </c>
      <c r="E43" s="38">
        <v>0</v>
      </c>
      <c r="F43" s="38"/>
      <c r="G43" s="38"/>
      <c r="H43" s="39">
        <v>0</v>
      </c>
      <c r="I43" s="39">
        <f>INDEX('面板-景气指数'!B:B,MATCH(安全边际!D43,'面板-景气指数'!A:A,0))</f>
        <v>6.1206147259015573</v>
      </c>
      <c r="J43" s="39">
        <f>INDEX('面板-景气指数'!F:F,MATCH(安全边际!D43,'面板-景气指数'!A:A,0))*100</f>
        <v>54.224366118000219</v>
      </c>
    </row>
    <row r="44" spans="3:10" x14ac:dyDescent="0.2">
      <c r="C44" s="37" t="s">
        <v>243</v>
      </c>
      <c r="D44" s="37" t="s">
        <v>118</v>
      </c>
      <c r="E44" s="38">
        <v>0</v>
      </c>
      <c r="F44" s="38"/>
      <c r="G44" s="38"/>
      <c r="H44" s="39">
        <v>0</v>
      </c>
      <c r="I44" s="39">
        <f>INDEX('面板-景气指数'!B:B,MATCH(安全边际!D44,'面板-景气指数'!A:A,0))</f>
        <v>-28.593749999999996</v>
      </c>
      <c r="J44" s="39">
        <f>INDEX('面板-景气指数'!F:F,MATCH(安全边际!D44,'面板-景气指数'!A:A,0))*100</f>
        <v>54.14374999999999</v>
      </c>
    </row>
    <row r="45" spans="3:10" x14ac:dyDescent="0.2">
      <c r="C45" s="37" t="s">
        <v>176</v>
      </c>
      <c r="D45" s="37" t="s">
        <v>176</v>
      </c>
      <c r="E45" s="38">
        <v>0</v>
      </c>
      <c r="F45" s="38">
        <v>208.356202187419</v>
      </c>
      <c r="G45" s="38">
        <v>50</v>
      </c>
      <c r="H45" s="39">
        <v>0</v>
      </c>
      <c r="I45" s="39">
        <f>INDEX('面板-景气指数'!B:B,MATCH(安全边际!D45,'面板-景气指数'!A:A,0))</f>
        <v>-20.517045454545457</v>
      </c>
      <c r="J45" s="39">
        <f>INDEX('面板-景气指数'!F:F,MATCH(安全边际!D45,'面板-景气指数'!A:A,0))*100</f>
        <v>4.2522727272727279</v>
      </c>
    </row>
    <row r="46" spans="3:10" x14ac:dyDescent="0.2">
      <c r="C46" s="37" t="s">
        <v>226</v>
      </c>
      <c r="D46" s="37" t="s">
        <v>244</v>
      </c>
      <c r="E46" s="38">
        <v>0</v>
      </c>
      <c r="F46" s="38">
        <v>129.730615170324</v>
      </c>
      <c r="G46" s="38">
        <v>21.8</v>
      </c>
      <c r="H46" s="39">
        <v>0</v>
      </c>
      <c r="I46" s="39">
        <f>INDEX('面板-景气指数'!B:B,MATCH(安全边际!D46,'面板-景气指数'!A:A,0))</f>
        <v>2.1297872340425741</v>
      </c>
      <c r="J46" s="39">
        <f>INDEX('面板-景气指数'!F:F,MATCH(安全边际!D46,'面板-景气指数'!A:A,0))*100</f>
        <v>48.402127659574482</v>
      </c>
    </row>
    <row r="47" spans="3:10" x14ac:dyDescent="0.2">
      <c r="C47" s="37" t="s">
        <v>227</v>
      </c>
      <c r="D47" s="37" t="s">
        <v>181</v>
      </c>
      <c r="E47" s="38">
        <v>0</v>
      </c>
      <c r="F47" s="38">
        <v>168.440665627729</v>
      </c>
      <c r="G47" s="38">
        <v>59.3</v>
      </c>
      <c r="H47" s="39">
        <v>0</v>
      </c>
      <c r="I47" s="39">
        <f>INDEX('面板-景气指数'!B:B,MATCH(安全边际!D47,'面板-景气指数'!A:A,0))</f>
        <v>-4.6666666666666634</v>
      </c>
      <c r="J47" s="39">
        <f>INDEX('面板-景气指数'!F:F,MATCH(安全边际!D47,'面板-景气指数'!A:A,0))*100</f>
        <v>40.125000000000007</v>
      </c>
    </row>
    <row r="48" spans="3:10" x14ac:dyDescent="0.2">
      <c r="C48" s="37" t="s">
        <v>184</v>
      </c>
      <c r="D48" s="37" t="s">
        <v>184</v>
      </c>
      <c r="E48" s="38">
        <v>0</v>
      </c>
      <c r="F48" s="38">
        <v>226.28893773151901</v>
      </c>
      <c r="G48" s="38">
        <v>12.5</v>
      </c>
      <c r="H48" s="39">
        <v>0</v>
      </c>
      <c r="I48" s="39">
        <f>INDEX('面板-景气指数'!B:B,MATCH(安全边际!D48,'面板-景气指数'!A:A,0))</f>
        <v>-57.962500000000006</v>
      </c>
      <c r="J48" s="39">
        <f>INDEX('面板-景气指数'!F:F,MATCH(安全边际!D48,'面板-景气指数'!A:A,0))*100</f>
        <v>11.437499999999996</v>
      </c>
    </row>
    <row r="49" spans="3:10" x14ac:dyDescent="0.2">
      <c r="C49" s="37" t="s">
        <v>191</v>
      </c>
      <c r="D49" s="37" t="s">
        <v>191</v>
      </c>
      <c r="E49" s="38">
        <v>0</v>
      </c>
      <c r="F49" s="38">
        <v>7.0740944865966897</v>
      </c>
      <c r="G49" s="38">
        <v>6.2</v>
      </c>
      <c r="H49" s="39">
        <v>0</v>
      </c>
      <c r="I49" s="39">
        <f>INDEX('面板-景气指数'!B:B,MATCH(安全边际!D49,'面板-景气指数'!A:A,0))</f>
        <v>15.98750000000001</v>
      </c>
      <c r="J49" s="39">
        <f>INDEX('面板-景气指数'!F:F,MATCH(安全边际!D49,'面板-景气指数'!A:A,0))*100</f>
        <v>66.050000000000011</v>
      </c>
    </row>
    <row r="50" spans="3:10" x14ac:dyDescent="0.2">
      <c r="C50" s="37" t="s">
        <v>196</v>
      </c>
      <c r="D50" s="37" t="s">
        <v>196</v>
      </c>
      <c r="E50" s="38">
        <v>0</v>
      </c>
      <c r="F50" s="38">
        <v>67.289262066587895</v>
      </c>
      <c r="G50" s="38">
        <v>28.1</v>
      </c>
      <c r="H50" s="39">
        <v>0</v>
      </c>
      <c r="I50" s="39">
        <f>INDEX('面板-景气指数'!B:B,MATCH(安全边际!D50,'面板-景气指数'!A:A,0))</f>
        <v>-22.275000000000002</v>
      </c>
      <c r="J50" s="39">
        <f>INDEX('面板-景气指数'!F:F,MATCH(安全边际!D50,'面板-景气指数'!A:A,0))*100</f>
        <v>20.775000000000002</v>
      </c>
    </row>
    <row r="51" spans="3:10" x14ac:dyDescent="0.2">
      <c r="C51" s="37" t="s">
        <v>197</v>
      </c>
      <c r="D51" s="37" t="s">
        <v>197</v>
      </c>
      <c r="E51" s="38">
        <v>0</v>
      </c>
      <c r="F51" s="38">
        <v>29.3973529980675</v>
      </c>
      <c r="G51" s="38">
        <v>40.6</v>
      </c>
      <c r="H51" s="39">
        <v>0</v>
      </c>
      <c r="I51" s="39">
        <f>INDEX('面板-景气指数'!B:B,MATCH(安全边际!D51,'面板-景气指数'!A:A,0))</f>
        <v>-17.574999999999996</v>
      </c>
      <c r="J51" s="39">
        <f>INDEX('面板-景气指数'!F:F,MATCH(安全边际!D51,'面板-景气指数'!A:A,0))*100</f>
        <v>54.024999999999991</v>
      </c>
    </row>
    <row r="52" spans="3:10" x14ac:dyDescent="0.2">
      <c r="C52" s="37" t="s">
        <v>198</v>
      </c>
      <c r="D52" s="37" t="s">
        <v>198</v>
      </c>
      <c r="E52" s="38">
        <v>0</v>
      </c>
      <c r="F52" s="38">
        <v>129.81789680895699</v>
      </c>
      <c r="G52" s="38">
        <v>84.3</v>
      </c>
      <c r="H52" s="39">
        <v>0</v>
      </c>
      <c r="I52" s="39">
        <f>INDEX('面板-景气指数'!B:B,MATCH(安全边际!D52,'面板-景气指数'!A:A,0))</f>
        <v>-22.100000000000009</v>
      </c>
      <c r="J52" s="39">
        <f>INDEX('面板-景气指数'!F:F,MATCH(安全边际!D52,'面板-景气指数'!A:A,0))*100</f>
        <v>75</v>
      </c>
    </row>
    <row r="53" spans="3:10" x14ac:dyDescent="0.2">
      <c r="C53" s="37" t="s">
        <v>199</v>
      </c>
      <c r="D53" s="37" t="s">
        <v>199</v>
      </c>
      <c r="E53" s="38">
        <v>0</v>
      </c>
      <c r="F53" s="38">
        <v>51.788968864026899</v>
      </c>
      <c r="G53" s="38">
        <v>100</v>
      </c>
      <c r="H53" s="39">
        <v>0</v>
      </c>
      <c r="I53" s="39">
        <f>INDEX('面板-景气指数'!B:B,MATCH(安全边际!D53,'面板-景气指数'!A:A,0))</f>
        <v>19.199999999999996</v>
      </c>
      <c r="J53" s="39">
        <f>INDEX('面板-景气指数'!F:F,MATCH(安全边际!D53,'面板-景气指数'!A:A,0))*100</f>
        <v>82.875</v>
      </c>
    </row>
  </sheetData>
  <phoneticPr fontId="3" type="noConversion"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9EF5-672A-4A1C-9760-8B71470D9E48}">
  <sheetPr>
    <tabColor rgb="FF003278"/>
  </sheetPr>
  <dimension ref="A1:DG245"/>
  <sheetViews>
    <sheetView showGridLines="0" zoomScale="75" zoomScaleNormal="75" workbookViewId="0">
      <selection activeCell="P12" sqref="P12"/>
    </sheetView>
  </sheetViews>
  <sheetFormatPr defaultColWidth="8.5" defaultRowHeight="12.75" outlineLevelCol="1" x14ac:dyDescent="0.2"/>
  <cols>
    <col min="1" max="1" width="15.875" style="36" customWidth="1"/>
    <col min="2" max="2" width="13" style="50" customWidth="1"/>
    <col min="3" max="3" width="8.5" style="50"/>
    <col min="4" max="4" width="8.5" style="50" hidden="1" customWidth="1"/>
    <col min="5" max="5" width="8.5" style="50" hidden="1" customWidth="1" outlineLevel="1"/>
    <col min="6" max="7" width="8.5" style="50" customWidth="1" outlineLevel="1"/>
    <col min="8" max="8" width="8.5" style="50" customWidth="1"/>
    <col min="9" max="16384" width="8.5" style="36"/>
  </cols>
  <sheetData>
    <row r="1" spans="2:48" s="40" customFormat="1" ht="20.100000000000001" customHeight="1" x14ac:dyDescent="0.2">
      <c r="B1" s="41"/>
      <c r="C1" s="41"/>
      <c r="D1" s="41"/>
      <c r="E1" s="41"/>
      <c r="F1" s="41"/>
      <c r="G1" s="41"/>
      <c r="H1" s="41"/>
    </row>
    <row r="2" spans="2:48" s="40" customFormat="1" ht="20.100000000000001" customHeight="1" x14ac:dyDescent="0.2">
      <c r="B2" s="41"/>
      <c r="C2" s="41"/>
      <c r="D2" s="41"/>
      <c r="E2" s="41"/>
      <c r="F2" s="41"/>
      <c r="G2" s="41"/>
      <c r="M2" s="41"/>
      <c r="N2" s="41"/>
      <c r="S2" s="41"/>
      <c r="T2" s="41"/>
      <c r="U2" s="41"/>
      <c r="V2" s="41"/>
      <c r="W2" s="41"/>
      <c r="X2" s="41"/>
      <c r="AD2" s="41"/>
      <c r="AE2" s="41"/>
      <c r="AJ2" s="41"/>
      <c r="AK2" s="41"/>
      <c r="AL2" s="41"/>
      <c r="AM2" s="41"/>
      <c r="AN2" s="41"/>
      <c r="AO2" s="41"/>
      <c r="AU2" s="41"/>
      <c r="AV2" s="41"/>
    </row>
    <row r="3" spans="2:48" s="40" customFormat="1" ht="20.100000000000001" customHeight="1" x14ac:dyDescent="0.2">
      <c r="D3" s="40">
        <f>INDEX('面板-景气指数'!$37:$244,MATCH('面板-总览'!$A3,'面板-景气指数'!$A$37:$A$244,0),MATCH('面板-总览'!D$2,'面板-景气指数'!$36:$36,0))</f>
        <v>0.56204999999999994</v>
      </c>
      <c r="E3" s="40">
        <f>INDEX('面板-景气指数'!$37:$244,MATCH('面板-总览'!$A3,'面板-景气指数'!$A$37:$A$244,0),MATCH('面板-总览'!E$2,'面板-景气指数'!$36:$36,0))</f>
        <v>0.43189999999999995</v>
      </c>
    </row>
    <row r="4" spans="2:48" s="40" customFormat="1" ht="20.100000000000001" customHeight="1" x14ac:dyDescent="0.2">
      <c r="D4" s="40">
        <f>INDEX('面板-景气指数'!$37:$244,MATCH('面板-总览'!$A4,'面板-景气指数'!$A$37:$A$244,0),MATCH('面板-总览'!D$2,'面板-景气指数'!$36:$36,0))</f>
        <v>0.70050000000000068</v>
      </c>
      <c r="E4" s="40">
        <f>INDEX('面板-景气指数'!$37:$244,MATCH('面板-总览'!$A4,'面板-景气指数'!$A$37:$A$244,0),MATCH('面板-总览'!E$2,'面板-景气指数'!$36:$36,0))</f>
        <v>0.72783333333333411</v>
      </c>
    </row>
    <row r="5" spans="2:48" s="40" customFormat="1" ht="20.100000000000001" customHeight="1" x14ac:dyDescent="0.2">
      <c r="D5" s="40">
        <f>INDEX('面板-景气指数'!$37:$244,MATCH('面板-总览'!$A5,'面板-景气指数'!$A$37:$A$244,0),MATCH('面板-总览'!D$2,'面板-景气指数'!$36:$36,0))</f>
        <v>0.47491314986514233</v>
      </c>
      <c r="E5" s="40">
        <f>INDEX('面板-景气指数'!$37:$244,MATCH('面板-总览'!$A5,'面板-景气指数'!$A$37:$A$244,0),MATCH('面板-总览'!E$2,'面板-景气指数'!$36:$36,0))</f>
        <v>0.44749714288275061</v>
      </c>
    </row>
    <row r="6" spans="2:48" s="40" customFormat="1" ht="20.100000000000001" customHeight="1" x14ac:dyDescent="0.2">
      <c r="D6" s="40">
        <f>INDEX('面板-景气指数'!$37:$244,MATCH('面板-总览'!$A6,'面板-景气指数'!$A$37:$A$244,0),MATCH('面板-总览'!D$2,'面板-景气指数'!$36:$36,0))</f>
        <v>0.37532624539586634</v>
      </c>
      <c r="E6" s="40">
        <f>INDEX('面板-景气指数'!$37:$244,MATCH('面板-总览'!$A6,'面板-景气指数'!$A$37:$A$244,0),MATCH('面板-总览'!E$2,'面板-景气指数'!$36:$36,0))</f>
        <v>0.34536085174566183</v>
      </c>
    </row>
    <row r="7" spans="2:48" s="40" customFormat="1" ht="20.100000000000001" customHeight="1" x14ac:dyDescent="0.2">
      <c r="D7" s="40">
        <f>INDEX('面板-景气指数'!$37:$244,MATCH('面板-总览'!$A7,'面板-景气指数'!$A$37:$A$244,0),MATCH('面板-总览'!D$2,'面板-景气指数'!$36:$36,0))</f>
        <v>0.39858746290100122</v>
      </c>
      <c r="E7" s="40">
        <f>INDEX('面板-景气指数'!$37:$244,MATCH('面板-总览'!$A7,'面板-景气指数'!$A$37:$A$244,0),MATCH('面板-总览'!E$2,'面板-景气指数'!$36:$36,0))</f>
        <v>0.37331074990695617</v>
      </c>
    </row>
    <row r="8" spans="2:48" s="40" customFormat="1" ht="20.100000000000001" customHeight="1" x14ac:dyDescent="0.2">
      <c r="D8" s="40">
        <f>INDEX('面板-景气指数'!$37:$244,MATCH('面板-总览'!$A8,'面板-景气指数'!$A$37:$A$244,0),MATCH('面板-总览'!D$2,'面板-景气指数'!$36:$36,0))</f>
        <v>0.29998686202054575</v>
      </c>
      <c r="E8" s="40">
        <f>INDEX('面板-景气指数'!$37:$244,MATCH('面板-总览'!$A8,'面板-景气指数'!$A$37:$A$244,0),MATCH('面板-总览'!E$2,'面板-景气指数'!$36:$36,0))</f>
        <v>0.32513938882475157</v>
      </c>
    </row>
    <row r="9" spans="2:48" s="40" customFormat="1" ht="20.100000000000001" customHeight="1" x14ac:dyDescent="0.2">
      <c r="D9" s="40">
        <f>INDEX('面板-景气指数'!$37:$244,MATCH('面板-总览'!$A9,'面板-景气指数'!$A$37:$A$244,0),MATCH('面板-总览'!D$2,'面板-景气指数'!$36:$36,0))</f>
        <v>0.50520541811288067</v>
      </c>
      <c r="E9" s="40">
        <f>INDEX('面板-景气指数'!$37:$244,MATCH('面板-总览'!$A9,'面板-景气指数'!$A$37:$A$244,0),MATCH('面板-总览'!E$2,'面板-景气指数'!$36:$36,0))</f>
        <v>0.53714327636524817</v>
      </c>
    </row>
    <row r="10" spans="2:48" s="40" customFormat="1" ht="20.100000000000001" customHeight="1" x14ac:dyDescent="0.2">
      <c r="D10" s="40">
        <f>INDEX('面板-景气指数'!$37:$244,MATCH('面板-总览'!$A10,'面板-景气指数'!$A$37:$A$244,0),MATCH('面板-总览'!D$2,'面板-景气指数'!$36:$36,0))</f>
        <v>0.49384102966314514</v>
      </c>
      <c r="E10" s="40">
        <f>INDEX('面板-景气指数'!$37:$244,MATCH('面板-总览'!$A10,'面板-景气指数'!$A$37:$A$244,0),MATCH('面板-总览'!E$2,'面板-景气指数'!$36:$36,0))</f>
        <v>0.50740977486160588</v>
      </c>
    </row>
    <row r="11" spans="2:48" s="40" customFormat="1" ht="20.100000000000001" customHeight="1" x14ac:dyDescent="0.2">
      <c r="D11" s="40">
        <f>INDEX('面板-景气指数'!$37:$244,MATCH('面板-总览'!$A11,'面板-景气指数'!$A$37:$A$244,0),MATCH('面板-总览'!D$2,'面板-景气指数'!$36:$36,0))</f>
        <v>0.27936613826116286</v>
      </c>
      <c r="E11" s="40">
        <f>INDEX('面板-景气指数'!$37:$244,MATCH('面板-总览'!$A11,'面板-景气指数'!$A$37:$A$244,0),MATCH('面板-总览'!E$2,'面板-景气指数'!$36:$36,0))</f>
        <v>0.30122389127764454</v>
      </c>
    </row>
    <row r="12" spans="2:48" s="40" customFormat="1" ht="20.100000000000001" customHeight="1" x14ac:dyDescent="0.2"/>
    <row r="13" spans="2:48" s="40" customFormat="1" ht="20.100000000000001" customHeight="1" x14ac:dyDescent="0.2"/>
    <row r="14" spans="2:48" s="40" customFormat="1" ht="20.100000000000001" customHeight="1" x14ac:dyDescent="0.2"/>
    <row r="15" spans="2:48" s="40" customFormat="1" ht="20.100000000000001" customHeight="1" x14ac:dyDescent="0.2"/>
    <row r="16" spans="2:48" s="40" customFormat="1" ht="20.100000000000001" customHeight="1" x14ac:dyDescent="0.2"/>
    <row r="17" spans="1:110" s="40" customFormat="1" ht="20.100000000000001" customHeight="1" x14ac:dyDescent="0.2"/>
    <row r="18" spans="1:110" s="40" customFormat="1" ht="20.100000000000001" customHeight="1" x14ac:dyDescent="0.2"/>
    <row r="19" spans="1:110" s="40" customFormat="1" ht="20.100000000000001" customHeight="1" x14ac:dyDescent="0.2"/>
    <row r="20" spans="1:110" s="40" customFormat="1" ht="20.100000000000001" customHeight="1" x14ac:dyDescent="0.2"/>
    <row r="21" spans="1:110" s="40" customFormat="1" ht="20.100000000000001" customHeight="1" x14ac:dyDescent="0.2"/>
    <row r="22" spans="1:110" s="40" customFormat="1" ht="20.100000000000001" customHeight="1" x14ac:dyDescent="0.2"/>
    <row r="23" spans="1:110" s="40" customFormat="1" ht="20.100000000000001" customHeight="1" x14ac:dyDescent="0.2"/>
    <row r="24" spans="1:110" s="45" customFormat="1" x14ac:dyDescent="0.2">
      <c r="A24" s="42" t="s">
        <v>245</v>
      </c>
      <c r="B24" s="43" t="s">
        <v>246</v>
      </c>
      <c r="C24" s="44" t="s">
        <v>247</v>
      </c>
      <c r="D24" s="44">
        <v>45322</v>
      </c>
      <c r="E24" s="44"/>
      <c r="F24" s="44">
        <v>45565</v>
      </c>
      <c r="G24" s="44">
        <v>45535</v>
      </c>
      <c r="H24" s="44">
        <v>45504</v>
      </c>
      <c r="I24" s="44">
        <v>45473</v>
      </c>
      <c r="J24" s="44">
        <v>45443</v>
      </c>
      <c r="K24" s="44">
        <v>45412</v>
      </c>
      <c r="L24" s="44">
        <v>45382</v>
      </c>
      <c r="M24" s="44">
        <v>45351</v>
      </c>
      <c r="N24" s="44">
        <v>45322</v>
      </c>
      <c r="O24" s="44">
        <v>45291</v>
      </c>
      <c r="P24" s="44">
        <v>45260</v>
      </c>
      <c r="Q24" s="44">
        <v>45230</v>
      </c>
      <c r="R24" s="44">
        <v>45199</v>
      </c>
      <c r="S24" s="44">
        <v>45169</v>
      </c>
      <c r="T24" s="44">
        <v>45138</v>
      </c>
      <c r="U24" s="44">
        <v>45107</v>
      </c>
      <c r="V24" s="44">
        <v>45077</v>
      </c>
      <c r="W24" s="44">
        <v>45046</v>
      </c>
      <c r="X24" s="44">
        <v>45016</v>
      </c>
      <c r="Y24" s="44">
        <v>44985</v>
      </c>
      <c r="Z24" s="44">
        <v>44957</v>
      </c>
      <c r="AA24" s="44">
        <v>44926</v>
      </c>
      <c r="AB24" s="44">
        <v>44895</v>
      </c>
      <c r="AC24" s="44">
        <v>44865</v>
      </c>
      <c r="AD24" s="44">
        <v>44834</v>
      </c>
      <c r="AE24" s="44">
        <v>44804</v>
      </c>
      <c r="AF24" s="44">
        <v>44773</v>
      </c>
      <c r="AG24" s="44">
        <v>44742</v>
      </c>
      <c r="AH24" s="44">
        <v>44712</v>
      </c>
      <c r="AI24" s="44">
        <v>44681</v>
      </c>
      <c r="AJ24" s="44">
        <v>44651</v>
      </c>
      <c r="AK24" s="44">
        <v>44620</v>
      </c>
      <c r="AL24" s="44">
        <v>44592</v>
      </c>
      <c r="AM24" s="44">
        <v>44561</v>
      </c>
      <c r="AN24" s="44">
        <v>44530</v>
      </c>
      <c r="AO24" s="44">
        <v>44500</v>
      </c>
      <c r="AP24" s="44">
        <v>44469</v>
      </c>
      <c r="AQ24" s="44">
        <v>44439</v>
      </c>
      <c r="AR24" s="44">
        <v>44408</v>
      </c>
      <c r="AS24" s="44">
        <v>44377</v>
      </c>
      <c r="AT24" s="44">
        <v>44347</v>
      </c>
      <c r="AU24" s="44">
        <v>44316</v>
      </c>
      <c r="AV24" s="44">
        <v>44286</v>
      </c>
      <c r="AW24" s="44">
        <v>44255</v>
      </c>
      <c r="AX24" s="44">
        <v>44227</v>
      </c>
      <c r="AY24" s="44">
        <v>44196</v>
      </c>
      <c r="AZ24" s="44">
        <v>44165</v>
      </c>
      <c r="BA24" s="44">
        <v>44135</v>
      </c>
      <c r="BB24" s="44">
        <v>44104</v>
      </c>
      <c r="BC24" s="44">
        <v>44074</v>
      </c>
      <c r="BD24" s="44">
        <v>44043</v>
      </c>
      <c r="BE24" s="44">
        <v>44012</v>
      </c>
      <c r="BF24" s="44">
        <v>43982</v>
      </c>
      <c r="BG24" s="44">
        <v>43951</v>
      </c>
      <c r="BH24" s="44">
        <v>43921</v>
      </c>
      <c r="BI24" s="44">
        <v>43890</v>
      </c>
      <c r="BJ24" s="44">
        <v>43861</v>
      </c>
      <c r="BK24" s="44">
        <v>43830</v>
      </c>
      <c r="BL24" s="44">
        <v>43799</v>
      </c>
      <c r="BM24" s="44">
        <v>43769</v>
      </c>
      <c r="BN24" s="44">
        <v>43738</v>
      </c>
      <c r="BO24" s="44">
        <v>43708</v>
      </c>
      <c r="BP24" s="44">
        <v>43677</v>
      </c>
      <c r="BQ24" s="44">
        <v>43646</v>
      </c>
      <c r="BR24" s="44">
        <v>43616</v>
      </c>
      <c r="BS24" s="44">
        <v>43585</v>
      </c>
      <c r="BT24" s="44">
        <v>43555</v>
      </c>
      <c r="BU24" s="44">
        <v>43524</v>
      </c>
      <c r="BV24" s="44">
        <v>43496</v>
      </c>
      <c r="BW24" s="44">
        <v>43465</v>
      </c>
      <c r="BX24" s="44">
        <v>43434</v>
      </c>
      <c r="BY24" s="44">
        <v>43404</v>
      </c>
      <c r="BZ24" s="44">
        <v>43373</v>
      </c>
      <c r="CA24" s="44">
        <v>43343</v>
      </c>
      <c r="CB24" s="44">
        <v>43312</v>
      </c>
      <c r="CC24" s="44">
        <v>43281</v>
      </c>
      <c r="CD24" s="44">
        <v>43251</v>
      </c>
      <c r="CE24" s="44">
        <v>43220</v>
      </c>
      <c r="CF24" s="44">
        <v>43190</v>
      </c>
      <c r="CG24" s="44">
        <v>43159</v>
      </c>
      <c r="CH24" s="44">
        <v>43131</v>
      </c>
      <c r="CI24" s="44">
        <v>43100</v>
      </c>
      <c r="CJ24" s="44">
        <v>43069</v>
      </c>
      <c r="CK24" s="44">
        <v>43039</v>
      </c>
      <c r="CL24" s="44">
        <v>43008</v>
      </c>
      <c r="CM24" s="44">
        <v>42978</v>
      </c>
      <c r="CN24" s="44">
        <v>42947</v>
      </c>
      <c r="CO24" s="44">
        <v>42916</v>
      </c>
      <c r="CP24" s="44">
        <v>42886</v>
      </c>
      <c r="CQ24" s="44">
        <v>42855</v>
      </c>
      <c r="CR24" s="44">
        <v>42825</v>
      </c>
      <c r="CS24" s="44">
        <v>42794</v>
      </c>
      <c r="CT24" s="44">
        <v>42766</v>
      </c>
      <c r="CU24" s="44">
        <v>42735</v>
      </c>
      <c r="CV24" s="44">
        <v>42704</v>
      </c>
      <c r="CW24" s="44">
        <v>42674</v>
      </c>
      <c r="CX24" s="44">
        <v>42643</v>
      </c>
      <c r="CY24" s="44">
        <v>42613</v>
      </c>
      <c r="CZ24" s="44">
        <v>42582</v>
      </c>
      <c r="DA24" s="44">
        <v>42551</v>
      </c>
      <c r="DB24" s="44">
        <v>42521</v>
      </c>
      <c r="DC24" s="44">
        <v>42490</v>
      </c>
      <c r="DD24" s="44">
        <v>42460</v>
      </c>
      <c r="DE24" s="44">
        <v>42429</v>
      </c>
      <c r="DF24" s="44">
        <v>42400</v>
      </c>
    </row>
    <row r="25" spans="1:110" x14ac:dyDescent="0.2">
      <c r="A25" s="46" t="s">
        <v>248</v>
      </c>
      <c r="B25" s="47">
        <f>(F25-Q25)*100</f>
        <v>-8.0520131005495266</v>
      </c>
      <c r="C25" s="47">
        <f>(F25-I25)*100</f>
        <v>-7.7744674047225626</v>
      </c>
      <c r="D25" s="40"/>
      <c r="E25" s="40"/>
      <c r="F25" s="48">
        <f>AVERAGE(F37:F39)</f>
        <v>0.57003027360156822</v>
      </c>
      <c r="G25" s="48">
        <f>AVERAGE(G37:G39)</f>
        <v>0.58814241841304904</v>
      </c>
      <c r="H25" s="48">
        <f>AVERAGE(H37:H39)</f>
        <v>0.63669587854236387</v>
      </c>
      <c r="I25" s="48">
        <f>AVERAGE(I37:I39)</f>
        <v>0.64777494764879384</v>
      </c>
      <c r="J25" s="48">
        <f t="shared" ref="J25:BU25" si="0">AVERAGE(J37:J39)</f>
        <v>0.63046379228225335</v>
      </c>
      <c r="K25" s="48">
        <f t="shared" si="0"/>
        <v>0.5910909017712086</v>
      </c>
      <c r="L25" s="48">
        <f t="shared" si="0"/>
        <v>0.59319531217616484</v>
      </c>
      <c r="M25" s="48">
        <f t="shared" si="0"/>
        <v>0.56340061227384075</v>
      </c>
      <c r="N25" s="48">
        <f t="shared" si="0"/>
        <v>0.51686795248505668</v>
      </c>
      <c r="O25" s="48">
        <f t="shared" si="0"/>
        <v>0.5357434920720282</v>
      </c>
      <c r="P25" s="48">
        <f t="shared" si="0"/>
        <v>0.57915438328838098</v>
      </c>
      <c r="Q25" s="48">
        <f t="shared" si="0"/>
        <v>0.65055040460706348</v>
      </c>
      <c r="R25" s="48">
        <f t="shared" si="0"/>
        <v>0.6668866112470232</v>
      </c>
      <c r="S25" s="48">
        <f t="shared" si="0"/>
        <v>0.6588411660309913</v>
      </c>
      <c r="T25" s="48">
        <f t="shared" si="0"/>
        <v>0.59046117252052632</v>
      </c>
      <c r="U25" s="48">
        <f t="shared" si="0"/>
        <v>0.56373760427309738</v>
      </c>
      <c r="V25" s="48">
        <f t="shared" si="0"/>
        <v>0.60824997449276341</v>
      </c>
      <c r="W25" s="48">
        <f t="shared" si="0"/>
        <v>0.62009839647250253</v>
      </c>
      <c r="X25" s="48">
        <f t="shared" si="0"/>
        <v>0.63778461427387922</v>
      </c>
      <c r="Y25" s="48">
        <f t="shared" si="0"/>
        <v>0.61224599710362038</v>
      </c>
      <c r="Z25" s="48">
        <f t="shared" si="0"/>
        <v>0.60182584052912591</v>
      </c>
      <c r="AA25" s="48">
        <f t="shared" si="0"/>
        <v>0.59046195292959158</v>
      </c>
      <c r="AB25" s="48">
        <f t="shared" si="0"/>
        <v>0.57420320549277915</v>
      </c>
      <c r="AC25" s="48">
        <f t="shared" si="0"/>
        <v>0.58794117714725536</v>
      </c>
      <c r="AD25" s="48">
        <f t="shared" si="0"/>
        <v>0.59804527758239856</v>
      </c>
      <c r="AE25" s="48">
        <f t="shared" si="0"/>
        <v>0.60051057145841069</v>
      </c>
      <c r="AF25" s="48">
        <f t="shared" si="0"/>
        <v>0.62587231788003705</v>
      </c>
      <c r="AG25" s="48">
        <f t="shared" si="0"/>
        <v>0.64588746721572987</v>
      </c>
      <c r="AH25" s="48">
        <f t="shared" si="0"/>
        <v>0.69521056242940704</v>
      </c>
      <c r="AI25" s="48">
        <f t="shared" si="0"/>
        <v>0.74118199364248627</v>
      </c>
      <c r="AJ25" s="48">
        <f t="shared" si="0"/>
        <v>0.77589004032538023</v>
      </c>
      <c r="AK25" s="48">
        <f t="shared" si="0"/>
        <v>0.7881412797541677</v>
      </c>
      <c r="AL25" s="48">
        <f t="shared" si="0"/>
        <v>0.80443109913269761</v>
      </c>
      <c r="AM25" s="48">
        <f t="shared" si="0"/>
        <v>0.77840476361021604</v>
      </c>
      <c r="AN25" s="48">
        <f t="shared" si="0"/>
        <v>0.78231111559687461</v>
      </c>
      <c r="AO25" s="48">
        <f t="shared" si="0"/>
        <v>0.75196400019717657</v>
      </c>
      <c r="AP25" s="48">
        <f t="shared" si="0"/>
        <v>0.74716169228885543</v>
      </c>
      <c r="AQ25" s="48">
        <f t="shared" si="0"/>
        <v>0.7125742575331494</v>
      </c>
      <c r="AR25" s="48">
        <f t="shared" si="0"/>
        <v>0.69481707131687453</v>
      </c>
      <c r="AS25" s="48">
        <f t="shared" si="0"/>
        <v>0.66964275979878007</v>
      </c>
      <c r="AT25" s="48">
        <f t="shared" si="0"/>
        <v>0.63013477155343522</v>
      </c>
      <c r="AU25" s="48">
        <f t="shared" si="0"/>
        <v>0.59211986016728646</v>
      </c>
      <c r="AV25" s="48">
        <f t="shared" si="0"/>
        <v>0.5315120943357019</v>
      </c>
      <c r="AW25" s="48">
        <f t="shared" si="0"/>
        <v>0.54258263511052895</v>
      </c>
      <c r="AX25" s="48">
        <f t="shared" si="0"/>
        <v>0.53311472147308225</v>
      </c>
      <c r="AY25" s="48">
        <f t="shared" si="0"/>
        <v>0.51549581073889617</v>
      </c>
      <c r="AZ25" s="48">
        <f t="shared" si="0"/>
        <v>0.41501667679269377</v>
      </c>
      <c r="BA25" s="48">
        <f t="shared" si="0"/>
        <v>0.33261761506585663</v>
      </c>
      <c r="BB25" s="48">
        <f t="shared" si="0"/>
        <v>0.29415296919615613</v>
      </c>
      <c r="BC25" s="48">
        <f t="shared" si="0"/>
        <v>0.29682767162801177</v>
      </c>
      <c r="BD25" s="48">
        <f t="shared" si="0"/>
        <v>0.30063250379089529</v>
      </c>
      <c r="BE25" s="48">
        <f t="shared" si="0"/>
        <v>0.26337338124664472</v>
      </c>
      <c r="BF25" s="48">
        <f t="shared" si="0"/>
        <v>0.23496737184867267</v>
      </c>
      <c r="BG25" s="48">
        <f t="shared" si="0"/>
        <v>0.22356954921203689</v>
      </c>
      <c r="BH25" s="48">
        <f t="shared" si="0"/>
        <v>0.20336503749824578</v>
      </c>
      <c r="BI25" s="48">
        <f t="shared" si="0"/>
        <v>0.23261866931877492</v>
      </c>
      <c r="BJ25" s="48">
        <f t="shared" si="0"/>
        <v>0.26642497525621833</v>
      </c>
      <c r="BK25" s="48">
        <f t="shared" si="0"/>
        <v>0.26893395186156061</v>
      </c>
      <c r="BL25" s="48">
        <f t="shared" si="0"/>
        <v>0.30713618648778973</v>
      </c>
      <c r="BM25" s="48">
        <f t="shared" si="0"/>
        <v>0.32607583363967169</v>
      </c>
      <c r="BN25" s="48">
        <f t="shared" si="0"/>
        <v>0.34198832998878809</v>
      </c>
      <c r="BO25" s="48">
        <f t="shared" si="0"/>
        <v>0.37298853362504197</v>
      </c>
      <c r="BP25" s="48">
        <f t="shared" si="0"/>
        <v>0.37810802093290602</v>
      </c>
      <c r="BQ25" s="48">
        <f t="shared" si="0"/>
        <v>0.38168322838365132</v>
      </c>
      <c r="BR25" s="48">
        <f t="shared" si="0"/>
        <v>0.37686373604275908</v>
      </c>
      <c r="BS25" s="48">
        <f t="shared" si="0"/>
        <v>0.38647443099603224</v>
      </c>
      <c r="BT25" s="48">
        <f t="shared" si="0"/>
        <v>0.3577220636638751</v>
      </c>
      <c r="BU25" s="48">
        <f t="shared" si="0"/>
        <v>0.35376470101698326</v>
      </c>
      <c r="BV25" s="48">
        <f t="shared" ref="BV25:EF25" si="1">AVERAGE(BV37:BV39)</f>
        <v>0.34888595839172015</v>
      </c>
      <c r="BW25" s="48">
        <f t="shared" si="1"/>
        <v>0.37348540984714979</v>
      </c>
      <c r="BX25" s="48">
        <f t="shared" si="1"/>
        <v>0.40443377150505372</v>
      </c>
      <c r="BY25" s="48">
        <f t="shared" si="1"/>
        <v>0.43549506596517568</v>
      </c>
      <c r="BZ25" s="48">
        <f t="shared" si="1"/>
        <v>0.44660433026565377</v>
      </c>
      <c r="CA25" s="48">
        <f t="shared" si="1"/>
        <v>0.47761709174654793</v>
      </c>
      <c r="CB25" s="48">
        <f t="shared" si="1"/>
        <v>0.53058596404328584</v>
      </c>
      <c r="CC25" s="48">
        <f t="shared" si="1"/>
        <v>0.56209812583478014</v>
      </c>
      <c r="CD25" s="48">
        <f t="shared" si="1"/>
        <v>0.56565203872644021</v>
      </c>
      <c r="CE25" s="48">
        <f t="shared" si="1"/>
        <v>0.55821991155656703</v>
      </c>
      <c r="CF25" s="48">
        <f t="shared" si="1"/>
        <v>0.59107620185481358</v>
      </c>
      <c r="CG25" s="48">
        <f t="shared" si="1"/>
        <v>0.61112053869219563</v>
      </c>
      <c r="CH25" s="48">
        <f t="shared" si="1"/>
        <v>0.61402024732998461</v>
      </c>
      <c r="CI25" s="48">
        <f t="shared" si="1"/>
        <v>0.59481365155976362</v>
      </c>
      <c r="CJ25" s="48">
        <f t="shared" si="1"/>
        <v>0.60594426724353667</v>
      </c>
      <c r="CK25" s="48">
        <f t="shared" si="1"/>
        <v>0.60367171983230339</v>
      </c>
      <c r="CL25" s="48">
        <f t="shared" si="1"/>
        <v>0.59836944138808412</v>
      </c>
      <c r="CM25" s="48">
        <f t="shared" si="1"/>
        <v>0.55768822112612026</v>
      </c>
      <c r="CN25" s="48">
        <f t="shared" si="1"/>
        <v>0.5057896410066226</v>
      </c>
      <c r="CO25" s="48">
        <f t="shared" si="1"/>
        <v>0.48799670726526861</v>
      </c>
      <c r="CP25" s="48">
        <f t="shared" si="1"/>
        <v>0.49479361712735265</v>
      </c>
      <c r="CQ25" s="48">
        <f t="shared" si="1"/>
        <v>0.494832300126197</v>
      </c>
      <c r="CR25" s="48">
        <f t="shared" si="1"/>
        <v>0.47956277300454531</v>
      </c>
      <c r="CS25" s="48">
        <f t="shared" si="1"/>
        <v>0.45373751382228766</v>
      </c>
      <c r="CT25" s="48">
        <f t="shared" si="1"/>
        <v>0.45620205025304239</v>
      </c>
      <c r="CU25" s="48">
        <f t="shared" si="1"/>
        <v>0.48654676980631834</v>
      </c>
      <c r="CV25" s="48">
        <f t="shared" si="1"/>
        <v>0.46465822101688481</v>
      </c>
      <c r="CW25" s="48">
        <f t="shared" si="1"/>
        <v>0.3915262169658591</v>
      </c>
      <c r="CX25" s="48">
        <f t="shared" si="1"/>
        <v>0.31766820929458656</v>
      </c>
      <c r="CY25" s="48">
        <f t="shared" si="1"/>
        <v>0.27694583094186087</v>
      </c>
      <c r="CZ25" s="48">
        <f t="shared" si="1"/>
        <v>0.23537679357281602</v>
      </c>
      <c r="DA25" s="48">
        <f t="shared" si="1"/>
        <v>0.20627953979584149</v>
      </c>
      <c r="DB25" s="48">
        <f t="shared" si="1"/>
        <v>0.22801799084347904</v>
      </c>
      <c r="DC25" s="48">
        <f t="shared" si="1"/>
        <v>0.23713299883211847</v>
      </c>
      <c r="DD25" s="48">
        <f t="shared" si="1"/>
        <v>0.24422688352296809</v>
      </c>
      <c r="DE25" s="48">
        <f t="shared" si="1"/>
        <v>0.19963639013742765</v>
      </c>
      <c r="DF25" s="48">
        <f t="shared" si="1"/>
        <v>0.18345927851787502</v>
      </c>
    </row>
    <row r="26" spans="1:110" x14ac:dyDescent="0.2">
      <c r="A26" s="46" t="s">
        <v>249</v>
      </c>
      <c r="B26" s="47">
        <f t="shared" ref="B26:B34" si="2">(F26-Q26)*100</f>
        <v>-6.352976610873462</v>
      </c>
      <c r="C26" s="47">
        <f t="shared" ref="C26:C34" si="3">(F26-I26)*100</f>
        <v>-9.656349404747278</v>
      </c>
      <c r="D26" s="40"/>
      <c r="E26" s="40"/>
      <c r="F26" s="48">
        <f>AVERAGE(F40:F42)</f>
        <v>0.27783374160497648</v>
      </c>
      <c r="G26" s="48">
        <f>AVERAGE(G40:G42)</f>
        <v>0.29683625551724108</v>
      </c>
      <c r="H26" s="48">
        <f>AVERAGE(H40:H42)</f>
        <v>0.33182513490769011</v>
      </c>
      <c r="I26" s="48">
        <f>AVERAGE(I40:I42)</f>
        <v>0.37439723565244926</v>
      </c>
      <c r="J26" s="48">
        <f t="shared" ref="J26:BU26" si="4">AVERAGE(J40:J42)</f>
        <v>0.34984713649931481</v>
      </c>
      <c r="K26" s="48">
        <f t="shared" si="4"/>
        <v>0.31032577882332962</v>
      </c>
      <c r="L26" s="48">
        <f t="shared" si="4"/>
        <v>0.2725827441744646</v>
      </c>
      <c r="M26" s="48">
        <f t="shared" si="4"/>
        <v>0.27937713127074104</v>
      </c>
      <c r="N26" s="48">
        <f t="shared" si="4"/>
        <v>0.32313046612898355</v>
      </c>
      <c r="O26" s="48">
        <f t="shared" si="4"/>
        <v>0.34793699682578988</v>
      </c>
      <c r="P26" s="48">
        <f t="shared" si="4"/>
        <v>0.35796685677247114</v>
      </c>
      <c r="Q26" s="48">
        <f t="shared" si="4"/>
        <v>0.3413635077137111</v>
      </c>
      <c r="R26" s="48">
        <f t="shared" si="4"/>
        <v>0.33588589945514657</v>
      </c>
      <c r="S26" s="48">
        <f t="shared" si="4"/>
        <v>0.33454268730949899</v>
      </c>
      <c r="T26" s="48">
        <f t="shared" si="4"/>
        <v>0.29392112417015065</v>
      </c>
      <c r="U26" s="48">
        <f t="shared" si="4"/>
        <v>0.2444242549351687</v>
      </c>
      <c r="V26" s="48">
        <f t="shared" si="4"/>
        <v>0.20948888167841928</v>
      </c>
      <c r="W26" s="48">
        <f t="shared" si="4"/>
        <v>0.21893854991464956</v>
      </c>
      <c r="X26" s="48">
        <f t="shared" si="4"/>
        <v>0.25981263788883485</v>
      </c>
      <c r="Y26" s="48">
        <f t="shared" si="4"/>
        <v>0.27435036023947162</v>
      </c>
      <c r="Z26" s="48">
        <f t="shared" si="4"/>
        <v>0.25688327216801626</v>
      </c>
      <c r="AA26" s="48">
        <f t="shared" si="4"/>
        <v>0.22420868256869519</v>
      </c>
      <c r="AB26" s="48">
        <f t="shared" si="4"/>
        <v>0.20548449798364102</v>
      </c>
      <c r="AC26" s="48">
        <f t="shared" si="4"/>
        <v>0.21149283260800988</v>
      </c>
      <c r="AD26" s="48">
        <f t="shared" si="4"/>
        <v>0.23197946542966152</v>
      </c>
      <c r="AE26" s="48">
        <f t="shared" si="4"/>
        <v>0.26761503303627743</v>
      </c>
      <c r="AF26" s="48">
        <f t="shared" si="4"/>
        <v>0.30424775367912388</v>
      </c>
      <c r="AG26" s="48">
        <f t="shared" si="4"/>
        <v>0.35092004120307618</v>
      </c>
      <c r="AH26" s="48">
        <f t="shared" si="4"/>
        <v>0.44241369744630549</v>
      </c>
      <c r="AI26" s="48">
        <f t="shared" si="4"/>
        <v>0.52880239542150054</v>
      </c>
      <c r="AJ26" s="48">
        <f t="shared" si="4"/>
        <v>0.59222031250824081</v>
      </c>
      <c r="AK26" s="48">
        <f t="shared" si="4"/>
        <v>0.64214974115683132</v>
      </c>
      <c r="AL26" s="48">
        <f t="shared" si="4"/>
        <v>0.64961924175543517</v>
      </c>
      <c r="AM26" s="48">
        <f t="shared" si="4"/>
        <v>0.66816658263478546</v>
      </c>
      <c r="AN26" s="48">
        <f t="shared" si="4"/>
        <v>0.72040097195744579</v>
      </c>
      <c r="AO26" s="48">
        <f t="shared" si="4"/>
        <v>0.77294405262061161</v>
      </c>
      <c r="AP26" s="48">
        <f t="shared" si="4"/>
        <v>0.77936096432790514</v>
      </c>
      <c r="AQ26" s="48">
        <f t="shared" si="4"/>
        <v>0.71579734365468684</v>
      </c>
      <c r="AR26" s="48">
        <f t="shared" si="4"/>
        <v>0.66532281083212974</v>
      </c>
      <c r="AS26" s="48">
        <f t="shared" si="4"/>
        <v>0.7188775575571752</v>
      </c>
      <c r="AT26" s="48">
        <f t="shared" si="4"/>
        <v>0.75718485311945594</v>
      </c>
      <c r="AU26" s="48">
        <f t="shared" si="4"/>
        <v>0.7353226032172967</v>
      </c>
      <c r="AV26" s="48">
        <f t="shared" si="4"/>
        <v>0.66797099030784868</v>
      </c>
      <c r="AW26" s="48">
        <f t="shared" si="4"/>
        <v>0.59150156573852919</v>
      </c>
      <c r="AX26" s="48">
        <f t="shared" si="4"/>
        <v>0.56699169225424417</v>
      </c>
      <c r="AY26" s="48">
        <f t="shared" si="4"/>
        <v>0.55610632414527006</v>
      </c>
      <c r="AZ26" s="48">
        <f t="shared" si="4"/>
        <v>0.54016323517711828</v>
      </c>
      <c r="BA26" s="48">
        <f t="shared" si="4"/>
        <v>0.50790826476737339</v>
      </c>
      <c r="BB26" s="48">
        <f t="shared" si="4"/>
        <v>0.46281646095947138</v>
      </c>
      <c r="BC26" s="48">
        <f t="shared" si="4"/>
        <v>0.40878339192714935</v>
      </c>
      <c r="BD26" s="48">
        <f t="shared" si="4"/>
        <v>0.39154160562085333</v>
      </c>
      <c r="BE26" s="48">
        <f t="shared" si="4"/>
        <v>0.38150403129018934</v>
      </c>
      <c r="BF26" s="48">
        <f t="shared" si="4"/>
        <v>0.35245057627038184</v>
      </c>
      <c r="BG26" s="48">
        <f t="shared" si="4"/>
        <v>0.32289879791230641</v>
      </c>
      <c r="BH26" s="48">
        <f t="shared" si="4"/>
        <v>0.31170096700688327</v>
      </c>
      <c r="BI26" s="48">
        <f t="shared" si="4"/>
        <v>0.3695440677490045</v>
      </c>
      <c r="BJ26" s="48">
        <f t="shared" si="4"/>
        <v>0.45454593283531869</v>
      </c>
      <c r="BK26" s="48">
        <f t="shared" si="4"/>
        <v>0.49843009634109814</v>
      </c>
      <c r="BL26" s="48">
        <f t="shared" si="4"/>
        <v>0.46651804053748341</v>
      </c>
      <c r="BM26" s="48">
        <f t="shared" si="4"/>
        <v>0.43377734188515804</v>
      </c>
      <c r="BN26" s="48">
        <f t="shared" si="4"/>
        <v>0.40254000231175652</v>
      </c>
      <c r="BO26" s="48">
        <f t="shared" si="4"/>
        <v>0.38677896132704581</v>
      </c>
      <c r="BP26" s="48">
        <f t="shared" si="4"/>
        <v>0.39680720172114242</v>
      </c>
      <c r="BQ26" s="48">
        <f t="shared" si="4"/>
        <v>0.44342555229166836</v>
      </c>
      <c r="BR26" s="48">
        <f t="shared" si="4"/>
        <v>0.49606093465423545</v>
      </c>
      <c r="BS26" s="48">
        <f t="shared" si="4"/>
        <v>0.51423863370983258</v>
      </c>
      <c r="BT26" s="48">
        <f t="shared" si="4"/>
        <v>0.50664371978493217</v>
      </c>
      <c r="BU26" s="48">
        <f t="shared" si="4"/>
        <v>0.4780195084512377</v>
      </c>
      <c r="BV26" s="48">
        <f t="shared" ref="BV26:EB26" si="5">AVERAGE(BV40:BV42)</f>
        <v>0.5044216603990167</v>
      </c>
      <c r="BW26" s="48">
        <f t="shared" si="5"/>
        <v>0.53917476968356348</v>
      </c>
      <c r="BX26" s="48">
        <f t="shared" si="5"/>
        <v>0.58535957853134779</v>
      </c>
      <c r="BY26" s="48">
        <f t="shared" si="5"/>
        <v>0.62733883677904201</v>
      </c>
      <c r="BZ26" s="48">
        <f t="shared" si="5"/>
        <v>0.65336259883694636</v>
      </c>
      <c r="CA26" s="48">
        <f t="shared" si="5"/>
        <v>0.66409357027305027</v>
      </c>
      <c r="CB26" s="48">
        <f t="shared" si="5"/>
        <v>0.68543048630681824</v>
      </c>
      <c r="CC26" s="48">
        <f t="shared" si="5"/>
        <v>0.71151806793376471</v>
      </c>
      <c r="CD26" s="48">
        <f t="shared" si="5"/>
        <v>0.72322420780510421</v>
      </c>
      <c r="CE26" s="48">
        <f t="shared" si="5"/>
        <v>0.69442591303183876</v>
      </c>
      <c r="CF26" s="48">
        <f t="shared" si="5"/>
        <v>0.66723921334193603</v>
      </c>
      <c r="CG26" s="48">
        <f t="shared" si="5"/>
        <v>0.66380737404964696</v>
      </c>
      <c r="CH26" s="48">
        <f t="shared" si="5"/>
        <v>0.71531921369198781</v>
      </c>
      <c r="CI26" s="48">
        <f t="shared" si="5"/>
        <v>0.71895677377628076</v>
      </c>
      <c r="CJ26" s="48">
        <f t="shared" si="5"/>
        <v>0.70263257852455008</v>
      </c>
      <c r="CK26" s="48">
        <f t="shared" si="5"/>
        <v>0.70696870955894842</v>
      </c>
      <c r="CL26" s="48">
        <f t="shared" si="5"/>
        <v>0.73983018768876596</v>
      </c>
      <c r="CM26" s="48">
        <f t="shared" si="5"/>
        <v>0.75572891905942097</v>
      </c>
      <c r="CN26" s="48">
        <f t="shared" si="5"/>
        <v>0.7485615482172433</v>
      </c>
      <c r="CO26" s="48">
        <f t="shared" si="5"/>
        <v>0.72745787701199538</v>
      </c>
      <c r="CP26" s="48">
        <f t="shared" si="5"/>
        <v>0.70668154410805994</v>
      </c>
      <c r="CQ26" s="48">
        <f t="shared" si="5"/>
        <v>0.71722479224921354</v>
      </c>
      <c r="CR26" s="48">
        <f t="shared" si="5"/>
        <v>0.72730628947327014</v>
      </c>
      <c r="CS26" s="48">
        <f t="shared" si="5"/>
        <v>0.72913588683018948</v>
      </c>
      <c r="CT26" s="48">
        <f t="shared" si="5"/>
        <v>0.70690929334395347</v>
      </c>
      <c r="CU26" s="48">
        <f t="shared" si="5"/>
        <v>0.68504125942809135</v>
      </c>
      <c r="CV26" s="48">
        <f t="shared" si="5"/>
        <v>0.65950323972615554</v>
      </c>
      <c r="CW26" s="48">
        <f t="shared" si="5"/>
        <v>0.61699521900822341</v>
      </c>
      <c r="CX26" s="48">
        <f t="shared" si="5"/>
        <v>0.57696253383199203</v>
      </c>
      <c r="CY26" s="48">
        <f t="shared" si="5"/>
        <v>0.53085326446981085</v>
      </c>
      <c r="CZ26" s="48">
        <f t="shared" si="5"/>
        <v>0.50258857988895311</v>
      </c>
      <c r="DA26" s="48">
        <f t="shared" si="5"/>
        <v>0.45907622637852868</v>
      </c>
      <c r="DB26" s="48">
        <f t="shared" si="5"/>
        <v>0.45059723113115208</v>
      </c>
      <c r="DC26" s="48">
        <f t="shared" si="5"/>
        <v>0.43345518103460146</v>
      </c>
      <c r="DD26" s="48">
        <f t="shared" si="5"/>
        <v>0.39176692808046559</v>
      </c>
      <c r="DE26" s="48">
        <f t="shared" si="5"/>
        <v>0.33915524739027703</v>
      </c>
      <c r="DF26" s="48">
        <f t="shared" si="5"/>
        <v>0.28603640407070768</v>
      </c>
    </row>
    <row r="27" spans="1:110" x14ac:dyDescent="0.2">
      <c r="A27" s="46" t="s">
        <v>250</v>
      </c>
      <c r="B27" s="47">
        <f t="shared" si="2"/>
        <v>12.367054743344818</v>
      </c>
      <c r="C27" s="47">
        <f t="shared" si="3"/>
        <v>3.4185960675596205</v>
      </c>
      <c r="D27" s="40"/>
      <c r="E27" s="40"/>
      <c r="F27" s="48">
        <f>AVERAGE(F43:F45)</f>
        <v>0.51593607038990796</v>
      </c>
      <c r="G27" s="48">
        <f>AVERAGE(G43:G45)</f>
        <v>0.51525971242359792</v>
      </c>
      <c r="H27" s="48">
        <f>AVERAGE(H43:H45)</f>
        <v>0.50601597648646746</v>
      </c>
      <c r="I27" s="48">
        <f>AVERAGE(I43:I45)</f>
        <v>0.48175010971431176</v>
      </c>
      <c r="J27" s="48">
        <f t="shared" ref="J27:BU27" si="6">AVERAGE(J43:J45)</f>
        <v>0.46921166851374801</v>
      </c>
      <c r="K27" s="48">
        <f t="shared" si="6"/>
        <v>0.42722234148992366</v>
      </c>
      <c r="L27" s="48">
        <f t="shared" si="6"/>
        <v>0.41386443612551843</v>
      </c>
      <c r="M27" s="48">
        <f t="shared" si="6"/>
        <v>0.39597114429437807</v>
      </c>
      <c r="N27" s="48">
        <f t="shared" si="6"/>
        <v>0.43628525780023253</v>
      </c>
      <c r="O27" s="48">
        <f t="shared" si="6"/>
        <v>0.4485923141681662</v>
      </c>
      <c r="P27" s="48">
        <f t="shared" si="6"/>
        <v>0.4261375286790629</v>
      </c>
      <c r="Q27" s="48">
        <f t="shared" si="6"/>
        <v>0.39226552295645978</v>
      </c>
      <c r="R27" s="48">
        <f t="shared" si="6"/>
        <v>0.36075873377020123</v>
      </c>
      <c r="S27" s="48">
        <f t="shared" si="6"/>
        <v>0.33962218088893442</v>
      </c>
      <c r="T27" s="48">
        <f t="shared" si="6"/>
        <v>0.33846986644399002</v>
      </c>
      <c r="U27" s="48">
        <f t="shared" si="6"/>
        <v>0.34209056904520035</v>
      </c>
      <c r="V27" s="48">
        <f t="shared" si="6"/>
        <v>0.38424504863868297</v>
      </c>
      <c r="W27" s="48">
        <f t="shared" si="6"/>
        <v>0.39980996221410353</v>
      </c>
      <c r="X27" s="48">
        <f t="shared" si="6"/>
        <v>0.42536589118334572</v>
      </c>
      <c r="Y27" s="48">
        <f t="shared" si="6"/>
        <v>0.40099294645269429</v>
      </c>
      <c r="Z27" s="48">
        <f t="shared" si="6"/>
        <v>0.40309594355189704</v>
      </c>
      <c r="AA27" s="48">
        <f t="shared" si="6"/>
        <v>0.41775008153291981</v>
      </c>
      <c r="AB27" s="48">
        <f t="shared" si="6"/>
        <v>0.4761801088412641</v>
      </c>
      <c r="AC27" s="48">
        <f t="shared" si="6"/>
        <v>0.52880739670130583</v>
      </c>
      <c r="AD27" s="48">
        <f t="shared" si="6"/>
        <v>0.56996162450557974</v>
      </c>
      <c r="AE27" s="48">
        <f t="shared" si="6"/>
        <v>0.58224008783802794</v>
      </c>
      <c r="AF27" s="48">
        <f t="shared" si="6"/>
        <v>0.58163704045219033</v>
      </c>
      <c r="AG27" s="48">
        <f t="shared" si="6"/>
        <v>0.59349116598940765</v>
      </c>
      <c r="AH27" s="48">
        <f t="shared" si="6"/>
        <v>0.58499812440570709</v>
      </c>
      <c r="AI27" s="48">
        <f t="shared" si="6"/>
        <v>0.61724989903842298</v>
      </c>
      <c r="AJ27" s="48">
        <f t="shared" si="6"/>
        <v>0.68155925801282857</v>
      </c>
      <c r="AK27" s="48">
        <f t="shared" si="6"/>
        <v>0.7156162867984236</v>
      </c>
      <c r="AL27" s="48">
        <f t="shared" si="6"/>
        <v>0.70320354787890904</v>
      </c>
      <c r="AM27" s="48">
        <f t="shared" si="6"/>
        <v>0.61921869302695631</v>
      </c>
      <c r="AN27" s="48">
        <f t="shared" si="6"/>
        <v>0.61429517914433218</v>
      </c>
      <c r="AO27" s="48">
        <f t="shared" si="6"/>
        <v>0.6400882933574723</v>
      </c>
      <c r="AP27" s="48">
        <f t="shared" si="6"/>
        <v>0.68317617586981205</v>
      </c>
      <c r="AQ27" s="48">
        <f t="shared" si="6"/>
        <v>0.688504908896031</v>
      </c>
      <c r="AR27" s="48">
        <f t="shared" si="6"/>
        <v>0.70942789846640852</v>
      </c>
      <c r="AS27" s="48">
        <f t="shared" si="6"/>
        <v>0.70084933101484992</v>
      </c>
      <c r="AT27" s="48">
        <f t="shared" si="6"/>
        <v>0.71160164038270957</v>
      </c>
      <c r="AU27" s="48">
        <f t="shared" si="6"/>
        <v>0.72577603762690812</v>
      </c>
      <c r="AV27" s="48">
        <f t="shared" si="6"/>
        <v>0.76647526814427958</v>
      </c>
      <c r="AW27" s="48">
        <f t="shared" si="6"/>
        <v>0.7776156923841816</v>
      </c>
      <c r="AX27" s="48">
        <f t="shared" si="6"/>
        <v>0.73708571950470825</v>
      </c>
      <c r="AY27" s="48">
        <f t="shared" si="6"/>
        <v>0.6396787945042518</v>
      </c>
      <c r="AZ27" s="48">
        <f t="shared" si="6"/>
        <v>0.57692185758488157</v>
      </c>
      <c r="BA27" s="48">
        <f t="shared" si="6"/>
        <v>0.54072459306755549</v>
      </c>
      <c r="BB27" s="48">
        <f t="shared" si="6"/>
        <v>0.47885750317095527</v>
      </c>
      <c r="BC27" s="48">
        <f t="shared" si="6"/>
        <v>0.44756427444793728</v>
      </c>
      <c r="BD27" s="48">
        <f t="shared" si="6"/>
        <v>0.40604284527157325</v>
      </c>
      <c r="BE27" s="48">
        <f t="shared" si="6"/>
        <v>0.39666463445383354</v>
      </c>
      <c r="BF27" s="48">
        <f t="shared" si="6"/>
        <v>0.37820627719750971</v>
      </c>
      <c r="BG27" s="48">
        <f t="shared" si="6"/>
        <v>0.31943437736819397</v>
      </c>
      <c r="BH27" s="48">
        <f t="shared" si="6"/>
        <v>0.27197766958240965</v>
      </c>
      <c r="BI27" s="48">
        <f t="shared" si="6"/>
        <v>0.22198843944071878</v>
      </c>
      <c r="BJ27" s="48">
        <f t="shared" si="6"/>
        <v>0.28988873479257443</v>
      </c>
      <c r="BK27" s="48">
        <f t="shared" si="6"/>
        <v>0.33866504242996415</v>
      </c>
      <c r="BL27" s="48">
        <f t="shared" si="6"/>
        <v>0.35090611502275021</v>
      </c>
      <c r="BM27" s="48">
        <f t="shared" si="6"/>
        <v>0.33391797718688715</v>
      </c>
      <c r="BN27" s="48">
        <f t="shared" si="6"/>
        <v>0.32402696716619334</v>
      </c>
      <c r="BO27" s="48">
        <f t="shared" si="6"/>
        <v>0.32306856736779288</v>
      </c>
      <c r="BP27" s="48">
        <f t="shared" si="6"/>
        <v>0.34757853041556452</v>
      </c>
      <c r="BQ27" s="48">
        <f t="shared" si="6"/>
        <v>0.35383134655602683</v>
      </c>
      <c r="BR27" s="48">
        <f t="shared" si="6"/>
        <v>0.34092416134507725</v>
      </c>
      <c r="BS27" s="48">
        <f t="shared" si="6"/>
        <v>0.34565853988062289</v>
      </c>
      <c r="BT27" s="48">
        <f t="shared" si="6"/>
        <v>0.38425759611505467</v>
      </c>
      <c r="BU27" s="48">
        <f t="shared" si="6"/>
        <v>0.44329612716976236</v>
      </c>
      <c r="BV27" s="48">
        <f t="shared" ref="BV27:EB27" si="7">AVERAGE(BV43:BV45)</f>
        <v>0.43406571517558662</v>
      </c>
      <c r="BW27" s="48">
        <f t="shared" si="7"/>
        <v>0.43990257677662309</v>
      </c>
      <c r="BX27" s="48">
        <f t="shared" si="7"/>
        <v>0.45247592271354969</v>
      </c>
      <c r="BY27" s="48">
        <f t="shared" si="7"/>
        <v>0.43564941220609565</v>
      </c>
      <c r="BZ27" s="48">
        <f t="shared" si="7"/>
        <v>0.43116468110890932</v>
      </c>
      <c r="CA27" s="48">
        <f t="shared" si="7"/>
        <v>0.43398440036753688</v>
      </c>
      <c r="CB27" s="48">
        <f t="shared" si="7"/>
        <v>0.42577485036251456</v>
      </c>
      <c r="CC27" s="48">
        <f t="shared" si="7"/>
        <v>0.45932035339319538</v>
      </c>
      <c r="CD27" s="48">
        <f t="shared" si="7"/>
        <v>0.47755001963869109</v>
      </c>
      <c r="CE27" s="48">
        <f t="shared" si="7"/>
        <v>0.51403556071887113</v>
      </c>
      <c r="CF27" s="48">
        <f t="shared" si="7"/>
        <v>0.49822828773523115</v>
      </c>
      <c r="CG27" s="48">
        <f t="shared" si="7"/>
        <v>0.53835979824766478</v>
      </c>
      <c r="CH27" s="48">
        <f t="shared" si="7"/>
        <v>0.54478745331054201</v>
      </c>
      <c r="CI27" s="48">
        <f t="shared" si="7"/>
        <v>0.56998988613659429</v>
      </c>
      <c r="CJ27" s="48">
        <f t="shared" si="7"/>
        <v>0.55520750281779818</v>
      </c>
      <c r="CK27" s="48">
        <f t="shared" si="7"/>
        <v>0.59571626731361926</v>
      </c>
      <c r="CL27" s="48">
        <f t="shared" si="7"/>
        <v>0.60586277153287582</v>
      </c>
      <c r="CM27" s="48">
        <f t="shared" si="7"/>
        <v>0.61810902795169043</v>
      </c>
      <c r="CN27" s="48">
        <f t="shared" si="7"/>
        <v>0.60617823429046835</v>
      </c>
      <c r="CO27" s="48">
        <f t="shared" si="7"/>
        <v>0.59668206423757753</v>
      </c>
      <c r="CP27" s="48">
        <f t="shared" si="7"/>
        <v>0.5777450009703623</v>
      </c>
      <c r="CQ27" s="48">
        <f t="shared" si="7"/>
        <v>0.55494763712312511</v>
      </c>
      <c r="CR27" s="48">
        <f t="shared" si="7"/>
        <v>0.5530499315504982</v>
      </c>
      <c r="CS27" s="48">
        <f t="shared" si="7"/>
        <v>0.51858058557526987</v>
      </c>
      <c r="CT27" s="48">
        <f t="shared" si="7"/>
        <v>0.57693630353879344</v>
      </c>
      <c r="CU27" s="48">
        <f t="shared" si="7"/>
        <v>0.55217126108245096</v>
      </c>
      <c r="CV27" s="48">
        <f t="shared" si="7"/>
        <v>0.55850370986812037</v>
      </c>
      <c r="CW27" s="48">
        <f t="shared" si="7"/>
        <v>0.54267177291927793</v>
      </c>
      <c r="CX27" s="48">
        <f t="shared" si="7"/>
        <v>0.53191305114945753</v>
      </c>
      <c r="CY27" s="48">
        <f t="shared" si="7"/>
        <v>0.5128125136424625</v>
      </c>
      <c r="CZ27" s="48">
        <f t="shared" si="7"/>
        <v>0.50246871799492288</v>
      </c>
      <c r="DA27" s="48">
        <f t="shared" si="7"/>
        <v>0.47474561614517946</v>
      </c>
      <c r="DB27" s="48">
        <f t="shared" si="7"/>
        <v>0.46311021159757854</v>
      </c>
      <c r="DC27" s="48">
        <f t="shared" si="7"/>
        <v>0.46394678776413079</v>
      </c>
      <c r="DD27" s="48">
        <f t="shared" si="7"/>
        <v>0.47619029695965681</v>
      </c>
      <c r="DE27" s="48">
        <f t="shared" si="7"/>
        <v>0.46656053293506394</v>
      </c>
      <c r="DF27" s="48">
        <f t="shared" si="7"/>
        <v>0.39899876668322459</v>
      </c>
    </row>
    <row r="28" spans="1:110" x14ac:dyDescent="0.2">
      <c r="A28" s="46" t="s">
        <v>251</v>
      </c>
      <c r="B28" s="47">
        <f t="shared" si="2"/>
        <v>-0.56995057015920003</v>
      </c>
      <c r="C28" s="47">
        <f t="shared" si="3"/>
        <v>-2.4402369242508382</v>
      </c>
      <c r="D28" s="40"/>
      <c r="E28" s="40"/>
      <c r="F28" s="48">
        <f>AVERAGE(F46:F48)</f>
        <v>0.24961976921208384</v>
      </c>
      <c r="G28" s="48">
        <f>AVERAGE(G46:G48)</f>
        <v>0.24963531008114029</v>
      </c>
      <c r="H28" s="48">
        <f>AVERAGE(H46:H48)</f>
        <v>0.26607449635248814</v>
      </c>
      <c r="I28" s="48">
        <f>AVERAGE(I46:I48)</f>
        <v>0.27402213845459222</v>
      </c>
      <c r="J28" s="48">
        <f t="shared" ref="J28:BU28" si="8">AVERAGE(J46:J48)</f>
        <v>0.27434985184993038</v>
      </c>
      <c r="K28" s="48">
        <f t="shared" si="8"/>
        <v>0.26603217640115862</v>
      </c>
      <c r="L28" s="48">
        <f t="shared" si="8"/>
        <v>0.24942566099327115</v>
      </c>
      <c r="M28" s="48">
        <f t="shared" si="8"/>
        <v>0.24588838252048917</v>
      </c>
      <c r="N28" s="48">
        <f t="shared" si="8"/>
        <v>0.25651055281864193</v>
      </c>
      <c r="O28" s="48">
        <f t="shared" si="8"/>
        <v>0.25349116901916607</v>
      </c>
      <c r="P28" s="48">
        <f t="shared" si="8"/>
        <v>0.2483855028385932</v>
      </c>
      <c r="Q28" s="48">
        <f t="shared" si="8"/>
        <v>0.25531927491367584</v>
      </c>
      <c r="R28" s="48">
        <f t="shared" si="8"/>
        <v>0.24946329551277091</v>
      </c>
      <c r="S28" s="48">
        <f t="shared" si="8"/>
        <v>0.25880457923315442</v>
      </c>
      <c r="T28" s="48">
        <f t="shared" si="8"/>
        <v>0.26392224817273768</v>
      </c>
      <c r="U28" s="48">
        <f t="shared" si="8"/>
        <v>0.27505691895267842</v>
      </c>
      <c r="V28" s="48">
        <f t="shared" si="8"/>
        <v>0.28531590911699356</v>
      </c>
      <c r="W28" s="48">
        <f t="shared" si="8"/>
        <v>0.30758953615600004</v>
      </c>
      <c r="X28" s="48">
        <f t="shared" si="8"/>
        <v>0.36739414692013522</v>
      </c>
      <c r="Y28" s="48">
        <f t="shared" si="8"/>
        <v>0.39069919468372133</v>
      </c>
      <c r="Z28" s="48">
        <f t="shared" si="8"/>
        <v>0.38593284883769768</v>
      </c>
      <c r="AA28" s="48">
        <f t="shared" si="8"/>
        <v>0.42295535045859234</v>
      </c>
      <c r="AB28" s="48">
        <f t="shared" si="8"/>
        <v>0.47733412301465705</v>
      </c>
      <c r="AC28" s="48">
        <f t="shared" si="8"/>
        <v>0.47920856779590076</v>
      </c>
      <c r="AD28" s="48">
        <f t="shared" si="8"/>
        <v>0.48405091911801784</v>
      </c>
      <c r="AE28" s="48">
        <f t="shared" si="8"/>
        <v>0.46814069296127858</v>
      </c>
      <c r="AF28" s="48">
        <f t="shared" si="8"/>
        <v>0.47329004307927941</v>
      </c>
      <c r="AG28" s="48">
        <f t="shared" si="8"/>
        <v>0.47856804043932533</v>
      </c>
      <c r="AH28" s="48">
        <f t="shared" si="8"/>
        <v>0.46512905532043397</v>
      </c>
      <c r="AI28" s="48">
        <f t="shared" si="8"/>
        <v>0.47974110957010097</v>
      </c>
      <c r="AJ28" s="48">
        <f t="shared" si="8"/>
        <v>0.48230042089460506</v>
      </c>
      <c r="AK28" s="48">
        <f t="shared" si="8"/>
        <v>0.53390150477553788</v>
      </c>
      <c r="AL28" s="48">
        <f t="shared" si="8"/>
        <v>0.61860553863177092</v>
      </c>
      <c r="AM28" s="48">
        <f t="shared" si="8"/>
        <v>0.67818237241333712</v>
      </c>
      <c r="AN28" s="48">
        <f t="shared" si="8"/>
        <v>0.67299755276439621</v>
      </c>
      <c r="AO28" s="48">
        <f t="shared" si="8"/>
        <v>0.66942653935389707</v>
      </c>
      <c r="AP28" s="48">
        <f t="shared" si="8"/>
        <v>0.67157243520418886</v>
      </c>
      <c r="AQ28" s="48">
        <f t="shared" si="8"/>
        <v>0.67824569746060204</v>
      </c>
      <c r="AR28" s="48">
        <f t="shared" si="8"/>
        <v>0.68508166405118487</v>
      </c>
      <c r="AS28" s="48">
        <f t="shared" si="8"/>
        <v>0.68685408079553711</v>
      </c>
      <c r="AT28" s="48">
        <f t="shared" si="8"/>
        <v>0.68763556804293025</v>
      </c>
      <c r="AU28" s="48">
        <f t="shared" si="8"/>
        <v>0.72000107942831093</v>
      </c>
      <c r="AV28" s="48">
        <f t="shared" si="8"/>
        <v>0.76442751305198087</v>
      </c>
      <c r="AW28" s="48">
        <f t="shared" si="8"/>
        <v>0.78766154067375671</v>
      </c>
      <c r="AX28" s="48">
        <f t="shared" si="8"/>
        <v>0.73970477155433267</v>
      </c>
      <c r="AY28" s="48">
        <f t="shared" si="8"/>
        <v>0.6421975915114716</v>
      </c>
      <c r="AZ28" s="48">
        <f t="shared" si="8"/>
        <v>0.61995668693564943</v>
      </c>
      <c r="BA28" s="48">
        <f t="shared" si="8"/>
        <v>0.57644659492635164</v>
      </c>
      <c r="BB28" s="48">
        <f t="shared" si="8"/>
        <v>0.52919426801485603</v>
      </c>
      <c r="BC28" s="48">
        <f t="shared" si="8"/>
        <v>0.49979951622568719</v>
      </c>
      <c r="BD28" s="48">
        <f t="shared" si="8"/>
        <v>0.4889645237417754</v>
      </c>
      <c r="BE28" s="48">
        <f t="shared" si="8"/>
        <v>0.47621681044686914</v>
      </c>
      <c r="BF28" s="48">
        <f t="shared" si="8"/>
        <v>0.48389568536529448</v>
      </c>
      <c r="BG28" s="48">
        <f t="shared" si="8"/>
        <v>0.47891290339696796</v>
      </c>
      <c r="BH28" s="48">
        <f t="shared" si="8"/>
        <v>0.47760475224293591</v>
      </c>
      <c r="BI28" s="48">
        <f t="shared" si="8"/>
        <v>0.47780576018714044</v>
      </c>
      <c r="BJ28" s="48">
        <f t="shared" si="8"/>
        <v>0.47815032750421044</v>
      </c>
      <c r="BK28" s="48">
        <f t="shared" si="8"/>
        <v>0.50986179387335717</v>
      </c>
      <c r="BL28" s="48">
        <f t="shared" si="8"/>
        <v>0.49788445204095783</v>
      </c>
      <c r="BM28" s="48">
        <f t="shared" si="8"/>
        <v>0.51877198231488775</v>
      </c>
      <c r="BN28" s="48">
        <f t="shared" si="8"/>
        <v>0.52809127038312942</v>
      </c>
      <c r="BO28" s="48">
        <f t="shared" si="8"/>
        <v>0.53667188877324001</v>
      </c>
      <c r="BP28" s="48">
        <f t="shared" si="8"/>
        <v>0.52841039152870062</v>
      </c>
      <c r="BQ28" s="48">
        <f t="shared" si="8"/>
        <v>0.53249188429397476</v>
      </c>
      <c r="BR28" s="48">
        <f t="shared" si="8"/>
        <v>0.51979943987819466</v>
      </c>
      <c r="BS28" s="48">
        <f t="shared" si="8"/>
        <v>0.49250314127541933</v>
      </c>
      <c r="BT28" s="48">
        <f t="shared" si="8"/>
        <v>0.46903999734604485</v>
      </c>
      <c r="BU28" s="48">
        <f t="shared" si="8"/>
        <v>0.44542075684600402</v>
      </c>
      <c r="BV28" s="48">
        <f t="shared" ref="BV28:EB28" si="9">AVERAGE(BV46:BV48)</f>
        <v>0.44956356960890065</v>
      </c>
      <c r="BW28" s="48">
        <f t="shared" si="9"/>
        <v>0.44383598877855207</v>
      </c>
      <c r="BX28" s="48">
        <f t="shared" si="9"/>
        <v>0.4727621721871364</v>
      </c>
      <c r="BY28" s="48">
        <f t="shared" si="9"/>
        <v>0.49428770511543413</v>
      </c>
      <c r="BZ28" s="48">
        <f t="shared" si="9"/>
        <v>0.49781732245501176</v>
      </c>
      <c r="CA28" s="48">
        <f t="shared" si="9"/>
        <v>0.48578746916202181</v>
      </c>
      <c r="CB28" s="48">
        <f t="shared" si="9"/>
        <v>0.48236560280691254</v>
      </c>
      <c r="CC28" s="48">
        <f t="shared" si="9"/>
        <v>0.48215936621899419</v>
      </c>
      <c r="CD28" s="48">
        <f t="shared" si="9"/>
        <v>0.49371651603773375</v>
      </c>
      <c r="CE28" s="48">
        <f t="shared" si="9"/>
        <v>0.51212770742535474</v>
      </c>
      <c r="CF28" s="48">
        <f t="shared" si="9"/>
        <v>0.55207072472088192</v>
      </c>
      <c r="CG28" s="48">
        <f t="shared" si="9"/>
        <v>0.58007531590688255</v>
      </c>
      <c r="CH28" s="48">
        <f t="shared" si="9"/>
        <v>0.61771349196258829</v>
      </c>
      <c r="CI28" s="48">
        <f t="shared" si="9"/>
        <v>0.61358725060815411</v>
      </c>
      <c r="CJ28" s="48">
        <f t="shared" si="9"/>
        <v>0.61515928031290856</v>
      </c>
      <c r="CK28" s="48">
        <f t="shared" si="9"/>
        <v>0.61327658033796684</v>
      </c>
      <c r="CL28" s="48">
        <f t="shared" si="9"/>
        <v>0.60570545405476051</v>
      </c>
      <c r="CM28" s="48">
        <f t="shared" si="9"/>
        <v>0.5950684518767505</v>
      </c>
      <c r="CN28" s="48">
        <f t="shared" si="9"/>
        <v>0.59136780707196523</v>
      </c>
      <c r="CO28" s="48">
        <f t="shared" si="9"/>
        <v>0.60071275763019261</v>
      </c>
      <c r="CP28" s="48">
        <f t="shared" si="9"/>
        <v>0.62150779396493039</v>
      </c>
      <c r="CQ28" s="48">
        <f t="shared" si="9"/>
        <v>0.63795826036573888</v>
      </c>
      <c r="CR28" s="48">
        <f t="shared" si="9"/>
        <v>0.6333564298336759</v>
      </c>
      <c r="CS28" s="48">
        <f t="shared" si="9"/>
        <v>0.62060081850236004</v>
      </c>
      <c r="CT28" s="48">
        <f t="shared" si="9"/>
        <v>0.590341164548709</v>
      </c>
      <c r="CU28" s="48">
        <f t="shared" si="9"/>
        <v>0.60485761573565155</v>
      </c>
      <c r="CV28" s="48">
        <f t="shared" si="9"/>
        <v>0.5887226523352963</v>
      </c>
      <c r="CW28" s="48">
        <f t="shared" si="9"/>
        <v>0.57550638614386707</v>
      </c>
      <c r="CX28" s="48">
        <f t="shared" si="9"/>
        <v>0.54815328466738522</v>
      </c>
      <c r="CY28" s="48">
        <f t="shared" si="9"/>
        <v>0.5108902037903913</v>
      </c>
      <c r="CZ28" s="48">
        <f t="shared" si="9"/>
        <v>0.50482079798508073</v>
      </c>
      <c r="DA28" s="48">
        <f t="shared" si="9"/>
        <v>0.50556080594721309</v>
      </c>
      <c r="DB28" s="48">
        <f t="shared" si="9"/>
        <v>0.51473406306691294</v>
      </c>
      <c r="DC28" s="48">
        <f t="shared" si="9"/>
        <v>0.50695843028405785</v>
      </c>
      <c r="DD28" s="48">
        <f t="shared" si="9"/>
        <v>0.47335867527734687</v>
      </c>
      <c r="DE28" s="48">
        <f t="shared" si="9"/>
        <v>0.45952922196299645</v>
      </c>
      <c r="DF28" s="48">
        <f t="shared" si="9"/>
        <v>0.42703094372928313</v>
      </c>
    </row>
    <row r="29" spans="1:110" x14ac:dyDescent="0.2">
      <c r="A29" s="46" t="s">
        <v>252</v>
      </c>
      <c r="B29" s="47">
        <f t="shared" si="2"/>
        <v>-17.387366120168853</v>
      </c>
      <c r="C29" s="47">
        <f t="shared" si="3"/>
        <v>-3.4178616280813423</v>
      </c>
      <c r="D29" s="40"/>
      <c r="E29" s="40"/>
      <c r="F29" s="48">
        <f>AVERAGE(F49:F55)</f>
        <v>0.38609416251629874</v>
      </c>
      <c r="G29" s="48">
        <f>AVERAGE(G49:G55)</f>
        <v>0.3917754757797513</v>
      </c>
      <c r="H29" s="48">
        <f>AVERAGE(H49:H55)</f>
        <v>0.40089366646385649</v>
      </c>
      <c r="I29" s="48">
        <f>AVERAGE(I49:I55)</f>
        <v>0.42027277879711217</v>
      </c>
      <c r="J29" s="48">
        <f t="shared" ref="J29:BU29" si="10">AVERAGE(J49:J55)</f>
        <v>0.44635147893057953</v>
      </c>
      <c r="K29" s="48">
        <f t="shared" si="10"/>
        <v>0.47846416136190106</v>
      </c>
      <c r="L29" s="48">
        <f t="shared" si="10"/>
        <v>0.49788380042961411</v>
      </c>
      <c r="M29" s="48">
        <f t="shared" si="10"/>
        <v>0.50194571507000696</v>
      </c>
      <c r="N29" s="48">
        <f t="shared" si="10"/>
        <v>0.60625803589676563</v>
      </c>
      <c r="O29" s="48">
        <f t="shared" si="10"/>
        <v>0.61063029492326459</v>
      </c>
      <c r="P29" s="48">
        <f t="shared" si="10"/>
        <v>0.59481216023900652</v>
      </c>
      <c r="Q29" s="48">
        <f t="shared" si="10"/>
        <v>0.55996782371798726</v>
      </c>
      <c r="R29" s="48">
        <f t="shared" si="10"/>
        <v>0.53784123677951357</v>
      </c>
      <c r="S29" s="48">
        <f t="shared" si="10"/>
        <v>0.49007792823244767</v>
      </c>
      <c r="T29" s="48">
        <f t="shared" si="10"/>
        <v>0.49306972129211202</v>
      </c>
      <c r="U29" s="48">
        <f t="shared" si="10"/>
        <v>0.52014299796147245</v>
      </c>
      <c r="V29" s="48">
        <f t="shared" si="10"/>
        <v>0.61085536215219016</v>
      </c>
      <c r="W29" s="48">
        <f t="shared" si="10"/>
        <v>0.59948257402717375</v>
      </c>
      <c r="X29" s="48">
        <f t="shared" si="10"/>
        <v>0.56811405586011965</v>
      </c>
      <c r="Y29" s="48">
        <f t="shared" si="10"/>
        <v>0.46263853403694427</v>
      </c>
      <c r="Z29" s="48">
        <f t="shared" si="10"/>
        <v>0.31263825849612764</v>
      </c>
      <c r="AA29" s="48">
        <f t="shared" si="10"/>
        <v>0.24413014896172194</v>
      </c>
      <c r="AB29" s="48">
        <f t="shared" si="10"/>
        <v>0.28978206181991784</v>
      </c>
      <c r="AC29" s="48">
        <f t="shared" si="10"/>
        <v>0.32567435409043066</v>
      </c>
      <c r="AD29" s="48">
        <f t="shared" si="10"/>
        <v>0.36341290885200916</v>
      </c>
      <c r="AE29" s="48">
        <f t="shared" si="10"/>
        <v>0.37718648591643128</v>
      </c>
      <c r="AF29" s="48">
        <f t="shared" si="10"/>
        <v>0.38214728021955063</v>
      </c>
      <c r="AG29" s="48">
        <f t="shared" si="10"/>
        <v>0.33180988472325057</v>
      </c>
      <c r="AH29" s="48">
        <f t="shared" si="10"/>
        <v>0.26997951614572019</v>
      </c>
      <c r="AI29" s="48">
        <f t="shared" si="10"/>
        <v>0.26621923519257662</v>
      </c>
      <c r="AJ29" s="48">
        <f t="shared" si="10"/>
        <v>0.34551093993434889</v>
      </c>
      <c r="AK29" s="48">
        <f t="shared" si="10"/>
        <v>0.43676696602182918</v>
      </c>
      <c r="AL29" s="48">
        <f t="shared" si="10"/>
        <v>0.55525014593297972</v>
      </c>
      <c r="AM29" s="48">
        <f t="shared" si="10"/>
        <v>0.54820279046184706</v>
      </c>
      <c r="AN29" s="48">
        <f t="shared" si="10"/>
        <v>0.57048484075475581</v>
      </c>
      <c r="AO29" s="48">
        <f t="shared" si="10"/>
        <v>0.60278434169883988</v>
      </c>
      <c r="AP29" s="48">
        <f t="shared" si="10"/>
        <v>0.62263488176300286</v>
      </c>
      <c r="AQ29" s="48">
        <f t="shared" si="10"/>
        <v>0.62166898729900311</v>
      </c>
      <c r="AR29" s="48">
        <f t="shared" si="10"/>
        <v>0.67740596418088439</v>
      </c>
      <c r="AS29" s="48">
        <f t="shared" si="10"/>
        <v>0.7325015066708056</v>
      </c>
      <c r="AT29" s="48">
        <f t="shared" si="10"/>
        <v>0.75502296204106589</v>
      </c>
      <c r="AU29" s="48">
        <f t="shared" si="10"/>
        <v>0.81501206785540681</v>
      </c>
      <c r="AV29" s="48">
        <f t="shared" si="10"/>
        <v>0.86622335603560319</v>
      </c>
      <c r="AW29" s="48">
        <f t="shared" si="10"/>
        <v>0.90074681669575762</v>
      </c>
      <c r="AX29" s="48">
        <f t="shared" si="10"/>
        <v>0.85488587681848827</v>
      </c>
      <c r="AY29" s="48">
        <f t="shared" si="10"/>
        <v>0.6083084712243082</v>
      </c>
      <c r="AZ29" s="48">
        <f t="shared" si="10"/>
        <v>0.53406773788296724</v>
      </c>
      <c r="BA29" s="48">
        <f t="shared" si="10"/>
        <v>0.52949368240563355</v>
      </c>
      <c r="BB29" s="48">
        <f t="shared" si="10"/>
        <v>0.49080224605038625</v>
      </c>
      <c r="BC29" s="48">
        <f t="shared" si="10"/>
        <v>0.41268862944904455</v>
      </c>
      <c r="BD29" s="48">
        <f t="shared" si="10"/>
        <v>0.38661576388455771</v>
      </c>
      <c r="BE29" s="48">
        <f t="shared" si="10"/>
        <v>0.3365943667688166</v>
      </c>
      <c r="BF29" s="48">
        <f t="shared" si="10"/>
        <v>0.26904184395982167</v>
      </c>
      <c r="BG29" s="48">
        <f t="shared" si="10"/>
        <v>0.19860396555009879</v>
      </c>
      <c r="BH29" s="48">
        <f t="shared" si="10"/>
        <v>0.13373231317612785</v>
      </c>
      <c r="BI29" s="48">
        <f t="shared" si="10"/>
        <v>0.12594748725581714</v>
      </c>
      <c r="BJ29" s="48">
        <f t="shared" si="10"/>
        <v>0.19133628989120927</v>
      </c>
      <c r="BK29" s="48">
        <f t="shared" si="10"/>
        <v>0.35933912478808766</v>
      </c>
      <c r="BL29" s="48">
        <f t="shared" si="10"/>
        <v>0.37347727782108014</v>
      </c>
      <c r="BM29" s="48">
        <f t="shared" si="10"/>
        <v>0.36297191558314373</v>
      </c>
      <c r="BN29" s="48">
        <f t="shared" si="10"/>
        <v>0.37271500976641886</v>
      </c>
      <c r="BO29" s="48">
        <f t="shared" si="10"/>
        <v>0.38686480723380984</v>
      </c>
      <c r="BP29" s="48">
        <f t="shared" si="10"/>
        <v>0.40551065128747948</v>
      </c>
      <c r="BQ29" s="48">
        <f t="shared" si="10"/>
        <v>0.39659128112837011</v>
      </c>
      <c r="BR29" s="48">
        <f t="shared" si="10"/>
        <v>0.39282021129391337</v>
      </c>
      <c r="BS29" s="48">
        <f t="shared" si="10"/>
        <v>0.40648959908139293</v>
      </c>
      <c r="BT29" s="48">
        <f t="shared" si="10"/>
        <v>0.38330388763828183</v>
      </c>
      <c r="BU29" s="48">
        <f t="shared" si="10"/>
        <v>0.41162662926388444</v>
      </c>
      <c r="BV29" s="48">
        <f t="shared" ref="BV29:EB29" si="11">AVERAGE(BV49:BV55)</f>
        <v>0.41818758773324244</v>
      </c>
      <c r="BW29" s="48">
        <f t="shared" si="11"/>
        <v>0.4580676266754487</v>
      </c>
      <c r="BX29" s="48">
        <f t="shared" si="11"/>
        <v>0.45184662245648394</v>
      </c>
      <c r="BY29" s="48">
        <f t="shared" si="11"/>
        <v>0.47559970203122315</v>
      </c>
      <c r="BZ29" s="48">
        <f t="shared" si="11"/>
        <v>0.47128334770279434</v>
      </c>
      <c r="CA29" s="48">
        <f t="shared" si="11"/>
        <v>0.50301488470660871</v>
      </c>
      <c r="CB29" s="48">
        <f t="shared" si="11"/>
        <v>0.54656650306397203</v>
      </c>
      <c r="CC29" s="48">
        <f t="shared" si="11"/>
        <v>0.56588577522816952</v>
      </c>
      <c r="CD29" s="48">
        <f t="shared" si="11"/>
        <v>0.59663190502965313</v>
      </c>
      <c r="CE29" s="48">
        <f t="shared" si="11"/>
        <v>0.61340797535110236</v>
      </c>
      <c r="CF29" s="48">
        <f t="shared" si="11"/>
        <v>0.60608399955677739</v>
      </c>
      <c r="CG29" s="48">
        <f t="shared" si="11"/>
        <v>0.6231900691710216</v>
      </c>
      <c r="CH29" s="48">
        <f t="shared" si="11"/>
        <v>0.59240434453644153</v>
      </c>
      <c r="CI29" s="48">
        <f t="shared" si="11"/>
        <v>0.61667218100672427</v>
      </c>
      <c r="CJ29" s="48">
        <f t="shared" si="11"/>
        <v>0.61093037704659303</v>
      </c>
      <c r="CK29" s="48">
        <f t="shared" si="11"/>
        <v>0.62187772276510511</v>
      </c>
      <c r="CL29" s="48">
        <f t="shared" si="11"/>
        <v>0.61430235571945124</v>
      </c>
      <c r="CM29" s="48">
        <f t="shared" si="11"/>
        <v>0.61605588428826519</v>
      </c>
      <c r="CN29" s="48">
        <f t="shared" si="11"/>
        <v>0.62523158485508368</v>
      </c>
      <c r="CO29" s="48">
        <f t="shared" si="11"/>
        <v>0.6328790179467797</v>
      </c>
      <c r="CP29" s="48">
        <f t="shared" si="11"/>
        <v>0.63679740381524341</v>
      </c>
      <c r="CQ29" s="48">
        <f t="shared" si="11"/>
        <v>0.62856376394850455</v>
      </c>
      <c r="CR29" s="48">
        <f t="shared" si="11"/>
        <v>0.6253868669628746</v>
      </c>
      <c r="CS29" s="48">
        <f t="shared" si="11"/>
        <v>0.60561952368833183</v>
      </c>
      <c r="CT29" s="48">
        <f t="shared" si="11"/>
        <v>0.61119896000104468</v>
      </c>
      <c r="CU29" s="48">
        <f t="shared" si="11"/>
        <v>0.59282657229467983</v>
      </c>
      <c r="CV29" s="48">
        <f t="shared" si="11"/>
        <v>0.58290516866136499</v>
      </c>
      <c r="CW29" s="48">
        <f t="shared" si="11"/>
        <v>0.56525723630482005</v>
      </c>
      <c r="CX29" s="48">
        <f t="shared" si="11"/>
        <v>0.55080804096198854</v>
      </c>
      <c r="CY29" s="48">
        <f t="shared" si="11"/>
        <v>0.53644169438274403</v>
      </c>
      <c r="CZ29" s="48">
        <f t="shared" si="11"/>
        <v>0.52246436334508084</v>
      </c>
      <c r="DA29" s="48">
        <f t="shared" si="11"/>
        <v>0.48695026936117858</v>
      </c>
      <c r="DB29" s="48">
        <f t="shared" si="11"/>
        <v>0.47340156877024009</v>
      </c>
      <c r="DC29" s="48">
        <f t="shared" si="11"/>
        <v>0.46057147961183836</v>
      </c>
      <c r="DD29" s="48">
        <f t="shared" si="11"/>
        <v>0.44352350628398557</v>
      </c>
      <c r="DE29" s="48">
        <f t="shared" si="11"/>
        <v>0.43859998227108649</v>
      </c>
      <c r="DF29" s="48">
        <f t="shared" si="11"/>
        <v>0.43361559951125778</v>
      </c>
    </row>
    <row r="30" spans="1:110" x14ac:dyDescent="0.2">
      <c r="A30" s="46" t="s">
        <v>253</v>
      </c>
      <c r="B30" s="47">
        <f t="shared" si="2"/>
        <v>-0.97394020644010482</v>
      </c>
      <c r="C30" s="47">
        <f t="shared" si="3"/>
        <v>0.64845492238851943</v>
      </c>
      <c r="D30" s="40"/>
      <c r="E30" s="40"/>
      <c r="F30" s="48">
        <f>AVERAGE(F56:F59)</f>
        <v>0.40483055078302088</v>
      </c>
      <c r="G30" s="48">
        <f>AVERAGE(G56:G59)</f>
        <v>0.42231418440411467</v>
      </c>
      <c r="H30" s="48">
        <f>AVERAGE(H56:H59)</f>
        <v>0.40623870670306361</v>
      </c>
      <c r="I30" s="48">
        <f>AVERAGE(I56:I59)</f>
        <v>0.39834600155913569</v>
      </c>
      <c r="J30" s="48">
        <f t="shared" ref="J30:BU30" si="12">AVERAGE(J56:J59)</f>
        <v>0.41391705763937886</v>
      </c>
      <c r="K30" s="48">
        <f t="shared" si="12"/>
        <v>0.45479367149239475</v>
      </c>
      <c r="L30" s="48">
        <f t="shared" si="12"/>
        <v>0.45973664260296171</v>
      </c>
      <c r="M30" s="48">
        <f t="shared" si="12"/>
        <v>0.42195568306672587</v>
      </c>
      <c r="N30" s="48">
        <f t="shared" si="12"/>
        <v>0.44357962860748557</v>
      </c>
      <c r="O30" s="48">
        <f t="shared" si="12"/>
        <v>0.45384324066557818</v>
      </c>
      <c r="P30" s="48">
        <f t="shared" si="12"/>
        <v>0.43070535893231598</v>
      </c>
      <c r="Q30" s="48">
        <f t="shared" si="12"/>
        <v>0.41456995284742193</v>
      </c>
      <c r="R30" s="48">
        <f t="shared" si="12"/>
        <v>0.39216101145237492</v>
      </c>
      <c r="S30" s="48">
        <f t="shared" si="12"/>
        <v>0.37329065147399054</v>
      </c>
      <c r="T30" s="48">
        <f t="shared" si="12"/>
        <v>0.35745796892911263</v>
      </c>
      <c r="U30" s="48">
        <f t="shared" si="12"/>
        <v>0.36073728749920703</v>
      </c>
      <c r="V30" s="48">
        <f t="shared" si="12"/>
        <v>0.33623878548501962</v>
      </c>
      <c r="W30" s="48">
        <f t="shared" si="12"/>
        <v>0.28287252910412047</v>
      </c>
      <c r="X30" s="48">
        <f t="shared" si="12"/>
        <v>0.2186926671689442</v>
      </c>
      <c r="Y30" s="48">
        <f t="shared" si="12"/>
        <v>0.19526167759783561</v>
      </c>
      <c r="Z30" s="48">
        <f t="shared" si="12"/>
        <v>0.19464266184480805</v>
      </c>
      <c r="AA30" s="48">
        <f t="shared" si="12"/>
        <v>0.22619352776457649</v>
      </c>
      <c r="AB30" s="48">
        <f t="shared" si="12"/>
        <v>0.20950565957769651</v>
      </c>
      <c r="AC30" s="48">
        <f t="shared" si="12"/>
        <v>0.2210407644328809</v>
      </c>
      <c r="AD30" s="48">
        <f t="shared" si="12"/>
        <v>0.24599614380155532</v>
      </c>
      <c r="AE30" s="48">
        <f t="shared" si="12"/>
        <v>0.25288920231067502</v>
      </c>
      <c r="AF30" s="48">
        <f t="shared" si="12"/>
        <v>0.25000572811005972</v>
      </c>
      <c r="AG30" s="48">
        <f t="shared" si="12"/>
        <v>0.27043833515831772</v>
      </c>
      <c r="AH30" s="48">
        <f t="shared" si="12"/>
        <v>0.29250351413169684</v>
      </c>
      <c r="AI30" s="48">
        <f t="shared" si="12"/>
        <v>0.3585752929883731</v>
      </c>
      <c r="AJ30" s="48">
        <f t="shared" si="12"/>
        <v>0.41188469587166227</v>
      </c>
      <c r="AK30" s="48">
        <f t="shared" si="12"/>
        <v>0.45138862066883356</v>
      </c>
      <c r="AL30" s="48">
        <f t="shared" si="12"/>
        <v>0.50180941025642412</v>
      </c>
      <c r="AM30" s="48">
        <f t="shared" si="12"/>
        <v>0.56672045862362996</v>
      </c>
      <c r="AN30" s="48">
        <f t="shared" si="12"/>
        <v>0.55638713438448995</v>
      </c>
      <c r="AO30" s="48">
        <f t="shared" si="12"/>
        <v>0.57814892176797306</v>
      </c>
      <c r="AP30" s="48">
        <f t="shared" si="12"/>
        <v>0.60153416699354545</v>
      </c>
      <c r="AQ30" s="48">
        <f t="shared" si="12"/>
        <v>0.62632202881705412</v>
      </c>
      <c r="AR30" s="48">
        <f t="shared" si="12"/>
        <v>0.63913787699175051</v>
      </c>
      <c r="AS30" s="48">
        <f t="shared" si="12"/>
        <v>0.64936455684854999</v>
      </c>
      <c r="AT30" s="48">
        <f t="shared" si="12"/>
        <v>0.63873192024068426</v>
      </c>
      <c r="AU30" s="48">
        <f t="shared" si="12"/>
        <v>0.63484013255923344</v>
      </c>
      <c r="AV30" s="48">
        <f t="shared" si="12"/>
        <v>0.63198383987366014</v>
      </c>
      <c r="AW30" s="48">
        <f t="shared" si="12"/>
        <v>0.6328928908893463</v>
      </c>
      <c r="AX30" s="48">
        <f t="shared" si="12"/>
        <v>0.59028404072610008</v>
      </c>
      <c r="AY30" s="48">
        <f t="shared" si="12"/>
        <v>0.50313953514902288</v>
      </c>
      <c r="AZ30" s="48">
        <f t="shared" si="12"/>
        <v>0.45616269472528487</v>
      </c>
      <c r="BA30" s="48">
        <f t="shared" si="12"/>
        <v>0.40491746428473518</v>
      </c>
      <c r="BB30" s="48">
        <f t="shared" si="12"/>
        <v>0.36670683513512137</v>
      </c>
      <c r="BC30" s="48">
        <f t="shared" si="12"/>
        <v>0.36455995706457778</v>
      </c>
      <c r="BD30" s="48">
        <f t="shared" si="12"/>
        <v>0.38733528196977912</v>
      </c>
      <c r="BE30" s="48">
        <f t="shared" si="12"/>
        <v>0.39838168261936785</v>
      </c>
      <c r="BF30" s="48">
        <f t="shared" si="12"/>
        <v>0.40268227776253629</v>
      </c>
      <c r="BG30" s="48">
        <f t="shared" si="12"/>
        <v>0.38427857880769833</v>
      </c>
      <c r="BH30" s="48">
        <f t="shared" si="12"/>
        <v>0.39426722353436905</v>
      </c>
      <c r="BI30" s="48">
        <f t="shared" si="12"/>
        <v>0.42388818809690354</v>
      </c>
      <c r="BJ30" s="48">
        <f t="shared" si="12"/>
        <v>0.46426971286052665</v>
      </c>
      <c r="BK30" s="48">
        <f t="shared" si="12"/>
        <v>0.48488823884473908</v>
      </c>
      <c r="BL30" s="48">
        <f t="shared" si="12"/>
        <v>0.49073542483401256</v>
      </c>
      <c r="BM30" s="48">
        <f t="shared" si="12"/>
        <v>0.48230381456507376</v>
      </c>
      <c r="BN30" s="48">
        <f t="shared" si="12"/>
        <v>0.46028868857212979</v>
      </c>
      <c r="BO30" s="48">
        <f t="shared" si="12"/>
        <v>0.43878292840596389</v>
      </c>
      <c r="BP30" s="48">
        <f t="shared" si="12"/>
        <v>0.45094550081316342</v>
      </c>
      <c r="BQ30" s="48">
        <f t="shared" si="12"/>
        <v>0.48417585477782354</v>
      </c>
      <c r="BR30" s="48">
        <f t="shared" si="12"/>
        <v>0.50689994766399216</v>
      </c>
      <c r="BS30" s="48">
        <f t="shared" si="12"/>
        <v>0.51042660681556795</v>
      </c>
      <c r="BT30" s="48">
        <f t="shared" si="12"/>
        <v>0.52717537762519306</v>
      </c>
      <c r="BU30" s="48">
        <f t="shared" si="12"/>
        <v>0.50997678104090027</v>
      </c>
      <c r="BV30" s="48">
        <f t="shared" ref="BV30:EB30" si="13">AVERAGE(BV56:BV59)</f>
        <v>0.52637747404437807</v>
      </c>
      <c r="BW30" s="48">
        <f t="shared" si="13"/>
        <v>0.56523516655001049</v>
      </c>
      <c r="BX30" s="48">
        <f t="shared" si="13"/>
        <v>0.61234819717762434</v>
      </c>
      <c r="BY30" s="48">
        <f t="shared" si="13"/>
        <v>0.64011671101290735</v>
      </c>
      <c r="BZ30" s="48">
        <f t="shared" si="13"/>
        <v>0.67316200452560859</v>
      </c>
      <c r="CA30" s="48">
        <f t="shared" si="13"/>
        <v>0.68965184725230511</v>
      </c>
      <c r="CB30" s="48">
        <f t="shared" si="13"/>
        <v>0.6871458793570524</v>
      </c>
      <c r="CC30" s="48">
        <f t="shared" si="13"/>
        <v>0.68398263002789861</v>
      </c>
      <c r="CD30" s="48">
        <f t="shared" si="13"/>
        <v>0.66277953478735929</v>
      </c>
      <c r="CE30" s="48">
        <f t="shared" si="13"/>
        <v>0.66055657286955949</v>
      </c>
      <c r="CF30" s="48">
        <f t="shared" si="13"/>
        <v>0.63945980564534721</v>
      </c>
      <c r="CG30" s="48">
        <f t="shared" si="13"/>
        <v>0.65909326353490694</v>
      </c>
      <c r="CH30" s="48">
        <f t="shared" si="13"/>
        <v>0.63801808315379205</v>
      </c>
      <c r="CI30" s="48">
        <f t="shared" si="13"/>
        <v>0.67608882187103458</v>
      </c>
      <c r="CJ30" s="48">
        <f t="shared" si="13"/>
        <v>0.65921783800688416</v>
      </c>
      <c r="CK30" s="48">
        <f t="shared" si="13"/>
        <v>0.66857160180327702</v>
      </c>
      <c r="CL30" s="48">
        <f t="shared" si="13"/>
        <v>0.68768451667802644</v>
      </c>
      <c r="CM30" s="48">
        <f t="shared" si="13"/>
        <v>0.6952899103488841</v>
      </c>
      <c r="CN30" s="48">
        <f t="shared" si="13"/>
        <v>0.69980208247248166</v>
      </c>
      <c r="CO30" s="48">
        <f t="shared" si="13"/>
        <v>0.67071657488489</v>
      </c>
      <c r="CP30" s="48">
        <f t="shared" si="13"/>
        <v>0.65541228948745356</v>
      </c>
      <c r="CQ30" s="48">
        <f t="shared" si="13"/>
        <v>0.63207231195313407</v>
      </c>
      <c r="CR30" s="48">
        <f t="shared" si="13"/>
        <v>0.63299133587252443</v>
      </c>
      <c r="CS30" s="48">
        <f t="shared" si="13"/>
        <v>0.62319162263928995</v>
      </c>
      <c r="CT30" s="48">
        <f t="shared" si="13"/>
        <v>0.61465433766304101</v>
      </c>
      <c r="CU30" s="48">
        <f t="shared" si="13"/>
        <v>0.59172201122773993</v>
      </c>
      <c r="CV30" s="48">
        <f t="shared" si="13"/>
        <v>0.58050464960191495</v>
      </c>
      <c r="CW30" s="48">
        <f t="shared" si="13"/>
        <v>0.55595290085026516</v>
      </c>
      <c r="CX30" s="48">
        <f t="shared" si="13"/>
        <v>0.5454542264115656</v>
      </c>
      <c r="CY30" s="48">
        <f t="shared" si="13"/>
        <v>0.54410929348429127</v>
      </c>
      <c r="CZ30" s="48">
        <f t="shared" si="13"/>
        <v>0.54800449047591249</v>
      </c>
      <c r="DA30" s="48">
        <f t="shared" si="13"/>
        <v>0.523867742961732</v>
      </c>
      <c r="DB30" s="48">
        <f t="shared" si="13"/>
        <v>0.53154623484473407</v>
      </c>
      <c r="DC30" s="48">
        <f t="shared" si="13"/>
        <v>0.54821304667477455</v>
      </c>
      <c r="DD30" s="48">
        <f t="shared" si="13"/>
        <v>0.55775391725683732</v>
      </c>
      <c r="DE30" s="48">
        <f t="shared" si="13"/>
        <v>0.56577833619424933</v>
      </c>
      <c r="DF30" s="48">
        <f t="shared" si="13"/>
        <v>0.52742240948249863</v>
      </c>
    </row>
    <row r="31" spans="1:110" x14ac:dyDescent="0.2">
      <c r="A31" s="46" t="s">
        <v>254</v>
      </c>
      <c r="B31" s="47">
        <f t="shared" si="2"/>
        <v>5.7246422211553627</v>
      </c>
      <c r="C31" s="47">
        <f t="shared" si="3"/>
        <v>8.5263907082019923</v>
      </c>
      <c r="D31" s="40"/>
      <c r="E31" s="40"/>
      <c r="F31" s="48">
        <f>AVERAGE(F61:F62)</f>
        <v>0.54655688197626029</v>
      </c>
      <c r="G31" s="48">
        <f>AVERAGE(G61:G62)</f>
        <v>0.50202250839565465</v>
      </c>
      <c r="H31" s="48">
        <f>AVERAGE(H61:H62)</f>
        <v>0.47686371983080733</v>
      </c>
      <c r="I31" s="48">
        <f>AVERAGE(I61:I62)</f>
        <v>0.46129297489424037</v>
      </c>
      <c r="J31" s="48">
        <f t="shared" ref="J31:BU31" si="14">AVERAGE(J61:J62)</f>
        <v>0.48148421510713219</v>
      </c>
      <c r="K31" s="48">
        <f t="shared" si="14"/>
        <v>0.49384912776755446</v>
      </c>
      <c r="L31" s="48">
        <f t="shared" si="14"/>
        <v>0.49827138867212639</v>
      </c>
      <c r="M31" s="48">
        <f t="shared" si="14"/>
        <v>0.49912260862811703</v>
      </c>
      <c r="N31" s="48">
        <f t="shared" si="14"/>
        <v>0.47421365786505509</v>
      </c>
      <c r="O31" s="48">
        <f t="shared" si="14"/>
        <v>0.46411595765040825</v>
      </c>
      <c r="P31" s="48">
        <f t="shared" si="14"/>
        <v>0.47313941913698543</v>
      </c>
      <c r="Q31" s="48">
        <f t="shared" si="14"/>
        <v>0.48931045976470666</v>
      </c>
      <c r="R31" s="48">
        <f t="shared" si="14"/>
        <v>0.50574960137654001</v>
      </c>
      <c r="S31" s="48">
        <f t="shared" si="14"/>
        <v>0.52540456497230603</v>
      </c>
      <c r="T31" s="48">
        <f t="shared" si="14"/>
        <v>0.53127212048019001</v>
      </c>
      <c r="U31" s="48">
        <f t="shared" si="14"/>
        <v>0.54024247972731398</v>
      </c>
      <c r="V31" s="48">
        <f t="shared" si="14"/>
        <v>0.53618935732127593</v>
      </c>
      <c r="W31" s="48">
        <f t="shared" si="14"/>
        <v>0.51518117642533523</v>
      </c>
      <c r="X31" s="48">
        <f t="shared" si="14"/>
        <v>0.50319421925960262</v>
      </c>
      <c r="Y31" s="48">
        <f t="shared" si="14"/>
        <v>0.469178371896805</v>
      </c>
      <c r="Z31" s="48">
        <f t="shared" si="14"/>
        <v>0.44003769892781719</v>
      </c>
      <c r="AA31" s="48">
        <f t="shared" si="14"/>
        <v>0.45281342837335381</v>
      </c>
      <c r="AB31" s="48">
        <f t="shared" si="14"/>
        <v>0.44264715972516622</v>
      </c>
      <c r="AC31" s="48">
        <f t="shared" si="14"/>
        <v>0.42573822367275371</v>
      </c>
      <c r="AD31" s="48">
        <f t="shared" si="14"/>
        <v>0.40149581494291553</v>
      </c>
      <c r="AE31" s="48">
        <f t="shared" si="14"/>
        <v>0.40532106120673383</v>
      </c>
      <c r="AF31" s="48">
        <f t="shared" si="14"/>
        <v>0.43180299781639508</v>
      </c>
      <c r="AG31" s="48">
        <f t="shared" si="14"/>
        <v>0.39878216425011292</v>
      </c>
      <c r="AH31" s="48">
        <f t="shared" si="14"/>
        <v>0.38614121277841151</v>
      </c>
      <c r="AI31" s="48">
        <f t="shared" si="14"/>
        <v>0.34932941124058609</v>
      </c>
      <c r="AJ31" s="48">
        <f t="shared" si="14"/>
        <v>0.36283489216195863</v>
      </c>
      <c r="AK31" s="48">
        <f t="shared" si="14"/>
        <v>0.37075632737954356</v>
      </c>
      <c r="AL31" s="48">
        <f t="shared" si="14"/>
        <v>0.37186923794429128</v>
      </c>
      <c r="AM31" s="48">
        <f t="shared" si="14"/>
        <v>0.3725789853556784</v>
      </c>
      <c r="AN31" s="48">
        <f t="shared" si="14"/>
        <v>0.4319331331606529</v>
      </c>
      <c r="AO31" s="48">
        <f t="shared" si="14"/>
        <v>0.41040624910602003</v>
      </c>
      <c r="AP31" s="48">
        <f t="shared" si="14"/>
        <v>0.4114912092959031</v>
      </c>
      <c r="AQ31" s="48">
        <f t="shared" si="14"/>
        <v>0.38136584182986594</v>
      </c>
      <c r="AR31" s="48">
        <f t="shared" si="14"/>
        <v>0.38116112404758867</v>
      </c>
      <c r="AS31" s="48">
        <f t="shared" si="14"/>
        <v>0.3969028701956992</v>
      </c>
      <c r="AT31" s="48">
        <f t="shared" si="14"/>
        <v>0.43270082871307119</v>
      </c>
      <c r="AU31" s="48">
        <f t="shared" si="14"/>
        <v>0.48714240866912756</v>
      </c>
      <c r="AV31" s="48">
        <f t="shared" si="14"/>
        <v>0.49771892782736415</v>
      </c>
      <c r="AW31" s="48">
        <f t="shared" si="14"/>
        <v>0.55347889686721163</v>
      </c>
      <c r="AX31" s="48">
        <f t="shared" si="14"/>
        <v>0.5462117965485962</v>
      </c>
      <c r="AY31" s="48">
        <f t="shared" si="14"/>
        <v>0.5403212333490951</v>
      </c>
      <c r="AZ31" s="48">
        <f t="shared" si="14"/>
        <v>0.50837989470552303</v>
      </c>
      <c r="BA31" s="48">
        <f t="shared" si="14"/>
        <v>0.48640057383628221</v>
      </c>
      <c r="BB31" s="48">
        <f t="shared" si="14"/>
        <v>0.4733897782795391</v>
      </c>
      <c r="BC31" s="48">
        <f t="shared" si="14"/>
        <v>0.46296798634787317</v>
      </c>
      <c r="BD31" s="48">
        <f t="shared" si="14"/>
        <v>0.4771316561520188</v>
      </c>
      <c r="BE31" s="48">
        <f t="shared" si="14"/>
        <v>0.43695145934893609</v>
      </c>
      <c r="BF31" s="48">
        <f t="shared" si="14"/>
        <v>0.43693970374818436</v>
      </c>
      <c r="BG31" s="48">
        <f t="shared" si="14"/>
        <v>0.4118919675261446</v>
      </c>
      <c r="BH31" s="48">
        <f t="shared" si="14"/>
        <v>0.40925225394609377</v>
      </c>
      <c r="BI31" s="48">
        <f t="shared" si="14"/>
        <v>0.41563028998019863</v>
      </c>
      <c r="BJ31" s="48">
        <f t="shared" si="14"/>
        <v>0.50647580419803506</v>
      </c>
      <c r="BK31" s="48">
        <f t="shared" si="14"/>
        <v>0.57539269463089004</v>
      </c>
      <c r="BL31" s="48">
        <f t="shared" si="14"/>
        <v>0.66929700960367722</v>
      </c>
      <c r="BM31" s="48">
        <f t="shared" si="14"/>
        <v>0.65954798797611058</v>
      </c>
      <c r="BN31" s="48">
        <f t="shared" si="14"/>
        <v>0.67348184904267938</v>
      </c>
      <c r="BO31" s="48">
        <f t="shared" si="14"/>
        <v>0.67526335245705793</v>
      </c>
      <c r="BP31" s="48">
        <f t="shared" si="14"/>
        <v>0.6791133226991849</v>
      </c>
      <c r="BQ31" s="48">
        <f t="shared" si="14"/>
        <v>0.68252643972019866</v>
      </c>
      <c r="BR31" s="48">
        <f t="shared" si="14"/>
        <v>0.69310986809017916</v>
      </c>
      <c r="BS31" s="48">
        <f t="shared" si="14"/>
        <v>0.68345647833902512</v>
      </c>
      <c r="BT31" s="48">
        <f t="shared" si="14"/>
        <v>0.70512433202742686</v>
      </c>
      <c r="BU31" s="48">
        <f t="shared" si="14"/>
        <v>0.73216832363451967</v>
      </c>
      <c r="BV31" s="48">
        <f t="shared" ref="BV31:EB31" si="15">AVERAGE(BV61:BV62)</f>
        <v>0.6825045435978605</v>
      </c>
      <c r="BW31" s="48">
        <f t="shared" si="15"/>
        <v>0.57901198403934795</v>
      </c>
      <c r="BX31" s="48">
        <f t="shared" si="15"/>
        <v>0.43869673224381311</v>
      </c>
      <c r="BY31" s="48">
        <f t="shared" si="15"/>
        <v>0.46072331478771156</v>
      </c>
      <c r="BZ31" s="48">
        <f t="shared" si="15"/>
        <v>0.43887059675727219</v>
      </c>
      <c r="CA31" s="48">
        <f t="shared" si="15"/>
        <v>0.43266062515159676</v>
      </c>
      <c r="CB31" s="48">
        <f t="shared" si="15"/>
        <v>0.38730614775231442</v>
      </c>
      <c r="CC31" s="48">
        <f t="shared" si="15"/>
        <v>0.3903953339232924</v>
      </c>
      <c r="CD31" s="48">
        <f t="shared" si="15"/>
        <v>0.34765827392137483</v>
      </c>
      <c r="CE31" s="48">
        <f t="shared" si="15"/>
        <v>0.34741664662302724</v>
      </c>
      <c r="CF31" s="48">
        <f t="shared" si="15"/>
        <v>0.32426730173151397</v>
      </c>
      <c r="CG31" s="48">
        <f t="shared" si="15"/>
        <v>0.35952317695114566</v>
      </c>
      <c r="CH31" s="48">
        <f t="shared" si="15"/>
        <v>0.37912341857045317</v>
      </c>
      <c r="CI31" s="48">
        <f t="shared" si="15"/>
        <v>0.47515617176943981</v>
      </c>
      <c r="CJ31" s="48">
        <f t="shared" si="15"/>
        <v>0.5936513435674462</v>
      </c>
      <c r="CK31" s="48">
        <f t="shared" si="15"/>
        <v>0.58858094015521678</v>
      </c>
      <c r="CL31" s="48">
        <f t="shared" si="15"/>
        <v>0.588686327963867</v>
      </c>
      <c r="CM31" s="48">
        <f t="shared" si="15"/>
        <v>0.6048215933012141</v>
      </c>
      <c r="CN31" s="48">
        <f t="shared" si="15"/>
        <v>0.59096137349202482</v>
      </c>
      <c r="CO31" s="48">
        <f t="shared" si="15"/>
        <v>0.56436336790844921</v>
      </c>
      <c r="CP31" s="48">
        <f t="shared" si="15"/>
        <v>0.53604693116720048</v>
      </c>
      <c r="CQ31" s="48">
        <f t="shared" si="15"/>
        <v>0.52832095965777048</v>
      </c>
      <c r="CR31" s="48">
        <f t="shared" si="15"/>
        <v>0.53225198670518192</v>
      </c>
      <c r="CS31" s="48">
        <f t="shared" si="15"/>
        <v>0.53909624134753709</v>
      </c>
      <c r="CT31" s="48">
        <f t="shared" si="15"/>
        <v>0.51650004334687294</v>
      </c>
      <c r="CU31" s="48">
        <f t="shared" si="15"/>
        <v>0.52439759504824801</v>
      </c>
      <c r="CV31" s="48">
        <f t="shared" si="15"/>
        <v>0.51364952379763762</v>
      </c>
      <c r="CW31" s="48">
        <f t="shared" si="15"/>
        <v>0.54492745501864404</v>
      </c>
      <c r="CX31" s="48">
        <f t="shared" si="15"/>
        <v>0.56460046335909575</v>
      </c>
      <c r="CY31" s="48">
        <f t="shared" si="15"/>
        <v>0.55661674667337291</v>
      </c>
      <c r="CZ31" s="48">
        <f t="shared" si="15"/>
        <v>0.55735500063306653</v>
      </c>
      <c r="DA31" s="48">
        <f t="shared" si="15"/>
        <v>0.54661143404657819</v>
      </c>
      <c r="DB31" s="48">
        <f t="shared" si="15"/>
        <v>0.57172438049275587</v>
      </c>
      <c r="DC31" s="48">
        <f t="shared" si="15"/>
        <v>0.60949346915654645</v>
      </c>
      <c r="DD31" s="48">
        <f t="shared" si="15"/>
        <v>0.59773522787703603</v>
      </c>
      <c r="DE31" s="48">
        <f t="shared" si="15"/>
        <v>0.55889729850783243</v>
      </c>
      <c r="DF31" s="48">
        <f t="shared" si="15"/>
        <v>0.56320974247322497</v>
      </c>
    </row>
    <row r="32" spans="1:110" x14ac:dyDescent="0.2">
      <c r="A32" s="46" t="s">
        <v>255</v>
      </c>
      <c r="B32" s="47">
        <f t="shared" si="2"/>
        <v>-0.74433405615924597</v>
      </c>
      <c r="C32" s="47">
        <f t="shared" si="3"/>
        <v>-0.16416704686775807</v>
      </c>
      <c r="D32" s="49" t="e">
        <f ca="1">_xludf.STDEV.P(W32:DF32)*100</f>
        <v>#NAME?</v>
      </c>
      <c r="E32" s="47"/>
      <c r="F32" s="48">
        <f>AVERAGE(F64:F65)</f>
        <v>0.45845532599512684</v>
      </c>
      <c r="G32" s="48">
        <f>AVERAGE(G64:G65)</f>
        <v>0.44686794895422727</v>
      </c>
      <c r="H32" s="48">
        <f>AVERAGE(H64:H65)</f>
        <v>0.4623196222246021</v>
      </c>
      <c r="I32" s="48">
        <f>AVERAGE(I64:I65)</f>
        <v>0.46009699646380442</v>
      </c>
      <c r="J32" s="48">
        <f t="shared" ref="J32:BU32" si="16">AVERAGE(J64:J65)</f>
        <v>0.48400064557100042</v>
      </c>
      <c r="K32" s="48">
        <f t="shared" si="16"/>
        <v>0.48471939079331744</v>
      </c>
      <c r="L32" s="48">
        <f t="shared" si="16"/>
        <v>0.52132469193830577</v>
      </c>
      <c r="M32" s="48">
        <f t="shared" si="16"/>
        <v>0.54474203802004217</v>
      </c>
      <c r="N32" s="48">
        <f t="shared" si="16"/>
        <v>0.54836581909534188</v>
      </c>
      <c r="O32" s="48">
        <f t="shared" si="16"/>
        <v>0.49149039655245763</v>
      </c>
      <c r="P32" s="48">
        <f t="shared" si="16"/>
        <v>0.46915861080427879</v>
      </c>
      <c r="Q32" s="48">
        <f t="shared" si="16"/>
        <v>0.4658986665567193</v>
      </c>
      <c r="R32" s="48">
        <f t="shared" si="16"/>
        <v>0.43263187458370161</v>
      </c>
      <c r="S32" s="48">
        <f t="shared" si="16"/>
        <v>0.4010053179124391</v>
      </c>
      <c r="T32" s="48">
        <f t="shared" si="16"/>
        <v>0.37225469678512596</v>
      </c>
      <c r="U32" s="48">
        <f t="shared" si="16"/>
        <v>0.3703467105985892</v>
      </c>
      <c r="V32" s="48">
        <f t="shared" si="16"/>
        <v>0.37422730798623849</v>
      </c>
      <c r="W32" s="48">
        <f t="shared" si="16"/>
        <v>0.38544294133150503</v>
      </c>
      <c r="X32" s="48">
        <f t="shared" si="16"/>
        <v>0.33227995173833647</v>
      </c>
      <c r="Y32" s="48">
        <f t="shared" si="16"/>
        <v>0.25034514505558947</v>
      </c>
      <c r="Z32" s="48">
        <f t="shared" si="16"/>
        <v>0.21775538977168679</v>
      </c>
      <c r="AA32" s="48">
        <f t="shared" si="16"/>
        <v>0.21748610188723017</v>
      </c>
      <c r="AB32" s="48">
        <f t="shared" si="16"/>
        <v>0.22850389405741886</v>
      </c>
      <c r="AC32" s="48">
        <f t="shared" si="16"/>
        <v>0.23971087456800849</v>
      </c>
      <c r="AD32" s="48">
        <f t="shared" si="16"/>
        <v>0.27139511920922638</v>
      </c>
      <c r="AE32" s="48">
        <f t="shared" si="16"/>
        <v>0.28636926172764454</v>
      </c>
      <c r="AF32" s="48">
        <f t="shared" si="16"/>
        <v>0.2893466225048375</v>
      </c>
      <c r="AG32" s="48">
        <f t="shared" si="16"/>
        <v>0.27761497471150265</v>
      </c>
      <c r="AH32" s="48">
        <f t="shared" si="16"/>
        <v>0.26543732693718186</v>
      </c>
      <c r="AI32" s="48">
        <f t="shared" si="16"/>
        <v>0.28849047165357306</v>
      </c>
      <c r="AJ32" s="48">
        <f t="shared" si="16"/>
        <v>0.3310336241919849</v>
      </c>
      <c r="AK32" s="48">
        <f t="shared" si="16"/>
        <v>0.40512197704666797</v>
      </c>
      <c r="AL32" s="48">
        <f t="shared" si="16"/>
        <v>0.48246495317443872</v>
      </c>
      <c r="AM32" s="48">
        <f t="shared" si="16"/>
        <v>0.57566782905905622</v>
      </c>
      <c r="AN32" s="48">
        <f t="shared" si="16"/>
        <v>0.62061554221759485</v>
      </c>
      <c r="AO32" s="48">
        <f t="shared" si="16"/>
        <v>0.66276775983216973</v>
      </c>
      <c r="AP32" s="48">
        <f t="shared" si="16"/>
        <v>0.59275666774486568</v>
      </c>
      <c r="AQ32" s="48">
        <f t="shared" si="16"/>
        <v>0.59301595261975382</v>
      </c>
      <c r="AR32" s="48">
        <f t="shared" si="16"/>
        <v>0.6043296497139683</v>
      </c>
      <c r="AS32" s="48">
        <f t="shared" si="16"/>
        <v>0.67487073171331524</v>
      </c>
      <c r="AT32" s="48">
        <f t="shared" si="16"/>
        <v>0.74423381262205968</v>
      </c>
      <c r="AU32" s="48">
        <f t="shared" si="16"/>
        <v>0.75297595795454153</v>
      </c>
      <c r="AV32" s="48">
        <f t="shared" si="16"/>
        <v>0.71536190684068346</v>
      </c>
      <c r="AW32" s="48">
        <f t="shared" si="16"/>
        <v>0.68387682502998204</v>
      </c>
      <c r="AX32" s="48">
        <f t="shared" si="16"/>
        <v>0.69473520393233135</v>
      </c>
      <c r="AY32" s="48">
        <f t="shared" si="16"/>
        <v>0.5420505228818806</v>
      </c>
      <c r="AZ32" s="48">
        <f t="shared" si="16"/>
        <v>0.50450573860132764</v>
      </c>
      <c r="BA32" s="48">
        <f t="shared" si="16"/>
        <v>0.49268185538894221</v>
      </c>
      <c r="BB32" s="48">
        <f t="shared" si="16"/>
        <v>0.45988350721946225</v>
      </c>
      <c r="BC32" s="48">
        <f t="shared" si="16"/>
        <v>0.38762501595070237</v>
      </c>
      <c r="BD32" s="48">
        <f t="shared" si="16"/>
        <v>0.3491162633378852</v>
      </c>
      <c r="BE32" s="48">
        <f t="shared" si="16"/>
        <v>0.35899429615322659</v>
      </c>
      <c r="BF32" s="48">
        <f t="shared" si="16"/>
        <v>0.36767066512403934</v>
      </c>
      <c r="BG32" s="48">
        <f t="shared" si="16"/>
        <v>0.33440107576268302</v>
      </c>
      <c r="BH32" s="48">
        <f t="shared" si="16"/>
        <v>0.22551060091660763</v>
      </c>
      <c r="BI32" s="48">
        <f t="shared" si="16"/>
        <v>0.21579129677891662</v>
      </c>
      <c r="BJ32" s="48">
        <f t="shared" si="16"/>
        <v>0.2523772442249983</v>
      </c>
      <c r="BK32" s="48">
        <f t="shared" si="16"/>
        <v>0.51988894900719618</v>
      </c>
      <c r="BL32" s="48">
        <f t="shared" si="16"/>
        <v>0.56607886334718516</v>
      </c>
      <c r="BM32" s="48">
        <f t="shared" si="16"/>
        <v>0.52731920262584631</v>
      </c>
      <c r="BN32" s="48">
        <f t="shared" si="16"/>
        <v>0.45073950239500682</v>
      </c>
      <c r="BO32" s="48">
        <f t="shared" si="16"/>
        <v>0.43787641558750756</v>
      </c>
      <c r="BP32" s="48">
        <f t="shared" si="16"/>
        <v>0.42885506707418619</v>
      </c>
      <c r="BQ32" s="48">
        <f t="shared" si="16"/>
        <v>0.4552469046947672</v>
      </c>
      <c r="BR32" s="48">
        <f t="shared" si="16"/>
        <v>0.49718513032347261</v>
      </c>
      <c r="BS32" s="48">
        <f t="shared" si="16"/>
        <v>0.51621625292546203</v>
      </c>
      <c r="BT32" s="48">
        <f t="shared" si="16"/>
        <v>0.48032336653317065</v>
      </c>
      <c r="BU32" s="48">
        <f t="shared" si="16"/>
        <v>0.48981595688425683</v>
      </c>
      <c r="BV32" s="48">
        <f t="shared" ref="BV32:EB32" si="17">AVERAGE(BV64:BV65)</f>
        <v>0.53677898950182434</v>
      </c>
      <c r="BW32" s="48">
        <f t="shared" si="17"/>
        <v>0.64694084969138355</v>
      </c>
      <c r="BX32" s="48">
        <f t="shared" si="17"/>
        <v>0.66206689706521238</v>
      </c>
      <c r="BY32" s="48">
        <f t="shared" si="17"/>
        <v>0.67187641513138752</v>
      </c>
      <c r="BZ32" s="48">
        <f t="shared" si="17"/>
        <v>0.64555328212870156</v>
      </c>
      <c r="CA32" s="48">
        <f t="shared" si="17"/>
        <v>0.61924139756517804</v>
      </c>
      <c r="CB32" s="48">
        <f t="shared" si="17"/>
        <v>0.64007922852392229</v>
      </c>
      <c r="CC32" s="48">
        <f t="shared" si="17"/>
        <v>0.68608427045078213</v>
      </c>
      <c r="CD32" s="48">
        <f t="shared" si="17"/>
        <v>0.69476384560322058</v>
      </c>
      <c r="CE32" s="48">
        <f t="shared" si="17"/>
        <v>0.68193079347247665</v>
      </c>
      <c r="CF32" s="48">
        <f t="shared" si="17"/>
        <v>0.64421940373640774</v>
      </c>
      <c r="CG32" s="48">
        <f t="shared" si="17"/>
        <v>0.66721801939613234</v>
      </c>
      <c r="CH32" s="48">
        <f t="shared" si="17"/>
        <v>0.68918989558493049</v>
      </c>
      <c r="CI32" s="48">
        <f t="shared" si="17"/>
        <v>0.66834650708941212</v>
      </c>
      <c r="CJ32" s="48">
        <f t="shared" si="17"/>
        <v>0.66185017454769901</v>
      </c>
      <c r="CK32" s="48">
        <f t="shared" si="17"/>
        <v>0.65645671086266422</v>
      </c>
      <c r="CL32" s="48">
        <f t="shared" si="17"/>
        <v>0.64193035107057694</v>
      </c>
      <c r="CM32" s="48">
        <f t="shared" si="17"/>
        <v>0.60506878869433611</v>
      </c>
      <c r="CN32" s="48">
        <f t="shared" si="17"/>
        <v>0.62309000879571919</v>
      </c>
      <c r="CO32" s="48">
        <f t="shared" si="17"/>
        <v>0.6403092248152461</v>
      </c>
      <c r="CP32" s="48">
        <f t="shared" si="17"/>
        <v>0.64887603544431616</v>
      </c>
      <c r="CQ32" s="48">
        <f t="shared" si="17"/>
        <v>0.65983748629261085</v>
      </c>
      <c r="CR32" s="48">
        <f t="shared" si="17"/>
        <v>0.62791111427170443</v>
      </c>
      <c r="CS32" s="48">
        <f t="shared" si="17"/>
        <v>0.55912914833688965</v>
      </c>
      <c r="CT32" s="48">
        <f t="shared" si="17"/>
        <v>0.56506272647859856</v>
      </c>
      <c r="CU32" s="48">
        <f t="shared" si="17"/>
        <v>0.57928740836335413</v>
      </c>
      <c r="CV32" s="48">
        <f t="shared" si="17"/>
        <v>0.58390595789033994</v>
      </c>
      <c r="CW32" s="48">
        <f t="shared" si="17"/>
        <v>0.58289525043758317</v>
      </c>
      <c r="CX32" s="48">
        <f t="shared" si="17"/>
        <v>0.58318429549724748</v>
      </c>
      <c r="CY32" s="48">
        <f t="shared" si="17"/>
        <v>0.5508558413994058</v>
      </c>
      <c r="CZ32" s="48">
        <f t="shared" si="17"/>
        <v>0.5103376395709146</v>
      </c>
      <c r="DA32" s="48">
        <f t="shared" si="17"/>
        <v>0.50396025571828096</v>
      </c>
      <c r="DB32" s="48">
        <f t="shared" si="17"/>
        <v>0.48115386582713127</v>
      </c>
      <c r="DC32" s="48">
        <f t="shared" si="17"/>
        <v>0.47989362846440797</v>
      </c>
      <c r="DD32" s="48">
        <f t="shared" si="17"/>
        <v>0.42326043123396373</v>
      </c>
      <c r="DE32" s="48">
        <f t="shared" si="17"/>
        <v>0.41894674894897377</v>
      </c>
      <c r="DF32" s="48">
        <f t="shared" si="17"/>
        <v>0.42437958690975663</v>
      </c>
    </row>
    <row r="33" spans="1:110" x14ac:dyDescent="0.2">
      <c r="A33" s="46" t="s">
        <v>256</v>
      </c>
      <c r="B33" s="47">
        <f t="shared" si="2"/>
        <v>-4.448187681748605</v>
      </c>
      <c r="C33" s="47">
        <f t="shared" si="3"/>
        <v>-0.9344594279584173</v>
      </c>
      <c r="D33" s="49" t="e">
        <f ca="1">_xludf.STDEV.P(W33:DF33)*100</f>
        <v>#NAME?</v>
      </c>
      <c r="E33" s="47"/>
      <c r="F33" s="48">
        <f>SUMPRODUCT($E$37:$E$65,F37:F65)</f>
        <v>0.38089379747550128</v>
      </c>
      <c r="G33" s="48">
        <f>SUMPRODUCT($E$37:$E$65,G37:G65)</f>
        <v>0.3814022650699887</v>
      </c>
      <c r="H33" s="48">
        <f>SUMPRODUCT($E$37:$E$65,H37:H65)</f>
        <v>0.38922965097209794</v>
      </c>
      <c r="I33" s="48">
        <f>SUMPRODUCT($E$37:$E$65,I37:I65)</f>
        <v>0.39023839175508546</v>
      </c>
      <c r="J33" s="48">
        <f t="shared" ref="J33:BU33" si="18">SUMPRODUCT($E$37:$E$65,J37:J65)</f>
        <v>0.39739768697177474</v>
      </c>
      <c r="K33" s="48">
        <f t="shared" si="18"/>
        <v>0.39278558290712479</v>
      </c>
      <c r="L33" s="48">
        <f t="shared" si="18"/>
        <v>0.40195204007089125</v>
      </c>
      <c r="M33" s="48">
        <f t="shared" si="18"/>
        <v>0.392220426451032</v>
      </c>
      <c r="N33" s="48">
        <f t="shared" si="18"/>
        <v>0.40290938079602717</v>
      </c>
      <c r="O33" s="48">
        <f t="shared" si="18"/>
        <v>0.40678363297372394</v>
      </c>
      <c r="P33" s="48">
        <f t="shared" si="18"/>
        <v>0.41594553113873228</v>
      </c>
      <c r="Q33" s="48">
        <f t="shared" si="18"/>
        <v>0.42537567429298734</v>
      </c>
      <c r="R33" s="48">
        <f t="shared" si="18"/>
        <v>0.41657481776345617</v>
      </c>
      <c r="S33" s="48">
        <f t="shared" si="18"/>
        <v>0.39628275909834149</v>
      </c>
      <c r="T33" s="48">
        <f t="shared" si="18"/>
        <v>0.37409951615480264</v>
      </c>
      <c r="U33" s="48">
        <f t="shared" si="18"/>
        <v>0.36920332665721289</v>
      </c>
      <c r="V33" s="48">
        <f t="shared" si="18"/>
        <v>0.39549417890329291</v>
      </c>
      <c r="W33" s="48">
        <f t="shared" si="18"/>
        <v>0.39200416471127336</v>
      </c>
      <c r="X33" s="48">
        <f t="shared" si="18"/>
        <v>0.39027321286177757</v>
      </c>
      <c r="Y33" s="48">
        <f t="shared" si="18"/>
        <v>0.34510102453135022</v>
      </c>
      <c r="Z33" s="48">
        <f t="shared" si="18"/>
        <v>0.3242206793588418</v>
      </c>
      <c r="AA33" s="48">
        <f t="shared" si="18"/>
        <v>0.3134868840149253</v>
      </c>
      <c r="AB33" s="48">
        <f t="shared" si="18"/>
        <v>0.33747921966247885</v>
      </c>
      <c r="AC33" s="48">
        <f t="shared" si="18"/>
        <v>0.35422213523755935</v>
      </c>
      <c r="AD33" s="48">
        <f t="shared" si="18"/>
        <v>0.36831981191427254</v>
      </c>
      <c r="AE33" s="48">
        <f t="shared" si="18"/>
        <v>0.37043569841602764</v>
      </c>
      <c r="AF33" s="48">
        <f t="shared" si="18"/>
        <v>0.37757039397293207</v>
      </c>
      <c r="AG33" s="48">
        <f t="shared" si="18"/>
        <v>0.37014705010337784</v>
      </c>
      <c r="AH33" s="48">
        <f t="shared" si="18"/>
        <v>0.37395702195971314</v>
      </c>
      <c r="AI33" s="48">
        <f t="shared" si="18"/>
        <v>0.39070650475827035</v>
      </c>
      <c r="AJ33" s="48">
        <f t="shared" si="18"/>
        <v>0.43123898592851995</v>
      </c>
      <c r="AK33" s="48">
        <f t="shared" si="18"/>
        <v>0.47666455606608765</v>
      </c>
      <c r="AL33" s="48">
        <f t="shared" si="18"/>
        <v>0.51121822108142378</v>
      </c>
      <c r="AM33" s="48">
        <f t="shared" si="18"/>
        <v>0.51614817681309555</v>
      </c>
      <c r="AN33" s="48">
        <f t="shared" si="18"/>
        <v>0.53604494851881412</v>
      </c>
      <c r="AO33" s="48">
        <f t="shared" si="18"/>
        <v>0.54601472509962079</v>
      </c>
      <c r="AP33" s="48">
        <f t="shared" si="18"/>
        <v>0.55267350189083331</v>
      </c>
      <c r="AQ33" s="48">
        <f t="shared" si="18"/>
        <v>0.54244244255530671</v>
      </c>
      <c r="AR33" s="48">
        <f t="shared" si="18"/>
        <v>0.54247900712528219</v>
      </c>
      <c r="AS33" s="48">
        <f t="shared" si="18"/>
        <v>0.55528688339749299</v>
      </c>
      <c r="AT33" s="48">
        <f t="shared" si="18"/>
        <v>0.56704899044249157</v>
      </c>
      <c r="AU33" s="48">
        <f t="shared" si="18"/>
        <v>0.57788695772290655</v>
      </c>
      <c r="AV33" s="48">
        <f t="shared" si="18"/>
        <v>0.58245236486037544</v>
      </c>
      <c r="AW33" s="48">
        <f t="shared" si="18"/>
        <v>0.57934068075212253</v>
      </c>
      <c r="AX33" s="48">
        <f t="shared" si="18"/>
        <v>0.55930606947220918</v>
      </c>
      <c r="AY33" s="48">
        <f t="shared" si="18"/>
        <v>0.48054465750930825</v>
      </c>
      <c r="AZ33" s="48">
        <f t="shared" si="18"/>
        <v>0.43375277242998589</v>
      </c>
      <c r="BA33" s="48">
        <f t="shared" si="18"/>
        <v>0.40215406266138665</v>
      </c>
      <c r="BB33" s="48">
        <f t="shared" si="18"/>
        <v>0.36211490748192215</v>
      </c>
      <c r="BC33" s="48">
        <f t="shared" si="18"/>
        <v>0.33907029842440928</v>
      </c>
      <c r="BD33" s="48">
        <f t="shared" si="18"/>
        <v>0.33426334509681249</v>
      </c>
      <c r="BE33" s="48">
        <f t="shared" si="18"/>
        <v>0.32154428656121553</v>
      </c>
      <c r="BF33" s="48">
        <f t="shared" si="18"/>
        <v>0.30960229408271078</v>
      </c>
      <c r="BG33" s="48">
        <f t="shared" si="18"/>
        <v>0.28442340458900189</v>
      </c>
      <c r="BH33" s="48">
        <f t="shared" si="18"/>
        <v>0.24646275123081715</v>
      </c>
      <c r="BI33" s="48">
        <f t="shared" si="18"/>
        <v>0.25179413112966725</v>
      </c>
      <c r="BJ33" s="48">
        <f t="shared" si="18"/>
        <v>0.29195439868872747</v>
      </c>
      <c r="BK33" s="48">
        <f t="shared" si="18"/>
        <v>0.36236544989487418</v>
      </c>
      <c r="BL33" s="48">
        <f t="shared" si="18"/>
        <v>0.38997274150356709</v>
      </c>
      <c r="BM33" s="48">
        <f t="shared" si="18"/>
        <v>0.38153499038465993</v>
      </c>
      <c r="BN33" s="48">
        <f t="shared" si="18"/>
        <v>0.37416970020245416</v>
      </c>
      <c r="BO33" s="48">
        <f t="shared" si="18"/>
        <v>0.37473242790986405</v>
      </c>
      <c r="BP33" s="48">
        <f t="shared" si="18"/>
        <v>0.37917671141444798</v>
      </c>
      <c r="BQ33" s="48">
        <f t="shared" si="18"/>
        <v>0.39291052057079995</v>
      </c>
      <c r="BR33" s="48">
        <f t="shared" si="18"/>
        <v>0.40203562039798246</v>
      </c>
      <c r="BS33" s="48">
        <f t="shared" si="18"/>
        <v>0.40522937015548743</v>
      </c>
      <c r="BT33" s="48">
        <f t="shared" si="18"/>
        <v>0.39412285685913012</v>
      </c>
      <c r="BU33" s="48">
        <f t="shared" si="18"/>
        <v>0.403290148964147</v>
      </c>
      <c r="BV33" s="48">
        <f t="shared" ref="BV33:EE33" si="19">SUMPRODUCT($E$37:$E$65,BV37:BV65)</f>
        <v>0.40922807459197919</v>
      </c>
      <c r="BW33" s="48">
        <f t="shared" si="19"/>
        <v>0.43314043933000873</v>
      </c>
      <c r="BX33" s="48">
        <f t="shared" si="19"/>
        <v>0.43489532005865006</v>
      </c>
      <c r="BY33" s="48">
        <f t="shared" si="19"/>
        <v>0.45491984843542815</v>
      </c>
      <c r="BZ33" s="48">
        <f t="shared" si="19"/>
        <v>0.4565460437536733</v>
      </c>
      <c r="CA33" s="48">
        <f t="shared" si="19"/>
        <v>0.46512650915362935</v>
      </c>
      <c r="CB33" s="48">
        <f t="shared" si="19"/>
        <v>0.47826974059066024</v>
      </c>
      <c r="CC33" s="48">
        <f t="shared" si="19"/>
        <v>0.49991045073850759</v>
      </c>
      <c r="CD33" s="48">
        <f t="shared" si="19"/>
        <v>0.50578374801220227</v>
      </c>
      <c r="CE33" s="48">
        <f t="shared" si="19"/>
        <v>0.50445732839455881</v>
      </c>
      <c r="CF33" s="48">
        <f t="shared" si="19"/>
        <v>0.49383605722482043</v>
      </c>
      <c r="CG33" s="48">
        <f t="shared" si="19"/>
        <v>0.51428434110877419</v>
      </c>
      <c r="CH33" s="48">
        <f t="shared" si="19"/>
        <v>0.5244841828810074</v>
      </c>
      <c r="CI33" s="48">
        <f t="shared" si="19"/>
        <v>0.53863617934174635</v>
      </c>
      <c r="CJ33" s="48">
        <f t="shared" si="19"/>
        <v>0.54195137314787944</v>
      </c>
      <c r="CK33" s="48">
        <f t="shared" si="19"/>
        <v>0.5438652793285802</v>
      </c>
      <c r="CL33" s="48">
        <f t="shared" si="19"/>
        <v>0.54804448307525222</v>
      </c>
      <c r="CM33" s="48">
        <f t="shared" si="19"/>
        <v>0.54490429170514831</v>
      </c>
      <c r="CN33" s="48">
        <f t="shared" si="19"/>
        <v>0.53575563994008035</v>
      </c>
      <c r="CO33" s="48">
        <f t="shared" si="19"/>
        <v>0.52748801591765526</v>
      </c>
      <c r="CP33" s="48">
        <f t="shared" si="19"/>
        <v>0.52008378400245914</v>
      </c>
      <c r="CQ33" s="48">
        <f t="shared" si="19"/>
        <v>0.51047790458367315</v>
      </c>
      <c r="CR33" s="48">
        <f t="shared" si="19"/>
        <v>0.50089874981442617</v>
      </c>
      <c r="CS33" s="48">
        <f t="shared" si="19"/>
        <v>0.47594202501886967</v>
      </c>
      <c r="CT33" s="48">
        <f t="shared" si="19"/>
        <v>0.47915751969979525</v>
      </c>
      <c r="CU33" s="48">
        <f t="shared" si="19"/>
        <v>0.484820916445592</v>
      </c>
      <c r="CV33" s="48">
        <f t="shared" si="19"/>
        <v>0.48313380765067865</v>
      </c>
      <c r="CW33" s="48">
        <f t="shared" si="19"/>
        <v>0.46846036838126548</v>
      </c>
      <c r="CX33" s="48">
        <f t="shared" si="19"/>
        <v>0.45514845617639282</v>
      </c>
      <c r="CY33" s="48">
        <f t="shared" si="19"/>
        <v>0.435752467187971</v>
      </c>
      <c r="CZ33" s="48">
        <f t="shared" si="19"/>
        <v>0.41963217903025501</v>
      </c>
      <c r="DA33" s="48">
        <f t="shared" si="19"/>
        <v>0.40251552072764296</v>
      </c>
      <c r="DB33" s="48">
        <f t="shared" si="19"/>
        <v>0.41516728658765106</v>
      </c>
      <c r="DC33" s="48">
        <f t="shared" si="19"/>
        <v>0.42144598978024234</v>
      </c>
      <c r="DD33" s="48">
        <f t="shared" si="19"/>
        <v>0.40342594255708664</v>
      </c>
      <c r="DE33" s="48">
        <f t="shared" si="19"/>
        <v>0.38183370212217704</v>
      </c>
      <c r="DF33" s="48">
        <f t="shared" si="19"/>
        <v>0.35621608168045354</v>
      </c>
    </row>
    <row r="34" spans="1:110" x14ac:dyDescent="0.2">
      <c r="A34" s="46" t="s">
        <v>257</v>
      </c>
      <c r="B34" s="47">
        <f t="shared" si="2"/>
        <v>-5.683863459276461</v>
      </c>
      <c r="C34" s="47">
        <f t="shared" si="3"/>
        <v>-2.010120914700686</v>
      </c>
      <c r="D34" s="49" t="e">
        <f ca="1">_xludf.STDEV.P(W34:DF34)*100</f>
        <v>#NAME?</v>
      </c>
      <c r="E34" s="47"/>
      <c r="F34" s="48">
        <f>(SUMPRODUCT($E$37:$E$65,F37:F65)-SUMPRODUCT($E$61:$E$62,F61:F62))/(1-SUM($E$61:$E$62))</f>
        <v>0.35939764515550943</v>
      </c>
      <c r="G34" s="48">
        <f>(SUMPRODUCT($E$37:$E$65,G37:G65)-SUMPRODUCT($E$61:$E$62,G61:G62))/(1-SUM($E$61:$E$62))</f>
        <v>0.36488504477450873</v>
      </c>
      <c r="H34" s="48">
        <f>(SUMPRODUCT($E$37:$E$65,H37:H65)-SUMPRODUCT($E$61:$E$62,H61:H62))/(1-SUM($E$61:$E$62))</f>
        <v>0.37662779385311435</v>
      </c>
      <c r="I34" s="48">
        <f>(SUMPRODUCT($E$37:$E$65,I37:I65)-SUMPRODUCT($E$61:$E$62,I61:I62))/(1-SUM($E$61:$E$62))</f>
        <v>0.37949885430251629</v>
      </c>
      <c r="J34" s="48">
        <f t="shared" ref="J34:BU34" si="20">(SUMPRODUCT($E$37:$E$65,J37:J65)-SUMPRODUCT($E$61:$E$62,J61:J62))/(1-SUM($E$61:$E$62))</f>
        <v>0.38498435308326112</v>
      </c>
      <c r="K34" s="48">
        <f t="shared" si="20"/>
        <v>0.37798790504232993</v>
      </c>
      <c r="L34" s="48">
        <f t="shared" si="20"/>
        <v>0.38735528679000475</v>
      </c>
      <c r="M34" s="48">
        <f t="shared" si="20"/>
        <v>0.37558363573145009</v>
      </c>
      <c r="N34" s="48">
        <f t="shared" si="20"/>
        <v>0.39187026480097348</v>
      </c>
      <c r="O34" s="48">
        <f t="shared" si="20"/>
        <v>0.39763807873121981</v>
      </c>
      <c r="P34" s="48">
        <f t="shared" si="20"/>
        <v>0.40715238786126356</v>
      </c>
      <c r="Q34" s="48">
        <f t="shared" si="20"/>
        <v>0.41623627974827404</v>
      </c>
      <c r="R34" s="48">
        <f t="shared" si="20"/>
        <v>0.4042617348517844</v>
      </c>
      <c r="S34" s="48">
        <f t="shared" si="20"/>
        <v>0.37954103047290455</v>
      </c>
      <c r="T34" s="48">
        <f t="shared" si="20"/>
        <v>0.35362595879612502</v>
      </c>
      <c r="U34" s="48">
        <f t="shared" si="20"/>
        <v>0.34681946490059723</v>
      </c>
      <c r="V34" s="48">
        <f t="shared" si="20"/>
        <v>0.37677780377382109</v>
      </c>
      <c r="W34" s="48">
        <f t="shared" si="20"/>
        <v>0.37474291599078996</v>
      </c>
      <c r="X34" s="48">
        <f t="shared" si="20"/>
        <v>0.37342647776236526</v>
      </c>
      <c r="Y34" s="48">
        <f t="shared" si="20"/>
        <v>0.32487158642194386</v>
      </c>
      <c r="Z34" s="48">
        <f t="shared" si="20"/>
        <v>0.30446198418404324</v>
      </c>
      <c r="AA34" s="48">
        <f t="shared" si="20"/>
        <v>0.29066302353278517</v>
      </c>
      <c r="AB34" s="48">
        <f t="shared" si="20"/>
        <v>0.31915760969932155</v>
      </c>
      <c r="AC34" s="48">
        <f t="shared" si="20"/>
        <v>0.34047355733818441</v>
      </c>
      <c r="AD34" s="48">
        <f t="shared" si="20"/>
        <v>0.35917729624043349</v>
      </c>
      <c r="AE34" s="48">
        <f t="shared" si="20"/>
        <v>0.36111492372146503</v>
      </c>
      <c r="AF34" s="48">
        <f t="shared" si="20"/>
        <v>0.36647261548272525</v>
      </c>
      <c r="AG34" s="48">
        <f t="shared" si="20"/>
        <v>0.36173202249850922</v>
      </c>
      <c r="AH34" s="48">
        <f t="shared" si="20"/>
        <v>0.36758606178369091</v>
      </c>
      <c r="AI34" s="48">
        <f t="shared" si="20"/>
        <v>0.39101006864260612</v>
      </c>
      <c r="AJ34" s="48">
        <f t="shared" si="20"/>
        <v>0.43602635430345621</v>
      </c>
      <c r="AK34" s="48">
        <f t="shared" si="20"/>
        <v>0.48721369198636072</v>
      </c>
      <c r="AL34" s="48">
        <f t="shared" si="20"/>
        <v>0.52625057727171176</v>
      </c>
      <c r="AM34" s="48">
        <f t="shared" si="20"/>
        <v>0.53074123073241986</v>
      </c>
      <c r="AN34" s="48">
        <f t="shared" si="20"/>
        <v>0.54422527802636289</v>
      </c>
      <c r="AO34" s="48">
        <f t="shared" si="20"/>
        <v>0.55883895123595362</v>
      </c>
      <c r="AP34" s="48">
        <f t="shared" si="20"/>
        <v>0.56764458030004228</v>
      </c>
      <c r="AQ34" s="48">
        <f t="shared" si="20"/>
        <v>0.55981701364137515</v>
      </c>
      <c r="AR34" s="48">
        <f t="shared" si="20"/>
        <v>0.56021626352520193</v>
      </c>
      <c r="AS34" s="48">
        <f t="shared" si="20"/>
        <v>0.57332898733992821</v>
      </c>
      <c r="AT34" s="48">
        <f t="shared" si="20"/>
        <v>0.5832148178396549</v>
      </c>
      <c r="AU34" s="48">
        <f t="shared" si="20"/>
        <v>0.58965073130054679</v>
      </c>
      <c r="AV34" s="48">
        <f t="shared" si="20"/>
        <v>0.59374651394565914</v>
      </c>
      <c r="AW34" s="48">
        <f t="shared" si="20"/>
        <v>0.58407853509863217</v>
      </c>
      <c r="AX34" s="48">
        <f t="shared" si="20"/>
        <v>0.56156443977195358</v>
      </c>
      <c r="AY34" s="48">
        <f t="shared" si="20"/>
        <v>0.4719774196173156</v>
      </c>
      <c r="AZ34" s="48">
        <f t="shared" si="20"/>
        <v>0.42276157763225147</v>
      </c>
      <c r="BA34" s="48">
        <f t="shared" si="20"/>
        <v>0.38964163033928539</v>
      </c>
      <c r="BB34" s="48">
        <f t="shared" si="20"/>
        <v>0.3455650634084666</v>
      </c>
      <c r="BC34" s="48">
        <f t="shared" si="20"/>
        <v>0.32095425622299739</v>
      </c>
      <c r="BD34" s="48">
        <f t="shared" si="20"/>
        <v>0.31352289845407566</v>
      </c>
      <c r="BE34" s="48">
        <f t="shared" si="20"/>
        <v>0.30305985201994745</v>
      </c>
      <c r="BF34" s="48">
        <f t="shared" si="20"/>
        <v>0.28911559969197065</v>
      </c>
      <c r="BG34" s="48">
        <f t="shared" si="20"/>
        <v>0.26172424388768112</v>
      </c>
      <c r="BH34" s="48">
        <f t="shared" si="20"/>
        <v>0.21787403127546787</v>
      </c>
      <c r="BI34" s="48">
        <f t="shared" si="20"/>
        <v>0.22238519093681536</v>
      </c>
      <c r="BJ34" s="48">
        <f t="shared" si="20"/>
        <v>0.25722214661001791</v>
      </c>
      <c r="BK34" s="48">
        <f t="shared" si="20"/>
        <v>0.32955058093328343</v>
      </c>
      <c r="BL34" s="48">
        <f t="shared" si="20"/>
        <v>0.34849464788740558</v>
      </c>
      <c r="BM34" s="48">
        <f t="shared" si="20"/>
        <v>0.3397693739598393</v>
      </c>
      <c r="BN34" s="48">
        <f t="shared" si="20"/>
        <v>0.32931810008732976</v>
      </c>
      <c r="BO34" s="48">
        <f t="shared" si="20"/>
        <v>0.32912928189202073</v>
      </c>
      <c r="BP34" s="48">
        <f t="shared" si="20"/>
        <v>0.33432698692299445</v>
      </c>
      <c r="BQ34" s="48">
        <f t="shared" si="20"/>
        <v>0.34865315239730704</v>
      </c>
      <c r="BR34" s="48">
        <f t="shared" si="20"/>
        <v>0.3569156484068336</v>
      </c>
      <c r="BS34" s="48">
        <f t="shared" si="20"/>
        <v>0.36257190689467184</v>
      </c>
      <c r="BT34" s="48">
        <f t="shared" si="20"/>
        <v>0.34868871659466932</v>
      </c>
      <c r="BU34" s="48">
        <f t="shared" si="20"/>
        <v>0.35654568658547459</v>
      </c>
      <c r="BV34" s="48">
        <f t="shared" ref="BV34:EE34" si="21">(SUMPRODUCT($E$37:$E$65,BV37:BV65)-SUMPRODUCT($E$61:$E$62,BV61:BV62))/(1-SUM($E$61:$E$62))</f>
        <v>0.36976945580578996</v>
      </c>
      <c r="BW34" s="48">
        <f t="shared" si="21"/>
        <v>0.40947921807520626</v>
      </c>
      <c r="BX34" s="48">
        <f t="shared" si="21"/>
        <v>0.42734196322298462</v>
      </c>
      <c r="BY34" s="48">
        <f t="shared" si="21"/>
        <v>0.44852869715936938</v>
      </c>
      <c r="BZ34" s="48">
        <f t="shared" si="21"/>
        <v>0.45378623470269408</v>
      </c>
      <c r="CA34" s="48">
        <f t="shared" si="21"/>
        <v>0.46521181649276527</v>
      </c>
      <c r="CB34" s="48">
        <f t="shared" si="21"/>
        <v>0.48585707429090513</v>
      </c>
      <c r="CC34" s="48">
        <f t="shared" si="21"/>
        <v>0.5111455161065932</v>
      </c>
      <c r="CD34" s="48">
        <f t="shared" si="21"/>
        <v>0.52432515821449543</v>
      </c>
      <c r="CE34" s="48">
        <f t="shared" si="21"/>
        <v>0.52344765838395158</v>
      </c>
      <c r="CF34" s="48">
        <f t="shared" si="21"/>
        <v>0.51451820463099929</v>
      </c>
      <c r="CG34" s="48">
        <f t="shared" si="21"/>
        <v>0.53458462824612696</v>
      </c>
      <c r="CH34" s="48">
        <f t="shared" si="21"/>
        <v>0.54450343198832907</v>
      </c>
      <c r="CI34" s="48">
        <f t="shared" si="21"/>
        <v>0.55039587682056224</v>
      </c>
      <c r="CJ34" s="48">
        <f t="shared" si="21"/>
        <v>0.54043323702678547</v>
      </c>
      <c r="CK34" s="48">
        <f t="shared" si="21"/>
        <v>0.5437592719829446</v>
      </c>
      <c r="CL34" s="48">
        <f t="shared" si="21"/>
        <v>0.54911017726841826</v>
      </c>
      <c r="CM34" s="48">
        <f t="shared" si="21"/>
        <v>0.54383180378911022</v>
      </c>
      <c r="CN34" s="48">
        <f t="shared" si="21"/>
        <v>0.5357300725520332</v>
      </c>
      <c r="CO34" s="48">
        <f t="shared" si="21"/>
        <v>0.53077524233180251</v>
      </c>
      <c r="CP34" s="48">
        <f t="shared" si="21"/>
        <v>0.52626349984424803</v>
      </c>
      <c r="CQ34" s="48">
        <f t="shared" si="21"/>
        <v>0.51623606186545978</v>
      </c>
      <c r="CR34" s="48">
        <f t="shared" si="21"/>
        <v>0.50492141114901723</v>
      </c>
      <c r="CS34" s="48">
        <f t="shared" si="21"/>
        <v>0.47586228477297604</v>
      </c>
      <c r="CT34" s="48">
        <f t="shared" si="21"/>
        <v>0.48210662544935412</v>
      </c>
      <c r="CU34" s="48">
        <f t="shared" si="21"/>
        <v>0.48579757587989353</v>
      </c>
      <c r="CV34" s="48">
        <f t="shared" si="21"/>
        <v>0.48556702226053444</v>
      </c>
      <c r="CW34" s="48">
        <f t="shared" si="21"/>
        <v>0.46490503611672651</v>
      </c>
      <c r="CX34" s="48">
        <f t="shared" si="21"/>
        <v>0.44662718489588576</v>
      </c>
      <c r="CY34" s="48">
        <f t="shared" si="21"/>
        <v>0.42504386372426606</v>
      </c>
      <c r="CZ34" s="48">
        <f t="shared" si="21"/>
        <v>0.40657483577087655</v>
      </c>
      <c r="DA34" s="48">
        <f t="shared" si="21"/>
        <v>0.38832252358472757</v>
      </c>
      <c r="DB34" s="48">
        <f t="shared" si="21"/>
        <v>0.39945769946805842</v>
      </c>
      <c r="DC34" s="48">
        <f t="shared" si="21"/>
        <v>0.40252259179839228</v>
      </c>
      <c r="DD34" s="48">
        <f t="shared" si="21"/>
        <v>0.38331548044137792</v>
      </c>
      <c r="DE34" s="48">
        <f t="shared" si="21"/>
        <v>0.362888691728666</v>
      </c>
      <c r="DF34" s="48">
        <f t="shared" si="21"/>
        <v>0.33260584031515272</v>
      </c>
    </row>
    <row r="35" spans="1:110" x14ac:dyDescent="0.2"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</row>
    <row r="36" spans="1:110" s="45" customFormat="1" x14ac:dyDescent="0.2">
      <c r="A36" s="42" t="s">
        <v>0</v>
      </c>
      <c r="B36" s="43" t="s">
        <v>246</v>
      </c>
      <c r="C36" s="44" t="s">
        <v>247</v>
      </c>
      <c r="D36" s="44" t="s">
        <v>258</v>
      </c>
      <c r="E36" s="44" t="s">
        <v>259</v>
      </c>
      <c r="F36" s="44">
        <v>45565</v>
      </c>
      <c r="G36" s="44">
        <v>45535</v>
      </c>
      <c r="H36" s="44">
        <v>45504</v>
      </c>
      <c r="I36" s="44">
        <v>45473</v>
      </c>
      <c r="J36" s="44">
        <v>45443</v>
      </c>
      <c r="K36" s="44">
        <v>45412</v>
      </c>
      <c r="L36" s="44">
        <v>45382</v>
      </c>
      <c r="M36" s="44">
        <v>45351</v>
      </c>
      <c r="N36" s="44">
        <v>45322</v>
      </c>
      <c r="O36" s="44">
        <v>45291</v>
      </c>
      <c r="P36" s="44">
        <v>45260</v>
      </c>
      <c r="Q36" s="44">
        <v>45230</v>
      </c>
      <c r="R36" s="44">
        <v>45199</v>
      </c>
      <c r="S36" s="44">
        <v>45169</v>
      </c>
      <c r="T36" s="44">
        <v>45138</v>
      </c>
      <c r="U36" s="44">
        <v>45107</v>
      </c>
      <c r="V36" s="44">
        <v>45077</v>
      </c>
      <c r="W36" s="44">
        <v>45046</v>
      </c>
      <c r="X36" s="44">
        <v>45016</v>
      </c>
      <c r="Y36" s="44">
        <v>44985</v>
      </c>
      <c r="Z36" s="44">
        <v>44957</v>
      </c>
      <c r="AA36" s="44">
        <v>44926</v>
      </c>
      <c r="AB36" s="44">
        <v>44895</v>
      </c>
      <c r="AC36" s="44">
        <v>44865</v>
      </c>
      <c r="AD36" s="44">
        <v>44834</v>
      </c>
      <c r="AE36" s="44">
        <v>44804</v>
      </c>
      <c r="AF36" s="44">
        <v>44773</v>
      </c>
      <c r="AG36" s="44">
        <v>44742</v>
      </c>
      <c r="AH36" s="44">
        <v>44712</v>
      </c>
      <c r="AI36" s="44">
        <v>44681</v>
      </c>
      <c r="AJ36" s="44">
        <v>44651</v>
      </c>
      <c r="AK36" s="44">
        <v>44620</v>
      </c>
      <c r="AL36" s="44">
        <v>44592</v>
      </c>
      <c r="AM36" s="44">
        <v>44561</v>
      </c>
      <c r="AN36" s="44">
        <v>44530</v>
      </c>
      <c r="AO36" s="44">
        <v>44500</v>
      </c>
      <c r="AP36" s="44">
        <v>44469</v>
      </c>
      <c r="AQ36" s="44">
        <v>44439</v>
      </c>
      <c r="AR36" s="44">
        <v>44408</v>
      </c>
      <c r="AS36" s="44">
        <v>44377</v>
      </c>
      <c r="AT36" s="44">
        <v>44347</v>
      </c>
      <c r="AU36" s="44">
        <v>44316</v>
      </c>
      <c r="AV36" s="44">
        <v>44286</v>
      </c>
      <c r="AW36" s="44">
        <v>44255</v>
      </c>
      <c r="AX36" s="44">
        <v>44227</v>
      </c>
      <c r="AY36" s="44">
        <v>44196</v>
      </c>
      <c r="AZ36" s="44">
        <v>44165</v>
      </c>
      <c r="BA36" s="44">
        <v>44135</v>
      </c>
      <c r="BB36" s="44">
        <v>44104</v>
      </c>
      <c r="BC36" s="44">
        <v>44074</v>
      </c>
      <c r="BD36" s="44">
        <v>44043</v>
      </c>
      <c r="BE36" s="44">
        <v>44012</v>
      </c>
      <c r="BF36" s="44">
        <v>43982</v>
      </c>
      <c r="BG36" s="44">
        <v>43951</v>
      </c>
      <c r="BH36" s="44">
        <v>43921</v>
      </c>
      <c r="BI36" s="44">
        <v>43890</v>
      </c>
      <c r="BJ36" s="44">
        <v>43861</v>
      </c>
      <c r="BK36" s="44">
        <v>43830</v>
      </c>
      <c r="BL36" s="44">
        <v>43799</v>
      </c>
      <c r="BM36" s="44">
        <v>43769</v>
      </c>
      <c r="BN36" s="44">
        <v>43738</v>
      </c>
      <c r="BO36" s="44">
        <v>43708</v>
      </c>
      <c r="BP36" s="44">
        <v>43677</v>
      </c>
      <c r="BQ36" s="44">
        <v>43646</v>
      </c>
      <c r="BR36" s="44">
        <v>43616</v>
      </c>
      <c r="BS36" s="44">
        <v>43585</v>
      </c>
      <c r="BT36" s="44">
        <v>43555</v>
      </c>
      <c r="BU36" s="44">
        <v>43524</v>
      </c>
      <c r="BV36" s="44">
        <v>43496</v>
      </c>
      <c r="BW36" s="44">
        <v>43465</v>
      </c>
      <c r="BX36" s="44">
        <v>43434</v>
      </c>
      <c r="BY36" s="44">
        <v>43404</v>
      </c>
      <c r="BZ36" s="44">
        <v>43373</v>
      </c>
      <c r="CA36" s="44">
        <v>43343</v>
      </c>
      <c r="CB36" s="44">
        <v>43312</v>
      </c>
      <c r="CC36" s="44">
        <v>43281</v>
      </c>
      <c r="CD36" s="44">
        <v>43251</v>
      </c>
      <c r="CE36" s="44">
        <v>43220</v>
      </c>
      <c r="CF36" s="44">
        <v>43190</v>
      </c>
      <c r="CG36" s="44">
        <v>43159</v>
      </c>
      <c r="CH36" s="44">
        <v>43131</v>
      </c>
      <c r="CI36" s="44">
        <v>43100</v>
      </c>
      <c r="CJ36" s="44">
        <v>43069</v>
      </c>
      <c r="CK36" s="44">
        <v>43039</v>
      </c>
      <c r="CL36" s="44">
        <v>43008</v>
      </c>
      <c r="CM36" s="44">
        <v>42978</v>
      </c>
      <c r="CN36" s="44">
        <v>42947</v>
      </c>
      <c r="CO36" s="44">
        <v>42916</v>
      </c>
      <c r="CP36" s="44">
        <v>42886</v>
      </c>
      <c r="CQ36" s="44">
        <v>42855</v>
      </c>
      <c r="CR36" s="44">
        <v>42825</v>
      </c>
      <c r="CS36" s="44">
        <v>42794</v>
      </c>
      <c r="CT36" s="44">
        <v>42766</v>
      </c>
      <c r="CU36" s="44">
        <v>42735</v>
      </c>
      <c r="CV36" s="44">
        <v>42704</v>
      </c>
      <c r="CW36" s="44">
        <v>42674</v>
      </c>
      <c r="CX36" s="44">
        <v>42643</v>
      </c>
      <c r="CY36" s="44">
        <v>42613</v>
      </c>
      <c r="CZ36" s="44">
        <v>42582</v>
      </c>
      <c r="DA36" s="44">
        <v>42551</v>
      </c>
      <c r="DB36" s="44">
        <v>42521</v>
      </c>
      <c r="DC36" s="44">
        <v>42490</v>
      </c>
      <c r="DD36" s="44">
        <v>42460</v>
      </c>
      <c r="DE36" s="44">
        <v>42429</v>
      </c>
      <c r="DF36" s="44">
        <v>42400</v>
      </c>
    </row>
    <row r="37" spans="1:110" x14ac:dyDescent="0.2">
      <c r="A37" s="46" t="s">
        <v>5</v>
      </c>
      <c r="B37" s="47">
        <f>(F37-Q37)*100</f>
        <v>-15.669999999999995</v>
      </c>
      <c r="C37" s="47">
        <f>(F37-I37)*100</f>
        <v>-3.454999999999997</v>
      </c>
      <c r="D37" s="49" t="e">
        <f t="shared" ref="D37:D67" ca="1" si="22">_xludf.STDEV.P(W37:DF37)*100</f>
        <v>#NAME?</v>
      </c>
      <c r="E37" s="51">
        <v>0.110986732793543</v>
      </c>
      <c r="F37" s="48">
        <v>0.57969999999999999</v>
      </c>
      <c r="G37" s="48">
        <v>0.57725000000000004</v>
      </c>
      <c r="H37" s="48">
        <v>0.62769999999999992</v>
      </c>
      <c r="I37" s="48">
        <v>0.61424999999999996</v>
      </c>
      <c r="J37" s="48">
        <v>0.60539999999999994</v>
      </c>
      <c r="K37" s="48">
        <v>0.54020000000000001</v>
      </c>
      <c r="L37" s="48">
        <v>0.62770000000000004</v>
      </c>
      <c r="M37" s="48">
        <v>0.58419999999999994</v>
      </c>
      <c r="N37" s="48">
        <v>0.46545000000000003</v>
      </c>
      <c r="O37" s="48">
        <v>0.43189999999999995</v>
      </c>
      <c r="P37" s="48">
        <v>0.56204999999999994</v>
      </c>
      <c r="Q37" s="48">
        <v>0.73639999999999994</v>
      </c>
      <c r="R37" s="48">
        <v>0.81040000000000001</v>
      </c>
      <c r="S37" s="48">
        <v>0.76439999999999997</v>
      </c>
      <c r="T37" s="48">
        <v>0.64485000000000003</v>
      </c>
      <c r="U37" s="48">
        <v>0.58794999999999997</v>
      </c>
      <c r="V37" s="48">
        <v>0.73285</v>
      </c>
      <c r="W37" s="48">
        <v>0.75744999999999996</v>
      </c>
      <c r="X37" s="48">
        <v>0.76394999999999991</v>
      </c>
      <c r="Y37" s="48">
        <v>0.63824999999999998</v>
      </c>
      <c r="Z37" s="48">
        <v>0.60514999999999997</v>
      </c>
      <c r="AA37" s="48">
        <v>0.54229999999999989</v>
      </c>
      <c r="AB37" s="48">
        <v>0.57625000000000004</v>
      </c>
      <c r="AC37" s="48">
        <v>0.65764999999999996</v>
      </c>
      <c r="AD37" s="48">
        <v>0.69074999999999998</v>
      </c>
      <c r="AE37" s="48">
        <v>0.68504999999999983</v>
      </c>
      <c r="AF37" s="48">
        <v>0.69474999999999998</v>
      </c>
      <c r="AG37" s="48">
        <v>0.65790000000000004</v>
      </c>
      <c r="AH37" s="48">
        <v>0.68745000000000001</v>
      </c>
      <c r="AI37" s="48">
        <v>0.66789999999999994</v>
      </c>
      <c r="AJ37" s="48">
        <v>0.72330000000000005</v>
      </c>
      <c r="AK37" s="48">
        <v>0.79774999999999996</v>
      </c>
      <c r="AL37" s="48">
        <v>0.88095000000000012</v>
      </c>
      <c r="AM37" s="48">
        <v>0.81555</v>
      </c>
      <c r="AN37" s="48">
        <v>0.77190000000000003</v>
      </c>
      <c r="AO37" s="48">
        <v>0.76229999999999998</v>
      </c>
      <c r="AP37" s="48">
        <v>0.79864999999999986</v>
      </c>
      <c r="AQ37" s="48">
        <v>0.73059999999999992</v>
      </c>
      <c r="AR37" s="48">
        <v>0.65739999999999998</v>
      </c>
      <c r="AS37" s="48">
        <v>0.5553499999999999</v>
      </c>
      <c r="AT37" s="48">
        <v>0.44255000000000005</v>
      </c>
      <c r="AU37" s="48">
        <v>0.35935</v>
      </c>
      <c r="AV37" s="48">
        <v>0.36595</v>
      </c>
      <c r="AW37" s="48">
        <v>0.3523</v>
      </c>
      <c r="AX37" s="48">
        <v>0.3422</v>
      </c>
      <c r="AY37" s="48">
        <v>0.32955000000000001</v>
      </c>
      <c r="AZ37" s="48">
        <v>0.26169999999999999</v>
      </c>
      <c r="BA37" s="48">
        <v>0.23259999999999997</v>
      </c>
      <c r="BB37" s="48">
        <v>0.17415</v>
      </c>
      <c r="BC37" s="48">
        <v>0.19835000000000003</v>
      </c>
      <c r="BD37" s="48">
        <v>0.26985000000000003</v>
      </c>
      <c r="BE37" s="48">
        <v>0.30559999999999998</v>
      </c>
      <c r="BF37" s="48">
        <v>0.33910000000000001</v>
      </c>
      <c r="BG37" s="48">
        <v>0.32959999999999995</v>
      </c>
      <c r="BH37" s="48">
        <v>0.27779999999999999</v>
      </c>
      <c r="BI37" s="48">
        <v>0.27675</v>
      </c>
      <c r="BJ37" s="48">
        <v>0.31469999999999998</v>
      </c>
      <c r="BK37" s="48">
        <v>0.26724999999999999</v>
      </c>
      <c r="BL37" s="48">
        <v>0.28544999999999998</v>
      </c>
      <c r="BM37" s="48">
        <v>0.30044999999999999</v>
      </c>
      <c r="BN37" s="48">
        <v>0.31840000000000002</v>
      </c>
      <c r="BO37" s="48">
        <v>0.38389999999999996</v>
      </c>
      <c r="BP37" s="48">
        <v>0.42989999999999995</v>
      </c>
      <c r="BQ37" s="48">
        <v>0.44925000000000004</v>
      </c>
      <c r="BR37" s="48">
        <v>0.42530000000000001</v>
      </c>
      <c r="BS37" s="48">
        <v>0.41080000000000005</v>
      </c>
      <c r="BT37" s="48">
        <v>0.38150000000000001</v>
      </c>
      <c r="BU37" s="48">
        <v>0.42930000000000001</v>
      </c>
      <c r="BV37" s="48">
        <v>0.42935000000000001</v>
      </c>
      <c r="BW37" s="48">
        <v>0.48079999999999995</v>
      </c>
      <c r="BX37" s="48">
        <v>0.52729999999999988</v>
      </c>
      <c r="BY37" s="48">
        <v>0.6107499999999999</v>
      </c>
      <c r="BZ37" s="48">
        <v>0.67289999999999994</v>
      </c>
      <c r="CA37" s="48">
        <v>0.66034999999999999</v>
      </c>
      <c r="CB37" s="48">
        <v>0.62154999999999994</v>
      </c>
      <c r="CC37" s="48">
        <v>0.61164999999999992</v>
      </c>
      <c r="CD37" s="48">
        <v>0.6472</v>
      </c>
      <c r="CE37" s="48">
        <v>0.66154999999999997</v>
      </c>
      <c r="CF37" s="48">
        <v>0.70940000000000003</v>
      </c>
      <c r="CG37" s="48">
        <v>0.70594999999999997</v>
      </c>
      <c r="CH37" s="48">
        <v>0.69914999999999994</v>
      </c>
      <c r="CI37" s="48">
        <v>0.65710000000000002</v>
      </c>
      <c r="CJ37" s="48">
        <v>0.61380000000000001</v>
      </c>
      <c r="CK37" s="48">
        <v>0.55645</v>
      </c>
      <c r="CL37" s="48">
        <v>0.5423</v>
      </c>
      <c r="CM37" s="48">
        <v>0.54644999999999999</v>
      </c>
      <c r="CN37" s="48">
        <v>0.53390000000000004</v>
      </c>
      <c r="CO37" s="48">
        <v>0.53595000000000004</v>
      </c>
      <c r="CP37" s="48">
        <v>0.48659999999999992</v>
      </c>
      <c r="CQ37" s="48">
        <v>0.39350000000000002</v>
      </c>
      <c r="CR37" s="48">
        <v>0.29144999999999999</v>
      </c>
      <c r="CS37" s="48">
        <v>0.22635000000000002</v>
      </c>
      <c r="CT37" s="48">
        <v>0.21424999999999997</v>
      </c>
      <c r="CU37" s="48">
        <v>0.22175</v>
      </c>
      <c r="CV37" s="48">
        <v>0.22735</v>
      </c>
      <c r="CW37" s="48">
        <v>0.18890000000000001</v>
      </c>
      <c r="CX37" s="48">
        <v>0.17085</v>
      </c>
      <c r="CY37" s="48">
        <v>0.15550000000000003</v>
      </c>
      <c r="CZ37" s="48">
        <v>0.16075</v>
      </c>
      <c r="DA37" s="48">
        <v>0.17835000000000001</v>
      </c>
      <c r="DB37" s="48">
        <v>0.31459999999999999</v>
      </c>
      <c r="DC37" s="48">
        <v>0.34139999999999998</v>
      </c>
      <c r="DD37" s="48">
        <v>0.37435000000000002</v>
      </c>
      <c r="DE37" s="48">
        <v>0.31499999999999995</v>
      </c>
      <c r="DF37" s="48">
        <v>0.31194999999999995</v>
      </c>
    </row>
    <row r="38" spans="1:110" x14ac:dyDescent="0.2">
      <c r="A38" s="46" t="s">
        <v>8</v>
      </c>
      <c r="B38" s="47">
        <f t="shared" ref="B38:B67" si="23">(F38-Q38)*100</f>
        <v>-14.016666666666689</v>
      </c>
      <c r="C38" s="47">
        <f t="shared" ref="C38:C67" si="24">(F38-I38)*100</f>
        <v>-8.9833333333333538</v>
      </c>
      <c r="D38" s="49" t="e">
        <f t="shared" ref="D38:D68" ca="1" si="25">_xludf.STDEV.P(W38:DF38)*100</f>
        <v>#NAME?</v>
      </c>
      <c r="E38" s="51">
        <v>2.0655278520980098E-2</v>
      </c>
      <c r="F38" s="48">
        <v>0.52933333333333377</v>
      </c>
      <c r="G38" s="48">
        <v>0.55466666666666709</v>
      </c>
      <c r="H38" s="48">
        <v>0.61600000000000055</v>
      </c>
      <c r="I38" s="48">
        <v>0.61916666666666731</v>
      </c>
      <c r="J38" s="48">
        <v>0.60766666666666724</v>
      </c>
      <c r="K38" s="48">
        <v>0.6221666666666672</v>
      </c>
      <c r="L38" s="48">
        <v>0.64333333333333387</v>
      </c>
      <c r="M38" s="48">
        <v>0.65750000000000064</v>
      </c>
      <c r="N38" s="48">
        <v>0.6716666666666673</v>
      </c>
      <c r="O38" s="48">
        <v>0.72783333333333411</v>
      </c>
      <c r="P38" s="48">
        <v>0.70050000000000068</v>
      </c>
      <c r="Q38" s="48">
        <v>0.66950000000000065</v>
      </c>
      <c r="R38" s="48">
        <v>0.64150000000000063</v>
      </c>
      <c r="S38" s="48">
        <v>0.63366666666666727</v>
      </c>
      <c r="T38" s="48">
        <v>0.63333333333333397</v>
      </c>
      <c r="U38" s="48">
        <v>0.68483333333333396</v>
      </c>
      <c r="V38" s="48">
        <v>0.78883333333333416</v>
      </c>
      <c r="W38" s="48">
        <v>0.84300000000000086</v>
      </c>
      <c r="X38" s="48">
        <v>0.86033333333333417</v>
      </c>
      <c r="Y38" s="48">
        <v>0.855833333333334</v>
      </c>
      <c r="Z38" s="48">
        <v>0.80850000000000077</v>
      </c>
      <c r="AA38" s="48">
        <v>0.84366666666666745</v>
      </c>
      <c r="AB38" s="48">
        <v>0.82250000000000068</v>
      </c>
      <c r="AC38" s="48">
        <v>0.82050000000000067</v>
      </c>
      <c r="AD38" s="48">
        <v>0.81683333333333397</v>
      </c>
      <c r="AE38" s="48">
        <v>0.82766666666666733</v>
      </c>
      <c r="AF38" s="48">
        <v>0.84883333333333399</v>
      </c>
      <c r="AG38" s="48">
        <v>0.86833333333333407</v>
      </c>
      <c r="AH38" s="48">
        <v>0.84100000000000086</v>
      </c>
      <c r="AI38" s="48">
        <v>0.93066666666666742</v>
      </c>
      <c r="AJ38" s="48">
        <v>0.91800000000000082</v>
      </c>
      <c r="AK38" s="48">
        <v>0.88283333333333414</v>
      </c>
      <c r="AL38" s="48">
        <v>0.86633333333333407</v>
      </c>
      <c r="AM38" s="48">
        <v>0.85450000000000093</v>
      </c>
      <c r="AN38" s="48">
        <v>0.87016666666666764</v>
      </c>
      <c r="AO38" s="48">
        <v>0.787333333333334</v>
      </c>
      <c r="AP38" s="48">
        <v>0.76633333333333398</v>
      </c>
      <c r="AQ38" s="48">
        <v>0.72133333333333394</v>
      </c>
      <c r="AR38" s="48">
        <v>0.65883333333333383</v>
      </c>
      <c r="AS38" s="48">
        <v>0.6355000000000004</v>
      </c>
      <c r="AT38" s="48">
        <v>0.61150000000000049</v>
      </c>
      <c r="AU38" s="48">
        <v>0.5656666666666671</v>
      </c>
      <c r="AV38" s="48">
        <v>0.40416666666666695</v>
      </c>
      <c r="AW38" s="48">
        <v>0.49650000000000039</v>
      </c>
      <c r="AX38" s="48">
        <v>0.56033333333333368</v>
      </c>
      <c r="AY38" s="48">
        <v>0.59066666666666712</v>
      </c>
      <c r="AZ38" s="48">
        <v>0.393666666666667</v>
      </c>
      <c r="BA38" s="48">
        <v>0.22666666666666688</v>
      </c>
      <c r="BB38" s="48">
        <v>0.17400000000000015</v>
      </c>
      <c r="BC38" s="48">
        <v>0.15950000000000014</v>
      </c>
      <c r="BD38" s="48">
        <v>0.14683333333333348</v>
      </c>
      <c r="BE38" s="48">
        <v>0.11350000000000011</v>
      </c>
      <c r="BF38" s="48">
        <v>0.11316666666666679</v>
      </c>
      <c r="BG38" s="48">
        <v>0.12616666666666684</v>
      </c>
      <c r="BH38" s="48">
        <v>0.12016666666666681</v>
      </c>
      <c r="BI38" s="48">
        <v>0.15333333333333346</v>
      </c>
      <c r="BJ38" s="48">
        <v>0.14500000000000013</v>
      </c>
      <c r="BK38" s="48">
        <v>0.18933333333333358</v>
      </c>
      <c r="BL38" s="48">
        <v>0.29116666666666713</v>
      </c>
      <c r="BM38" s="48">
        <v>0.32433333333333381</v>
      </c>
      <c r="BN38" s="48">
        <v>0.34216666666666712</v>
      </c>
      <c r="BO38" s="48">
        <v>0.3731666666666672</v>
      </c>
      <c r="BP38" s="48">
        <v>0.40100000000000058</v>
      </c>
      <c r="BQ38" s="48">
        <v>0.44350000000000062</v>
      </c>
      <c r="BR38" s="48">
        <v>0.47500000000000064</v>
      </c>
      <c r="BS38" s="48">
        <v>0.49183333333333396</v>
      </c>
      <c r="BT38" s="48">
        <v>0.43050000000000055</v>
      </c>
      <c r="BU38" s="48">
        <v>0.41000000000000053</v>
      </c>
      <c r="BV38" s="48">
        <v>0.40183333333333388</v>
      </c>
      <c r="BW38" s="48">
        <v>0.4293333333333339</v>
      </c>
      <c r="BX38" s="48">
        <v>0.46916666666666723</v>
      </c>
      <c r="BY38" s="48">
        <v>0.49000000000000055</v>
      </c>
      <c r="BZ38" s="48">
        <v>0.45000000000000051</v>
      </c>
      <c r="CA38" s="48">
        <v>0.45300000000000046</v>
      </c>
      <c r="CB38" s="48">
        <v>0.48366666666666708</v>
      </c>
      <c r="CC38" s="48">
        <v>0.48866666666666714</v>
      </c>
      <c r="CD38" s="48">
        <v>0.42783333333333379</v>
      </c>
      <c r="CE38" s="48">
        <v>0.40983333333333383</v>
      </c>
      <c r="CF38" s="48">
        <v>0.49783333333333379</v>
      </c>
      <c r="CG38" s="48">
        <v>0.52366666666666717</v>
      </c>
      <c r="CH38" s="48">
        <v>0.54450000000000043</v>
      </c>
      <c r="CI38" s="48">
        <v>0.4998333333333338</v>
      </c>
      <c r="CJ38" s="48">
        <v>0.50433333333333374</v>
      </c>
      <c r="CK38" s="48">
        <v>0.5058333333333338</v>
      </c>
      <c r="CL38" s="48">
        <v>0.48350000000000043</v>
      </c>
      <c r="CM38" s="48">
        <v>0.40483333333333371</v>
      </c>
      <c r="CN38" s="48">
        <v>0.28650000000000031</v>
      </c>
      <c r="CO38" s="48">
        <v>0.25750000000000028</v>
      </c>
      <c r="CP38" s="48">
        <v>0.29750000000000032</v>
      </c>
      <c r="CQ38" s="48">
        <v>0.37783333333333369</v>
      </c>
      <c r="CR38" s="48">
        <v>0.40183333333333371</v>
      </c>
      <c r="CS38" s="48">
        <v>0.37133333333333368</v>
      </c>
      <c r="CT38" s="48">
        <v>0.36816666666666709</v>
      </c>
      <c r="CU38" s="48">
        <v>0.44350000000000039</v>
      </c>
      <c r="CV38" s="48">
        <v>0.41950000000000037</v>
      </c>
      <c r="CW38" s="48">
        <v>0.30566666666666686</v>
      </c>
      <c r="CX38" s="48">
        <v>0.17116666666666686</v>
      </c>
      <c r="CY38" s="48">
        <v>0.13916666666666688</v>
      </c>
      <c r="CZ38" s="48">
        <v>0.13083333333333352</v>
      </c>
      <c r="DA38" s="48">
        <v>0.12333333333333354</v>
      </c>
      <c r="DB38" s="48">
        <v>0.11500000000000019</v>
      </c>
      <c r="DC38" s="48">
        <v>0.10666666666666685</v>
      </c>
      <c r="DD38" s="48">
        <v>9.5833333333333492E-2</v>
      </c>
      <c r="DE38" s="48">
        <v>8.7833333333333499E-2</v>
      </c>
      <c r="DF38" s="48">
        <v>8.9666666666666853E-2</v>
      </c>
    </row>
    <row r="39" spans="1:110" x14ac:dyDescent="0.2">
      <c r="A39" s="46" t="s">
        <v>11</v>
      </c>
      <c r="B39" s="47">
        <f t="shared" si="23"/>
        <v>5.5306273650181037</v>
      </c>
      <c r="C39" s="47">
        <f t="shared" si="24"/>
        <v>-10.885068880834314</v>
      </c>
      <c r="D39" s="49" t="e">
        <f t="shared" ref="D39:D69" ca="1" si="26">_xludf.STDEV.P(W39:DF39)*100</f>
        <v>#NAME?</v>
      </c>
      <c r="E39" s="51">
        <v>4.6589329009652999E-2</v>
      </c>
      <c r="F39" s="48">
        <v>0.60105748747137111</v>
      </c>
      <c r="G39" s="48">
        <v>0.63251058857247999</v>
      </c>
      <c r="H39" s="48">
        <v>0.66638763562709113</v>
      </c>
      <c r="I39" s="48">
        <v>0.70990817627971425</v>
      </c>
      <c r="J39" s="48">
        <v>0.67832471018009277</v>
      </c>
      <c r="K39" s="48">
        <v>0.61090603864695869</v>
      </c>
      <c r="L39" s="48">
        <v>0.5085526031951606</v>
      </c>
      <c r="M39" s="48">
        <v>0.44850183682152167</v>
      </c>
      <c r="N39" s="48">
        <v>0.41348719078850255</v>
      </c>
      <c r="O39" s="48">
        <v>0.44749714288275061</v>
      </c>
      <c r="P39" s="48">
        <v>0.47491314986514233</v>
      </c>
      <c r="Q39" s="48">
        <v>0.54575121382119007</v>
      </c>
      <c r="R39" s="48">
        <v>0.54875983374106896</v>
      </c>
      <c r="S39" s="48">
        <v>0.57845683142630655</v>
      </c>
      <c r="T39" s="48">
        <v>0.4932001842282448</v>
      </c>
      <c r="U39" s="48">
        <v>0.41842947948595849</v>
      </c>
      <c r="V39" s="48">
        <v>0.30306659014495613</v>
      </c>
      <c r="W39" s="48">
        <v>0.25984518941750695</v>
      </c>
      <c r="X39" s="48">
        <v>0.28907050948830376</v>
      </c>
      <c r="Y39" s="48">
        <v>0.34265465797752703</v>
      </c>
      <c r="Z39" s="48">
        <v>0.39182752158737705</v>
      </c>
      <c r="AA39" s="48">
        <v>0.38541919212210718</v>
      </c>
      <c r="AB39" s="48">
        <v>0.32385961647833672</v>
      </c>
      <c r="AC39" s="48">
        <v>0.28567353144176527</v>
      </c>
      <c r="AD39" s="48">
        <v>0.28655249941386168</v>
      </c>
      <c r="AE39" s="48">
        <v>0.28881504770856486</v>
      </c>
      <c r="AF39" s="48">
        <v>0.33403362030677708</v>
      </c>
      <c r="AG39" s="48">
        <v>0.41142906831385551</v>
      </c>
      <c r="AH39" s="48">
        <v>0.55718168728822048</v>
      </c>
      <c r="AI39" s="48">
        <v>0.62497931426079156</v>
      </c>
      <c r="AJ39" s="48">
        <v>0.68637012097613948</v>
      </c>
      <c r="AK39" s="48">
        <v>0.6838405059291689</v>
      </c>
      <c r="AL39" s="48">
        <v>0.66600996406475865</v>
      </c>
      <c r="AM39" s="48">
        <v>0.66516429083064732</v>
      </c>
      <c r="AN39" s="48">
        <v>0.70486668012395626</v>
      </c>
      <c r="AO39" s="48">
        <v>0.70625866725819586</v>
      </c>
      <c r="AP39" s="48">
        <v>0.67650174353323278</v>
      </c>
      <c r="AQ39" s="48">
        <v>0.68578943926611435</v>
      </c>
      <c r="AR39" s="48">
        <v>0.76821788061728957</v>
      </c>
      <c r="AS39" s="48">
        <v>0.81807827939634026</v>
      </c>
      <c r="AT39" s="48">
        <v>0.83635431466030485</v>
      </c>
      <c r="AU39" s="48">
        <v>0.85134291383519234</v>
      </c>
      <c r="AV39" s="48">
        <v>0.8244196163404387</v>
      </c>
      <c r="AW39" s="48">
        <v>0.77894790533158653</v>
      </c>
      <c r="AX39" s="48">
        <v>0.69681083108591313</v>
      </c>
      <c r="AY39" s="48">
        <v>0.62627076555002159</v>
      </c>
      <c r="AZ39" s="48">
        <v>0.58968336371141439</v>
      </c>
      <c r="BA39" s="48">
        <v>0.53858617853090307</v>
      </c>
      <c r="BB39" s="48">
        <v>0.53430890758846816</v>
      </c>
      <c r="BC39" s="48">
        <v>0.53263301488403503</v>
      </c>
      <c r="BD39" s="48">
        <v>0.48521417803935235</v>
      </c>
      <c r="BE39" s="48">
        <v>0.37102014373993408</v>
      </c>
      <c r="BF39" s="48">
        <v>0.25263544887935124</v>
      </c>
      <c r="BG39" s="48">
        <v>0.21494198096944395</v>
      </c>
      <c r="BH39" s="48">
        <v>0.21212844582807053</v>
      </c>
      <c r="BI39" s="48">
        <v>0.26777267462299131</v>
      </c>
      <c r="BJ39" s="48">
        <v>0.33957492576865489</v>
      </c>
      <c r="BK39" s="48">
        <v>0.35021852225134825</v>
      </c>
      <c r="BL39" s="48">
        <v>0.34479189279670208</v>
      </c>
      <c r="BM39" s="48">
        <v>0.35344416758568137</v>
      </c>
      <c r="BN39" s="48">
        <v>0.36539832329969713</v>
      </c>
      <c r="BO39" s="48">
        <v>0.36189893420845876</v>
      </c>
      <c r="BP39" s="48">
        <v>0.30342406279871748</v>
      </c>
      <c r="BQ39" s="48">
        <v>0.25229968515095325</v>
      </c>
      <c r="BR39" s="48">
        <v>0.23029120812827661</v>
      </c>
      <c r="BS39" s="48">
        <v>0.25678995965476281</v>
      </c>
      <c r="BT39" s="48">
        <v>0.26116619099162469</v>
      </c>
      <c r="BU39" s="48">
        <v>0.22199410305094905</v>
      </c>
      <c r="BV39" s="48">
        <v>0.21547454184182663</v>
      </c>
      <c r="BW39" s="48">
        <v>0.2103228962081154</v>
      </c>
      <c r="BX39" s="48">
        <v>0.21683464784849418</v>
      </c>
      <c r="BY39" s="48">
        <v>0.20573519789552647</v>
      </c>
      <c r="BZ39" s="48">
        <v>0.21691299079696097</v>
      </c>
      <c r="CA39" s="48">
        <v>0.31950127523964345</v>
      </c>
      <c r="CB39" s="48">
        <v>0.48654122546319062</v>
      </c>
      <c r="CC39" s="48">
        <v>0.58597771083767336</v>
      </c>
      <c r="CD39" s="48">
        <v>0.62192278284598668</v>
      </c>
      <c r="CE39" s="48">
        <v>0.60327640133636717</v>
      </c>
      <c r="CF39" s="48">
        <v>0.56599527223110691</v>
      </c>
      <c r="CG39" s="48">
        <v>0.60374494940991963</v>
      </c>
      <c r="CH39" s="48">
        <v>0.59841074198995359</v>
      </c>
      <c r="CI39" s="48">
        <v>0.62750762134595695</v>
      </c>
      <c r="CJ39" s="48">
        <v>0.69969946839727637</v>
      </c>
      <c r="CK39" s="48">
        <v>0.74873182616357647</v>
      </c>
      <c r="CL39" s="48">
        <v>0.76930832416425166</v>
      </c>
      <c r="CM39" s="48">
        <v>0.7217813300450272</v>
      </c>
      <c r="CN39" s="48">
        <v>0.69696892301986757</v>
      </c>
      <c r="CO39" s="48">
        <v>0.67054012179580536</v>
      </c>
      <c r="CP39" s="48">
        <v>0.70028085138205776</v>
      </c>
      <c r="CQ39" s="48">
        <v>0.71316356704525741</v>
      </c>
      <c r="CR39" s="48">
        <v>0.74540498568030211</v>
      </c>
      <c r="CS39" s="48">
        <v>0.76352920813352931</v>
      </c>
      <c r="CT39" s="48">
        <v>0.78618948409246026</v>
      </c>
      <c r="CU39" s="48">
        <v>0.79439030941895461</v>
      </c>
      <c r="CV39" s="48">
        <v>0.74712466305065417</v>
      </c>
      <c r="CW39" s="48">
        <v>0.68001198423091036</v>
      </c>
      <c r="CX39" s="48">
        <v>0.61098796121709276</v>
      </c>
      <c r="CY39" s="48">
        <v>0.53617082615891565</v>
      </c>
      <c r="CZ39" s="48">
        <v>0.41454704738511455</v>
      </c>
      <c r="DA39" s="48">
        <v>0.31715528605419097</v>
      </c>
      <c r="DB39" s="48">
        <v>0.25445397253043683</v>
      </c>
      <c r="DC39" s="48">
        <v>0.26333232982968852</v>
      </c>
      <c r="DD39" s="48">
        <v>0.26249731723557079</v>
      </c>
      <c r="DE39" s="48">
        <v>0.19607583707894954</v>
      </c>
      <c r="DF39" s="48">
        <v>0.14876116888695826</v>
      </c>
    </row>
    <row r="40" spans="1:110" x14ac:dyDescent="0.2">
      <c r="A40" s="46" t="s">
        <v>14</v>
      </c>
      <c r="B40" s="47">
        <f t="shared" si="23"/>
        <v>-10.089161867408048</v>
      </c>
      <c r="C40" s="47">
        <f t="shared" si="24"/>
        <v>-11.694210732128335</v>
      </c>
      <c r="D40" s="49" t="e">
        <f t="shared" ref="D40:D70" ca="1" si="27">_xludf.STDEV.P(W40:DF40)*100</f>
        <v>#NAME?</v>
      </c>
      <c r="E40" s="51">
        <v>2.89388744710436E-2</v>
      </c>
      <c r="F40" s="48">
        <v>0.27327123568178846</v>
      </c>
      <c r="G40" s="48">
        <v>0.29138178051869801</v>
      </c>
      <c r="H40" s="48">
        <v>0.33221221914557897</v>
      </c>
      <c r="I40" s="48">
        <v>0.39021334300307181</v>
      </c>
      <c r="J40" s="48">
        <v>0.39835063243387658</v>
      </c>
      <c r="K40" s="48">
        <v>0.3706670524892231</v>
      </c>
      <c r="L40" s="48">
        <v>0.32157046711274345</v>
      </c>
      <c r="M40" s="48">
        <v>0.28960631738978915</v>
      </c>
      <c r="N40" s="48">
        <v>0.32295038429350342</v>
      </c>
      <c r="O40" s="48">
        <v>0.34536085174566183</v>
      </c>
      <c r="P40" s="48">
        <v>0.37532624539586634</v>
      </c>
      <c r="Q40" s="48">
        <v>0.37416285435586893</v>
      </c>
      <c r="R40" s="48">
        <v>0.37710010687044698</v>
      </c>
      <c r="S40" s="48">
        <v>0.37184406538436671</v>
      </c>
      <c r="T40" s="48">
        <v>0.31244556230782872</v>
      </c>
      <c r="U40" s="48">
        <v>0.24417038480550646</v>
      </c>
      <c r="V40" s="48">
        <v>0.20556581855263883</v>
      </c>
      <c r="W40" s="48">
        <v>0.21457999962576479</v>
      </c>
      <c r="X40" s="48">
        <v>0.29807006058997421</v>
      </c>
      <c r="Y40" s="48">
        <v>0.36991929348062219</v>
      </c>
      <c r="Z40" s="48">
        <v>0.4400716601117004</v>
      </c>
      <c r="AA40" s="48">
        <v>0.46447284321432875</v>
      </c>
      <c r="AB40" s="48">
        <v>0.44275061328147369</v>
      </c>
      <c r="AC40" s="48">
        <v>0.45454731231654566</v>
      </c>
      <c r="AD40" s="48">
        <v>0.47314593835391006</v>
      </c>
      <c r="AE40" s="48">
        <v>0.50387196853615923</v>
      </c>
      <c r="AF40" s="48">
        <v>0.53737034666545846</v>
      </c>
      <c r="AG40" s="48">
        <v>0.59133705434094397</v>
      </c>
      <c r="AH40" s="48">
        <v>0.66118182815185222</v>
      </c>
      <c r="AI40" s="48">
        <v>0.68652914180923319</v>
      </c>
      <c r="AJ40" s="48">
        <v>0.68052070755042304</v>
      </c>
      <c r="AK40" s="48">
        <v>0.68366192925321712</v>
      </c>
      <c r="AL40" s="48">
        <v>0.68119256511805348</v>
      </c>
      <c r="AM40" s="48">
        <v>0.72501923187870942</v>
      </c>
      <c r="AN40" s="48">
        <v>0.75449141217327242</v>
      </c>
      <c r="AO40" s="48">
        <v>0.7790389100679993</v>
      </c>
      <c r="AP40" s="48">
        <v>0.77655839211787048</v>
      </c>
      <c r="AQ40" s="48">
        <v>0.78160800548129761</v>
      </c>
      <c r="AR40" s="48">
        <v>0.76497950523919911</v>
      </c>
      <c r="AS40" s="48">
        <v>0.75764740142035436</v>
      </c>
      <c r="AT40" s="48">
        <v>0.74515724646964876</v>
      </c>
      <c r="AU40" s="48">
        <v>0.73953503242666041</v>
      </c>
      <c r="AV40" s="48">
        <v>0.73301641415919427</v>
      </c>
      <c r="AW40" s="48">
        <v>0.65698516465895695</v>
      </c>
      <c r="AX40" s="48">
        <v>0.5910147037650616</v>
      </c>
      <c r="AY40" s="48">
        <v>0.54196765932351842</v>
      </c>
      <c r="AZ40" s="48">
        <v>0.54353058811760302</v>
      </c>
      <c r="BA40" s="48">
        <v>0.4886120614194534</v>
      </c>
      <c r="BB40" s="48">
        <v>0.42423354513330142</v>
      </c>
      <c r="BC40" s="48">
        <v>0.34430085720196363</v>
      </c>
      <c r="BD40" s="48">
        <v>0.30941961535342283</v>
      </c>
      <c r="BE40" s="48">
        <v>0.29469795523690479</v>
      </c>
      <c r="BF40" s="48">
        <v>0.27092007761679121</v>
      </c>
      <c r="BG40" s="48">
        <v>0.24261395261653385</v>
      </c>
      <c r="BH40" s="48">
        <v>0.2387461953649658</v>
      </c>
      <c r="BI40" s="48">
        <v>0.26384430903328332</v>
      </c>
      <c r="BJ40" s="48">
        <v>0.32157465050059614</v>
      </c>
      <c r="BK40" s="48">
        <v>0.35960840531982702</v>
      </c>
      <c r="BL40" s="48">
        <v>0.36434630895364112</v>
      </c>
      <c r="BM40" s="48">
        <v>0.37379222381731414</v>
      </c>
      <c r="BN40" s="48">
        <v>0.36574417954062483</v>
      </c>
      <c r="BO40" s="48">
        <v>0.38848817840482064</v>
      </c>
      <c r="BP40" s="48">
        <v>0.40197537281054219</v>
      </c>
      <c r="BQ40" s="48">
        <v>0.42220593671091211</v>
      </c>
      <c r="BR40" s="48">
        <v>0.44195635518999254</v>
      </c>
      <c r="BS40" s="48">
        <v>0.46165952499811719</v>
      </c>
      <c r="BT40" s="48">
        <v>0.46390339944471326</v>
      </c>
      <c r="BU40" s="48">
        <v>0.45360154670497976</v>
      </c>
      <c r="BV40" s="48">
        <v>0.44373621217153153</v>
      </c>
      <c r="BW40" s="48">
        <v>0.47322320858968692</v>
      </c>
      <c r="BX40" s="48">
        <v>0.48667387982181193</v>
      </c>
      <c r="BY40" s="48">
        <v>0.52735370696146822</v>
      </c>
      <c r="BZ40" s="48">
        <v>0.58345715642597973</v>
      </c>
      <c r="CA40" s="48">
        <v>0.62842499362306126</v>
      </c>
      <c r="CB40" s="48">
        <v>0.66010606322055765</v>
      </c>
      <c r="CC40" s="48">
        <v>0.66701593615883337</v>
      </c>
      <c r="CD40" s="48">
        <v>0.68218242103611915</v>
      </c>
      <c r="CE40" s="48">
        <v>0.66767428810108964</v>
      </c>
      <c r="CF40" s="48">
        <v>0.66438870455961363</v>
      </c>
      <c r="CG40" s="48">
        <v>0.64070745198315626</v>
      </c>
      <c r="CH40" s="48">
        <v>0.64249694149379677</v>
      </c>
      <c r="CI40" s="48">
        <v>0.63199120033082912</v>
      </c>
      <c r="CJ40" s="48">
        <v>0.63432096374477553</v>
      </c>
      <c r="CK40" s="48">
        <v>0.66652421672379936</v>
      </c>
      <c r="CL40" s="48">
        <v>0.71290919479656634</v>
      </c>
      <c r="CM40" s="48">
        <v>0.73804646624823411</v>
      </c>
      <c r="CN40" s="48">
        <v>0.71383548867525459</v>
      </c>
      <c r="CO40" s="48">
        <v>0.67672805746307507</v>
      </c>
      <c r="CP40" s="48">
        <v>0.63567478279008116</v>
      </c>
      <c r="CQ40" s="48">
        <v>0.64443002475069922</v>
      </c>
      <c r="CR40" s="48">
        <v>0.65625987320773038</v>
      </c>
      <c r="CS40" s="48">
        <v>0.67257758352579555</v>
      </c>
      <c r="CT40" s="48">
        <v>0.67763920278775192</v>
      </c>
      <c r="CU40" s="48">
        <v>0.64794666743195473</v>
      </c>
      <c r="CV40" s="48">
        <v>0.6092081759746788</v>
      </c>
      <c r="CW40" s="48">
        <v>0.55301110627985095</v>
      </c>
      <c r="CX40" s="48">
        <v>0.5019342045901769</v>
      </c>
      <c r="CY40" s="48">
        <v>0.42644397887380137</v>
      </c>
      <c r="CZ40" s="48">
        <v>0.38632580411895723</v>
      </c>
      <c r="DA40" s="48">
        <v>0.34534613947323234</v>
      </c>
      <c r="DB40" s="48">
        <v>0.34406337659832087</v>
      </c>
      <c r="DC40" s="48">
        <v>0.35482107678848851</v>
      </c>
      <c r="DD40" s="48">
        <v>0.36245883903227805</v>
      </c>
      <c r="DE40" s="48">
        <v>0.361426838844499</v>
      </c>
      <c r="DF40" s="48">
        <v>0.34271641548374976</v>
      </c>
    </row>
    <row r="41" spans="1:110" x14ac:dyDescent="0.2">
      <c r="A41" s="46" t="s">
        <v>17</v>
      </c>
      <c r="B41" s="47">
        <f t="shared" si="23"/>
        <v>-22.54210835820588</v>
      </c>
      <c r="C41" s="47">
        <f t="shared" si="24"/>
        <v>-13.929227112858067</v>
      </c>
      <c r="D41" s="49" t="e">
        <f t="shared" ref="D41:D71" ca="1" si="28">_xludf.STDEV.P(W41:DF41)*100</f>
        <v>#NAME?</v>
      </c>
      <c r="E41" s="51">
        <v>3.18894851239628E-2</v>
      </c>
      <c r="F41" s="48">
        <v>0.16136377081782605</v>
      </c>
      <c r="G41" s="48">
        <v>0.18407775714644514</v>
      </c>
      <c r="H41" s="48">
        <v>0.22520953479996164</v>
      </c>
      <c r="I41" s="48">
        <v>0.30065604194640672</v>
      </c>
      <c r="J41" s="48">
        <v>0.30805314361183289</v>
      </c>
      <c r="K41" s="48">
        <v>0.28660648412262596</v>
      </c>
      <c r="L41" s="48">
        <v>0.24570715296427115</v>
      </c>
      <c r="M41" s="48">
        <v>0.26191318745347808</v>
      </c>
      <c r="N41" s="48">
        <v>0.32578492126534936</v>
      </c>
      <c r="O41" s="48">
        <v>0.37331074990695617</v>
      </c>
      <c r="P41" s="48">
        <v>0.39858746290100122</v>
      </c>
      <c r="Q41" s="48">
        <v>0.38678485439988486</v>
      </c>
      <c r="R41" s="48">
        <v>0.37704823875232318</v>
      </c>
      <c r="S41" s="48">
        <v>0.37572100925939456</v>
      </c>
      <c r="T41" s="48">
        <v>0.31742747477018757</v>
      </c>
      <c r="U41" s="48">
        <v>0.23990909262374244</v>
      </c>
      <c r="V41" s="48">
        <v>0.17823110881187121</v>
      </c>
      <c r="W41" s="48">
        <v>0.17496310197618076</v>
      </c>
      <c r="X41" s="48">
        <v>0.22634368313453551</v>
      </c>
      <c r="Y41" s="48">
        <v>0.22714613929289029</v>
      </c>
      <c r="Z41" s="48">
        <v>0.1707632617761424</v>
      </c>
      <c r="AA41" s="48">
        <v>0.11078610660587802</v>
      </c>
      <c r="AB41" s="48">
        <v>8.4297335788051986E-2</v>
      </c>
      <c r="AC41" s="48">
        <v>7.1635720140490328E-2</v>
      </c>
      <c r="AD41" s="48">
        <v>8.5014729492928653E-2</v>
      </c>
      <c r="AE41" s="48">
        <v>7.0994493164309544E-2</v>
      </c>
      <c r="AF41" s="48">
        <v>0.106884375</v>
      </c>
      <c r="AG41" s="48">
        <v>0.14387239149888348</v>
      </c>
      <c r="AH41" s="48">
        <v>0.27548273632861908</v>
      </c>
      <c r="AI41" s="48">
        <v>0.42153757432266431</v>
      </c>
      <c r="AJ41" s="48">
        <v>0.52213638898213566</v>
      </c>
      <c r="AK41" s="48">
        <v>0.59311956748697403</v>
      </c>
      <c r="AL41" s="48">
        <v>0.60587120615835477</v>
      </c>
      <c r="AM41" s="48">
        <v>0.59605922265723821</v>
      </c>
      <c r="AN41" s="48">
        <v>0.61533475031075457</v>
      </c>
      <c r="AO41" s="48">
        <v>0.64600455561778758</v>
      </c>
      <c r="AP41" s="48">
        <v>0.68366312058801382</v>
      </c>
      <c r="AQ41" s="48">
        <v>0.60324281739393004</v>
      </c>
      <c r="AR41" s="48">
        <v>0.53492749338202039</v>
      </c>
      <c r="AS41" s="48">
        <v>0.63725391654260832</v>
      </c>
      <c r="AT41" s="48">
        <v>0.69087556487718227</v>
      </c>
      <c r="AU41" s="48">
        <v>0.68774408821175614</v>
      </c>
      <c r="AV41" s="48">
        <v>0.55284982171287267</v>
      </c>
      <c r="AW41" s="48">
        <v>0.52103709504744655</v>
      </c>
      <c r="AX41" s="48">
        <v>0.55517675021771085</v>
      </c>
      <c r="AY41" s="48">
        <v>0.57832503722366568</v>
      </c>
      <c r="AZ41" s="48">
        <v>0.54053582422962043</v>
      </c>
      <c r="BA41" s="48">
        <v>0.49646774307126573</v>
      </c>
      <c r="BB41" s="48">
        <v>0.48949154657610405</v>
      </c>
      <c r="BC41" s="48">
        <v>0.49391043776423277</v>
      </c>
      <c r="BD41" s="48">
        <v>0.49629473844156852</v>
      </c>
      <c r="BE41" s="48">
        <v>0.47329175462969725</v>
      </c>
      <c r="BF41" s="48">
        <v>0.44207374779400682</v>
      </c>
      <c r="BG41" s="48">
        <v>0.42053245395236155</v>
      </c>
      <c r="BH41" s="48">
        <v>0.43164904878209731</v>
      </c>
      <c r="BI41" s="48">
        <v>0.50196884293449706</v>
      </c>
      <c r="BJ41" s="48">
        <v>0.57963253942965887</v>
      </c>
      <c r="BK41" s="48">
        <v>0.55680925242370405</v>
      </c>
      <c r="BL41" s="48">
        <v>0.47920084725343975</v>
      </c>
      <c r="BM41" s="48">
        <v>0.38006245174636838</v>
      </c>
      <c r="BN41" s="48">
        <v>0.33955263457014917</v>
      </c>
      <c r="BO41" s="48">
        <v>0.35569542589504649</v>
      </c>
      <c r="BP41" s="48">
        <v>0.42852265538797518</v>
      </c>
      <c r="BQ41" s="48">
        <v>0.53309475705340126</v>
      </c>
      <c r="BR41" s="48">
        <v>0.60052429405935626</v>
      </c>
      <c r="BS41" s="48">
        <v>0.61678559756419427</v>
      </c>
      <c r="BT41" s="48">
        <v>0.57822786123557535</v>
      </c>
      <c r="BU41" s="48">
        <v>0.52709103007722058</v>
      </c>
      <c r="BV41" s="48">
        <v>0.49453909041774924</v>
      </c>
      <c r="BW41" s="48">
        <v>0.50797131024748488</v>
      </c>
      <c r="BX41" s="48">
        <v>0.60137614824152996</v>
      </c>
      <c r="BY41" s="48">
        <v>0.67061119208317532</v>
      </c>
      <c r="BZ41" s="48">
        <v>0.71127219459992308</v>
      </c>
      <c r="CA41" s="48">
        <v>0.72377337994045177</v>
      </c>
      <c r="CB41" s="48">
        <v>0.74811445827130429</v>
      </c>
      <c r="CC41" s="48">
        <v>0.77795582643561356</v>
      </c>
      <c r="CD41" s="48">
        <v>0.80097427544752342</v>
      </c>
      <c r="CE41" s="48">
        <v>0.73766458830479986</v>
      </c>
      <c r="CF41" s="48">
        <v>0.68643854415239991</v>
      </c>
      <c r="CG41" s="48">
        <v>0.6645596759880904</v>
      </c>
      <c r="CH41" s="48">
        <v>0.74768303731670949</v>
      </c>
      <c r="CI41" s="48">
        <v>0.785040030481019</v>
      </c>
      <c r="CJ41" s="48">
        <v>0.81908379163565215</v>
      </c>
      <c r="CK41" s="48">
        <v>0.84956303511071629</v>
      </c>
      <c r="CL41" s="48">
        <v>0.88511453259396844</v>
      </c>
      <c r="CM41" s="48">
        <v>0.90718983358205885</v>
      </c>
      <c r="CN41" s="48">
        <v>0.89742517841179448</v>
      </c>
      <c r="CO41" s="48">
        <v>0.84228447908913018</v>
      </c>
      <c r="CP41" s="48">
        <v>0.77252465075827781</v>
      </c>
      <c r="CQ41" s="48">
        <v>0.75618001640583976</v>
      </c>
      <c r="CR41" s="48">
        <v>0.76725264572478225</v>
      </c>
      <c r="CS41" s="48">
        <v>0.76506685871882718</v>
      </c>
      <c r="CT41" s="48">
        <v>0.712114476883137</v>
      </c>
      <c r="CU41" s="48">
        <v>0.69191588888909183</v>
      </c>
      <c r="CV41" s="48">
        <v>0.66470383106531084</v>
      </c>
      <c r="CW41" s="48">
        <v>0.62352680592854226</v>
      </c>
      <c r="CX41" s="48">
        <v>0.59857382211667132</v>
      </c>
      <c r="CY41" s="48">
        <v>0.60018289612858078</v>
      </c>
      <c r="CZ41" s="48">
        <v>0.58014219680591639</v>
      </c>
      <c r="DA41" s="48">
        <v>0.55202299347506423</v>
      </c>
      <c r="DB41" s="48">
        <v>0.57935692629884517</v>
      </c>
      <c r="DC41" s="48">
        <v>0.54573074095831631</v>
      </c>
      <c r="DD41" s="48">
        <v>0.40429918997022601</v>
      </c>
      <c r="DE41" s="48">
        <v>0.2616329629940452</v>
      </c>
      <c r="DF41" s="48">
        <v>0.18338250966319303</v>
      </c>
    </row>
    <row r="42" spans="1:110" x14ac:dyDescent="0.2">
      <c r="A42" s="46" t="s">
        <v>20</v>
      </c>
      <c r="B42" s="47">
        <f t="shared" si="23"/>
        <v>13.572340392993548</v>
      </c>
      <c r="C42" s="47">
        <f t="shared" si="24"/>
        <v>-3.3456103692554362</v>
      </c>
      <c r="D42" s="49" t="e">
        <f t="shared" ref="D42:D72" ca="1" si="29">_xludf.STDEV.P(W42:DF42)*100</f>
        <v>#NAME?</v>
      </c>
      <c r="E42" s="51">
        <v>1.1535391766601601E-2</v>
      </c>
      <c r="F42" s="48">
        <v>0.39886621831531494</v>
      </c>
      <c r="G42" s="48">
        <v>0.41504922888658002</v>
      </c>
      <c r="H42" s="48">
        <v>0.43805365077752961</v>
      </c>
      <c r="I42" s="48">
        <v>0.4323223220078693</v>
      </c>
      <c r="J42" s="48">
        <v>0.34313763345223502</v>
      </c>
      <c r="K42" s="48">
        <v>0.27370379985813986</v>
      </c>
      <c r="L42" s="48">
        <v>0.25047061244637908</v>
      </c>
      <c r="M42" s="48">
        <v>0.28661188896895584</v>
      </c>
      <c r="N42" s="48">
        <v>0.32065609282809787</v>
      </c>
      <c r="O42" s="48">
        <v>0.32513938882475157</v>
      </c>
      <c r="P42" s="48">
        <v>0.29998686202054575</v>
      </c>
      <c r="Q42" s="48">
        <v>0.26314281438537945</v>
      </c>
      <c r="R42" s="48">
        <v>0.25350935274266956</v>
      </c>
      <c r="S42" s="48">
        <v>0.25606298728473581</v>
      </c>
      <c r="T42" s="48">
        <v>0.25189033543243555</v>
      </c>
      <c r="U42" s="48">
        <v>0.24919328737625721</v>
      </c>
      <c r="V42" s="48">
        <v>0.24466971767074774</v>
      </c>
      <c r="W42" s="48">
        <v>0.26727254814200313</v>
      </c>
      <c r="X42" s="48">
        <v>0.25502416994199489</v>
      </c>
      <c r="Y42" s="48">
        <v>0.22598564794490225</v>
      </c>
      <c r="Z42" s="48">
        <v>0.15981489461620585</v>
      </c>
      <c r="AA42" s="48">
        <v>9.7367097885878856E-2</v>
      </c>
      <c r="AB42" s="48">
        <v>8.9405544881397417E-2</v>
      </c>
      <c r="AC42" s="48">
        <v>0.10829546536699369</v>
      </c>
      <c r="AD42" s="48">
        <v>0.13777772844214589</v>
      </c>
      <c r="AE42" s="48">
        <v>0.22797863740836352</v>
      </c>
      <c r="AF42" s="48">
        <v>0.26848853937191319</v>
      </c>
      <c r="AG42" s="48">
        <v>0.31755067776940099</v>
      </c>
      <c r="AH42" s="48">
        <v>0.3905765278584451</v>
      </c>
      <c r="AI42" s="48">
        <v>0.47834047013260406</v>
      </c>
      <c r="AJ42" s="48">
        <v>0.57400384099216384</v>
      </c>
      <c r="AK42" s="48">
        <v>0.64966772673030293</v>
      </c>
      <c r="AL42" s="48">
        <v>0.66179395398989704</v>
      </c>
      <c r="AM42" s="48">
        <v>0.68342129336840884</v>
      </c>
      <c r="AN42" s="48">
        <v>0.79137675338831071</v>
      </c>
      <c r="AO42" s="48">
        <v>0.89378869217604795</v>
      </c>
      <c r="AP42" s="48">
        <v>0.87786138027783112</v>
      </c>
      <c r="AQ42" s="48">
        <v>0.76254120808883286</v>
      </c>
      <c r="AR42" s="48">
        <v>0.69606143387516972</v>
      </c>
      <c r="AS42" s="48">
        <v>0.76173135470856324</v>
      </c>
      <c r="AT42" s="48">
        <v>0.83552174801153656</v>
      </c>
      <c r="AU42" s="48">
        <v>0.77868868901347366</v>
      </c>
      <c r="AV42" s="48">
        <v>0.71804673505147909</v>
      </c>
      <c r="AW42" s="48">
        <v>0.59648243750918417</v>
      </c>
      <c r="AX42" s="48">
        <v>0.55478362277996007</v>
      </c>
      <c r="AY42" s="48">
        <v>0.54802627588862629</v>
      </c>
      <c r="AZ42" s="48">
        <v>0.53642329318413151</v>
      </c>
      <c r="BA42" s="48">
        <v>0.53864498981140108</v>
      </c>
      <c r="BB42" s="48">
        <v>0.47472429116900861</v>
      </c>
      <c r="BC42" s="48">
        <v>0.38813888081525177</v>
      </c>
      <c r="BD42" s="48">
        <v>0.36891046306756858</v>
      </c>
      <c r="BE42" s="48">
        <v>0.37652238400396587</v>
      </c>
      <c r="BF42" s="48">
        <v>0.34435790340034755</v>
      </c>
      <c r="BG42" s="48">
        <v>0.30554998716802384</v>
      </c>
      <c r="BH42" s="48">
        <v>0.26470765687358672</v>
      </c>
      <c r="BI42" s="48">
        <v>0.34281905127923318</v>
      </c>
      <c r="BJ42" s="48">
        <v>0.46243060857570106</v>
      </c>
      <c r="BK42" s="48">
        <v>0.57887263127976352</v>
      </c>
      <c r="BL42" s="48">
        <v>0.55600696540536942</v>
      </c>
      <c r="BM42" s="48">
        <v>0.54747735009179144</v>
      </c>
      <c r="BN42" s="48">
        <v>0.50232319282449556</v>
      </c>
      <c r="BO42" s="48">
        <v>0.41615327968127031</v>
      </c>
      <c r="BP42" s="48">
        <v>0.35992357696490995</v>
      </c>
      <c r="BQ42" s="48">
        <v>0.37497596311069159</v>
      </c>
      <c r="BR42" s="48">
        <v>0.44570215471335745</v>
      </c>
      <c r="BS42" s="48">
        <v>0.46427077856718618</v>
      </c>
      <c r="BT42" s="48">
        <v>0.47779989867450773</v>
      </c>
      <c r="BU42" s="48">
        <v>0.45336594857151263</v>
      </c>
      <c r="BV42" s="48">
        <v>0.57498967860776939</v>
      </c>
      <c r="BW42" s="48">
        <v>0.63632979021351876</v>
      </c>
      <c r="BX42" s="48">
        <v>0.66802870753070143</v>
      </c>
      <c r="BY42" s="48">
        <v>0.68405161129248271</v>
      </c>
      <c r="BZ42" s="48">
        <v>0.66535844548493617</v>
      </c>
      <c r="CA42" s="48">
        <v>0.6400823372556379</v>
      </c>
      <c r="CB42" s="48">
        <v>0.6480709374285929</v>
      </c>
      <c r="CC42" s="48">
        <v>0.68958244120684731</v>
      </c>
      <c r="CD42" s="48">
        <v>0.6865159269316703</v>
      </c>
      <c r="CE42" s="48">
        <v>0.67793886268962633</v>
      </c>
      <c r="CF42" s="48">
        <v>0.65089039131379456</v>
      </c>
      <c r="CG42" s="48">
        <v>0.68615499417769432</v>
      </c>
      <c r="CH42" s="48">
        <v>0.7557776622654574</v>
      </c>
      <c r="CI42" s="48">
        <v>0.73983909051699437</v>
      </c>
      <c r="CJ42" s="48">
        <v>0.65449298019322266</v>
      </c>
      <c r="CK42" s="48">
        <v>0.60481887684232982</v>
      </c>
      <c r="CL42" s="48">
        <v>0.62146683567576322</v>
      </c>
      <c r="CM42" s="48">
        <v>0.62195045734797016</v>
      </c>
      <c r="CN42" s="48">
        <v>0.63442397756468083</v>
      </c>
      <c r="CO42" s="48">
        <v>0.66336109448378089</v>
      </c>
      <c r="CP42" s="48">
        <v>0.71184519877582086</v>
      </c>
      <c r="CQ42" s="48">
        <v>0.75106433559110164</v>
      </c>
      <c r="CR42" s="48">
        <v>0.7584063494872979</v>
      </c>
      <c r="CS42" s="48">
        <v>0.74976321824594561</v>
      </c>
      <c r="CT42" s="48">
        <v>0.73097420036097127</v>
      </c>
      <c r="CU42" s="48">
        <v>0.71526122196322728</v>
      </c>
      <c r="CV42" s="48">
        <v>0.70459771213847699</v>
      </c>
      <c r="CW42" s="48">
        <v>0.67444774481627712</v>
      </c>
      <c r="CX42" s="48">
        <v>0.63037957478912798</v>
      </c>
      <c r="CY42" s="48">
        <v>0.5659329184070504</v>
      </c>
      <c r="CZ42" s="48">
        <v>0.54129773874198583</v>
      </c>
      <c r="DA42" s="48">
        <v>0.47985954618728949</v>
      </c>
      <c r="DB42" s="48">
        <v>0.42837139049629019</v>
      </c>
      <c r="DC42" s="48">
        <v>0.39981372535699961</v>
      </c>
      <c r="DD42" s="48">
        <v>0.40854275523889283</v>
      </c>
      <c r="DE42" s="48">
        <v>0.39440594033228676</v>
      </c>
      <c r="DF42" s="48">
        <v>0.33201028706518021</v>
      </c>
    </row>
    <row r="43" spans="1:110" x14ac:dyDescent="0.2">
      <c r="A43" s="46" t="s">
        <v>23</v>
      </c>
      <c r="B43" s="47">
        <f t="shared" si="23"/>
        <v>18.81026396142359</v>
      </c>
      <c r="C43" s="47">
        <f t="shared" si="24"/>
        <v>7.0019950648215197</v>
      </c>
      <c r="D43" s="49" t="e">
        <f t="shared" ref="D43:D73" ca="1" si="30">_xludf.STDEV.P(W43:DF43)*100</f>
        <v>#NAME?</v>
      </c>
      <c r="E43" s="51">
        <v>2.6998238066792801E-2</v>
      </c>
      <c r="F43" s="48">
        <v>0.62291137453176304</v>
      </c>
      <c r="G43" s="48">
        <v>0.63312526972171423</v>
      </c>
      <c r="H43" s="48">
        <v>0.60100057273764285</v>
      </c>
      <c r="I43" s="48">
        <v>0.55289142388354784</v>
      </c>
      <c r="J43" s="48">
        <v>0.51589487715891924</v>
      </c>
      <c r="K43" s="48">
        <v>0.41475806257461584</v>
      </c>
      <c r="L43" s="48">
        <v>0.38926409787338262</v>
      </c>
      <c r="M43" s="48">
        <v>0.35140681949969083</v>
      </c>
      <c r="N43" s="48">
        <v>0.48888551419667142</v>
      </c>
      <c r="O43" s="48">
        <v>0.53714327636524817</v>
      </c>
      <c r="P43" s="48">
        <v>0.50520541811288067</v>
      </c>
      <c r="Q43" s="48">
        <v>0.43480873491752714</v>
      </c>
      <c r="R43" s="48">
        <v>0.36061111577600591</v>
      </c>
      <c r="S43" s="48">
        <v>0.30242663735011222</v>
      </c>
      <c r="T43" s="48">
        <v>0.27444778312393375</v>
      </c>
      <c r="U43" s="48">
        <v>0.22320908576225343</v>
      </c>
      <c r="V43" s="48">
        <v>0.27536738484776541</v>
      </c>
      <c r="W43" s="48">
        <v>0.30791954215405826</v>
      </c>
      <c r="X43" s="48">
        <v>0.37175161991873029</v>
      </c>
      <c r="Y43" s="48">
        <v>0.36306553545323045</v>
      </c>
      <c r="Z43" s="48">
        <v>0.3032497463050759</v>
      </c>
      <c r="AA43" s="48">
        <v>0.23226538519646397</v>
      </c>
      <c r="AB43" s="48">
        <v>0.32533841233993188</v>
      </c>
      <c r="AC43" s="48">
        <v>0.38479455821885095</v>
      </c>
      <c r="AD43" s="48">
        <v>0.43854632149513384</v>
      </c>
      <c r="AE43" s="48">
        <v>0.40985709681089116</v>
      </c>
      <c r="AF43" s="48">
        <v>0.37609904759554796</v>
      </c>
      <c r="AG43" s="48">
        <v>0.40605083438434281</v>
      </c>
      <c r="AH43" s="48">
        <v>0.39020598027848002</v>
      </c>
      <c r="AI43" s="48">
        <v>0.42896820520207102</v>
      </c>
      <c r="AJ43" s="48">
        <v>0.46259671652795836</v>
      </c>
      <c r="AK43" s="48">
        <v>0.48490076916381952</v>
      </c>
      <c r="AL43" s="48">
        <v>0.51866205047551528</v>
      </c>
      <c r="AM43" s="48">
        <v>0.44668157095262423</v>
      </c>
      <c r="AN43" s="48">
        <v>0.44312883452773999</v>
      </c>
      <c r="AO43" s="48">
        <v>0.4858830007180589</v>
      </c>
      <c r="AP43" s="48">
        <v>0.57760514700454657</v>
      </c>
      <c r="AQ43" s="48">
        <v>0.6378928503794824</v>
      </c>
      <c r="AR43" s="48">
        <v>0.68179012980632681</v>
      </c>
      <c r="AS43" s="48">
        <v>0.71216202730796208</v>
      </c>
      <c r="AT43" s="48">
        <v>0.74921915250885174</v>
      </c>
      <c r="AU43" s="48">
        <v>0.83420688077893668</v>
      </c>
      <c r="AV43" s="48">
        <v>0.93717153645289264</v>
      </c>
      <c r="AW43" s="48">
        <v>0.97067034205525782</v>
      </c>
      <c r="AX43" s="48">
        <v>0.91917822818138317</v>
      </c>
      <c r="AY43" s="48">
        <v>0.84670628461580622</v>
      </c>
      <c r="AZ43" s="48">
        <v>0.79855138614153565</v>
      </c>
      <c r="BA43" s="48">
        <v>0.75658768265593013</v>
      </c>
      <c r="BB43" s="48">
        <v>0.67052962035732211</v>
      </c>
      <c r="BC43" s="48">
        <v>0.63039663994586037</v>
      </c>
      <c r="BD43" s="48">
        <v>0.60376098953676993</v>
      </c>
      <c r="BE43" s="48">
        <v>0.58250598870481485</v>
      </c>
      <c r="BF43" s="48">
        <v>0.5740154955632315</v>
      </c>
      <c r="BG43" s="48">
        <v>0.41352682084277287</v>
      </c>
      <c r="BH43" s="48">
        <v>0.30998089190299222</v>
      </c>
      <c r="BI43" s="48">
        <v>0.17935404502744098</v>
      </c>
      <c r="BJ43" s="48">
        <v>0.34020158337101358</v>
      </c>
      <c r="BK43" s="48">
        <v>0.39155678986617276</v>
      </c>
      <c r="BL43" s="48">
        <v>0.43265681864551125</v>
      </c>
      <c r="BM43" s="48">
        <v>0.38887172807377457</v>
      </c>
      <c r="BN43" s="48">
        <v>0.33736934265453683</v>
      </c>
      <c r="BO43" s="48">
        <v>0.34116620603754599</v>
      </c>
      <c r="BP43" s="48">
        <v>0.36560152811059515</v>
      </c>
      <c r="BQ43" s="48">
        <v>0.33270519712756974</v>
      </c>
      <c r="BR43" s="48">
        <v>0.26325920940589304</v>
      </c>
      <c r="BS43" s="48">
        <v>0.27060490789321079</v>
      </c>
      <c r="BT43" s="48">
        <v>0.32666810689330961</v>
      </c>
      <c r="BU43" s="48">
        <v>0.40345888400779145</v>
      </c>
      <c r="BV43" s="48">
        <v>0.26509637432884098</v>
      </c>
      <c r="BW43" s="48">
        <v>0.24295962058569145</v>
      </c>
      <c r="BX43" s="48">
        <v>0.297971052744121</v>
      </c>
      <c r="BY43" s="48">
        <v>0.32067286011285445</v>
      </c>
      <c r="BZ43" s="48">
        <v>0.348012420354817</v>
      </c>
      <c r="CA43" s="48">
        <v>0.347688181276121</v>
      </c>
      <c r="CB43" s="48">
        <v>0.36385889082146583</v>
      </c>
      <c r="CC43" s="48">
        <v>0.42758566661273062</v>
      </c>
      <c r="CD43" s="48">
        <v>0.48301026650057793</v>
      </c>
      <c r="CE43" s="48">
        <v>0.50214237454923205</v>
      </c>
      <c r="CF43" s="48">
        <v>0.45758172631359256</v>
      </c>
      <c r="CG43" s="48">
        <v>0.50644186869448682</v>
      </c>
      <c r="CH43" s="48">
        <v>0.55805755726709338</v>
      </c>
      <c r="CI43" s="48">
        <v>0.62879342868397237</v>
      </c>
      <c r="CJ43" s="48">
        <v>0.60169800377400551</v>
      </c>
      <c r="CK43" s="48">
        <v>0.63332263730416494</v>
      </c>
      <c r="CL43" s="48">
        <v>0.64312407851516107</v>
      </c>
      <c r="CM43" s="48">
        <v>0.68042238437251457</v>
      </c>
      <c r="CN43" s="48">
        <v>0.69383931728764658</v>
      </c>
      <c r="CO43" s="48">
        <v>0.72260542385256188</v>
      </c>
      <c r="CP43" s="48">
        <v>0.71338891889745393</v>
      </c>
      <c r="CQ43" s="48">
        <v>0.70518311041995108</v>
      </c>
      <c r="CR43" s="48">
        <v>0.70839792060501627</v>
      </c>
      <c r="CS43" s="48">
        <v>0.68653328004678515</v>
      </c>
      <c r="CT43" s="48">
        <v>0.72922240755554191</v>
      </c>
      <c r="CU43" s="48">
        <v>0.70173125830941663</v>
      </c>
      <c r="CV43" s="48">
        <v>0.68640930506493991</v>
      </c>
      <c r="CW43" s="48">
        <v>0.70439024021312202</v>
      </c>
      <c r="CX43" s="48">
        <v>0.67253009860937285</v>
      </c>
      <c r="CY43" s="48">
        <v>0.61941989392930674</v>
      </c>
      <c r="CZ43" s="48">
        <v>0.53807754776315397</v>
      </c>
      <c r="DA43" s="48">
        <v>0.43819237732950855</v>
      </c>
      <c r="DB43" s="48">
        <v>0.39807690339936797</v>
      </c>
      <c r="DC43" s="48">
        <v>0.40945190449499502</v>
      </c>
      <c r="DD43" s="48">
        <v>0.4487964564158215</v>
      </c>
      <c r="DE43" s="48">
        <v>0.45469066605838654</v>
      </c>
      <c r="DF43" s="48">
        <v>0.27946302443661464</v>
      </c>
    </row>
    <row r="44" spans="1:110" x14ac:dyDescent="0.2">
      <c r="A44" s="46" t="s">
        <v>26</v>
      </c>
      <c r="B44" s="47">
        <f t="shared" si="23"/>
        <v>-1.0298638002423421</v>
      </c>
      <c r="C44" s="47">
        <f t="shared" si="24"/>
        <v>1.6641075975229513</v>
      </c>
      <c r="D44" s="49" t="e">
        <f t="shared" ref="D44:D74" ca="1" si="31">_xludf.STDEV.P(W44:DF44)*100</f>
        <v>#NAME?</v>
      </c>
      <c r="E44" s="51">
        <v>5.0000752962908998E-2</v>
      </c>
      <c r="F44" s="48">
        <v>0.4587709748867414</v>
      </c>
      <c r="G44" s="48">
        <v>0.44595162342226524</v>
      </c>
      <c r="H44" s="48">
        <v>0.44255089139561332</v>
      </c>
      <c r="I44" s="48">
        <v>0.44212989891151189</v>
      </c>
      <c r="J44" s="48">
        <v>0.44954703673087637</v>
      </c>
      <c r="K44" s="48">
        <v>0.44575453724851999</v>
      </c>
      <c r="L44" s="48">
        <v>0.48177897697534977</v>
      </c>
      <c r="M44" s="48">
        <v>0.47957166027086839</v>
      </c>
      <c r="N44" s="48">
        <v>0.49636199465067166</v>
      </c>
      <c r="O44" s="48">
        <v>0.50740977486160588</v>
      </c>
      <c r="P44" s="48">
        <v>0.49384102966314514</v>
      </c>
      <c r="Q44" s="48">
        <v>0.46906961288916482</v>
      </c>
      <c r="R44" s="48">
        <v>0.4513943754634222</v>
      </c>
      <c r="S44" s="48">
        <v>0.45890686912554424</v>
      </c>
      <c r="T44" s="48">
        <v>0.47913247484969318</v>
      </c>
      <c r="U44" s="48">
        <v>0.52848216865871034</v>
      </c>
      <c r="V44" s="48">
        <v>0.56698792056612246</v>
      </c>
      <c r="W44" s="48">
        <v>0.56326884915842146</v>
      </c>
      <c r="X44" s="48">
        <v>0.53684690099121568</v>
      </c>
      <c r="Y44" s="48">
        <v>0.4541454224461331</v>
      </c>
      <c r="Z44" s="48">
        <v>0.42392666640054089</v>
      </c>
      <c r="AA44" s="48">
        <v>0.4785318050228759</v>
      </c>
      <c r="AB44" s="48">
        <v>0.55040317255981286</v>
      </c>
      <c r="AC44" s="48">
        <v>0.61252608182458779</v>
      </c>
      <c r="AD44" s="48">
        <v>0.64994031107254246</v>
      </c>
      <c r="AE44" s="48">
        <v>0.69907573911992271</v>
      </c>
      <c r="AF44" s="48">
        <v>0.71004821248319339</v>
      </c>
      <c r="AG44" s="48">
        <v>0.70172861648430207</v>
      </c>
      <c r="AH44" s="48">
        <v>0.68050394740512066</v>
      </c>
      <c r="AI44" s="48">
        <v>0.70848179803601852</v>
      </c>
      <c r="AJ44" s="48">
        <v>0.80250672729653572</v>
      </c>
      <c r="AK44" s="48">
        <v>0.84313819841202631</v>
      </c>
      <c r="AL44" s="48">
        <v>0.77134037680921141</v>
      </c>
      <c r="AM44" s="48">
        <v>0.61141808627618222</v>
      </c>
      <c r="AN44" s="48">
        <v>0.60145244202714443</v>
      </c>
      <c r="AO44" s="48">
        <v>0.62376162842871996</v>
      </c>
      <c r="AP44" s="48">
        <v>0.63874443599565212</v>
      </c>
      <c r="AQ44" s="48">
        <v>0.63550263039226518</v>
      </c>
      <c r="AR44" s="48">
        <v>0.64685454059353076</v>
      </c>
      <c r="AS44" s="48">
        <v>0.66163164122937124</v>
      </c>
      <c r="AT44" s="48">
        <v>0.70509109108588441</v>
      </c>
      <c r="AU44" s="48">
        <v>0.73761270206510232</v>
      </c>
      <c r="AV44" s="48">
        <v>0.78502636382900204</v>
      </c>
      <c r="AW44" s="48">
        <v>0.7780630579187815</v>
      </c>
      <c r="AX44" s="48">
        <v>0.72475319705581964</v>
      </c>
      <c r="AY44" s="48">
        <v>0.54680856862334737</v>
      </c>
      <c r="AZ44" s="48">
        <v>0.4750998098958662</v>
      </c>
      <c r="BA44" s="48">
        <v>0.42223188179709947</v>
      </c>
      <c r="BB44" s="48">
        <v>0.35589860137532731</v>
      </c>
      <c r="BC44" s="48">
        <v>0.3068684499638224</v>
      </c>
      <c r="BD44" s="48">
        <v>0.24496471521120392</v>
      </c>
      <c r="BE44" s="48">
        <v>0.22010839847446234</v>
      </c>
      <c r="BF44" s="48">
        <v>0.18346551334416994</v>
      </c>
      <c r="BG44" s="48">
        <v>0.1426638524056997</v>
      </c>
      <c r="BH44" s="48">
        <v>0.11747473151564519</v>
      </c>
      <c r="BI44" s="48">
        <v>0.12781903099314026</v>
      </c>
      <c r="BJ44" s="48">
        <v>0.15290235527109539</v>
      </c>
      <c r="BK44" s="48">
        <v>0.26376903862407686</v>
      </c>
      <c r="BL44" s="48">
        <v>0.26029311531294597</v>
      </c>
      <c r="BM44" s="48">
        <v>0.24443149716568813</v>
      </c>
      <c r="BN44" s="48">
        <v>0.2419791961120476</v>
      </c>
      <c r="BO44" s="48">
        <v>0.21368718534707826</v>
      </c>
      <c r="BP44" s="48">
        <v>0.21737551609074712</v>
      </c>
      <c r="BQ44" s="48">
        <v>0.24683295499382796</v>
      </c>
      <c r="BR44" s="48">
        <v>0.28208506467617872</v>
      </c>
      <c r="BS44" s="48">
        <v>0.28314948297673864</v>
      </c>
      <c r="BT44" s="48">
        <v>0.3060840241202567</v>
      </c>
      <c r="BU44" s="48">
        <v>0.3399968948682639</v>
      </c>
      <c r="BV44" s="48">
        <v>0.36597644394123524</v>
      </c>
      <c r="BW44" s="48">
        <v>0.40901258401941298</v>
      </c>
      <c r="BX44" s="48">
        <v>0.39243975095199102</v>
      </c>
      <c r="BY44" s="48">
        <v>0.38281096397436215</v>
      </c>
      <c r="BZ44" s="48">
        <v>0.37784758441370142</v>
      </c>
      <c r="CA44" s="48">
        <v>0.379909034362514</v>
      </c>
      <c r="CB44" s="48">
        <v>0.39259937664908756</v>
      </c>
      <c r="CC44" s="48">
        <v>0.43240582908488528</v>
      </c>
      <c r="CD44" s="48">
        <v>0.44846390428066729</v>
      </c>
      <c r="CE44" s="48">
        <v>0.49245407999859575</v>
      </c>
      <c r="CF44" s="48">
        <v>0.52134483347364036</v>
      </c>
      <c r="CG44" s="48">
        <v>0.59096528318531993</v>
      </c>
      <c r="CH44" s="48">
        <v>0.56694632076839691</v>
      </c>
      <c r="CI44" s="48">
        <v>0.53688880639885295</v>
      </c>
      <c r="CJ44" s="48">
        <v>0.51208686797852354</v>
      </c>
      <c r="CK44" s="48">
        <v>0.54239029907026937</v>
      </c>
      <c r="CL44" s="48">
        <v>0.55988315735926708</v>
      </c>
      <c r="CM44" s="48">
        <v>0.56308124428344852</v>
      </c>
      <c r="CN44" s="48">
        <v>0.52752284034551544</v>
      </c>
      <c r="CO44" s="48">
        <v>0.50515151614809806</v>
      </c>
      <c r="CP44" s="48">
        <v>0.49772511940945685</v>
      </c>
      <c r="CQ44" s="48">
        <v>0.49953370224874893</v>
      </c>
      <c r="CR44" s="48">
        <v>0.48228691025111203</v>
      </c>
      <c r="CS44" s="48">
        <v>0.42711747984074561</v>
      </c>
      <c r="CT44" s="48">
        <v>0.49760470597062978</v>
      </c>
      <c r="CU44" s="48">
        <v>0.51458748333165427</v>
      </c>
      <c r="CV44" s="48">
        <v>0.5490940079491119</v>
      </c>
      <c r="CW44" s="48">
        <v>0.56537755636517883</v>
      </c>
      <c r="CX44" s="48">
        <v>0.5763022506208505</v>
      </c>
      <c r="CY44" s="48">
        <v>0.59283133970936153</v>
      </c>
      <c r="CZ44" s="48">
        <v>0.59559959834810006</v>
      </c>
      <c r="DA44" s="48">
        <v>0.60892952792337574</v>
      </c>
      <c r="DB44" s="48">
        <v>0.60598175817032518</v>
      </c>
      <c r="DC44" s="48">
        <v>0.60720766564411199</v>
      </c>
      <c r="DD44" s="48">
        <v>0.58466273878040909</v>
      </c>
      <c r="DE44" s="48">
        <v>0.57644221828024078</v>
      </c>
      <c r="DF44" s="48">
        <v>0.58339892899734114</v>
      </c>
    </row>
    <row r="45" spans="1:110" x14ac:dyDescent="0.2">
      <c r="A45" s="46" t="s">
        <v>29</v>
      </c>
      <c r="B45" s="47">
        <f t="shared" si="23"/>
        <v>19.320764068853226</v>
      </c>
      <c r="C45" s="47">
        <f t="shared" si="24"/>
        <v>1.5896855403344123</v>
      </c>
      <c r="D45" s="49" t="e">
        <f t="shared" ref="D45:D75" ca="1" si="32">_xludf.STDEV.P(W45:DF45)*100</f>
        <v>#NAME?</v>
      </c>
      <c r="E45" s="51">
        <v>8.7554527063996804E-3</v>
      </c>
      <c r="F45" s="48">
        <v>0.46612586175121967</v>
      </c>
      <c r="G45" s="48">
        <v>0.4667022441268146</v>
      </c>
      <c r="H45" s="48">
        <v>0.47449646532614609</v>
      </c>
      <c r="I45" s="48">
        <v>0.45022900634787555</v>
      </c>
      <c r="J45" s="48">
        <v>0.44219309165144843</v>
      </c>
      <c r="K45" s="48">
        <v>0.42115442464663516</v>
      </c>
      <c r="L45" s="48">
        <v>0.37055023352782307</v>
      </c>
      <c r="M45" s="48">
        <v>0.35693495311257506</v>
      </c>
      <c r="N45" s="48">
        <v>0.32360826455335445</v>
      </c>
      <c r="O45" s="48">
        <v>0.30122389127764454</v>
      </c>
      <c r="P45" s="48">
        <v>0.27936613826116286</v>
      </c>
      <c r="Q45" s="48">
        <v>0.27291822106268743</v>
      </c>
      <c r="R45" s="48">
        <v>0.27027071007117565</v>
      </c>
      <c r="S45" s="48">
        <v>0.25753303619114681</v>
      </c>
      <c r="T45" s="48">
        <v>0.26182934135834307</v>
      </c>
      <c r="U45" s="48">
        <v>0.27458045271463744</v>
      </c>
      <c r="V45" s="48">
        <v>0.31037984050216105</v>
      </c>
      <c r="W45" s="48">
        <v>0.32824149532983071</v>
      </c>
      <c r="X45" s="48">
        <v>0.36749915264009125</v>
      </c>
      <c r="Y45" s="48">
        <v>0.38576788145871921</v>
      </c>
      <c r="Z45" s="48">
        <v>0.48211141795007417</v>
      </c>
      <c r="AA45" s="48">
        <v>0.54245305437941949</v>
      </c>
      <c r="AB45" s="48">
        <v>0.55279874162404774</v>
      </c>
      <c r="AC45" s="48">
        <v>0.58910155006047882</v>
      </c>
      <c r="AD45" s="48">
        <v>0.62139824094906304</v>
      </c>
      <c r="AE45" s="48">
        <v>0.63778742758326978</v>
      </c>
      <c r="AF45" s="48">
        <v>0.6587638612778296</v>
      </c>
      <c r="AG45" s="48">
        <v>0.67269404709957792</v>
      </c>
      <c r="AH45" s="48">
        <v>0.68428444553352041</v>
      </c>
      <c r="AI45" s="48">
        <v>0.71429969387717929</v>
      </c>
      <c r="AJ45" s="48">
        <v>0.77957433021399147</v>
      </c>
      <c r="AK45" s="48">
        <v>0.81880989281942496</v>
      </c>
      <c r="AL45" s="48">
        <v>0.81960821635200054</v>
      </c>
      <c r="AM45" s="48">
        <v>0.79955642185206244</v>
      </c>
      <c r="AN45" s="48">
        <v>0.79830426087811213</v>
      </c>
      <c r="AO45" s="48">
        <v>0.81062025092563794</v>
      </c>
      <c r="AP45" s="48">
        <v>0.83317894460923758</v>
      </c>
      <c r="AQ45" s="48">
        <v>0.79211924591634553</v>
      </c>
      <c r="AR45" s="48">
        <v>0.79963902499936779</v>
      </c>
      <c r="AS45" s="48">
        <v>0.72875432450721644</v>
      </c>
      <c r="AT45" s="48">
        <v>0.68049467755339266</v>
      </c>
      <c r="AU45" s="48">
        <v>0.60550853003668559</v>
      </c>
      <c r="AV45" s="48">
        <v>0.57722790415094416</v>
      </c>
      <c r="AW45" s="48">
        <v>0.58411367717850549</v>
      </c>
      <c r="AX45" s="48">
        <v>0.56732573327692193</v>
      </c>
      <c r="AY45" s="48">
        <v>0.52552153027360171</v>
      </c>
      <c r="AZ45" s="48">
        <v>0.45711437671724281</v>
      </c>
      <c r="BA45" s="48">
        <v>0.44335421474963699</v>
      </c>
      <c r="BB45" s="48">
        <v>0.41014428778021639</v>
      </c>
      <c r="BC45" s="48">
        <v>0.40542773343412908</v>
      </c>
      <c r="BD45" s="48">
        <v>0.3694028310667461</v>
      </c>
      <c r="BE45" s="48">
        <v>0.38737951618222322</v>
      </c>
      <c r="BF45" s="48">
        <v>0.37713782268512763</v>
      </c>
      <c r="BG45" s="48">
        <v>0.40211245885610936</v>
      </c>
      <c r="BH45" s="48">
        <v>0.3884773853285915</v>
      </c>
      <c r="BI45" s="48">
        <v>0.35879224230157514</v>
      </c>
      <c r="BJ45" s="48">
        <v>0.3765622657356143</v>
      </c>
      <c r="BK45" s="48">
        <v>0.36066929879964277</v>
      </c>
      <c r="BL45" s="48">
        <v>0.35976841110979335</v>
      </c>
      <c r="BM45" s="48">
        <v>0.36845070632119881</v>
      </c>
      <c r="BN45" s="48">
        <v>0.39273236273199558</v>
      </c>
      <c r="BO45" s="48">
        <v>0.41435231071875434</v>
      </c>
      <c r="BP45" s="48">
        <v>0.4597585470453513</v>
      </c>
      <c r="BQ45" s="48">
        <v>0.48195588754668289</v>
      </c>
      <c r="BR45" s="48">
        <v>0.47742820995315988</v>
      </c>
      <c r="BS45" s="48">
        <v>0.48322122877191931</v>
      </c>
      <c r="BT45" s="48">
        <v>0.52002065733159775</v>
      </c>
      <c r="BU45" s="48">
        <v>0.5864326026332316</v>
      </c>
      <c r="BV45" s="48">
        <v>0.67112432725668358</v>
      </c>
      <c r="BW45" s="48">
        <v>0.6677355257247648</v>
      </c>
      <c r="BX45" s="48">
        <v>0.66701696444453695</v>
      </c>
      <c r="BY45" s="48">
        <v>0.6034644125310703</v>
      </c>
      <c r="BZ45" s="48">
        <v>0.5676340385582096</v>
      </c>
      <c r="CA45" s="48">
        <v>0.5743559854639757</v>
      </c>
      <c r="CB45" s="48">
        <v>0.52086628361699039</v>
      </c>
      <c r="CC45" s="48">
        <v>0.51796956448197029</v>
      </c>
      <c r="CD45" s="48">
        <v>0.50117588813482805</v>
      </c>
      <c r="CE45" s="48">
        <v>0.54751022760878554</v>
      </c>
      <c r="CF45" s="48">
        <v>0.51575830341846052</v>
      </c>
      <c r="CG45" s="48">
        <v>0.51767224286318747</v>
      </c>
      <c r="CH45" s="48">
        <v>0.50935848189613564</v>
      </c>
      <c r="CI45" s="48">
        <v>0.54428742332695745</v>
      </c>
      <c r="CJ45" s="48">
        <v>0.55183763670086539</v>
      </c>
      <c r="CK45" s="48">
        <v>0.61143586556642338</v>
      </c>
      <c r="CL45" s="48">
        <v>0.6145810787241992</v>
      </c>
      <c r="CM45" s="48">
        <v>0.61082345519910808</v>
      </c>
      <c r="CN45" s="48">
        <v>0.59717254523824281</v>
      </c>
      <c r="CO45" s="48">
        <v>0.56228925271207286</v>
      </c>
      <c r="CP45" s="48">
        <v>0.52212096460417612</v>
      </c>
      <c r="CQ45" s="48">
        <v>0.46012609870067533</v>
      </c>
      <c r="CR45" s="48">
        <v>0.46846496379536617</v>
      </c>
      <c r="CS45" s="48">
        <v>0.44209099683827896</v>
      </c>
      <c r="CT45" s="48">
        <v>0.50398179709020852</v>
      </c>
      <c r="CU45" s="48">
        <v>0.44019504160628181</v>
      </c>
      <c r="CV45" s="48">
        <v>0.44000781659030952</v>
      </c>
      <c r="CW45" s="48">
        <v>0.35824752217953287</v>
      </c>
      <c r="CX45" s="48">
        <v>0.34690680421814946</v>
      </c>
      <c r="CY45" s="48">
        <v>0.32618630728871945</v>
      </c>
      <c r="CZ45" s="48">
        <v>0.3737290078735146</v>
      </c>
      <c r="DA45" s="48">
        <v>0.37711494318265398</v>
      </c>
      <c r="DB45" s="48">
        <v>0.38527197322304252</v>
      </c>
      <c r="DC45" s="48">
        <v>0.37518079315328534</v>
      </c>
      <c r="DD45" s="48">
        <v>0.39511169568273991</v>
      </c>
      <c r="DE45" s="48">
        <v>0.36854871446656445</v>
      </c>
      <c r="DF45" s="48">
        <v>0.334134346615718</v>
      </c>
    </row>
    <row r="46" spans="1:110" x14ac:dyDescent="0.2">
      <c r="A46" s="46" t="s">
        <v>32</v>
      </c>
      <c r="B46" s="47">
        <f t="shared" si="23"/>
        <v>10.891313291554191</v>
      </c>
      <c r="C46" s="47">
        <f t="shared" si="24"/>
        <v>0.3196148845337865</v>
      </c>
      <c r="D46" s="49" t="e">
        <f t="shared" ref="D46:D76" ca="1" si="33">_xludf.STDEV.P(W46:DF46)*100</f>
        <v>#NAME?</v>
      </c>
      <c r="E46" s="51">
        <v>1.6969776068830801E-2</v>
      </c>
      <c r="F46" s="48">
        <v>0.26707845633322025</v>
      </c>
      <c r="G46" s="48">
        <v>0.27309771438656205</v>
      </c>
      <c r="H46" s="48">
        <v>0.29211784394202345</v>
      </c>
      <c r="I46" s="48">
        <v>0.26388230748788238</v>
      </c>
      <c r="J46" s="48">
        <v>0.22319502651647083</v>
      </c>
      <c r="K46" s="48">
        <v>0.19502475295973173</v>
      </c>
      <c r="L46" s="48">
        <v>0.17258462002089237</v>
      </c>
      <c r="M46" s="48">
        <v>0.17570142197537578</v>
      </c>
      <c r="N46" s="48">
        <v>0.13544071943325989</v>
      </c>
      <c r="O46" s="48">
        <v>0.1364375051384796</v>
      </c>
      <c r="P46" s="48">
        <v>0.13632548318285972</v>
      </c>
      <c r="Q46" s="48">
        <v>0.15816532341767833</v>
      </c>
      <c r="R46" s="48">
        <v>0.20829772153676837</v>
      </c>
      <c r="S46" s="48">
        <v>0.23952051377959002</v>
      </c>
      <c r="T46" s="48">
        <v>0.23214357806572944</v>
      </c>
      <c r="U46" s="48">
        <v>0.18820704666893567</v>
      </c>
      <c r="V46" s="48">
        <v>0.20454786985723084</v>
      </c>
      <c r="W46" s="48">
        <v>0.24461836283032445</v>
      </c>
      <c r="X46" s="48">
        <v>0.31972180042472748</v>
      </c>
      <c r="Y46" s="48">
        <v>0.37614501637677183</v>
      </c>
      <c r="Z46" s="48">
        <v>0.44438632319578986</v>
      </c>
      <c r="AA46" s="48">
        <v>0.55355287246624707</v>
      </c>
      <c r="AB46" s="48">
        <v>0.67256510139069903</v>
      </c>
      <c r="AC46" s="48">
        <v>0.74427304291694996</v>
      </c>
      <c r="AD46" s="48">
        <v>0.74317721512778168</v>
      </c>
      <c r="AE46" s="48">
        <v>0.69708309901535204</v>
      </c>
      <c r="AF46" s="48">
        <v>0.65349152044118952</v>
      </c>
      <c r="AG46" s="48">
        <v>0.61733679671314434</v>
      </c>
      <c r="AH46" s="48">
        <v>0.54782328337580022</v>
      </c>
      <c r="AI46" s="48">
        <v>0.52151661387830706</v>
      </c>
      <c r="AJ46" s="48">
        <v>0.50532145797742611</v>
      </c>
      <c r="AK46" s="48">
        <v>0.50726927481468587</v>
      </c>
      <c r="AL46" s="48">
        <v>0.54443871630076335</v>
      </c>
      <c r="AM46" s="48">
        <v>0.62032243649079222</v>
      </c>
      <c r="AN46" s="48">
        <v>0.63187412766139794</v>
      </c>
      <c r="AO46" s="48">
        <v>0.59896637024613786</v>
      </c>
      <c r="AP46" s="48">
        <v>0.58902347257346277</v>
      </c>
      <c r="AQ46" s="48">
        <v>0.59263245513642815</v>
      </c>
      <c r="AR46" s="48">
        <v>0.64108505407606975</v>
      </c>
      <c r="AS46" s="48">
        <v>0.6959616999461874</v>
      </c>
      <c r="AT46" s="48">
        <v>0.74405616065917202</v>
      </c>
      <c r="AU46" s="48">
        <v>0.79618281790359868</v>
      </c>
      <c r="AV46" s="48">
        <v>0.82315275204592542</v>
      </c>
      <c r="AW46" s="48">
        <v>0.88607972777490451</v>
      </c>
      <c r="AX46" s="48">
        <v>0.84343329912800213</v>
      </c>
      <c r="AY46" s="48">
        <v>0.80570179182595125</v>
      </c>
      <c r="AZ46" s="48">
        <v>0.77297298664076819</v>
      </c>
      <c r="BA46" s="48">
        <v>0.7690769564008948</v>
      </c>
      <c r="BB46" s="48">
        <v>0.75855708341711625</v>
      </c>
      <c r="BC46" s="48">
        <v>0.75491424990613465</v>
      </c>
      <c r="BD46" s="48">
        <v>0.72039042316047508</v>
      </c>
      <c r="BE46" s="48">
        <v>0.6955232471947026</v>
      </c>
      <c r="BF46" s="48">
        <v>0.69332316825962159</v>
      </c>
      <c r="BG46" s="48">
        <v>0.67868927840285742</v>
      </c>
      <c r="BH46" s="48">
        <v>0.68912875909697335</v>
      </c>
      <c r="BI46" s="48">
        <v>0.6222255390241006</v>
      </c>
      <c r="BJ46" s="48">
        <v>0.59500759683305204</v>
      </c>
      <c r="BK46" s="48">
        <v>0.55269945039272717</v>
      </c>
      <c r="BL46" s="48">
        <v>0.5424911078688136</v>
      </c>
      <c r="BM46" s="48">
        <v>0.57882300582257229</v>
      </c>
      <c r="BN46" s="48">
        <v>0.59656874923647563</v>
      </c>
      <c r="BO46" s="48">
        <v>0.59716070919594322</v>
      </c>
      <c r="BP46" s="48">
        <v>0.57048052368884816</v>
      </c>
      <c r="BQ46" s="48">
        <v>0.53806929711178419</v>
      </c>
      <c r="BR46" s="48">
        <v>0.50553909417825482</v>
      </c>
      <c r="BS46" s="48">
        <v>0.44762857947485274</v>
      </c>
      <c r="BT46" s="48">
        <v>0.40281086981569703</v>
      </c>
      <c r="BU46" s="48">
        <v>0.39249029436996447</v>
      </c>
      <c r="BV46" s="48">
        <v>0.41508795250374908</v>
      </c>
      <c r="BW46" s="48">
        <v>0.43806010182724958</v>
      </c>
      <c r="BX46" s="48">
        <v>0.4507640997981201</v>
      </c>
      <c r="BY46" s="48">
        <v>0.47958733210631066</v>
      </c>
      <c r="BZ46" s="48">
        <v>0.48068216374844758</v>
      </c>
      <c r="CA46" s="48">
        <v>0.44664551385151158</v>
      </c>
      <c r="CB46" s="48">
        <v>0.43635293944140824</v>
      </c>
      <c r="CC46" s="48">
        <v>0.41403585446279351</v>
      </c>
      <c r="CD46" s="48">
        <v>0.40352619000203177</v>
      </c>
      <c r="CE46" s="48">
        <v>0.41015078767199481</v>
      </c>
      <c r="CF46" s="48">
        <v>0.45754324750228204</v>
      </c>
      <c r="CG46" s="48">
        <v>0.49837830224392954</v>
      </c>
      <c r="CH46" s="48">
        <v>0.52350903453069009</v>
      </c>
      <c r="CI46" s="48">
        <v>0.48805657237531797</v>
      </c>
      <c r="CJ46" s="48">
        <v>0.46218528992073593</v>
      </c>
      <c r="CK46" s="48">
        <v>0.42527889317065881</v>
      </c>
      <c r="CL46" s="48">
        <v>0.39987032008671791</v>
      </c>
      <c r="CM46" s="48">
        <v>0.37618127854761663</v>
      </c>
      <c r="CN46" s="48">
        <v>0.37034473497148179</v>
      </c>
      <c r="CO46" s="48">
        <v>0.39549197397804653</v>
      </c>
      <c r="CP46" s="48">
        <v>0.45790636750951663</v>
      </c>
      <c r="CQ46" s="48">
        <v>0.54423591878539601</v>
      </c>
      <c r="CR46" s="48">
        <v>0.57864137258102399</v>
      </c>
      <c r="CS46" s="48">
        <v>0.57622118776651976</v>
      </c>
      <c r="CT46" s="48">
        <v>0.56566944146169773</v>
      </c>
      <c r="CU46" s="48">
        <v>0.60025988234945737</v>
      </c>
      <c r="CV46" s="48">
        <v>0.57712245516597738</v>
      </c>
      <c r="CW46" s="48">
        <v>0.56825336326277975</v>
      </c>
      <c r="CX46" s="48">
        <v>0.53775235269343458</v>
      </c>
      <c r="CY46" s="48">
        <v>0.5170013811425479</v>
      </c>
      <c r="CZ46" s="48">
        <v>0.52684237050878069</v>
      </c>
      <c r="DA46" s="48">
        <v>0.53351383011138664</v>
      </c>
      <c r="DB46" s="48">
        <v>0.53230933241110157</v>
      </c>
      <c r="DC46" s="48">
        <v>0.48049980222540573</v>
      </c>
      <c r="DD46" s="48">
        <v>0.43344036170058842</v>
      </c>
      <c r="DE46" s="48">
        <v>0.3694503194105106</v>
      </c>
      <c r="DF46" s="48">
        <v>0.32737418336610996</v>
      </c>
    </row>
    <row r="47" spans="1:110" x14ac:dyDescent="0.2">
      <c r="A47" s="46" t="s">
        <v>35</v>
      </c>
      <c r="B47" s="47">
        <f t="shared" si="23"/>
        <v>-9.3779502878096164</v>
      </c>
      <c r="C47" s="47">
        <f t="shared" si="24"/>
        <v>-3.2291715396262299</v>
      </c>
      <c r="D47" s="49" t="e">
        <f t="shared" ref="D47:D77" ca="1" si="34">_xludf.STDEV.P(W47:DF47)*100</f>
        <v>#NAME?</v>
      </c>
      <c r="E47" s="51">
        <v>1.3217008930140099E-2</v>
      </c>
      <c r="F47" s="48">
        <v>0.25307410562242272</v>
      </c>
      <c r="G47" s="48">
        <v>0.24635204113793271</v>
      </c>
      <c r="H47" s="48">
        <v>0.26158121239198073</v>
      </c>
      <c r="I47" s="48">
        <v>0.28536582101868502</v>
      </c>
      <c r="J47" s="48">
        <v>0.29756063195272137</v>
      </c>
      <c r="K47" s="48">
        <v>0.289294810434922</v>
      </c>
      <c r="L47" s="48">
        <v>0.28958418055847396</v>
      </c>
      <c r="M47" s="48">
        <v>0.31083860054814294</v>
      </c>
      <c r="N47" s="48">
        <v>0.3798516170340937</v>
      </c>
      <c r="O47" s="48">
        <v>0.38341736423544182</v>
      </c>
      <c r="P47" s="48">
        <v>0.37611402948244282</v>
      </c>
      <c r="Q47" s="48">
        <v>0.34685360850051888</v>
      </c>
      <c r="R47" s="48">
        <v>0.30511594302819789</v>
      </c>
      <c r="S47" s="48">
        <v>0.30429235366141089</v>
      </c>
      <c r="T47" s="48">
        <v>0.30677615762237265</v>
      </c>
      <c r="U47" s="48">
        <v>0.37654503788789395</v>
      </c>
      <c r="V47" s="48">
        <v>0.40124220241074471</v>
      </c>
      <c r="W47" s="48">
        <v>0.41481707204498308</v>
      </c>
      <c r="X47" s="48">
        <v>0.41565609773976464</v>
      </c>
      <c r="Y47" s="48">
        <v>0.38778904257443819</v>
      </c>
      <c r="Z47" s="48">
        <v>0.30898353717275001</v>
      </c>
      <c r="AA47" s="48">
        <v>0.334436648302396</v>
      </c>
      <c r="AB47" s="48">
        <v>0.36243052361999512</v>
      </c>
      <c r="AC47" s="48">
        <v>0.41888486101506839</v>
      </c>
      <c r="AD47" s="48">
        <v>0.44987876105220503</v>
      </c>
      <c r="AE47" s="48">
        <v>0.48017511982889799</v>
      </c>
      <c r="AF47" s="48">
        <v>0.49868759552919489</v>
      </c>
      <c r="AG47" s="48">
        <v>0.52924441820973256</v>
      </c>
      <c r="AH47" s="48">
        <v>0.54082993403811064</v>
      </c>
      <c r="AI47" s="48">
        <v>0.5387199327592691</v>
      </c>
      <c r="AJ47" s="48">
        <v>0.56004682733467093</v>
      </c>
      <c r="AK47" s="48">
        <v>0.58358346042182863</v>
      </c>
      <c r="AL47" s="48">
        <v>0.66255872914257385</v>
      </c>
      <c r="AM47" s="48">
        <v>0.65057473849997483</v>
      </c>
      <c r="AN47" s="48">
        <v>0.65031281158470988</v>
      </c>
      <c r="AO47" s="48">
        <v>0.67765709688860787</v>
      </c>
      <c r="AP47" s="48">
        <v>0.7012539177959991</v>
      </c>
      <c r="AQ47" s="48">
        <v>0.70571979247798577</v>
      </c>
      <c r="AR47" s="48">
        <v>0.69366541306833751</v>
      </c>
      <c r="AS47" s="48">
        <v>0.67432933755333024</v>
      </c>
      <c r="AT47" s="48">
        <v>0.63827116145322571</v>
      </c>
      <c r="AU47" s="48">
        <v>0.64551053854857821</v>
      </c>
      <c r="AV47" s="48">
        <v>0.66059966191584119</v>
      </c>
      <c r="AW47" s="48">
        <v>0.63942471463372874</v>
      </c>
      <c r="AX47" s="48">
        <v>0.57820404889914256</v>
      </c>
      <c r="AY47" s="48">
        <v>0.43160021398023918</v>
      </c>
      <c r="AZ47" s="48">
        <v>0.42132900073948676</v>
      </c>
      <c r="BA47" s="48">
        <v>0.39388314541381653</v>
      </c>
      <c r="BB47" s="48">
        <v>0.37779147272384261</v>
      </c>
      <c r="BC47" s="48">
        <v>0.35832073100399248</v>
      </c>
      <c r="BD47" s="48">
        <v>0.3796010672006756</v>
      </c>
      <c r="BE47" s="48">
        <v>0.38391137362839123</v>
      </c>
      <c r="BF47" s="48">
        <v>0.41128188438677393</v>
      </c>
      <c r="BG47" s="48">
        <v>0.41932965598437494</v>
      </c>
      <c r="BH47" s="48">
        <v>0.43320159284732307</v>
      </c>
      <c r="BI47" s="48">
        <v>0.49244470027057391</v>
      </c>
      <c r="BJ47" s="48">
        <v>0.58186069622708847</v>
      </c>
      <c r="BK47" s="48">
        <v>0.63927434520424631</v>
      </c>
      <c r="BL47" s="48">
        <v>0.62024436985529519</v>
      </c>
      <c r="BM47" s="48">
        <v>0.63733900106308072</v>
      </c>
      <c r="BN47" s="48">
        <v>0.61935808369737411</v>
      </c>
      <c r="BO47" s="48">
        <v>0.61068513971867477</v>
      </c>
      <c r="BP47" s="48">
        <v>0.58721830776295147</v>
      </c>
      <c r="BQ47" s="48">
        <v>0.59496920395121144</v>
      </c>
      <c r="BR47" s="48">
        <v>0.59158152569299216</v>
      </c>
      <c r="BS47" s="48">
        <v>0.57323003556782937</v>
      </c>
      <c r="BT47" s="48">
        <v>0.54573590386692461</v>
      </c>
      <c r="BU47" s="48">
        <v>0.51576923228065819</v>
      </c>
      <c r="BV47" s="48">
        <v>0.47243270274039623</v>
      </c>
      <c r="BW47" s="48">
        <v>0.44013933275724282</v>
      </c>
      <c r="BX47" s="48">
        <v>0.49324330497180913</v>
      </c>
      <c r="BY47" s="48">
        <v>0.50942661090336971</v>
      </c>
      <c r="BZ47" s="48">
        <v>0.52544555444249774</v>
      </c>
      <c r="CA47" s="48">
        <v>0.53609354048329716</v>
      </c>
      <c r="CB47" s="48">
        <v>0.53452710622859056</v>
      </c>
      <c r="CC47" s="48">
        <v>0.53276708879077472</v>
      </c>
      <c r="CD47" s="48">
        <v>0.5331167991518817</v>
      </c>
      <c r="CE47" s="48">
        <v>0.52415944547104132</v>
      </c>
      <c r="CF47" s="48">
        <v>0.5573836777298119</v>
      </c>
      <c r="CG47" s="48">
        <v>0.56961043780083609</v>
      </c>
      <c r="CH47" s="48">
        <v>0.56710978355616759</v>
      </c>
      <c r="CI47" s="48">
        <v>0.59233441430218781</v>
      </c>
      <c r="CJ47" s="48">
        <v>0.62222707041519409</v>
      </c>
      <c r="CK47" s="48">
        <v>0.63992443846338642</v>
      </c>
      <c r="CL47" s="48">
        <v>0.65003866877258276</v>
      </c>
      <c r="CM47" s="48">
        <v>0.63881972643114704</v>
      </c>
      <c r="CN47" s="48">
        <v>0.64736771929265347</v>
      </c>
      <c r="CO47" s="48">
        <v>0.6574585786848911</v>
      </c>
      <c r="CP47" s="48">
        <v>0.66214892872587139</v>
      </c>
      <c r="CQ47" s="48">
        <v>0.66605251345581618</v>
      </c>
      <c r="CR47" s="48">
        <v>0.65015948191586737</v>
      </c>
      <c r="CS47" s="48">
        <v>0.6339308549590601</v>
      </c>
      <c r="CT47" s="48">
        <v>0.61794928381218117</v>
      </c>
      <c r="CU47" s="48">
        <v>0.58866172545774031</v>
      </c>
      <c r="CV47" s="48">
        <v>0.55003638415419531</v>
      </c>
      <c r="CW47" s="48">
        <v>0.50720532756935655</v>
      </c>
      <c r="CX47" s="48">
        <v>0.47738885623692878</v>
      </c>
      <c r="CY47" s="48">
        <v>0.44152703173271673</v>
      </c>
      <c r="CZ47" s="48">
        <v>0.42598018956990513</v>
      </c>
      <c r="DA47" s="48">
        <v>0.40114633407259986</v>
      </c>
      <c r="DB47" s="48">
        <v>0.37773379768859638</v>
      </c>
      <c r="DC47" s="48">
        <v>0.35590128028838436</v>
      </c>
      <c r="DD47" s="48">
        <v>0.36451169892379942</v>
      </c>
      <c r="DE47" s="48">
        <v>0.38434992959226155</v>
      </c>
      <c r="DF47" s="48">
        <v>0.41096364332842383</v>
      </c>
    </row>
    <row r="48" spans="1:110" x14ac:dyDescent="0.2">
      <c r="A48" s="46" t="s">
        <v>38</v>
      </c>
      <c r="B48" s="47">
        <f t="shared" si="23"/>
        <v>-3.2232147142221779</v>
      </c>
      <c r="C48" s="47">
        <f t="shared" si="24"/>
        <v>-4.411154117660077</v>
      </c>
      <c r="D48" s="49" t="e">
        <f t="shared" ref="D48:D78" ca="1" si="35">_xludf.STDEV.P(W48:DF48)*100</f>
        <v>#NAME?</v>
      </c>
      <c r="E48" s="51">
        <v>3.46292661623488E-2</v>
      </c>
      <c r="F48" s="48">
        <v>0.2287067456806085</v>
      </c>
      <c r="G48" s="48">
        <v>0.22945617471892613</v>
      </c>
      <c r="H48" s="48">
        <v>0.24452443272346019</v>
      </c>
      <c r="I48" s="48">
        <v>0.27281828685720927</v>
      </c>
      <c r="J48" s="48">
        <v>0.30229389708059912</v>
      </c>
      <c r="K48" s="48">
        <v>0.31377696580882208</v>
      </c>
      <c r="L48" s="48">
        <v>0.28610818240044722</v>
      </c>
      <c r="M48" s="48">
        <v>0.25112512503794882</v>
      </c>
      <c r="N48" s="48">
        <v>0.25423932198857219</v>
      </c>
      <c r="O48" s="48">
        <v>0.24061863768357677</v>
      </c>
      <c r="P48" s="48">
        <v>0.23271699585047709</v>
      </c>
      <c r="Q48" s="48">
        <v>0.26093889282283028</v>
      </c>
      <c r="R48" s="48">
        <v>0.23497622197334639</v>
      </c>
      <c r="S48" s="48">
        <v>0.23260087025846243</v>
      </c>
      <c r="T48" s="48">
        <v>0.25284700883011091</v>
      </c>
      <c r="U48" s="48">
        <v>0.26041867230120552</v>
      </c>
      <c r="V48" s="48">
        <v>0.25015765508300514</v>
      </c>
      <c r="W48" s="48">
        <v>0.26333317359269259</v>
      </c>
      <c r="X48" s="48">
        <v>0.36680454259591372</v>
      </c>
      <c r="Y48" s="48">
        <v>0.40816352509995402</v>
      </c>
      <c r="Z48" s="48">
        <v>0.4044286861445533</v>
      </c>
      <c r="AA48" s="48">
        <v>0.38087653060713411</v>
      </c>
      <c r="AB48" s="48">
        <v>0.39700674403327685</v>
      </c>
      <c r="AC48" s="48">
        <v>0.27446779945568389</v>
      </c>
      <c r="AD48" s="48">
        <v>0.25909678117406676</v>
      </c>
      <c r="AE48" s="48">
        <v>0.22716386003958577</v>
      </c>
      <c r="AF48" s="48">
        <v>0.26769101326745359</v>
      </c>
      <c r="AG48" s="48">
        <v>0.28912290639509919</v>
      </c>
      <c r="AH48" s="48">
        <v>0.30673394854739122</v>
      </c>
      <c r="AI48" s="48">
        <v>0.37898678207272668</v>
      </c>
      <c r="AJ48" s="48">
        <v>0.3815329773717181</v>
      </c>
      <c r="AK48" s="48">
        <v>0.51085177909009916</v>
      </c>
      <c r="AL48" s="48">
        <v>0.64881917045197546</v>
      </c>
      <c r="AM48" s="48">
        <v>0.76364994224924432</v>
      </c>
      <c r="AN48" s="48">
        <v>0.73680571904708092</v>
      </c>
      <c r="AO48" s="48">
        <v>0.73165615092694514</v>
      </c>
      <c r="AP48" s="48">
        <v>0.72443991524310447</v>
      </c>
      <c r="AQ48" s="48">
        <v>0.73638484476739241</v>
      </c>
      <c r="AR48" s="48">
        <v>0.72049452500914712</v>
      </c>
      <c r="AS48" s="48">
        <v>0.69027120488709337</v>
      </c>
      <c r="AT48" s="48">
        <v>0.68057938201639301</v>
      </c>
      <c r="AU48" s="48">
        <v>0.71830988183275568</v>
      </c>
      <c r="AV48" s="48">
        <v>0.809530125194176</v>
      </c>
      <c r="AW48" s="48">
        <v>0.83748017961263688</v>
      </c>
      <c r="AX48" s="48">
        <v>0.79747696663585366</v>
      </c>
      <c r="AY48" s="48">
        <v>0.68929076872822459</v>
      </c>
      <c r="AZ48" s="48">
        <v>0.66556807342669344</v>
      </c>
      <c r="BA48" s="48">
        <v>0.56637968296434349</v>
      </c>
      <c r="BB48" s="48">
        <v>0.45123424790360905</v>
      </c>
      <c r="BC48" s="48">
        <v>0.38616356776693439</v>
      </c>
      <c r="BD48" s="48">
        <v>0.36690208086417542</v>
      </c>
      <c r="BE48" s="48">
        <v>0.34921581051751366</v>
      </c>
      <c r="BF48" s="48">
        <v>0.34708200344948792</v>
      </c>
      <c r="BG48" s="48">
        <v>0.33871977580367141</v>
      </c>
      <c r="BH48" s="48">
        <v>0.31048390478451138</v>
      </c>
      <c r="BI48" s="48">
        <v>0.31874704126674674</v>
      </c>
      <c r="BJ48" s="48">
        <v>0.25758268945249085</v>
      </c>
      <c r="BK48" s="48">
        <v>0.33761158602309804</v>
      </c>
      <c r="BL48" s="48">
        <v>0.3309178783987648</v>
      </c>
      <c r="BM48" s="48">
        <v>0.34015394005901023</v>
      </c>
      <c r="BN48" s="48">
        <v>0.36834697821553847</v>
      </c>
      <c r="BO48" s="48">
        <v>0.40216981740510194</v>
      </c>
      <c r="BP48" s="48">
        <v>0.42753234313430205</v>
      </c>
      <c r="BQ48" s="48">
        <v>0.46443715181892864</v>
      </c>
      <c r="BR48" s="48">
        <v>0.46227769976333677</v>
      </c>
      <c r="BS48" s="48">
        <v>0.45665080878357589</v>
      </c>
      <c r="BT48" s="48">
        <v>0.4585732183555129</v>
      </c>
      <c r="BU48" s="48">
        <v>0.42800274388738957</v>
      </c>
      <c r="BV48" s="48">
        <v>0.46117005358255675</v>
      </c>
      <c r="BW48" s="48">
        <v>0.45330853175116392</v>
      </c>
      <c r="BX48" s="48">
        <v>0.47427911179147991</v>
      </c>
      <c r="BY48" s="48">
        <v>0.49384917233662207</v>
      </c>
      <c r="BZ48" s="48">
        <v>0.4873242491740899</v>
      </c>
      <c r="CA48" s="48">
        <v>0.47462335315125664</v>
      </c>
      <c r="CB48" s="48">
        <v>0.47621676275073876</v>
      </c>
      <c r="CC48" s="48">
        <v>0.49967515540341423</v>
      </c>
      <c r="CD48" s="48">
        <v>0.54450655895928779</v>
      </c>
      <c r="CE48" s="48">
        <v>0.60207288913302814</v>
      </c>
      <c r="CF48" s="48">
        <v>0.64128524893055161</v>
      </c>
      <c r="CG48" s="48">
        <v>0.67223720767588202</v>
      </c>
      <c r="CH48" s="48">
        <v>0.76252165780090708</v>
      </c>
      <c r="CI48" s="48">
        <v>0.76037076514695645</v>
      </c>
      <c r="CJ48" s="48">
        <v>0.76106548060279555</v>
      </c>
      <c r="CK48" s="48">
        <v>0.77462640937985539</v>
      </c>
      <c r="CL48" s="48">
        <v>0.76720737330498079</v>
      </c>
      <c r="CM48" s="48">
        <v>0.77020435065148785</v>
      </c>
      <c r="CN48" s="48">
        <v>0.75639096695176056</v>
      </c>
      <c r="CO48" s="48">
        <v>0.74918772022764013</v>
      </c>
      <c r="CP48" s="48">
        <v>0.74446808565940292</v>
      </c>
      <c r="CQ48" s="48">
        <v>0.70358634885600446</v>
      </c>
      <c r="CR48" s="48">
        <v>0.67126843500413624</v>
      </c>
      <c r="CS48" s="48">
        <v>0.65165041278150027</v>
      </c>
      <c r="CT48" s="48">
        <v>0.58740476837224809</v>
      </c>
      <c r="CU48" s="48">
        <v>0.62565123939975709</v>
      </c>
      <c r="CV48" s="48">
        <v>0.63900911768571622</v>
      </c>
      <c r="CW48" s="48">
        <v>0.65106046759946523</v>
      </c>
      <c r="CX48" s="48">
        <v>0.62931864507179236</v>
      </c>
      <c r="CY48" s="48">
        <v>0.5741421984959092</v>
      </c>
      <c r="CZ48" s="48">
        <v>0.56163983387655625</v>
      </c>
      <c r="DA48" s="48">
        <v>0.58202225365765292</v>
      </c>
      <c r="DB48" s="48">
        <v>0.63415905910104109</v>
      </c>
      <c r="DC48" s="48">
        <v>0.68447420833838346</v>
      </c>
      <c r="DD48" s="48">
        <v>0.62212396520765278</v>
      </c>
      <c r="DE48" s="48">
        <v>0.62478741688621708</v>
      </c>
      <c r="DF48" s="48">
        <v>0.54275500449331548</v>
      </c>
    </row>
    <row r="49" spans="1:110" x14ac:dyDescent="0.2">
      <c r="A49" s="46" t="s">
        <v>41</v>
      </c>
      <c r="B49" s="47">
        <f t="shared" si="23"/>
        <v>-22.585397431119457</v>
      </c>
      <c r="C49" s="47">
        <f t="shared" si="24"/>
        <v>-8.4468473755374252</v>
      </c>
      <c r="D49" s="49" t="e">
        <f t="shared" ref="D49:D79" ca="1" si="36">_xludf.STDEV.P(W49:DF49)*100</f>
        <v>#NAME?</v>
      </c>
      <c r="E49" s="51">
        <v>6.22148152981984E-3</v>
      </c>
      <c r="F49" s="48">
        <v>0.34787850864032277</v>
      </c>
      <c r="G49" s="48">
        <v>0.34634799393019838</v>
      </c>
      <c r="H49" s="48">
        <v>0.41546777172997057</v>
      </c>
      <c r="I49" s="48">
        <v>0.43234698239569702</v>
      </c>
      <c r="J49" s="48">
        <v>0.48006638890262082</v>
      </c>
      <c r="K49" s="48">
        <v>0.45894570740712459</v>
      </c>
      <c r="L49" s="48">
        <v>0.53321665414320263</v>
      </c>
      <c r="M49" s="48">
        <v>0.55283549774962581</v>
      </c>
      <c r="N49" s="48">
        <v>0.75509103737440053</v>
      </c>
      <c r="O49" s="48">
        <v>0.67489409711496529</v>
      </c>
      <c r="P49" s="48">
        <v>0.64036921879120157</v>
      </c>
      <c r="Q49" s="48">
        <v>0.57373248295151735</v>
      </c>
      <c r="R49" s="48">
        <v>0.53745165075750179</v>
      </c>
      <c r="S49" s="48">
        <v>0.44038629092629045</v>
      </c>
      <c r="T49" s="48">
        <v>0.41150022072024112</v>
      </c>
      <c r="U49" s="48">
        <v>0.46927912895479595</v>
      </c>
      <c r="V49" s="48">
        <v>0.55994708702267704</v>
      </c>
      <c r="W49" s="48">
        <v>0.60197832866614698</v>
      </c>
      <c r="X49" s="48">
        <v>0.58907267105426486</v>
      </c>
      <c r="Y49" s="48">
        <v>0.55405190241709368</v>
      </c>
      <c r="Z49" s="48">
        <v>0.15547020535170872</v>
      </c>
      <c r="AA49" s="48">
        <v>0.16583353228656111</v>
      </c>
      <c r="AB49" s="48">
        <v>0.20373316538413211</v>
      </c>
      <c r="AC49" s="48">
        <v>0.30054411940042153</v>
      </c>
      <c r="AD49" s="48">
        <v>0.39892345952263286</v>
      </c>
      <c r="AE49" s="48">
        <v>0.53708046604086801</v>
      </c>
      <c r="AF49" s="48">
        <v>0.57245023612592782</v>
      </c>
      <c r="AG49" s="48">
        <v>0.55666759845391955</v>
      </c>
      <c r="AH49" s="48">
        <v>0.32402198966919998</v>
      </c>
      <c r="AI49" s="48">
        <v>0.31404462722561671</v>
      </c>
      <c r="AJ49" s="48">
        <v>0.29331527339443908</v>
      </c>
      <c r="AK49" s="48">
        <v>0.3689470968149432</v>
      </c>
      <c r="AL49" s="48">
        <v>0.56315156970090285</v>
      </c>
      <c r="AM49" s="48">
        <v>0.63124730103860094</v>
      </c>
      <c r="AN49" s="48">
        <v>0.68221504805465871</v>
      </c>
      <c r="AO49" s="48">
        <v>0.7093989399747902</v>
      </c>
      <c r="AP49" s="48">
        <v>0.71421625241258868</v>
      </c>
      <c r="AQ49" s="48">
        <v>0.72296107814833233</v>
      </c>
      <c r="AR49" s="48">
        <v>0.78898915154367988</v>
      </c>
      <c r="AS49" s="48">
        <v>0.84057437860133821</v>
      </c>
      <c r="AT49" s="48">
        <v>0.87233858542415743</v>
      </c>
      <c r="AU49" s="48">
        <v>0.88586104157388745</v>
      </c>
      <c r="AV49" s="48">
        <v>0.94768701924260745</v>
      </c>
      <c r="AW49" s="48">
        <v>0.92972115290724866</v>
      </c>
      <c r="AX49" s="48">
        <v>0.78430793448305014</v>
      </c>
      <c r="AY49" s="48">
        <v>0.69136126792509489</v>
      </c>
      <c r="AZ49" s="48">
        <v>0.6908426042722059</v>
      </c>
      <c r="BA49" s="48">
        <v>0.68872900375765789</v>
      </c>
      <c r="BB49" s="48">
        <v>0.63722890877226213</v>
      </c>
      <c r="BC49" s="48">
        <v>0.55225803312712918</v>
      </c>
      <c r="BD49" s="48">
        <v>0.40835089412948028</v>
      </c>
      <c r="BE49" s="48">
        <v>0.29586017438036388</v>
      </c>
      <c r="BF49" s="48">
        <v>0.17961161572496762</v>
      </c>
      <c r="BG49" s="48">
        <v>0.14260928879434667</v>
      </c>
      <c r="BH49" s="48">
        <v>5.3009714217125907E-2</v>
      </c>
      <c r="BI49" s="48">
        <v>6.3640174638381203E-2</v>
      </c>
      <c r="BJ49" s="48">
        <v>0.33368356407530397</v>
      </c>
      <c r="BK49" s="48">
        <v>0.47772485943278098</v>
      </c>
      <c r="BL49" s="48">
        <v>0.38502294995530606</v>
      </c>
      <c r="BM49" s="48">
        <v>0.29431256916433091</v>
      </c>
      <c r="BN49" s="48">
        <v>0.27434789152422989</v>
      </c>
      <c r="BO49" s="48">
        <v>0.31417050359681031</v>
      </c>
      <c r="BP49" s="48">
        <v>0.36538950790868946</v>
      </c>
      <c r="BQ49" s="48">
        <v>0.42376323943195338</v>
      </c>
      <c r="BR49" s="48">
        <v>0.41497337327576156</v>
      </c>
      <c r="BS49" s="48">
        <v>0.47019777016638675</v>
      </c>
      <c r="BT49" s="48">
        <v>0.39520401302924579</v>
      </c>
      <c r="BU49" s="48">
        <v>0.42365606950940293</v>
      </c>
      <c r="BV49" s="48">
        <v>0.33258453260350929</v>
      </c>
      <c r="BW49" s="48">
        <v>0.40648564011419197</v>
      </c>
      <c r="BX49" s="48">
        <v>0.40360641330278518</v>
      </c>
      <c r="BY49" s="48">
        <v>0.46439394697582731</v>
      </c>
      <c r="BZ49" s="48">
        <v>0.52360731225512203</v>
      </c>
      <c r="CA49" s="48">
        <v>0.57625066402154335</v>
      </c>
      <c r="CB49" s="48">
        <v>0.58729698722887391</v>
      </c>
      <c r="CC49" s="48">
        <v>0.53607456114330043</v>
      </c>
      <c r="CD49" s="48">
        <v>0.50808592449861301</v>
      </c>
      <c r="CE49" s="48">
        <v>0.49033650454693245</v>
      </c>
      <c r="CF49" s="48">
        <v>0.58649599347072123</v>
      </c>
      <c r="CG49" s="48">
        <v>0.63205877096118257</v>
      </c>
      <c r="CH49" s="48">
        <v>0.59681696298351983</v>
      </c>
      <c r="CI49" s="48">
        <v>0.52050307437736043</v>
      </c>
      <c r="CJ49" s="48">
        <v>0.53686071065143193</v>
      </c>
      <c r="CK49" s="48">
        <v>0.56148601295514311</v>
      </c>
      <c r="CL49" s="48">
        <v>0.53640750973111573</v>
      </c>
      <c r="CM49" s="48">
        <v>0.53255534139949889</v>
      </c>
      <c r="CN49" s="48">
        <v>0.52677144324154512</v>
      </c>
      <c r="CO49" s="48">
        <v>0.55594873555400715</v>
      </c>
      <c r="CP49" s="48">
        <v>0.59410426919484871</v>
      </c>
      <c r="CQ49" s="48">
        <v>0.6526982116997555</v>
      </c>
      <c r="CR49" s="48">
        <v>0.59136015971466971</v>
      </c>
      <c r="CS49" s="48">
        <v>0.59189854997879565</v>
      </c>
      <c r="CT49" s="48">
        <v>0.56362606487438283</v>
      </c>
      <c r="CU49" s="48">
        <v>0.58062253885763793</v>
      </c>
      <c r="CV49" s="48">
        <v>0.55361701114809425</v>
      </c>
      <c r="CW49" s="48">
        <v>0.54784118416654071</v>
      </c>
      <c r="CX49" s="48">
        <v>0.4964124658645907</v>
      </c>
      <c r="CY49" s="48">
        <v>0.46335697203888915</v>
      </c>
      <c r="CZ49" s="48">
        <v>0.44640961192674877</v>
      </c>
      <c r="DA49" s="48">
        <v>0.41053528550473123</v>
      </c>
      <c r="DB49" s="48">
        <v>0.41673529076828075</v>
      </c>
      <c r="DC49" s="48">
        <v>0.37371354397783335</v>
      </c>
      <c r="DD49" s="48">
        <v>0.37804083642549635</v>
      </c>
      <c r="DE49" s="48">
        <v>0.30571732899837001</v>
      </c>
      <c r="DF49" s="48">
        <v>0.40862184277694924</v>
      </c>
    </row>
    <row r="50" spans="1:110" x14ac:dyDescent="0.2">
      <c r="A50" s="46" t="s">
        <v>44</v>
      </c>
      <c r="B50" s="47">
        <f t="shared" si="23"/>
        <v>-46.410000000000018</v>
      </c>
      <c r="C50" s="47">
        <f t="shared" si="24"/>
        <v>-5.2900000000000063</v>
      </c>
      <c r="D50" s="49" t="e">
        <f t="shared" ref="D50:D80" ca="1" si="37">_xludf.STDEV.P(W50:DF50)*100</f>
        <v>#NAME?</v>
      </c>
      <c r="E50" s="51">
        <v>5.0216602330169197E-2</v>
      </c>
      <c r="F50" s="48">
        <v>0.31699999999999995</v>
      </c>
      <c r="G50" s="48">
        <v>0.35489999999999999</v>
      </c>
      <c r="H50" s="48">
        <v>0.35475000000000001</v>
      </c>
      <c r="I50" s="48">
        <v>0.36990000000000001</v>
      </c>
      <c r="J50" s="48">
        <v>0.45665</v>
      </c>
      <c r="K50" s="48">
        <v>0.60010000000000008</v>
      </c>
      <c r="L50" s="48">
        <v>0.66754999999999998</v>
      </c>
      <c r="M50" s="48">
        <v>0.64980000000000004</v>
      </c>
      <c r="N50" s="48">
        <v>0.83074999999999999</v>
      </c>
      <c r="O50" s="48">
        <v>0.8711000000000001</v>
      </c>
      <c r="P50" s="48">
        <v>0.84525000000000006</v>
      </c>
      <c r="Q50" s="48">
        <v>0.78110000000000013</v>
      </c>
      <c r="R50" s="48">
        <v>0.67149999999999999</v>
      </c>
      <c r="S50" s="48">
        <v>0.52680000000000005</v>
      </c>
      <c r="T50" s="48">
        <v>0.55745</v>
      </c>
      <c r="U50" s="48">
        <v>0.62884999999999991</v>
      </c>
      <c r="V50" s="48">
        <v>0.75929999999999997</v>
      </c>
      <c r="W50" s="48">
        <v>0.62625000000000008</v>
      </c>
      <c r="X50" s="48">
        <v>0.5081500000000001</v>
      </c>
      <c r="Y50" s="48">
        <v>0.36215000000000003</v>
      </c>
      <c r="Z50" s="48">
        <v>0.34955000000000008</v>
      </c>
      <c r="AA50" s="48">
        <v>0.37970000000000004</v>
      </c>
      <c r="AB50" s="48">
        <v>0.59260000000000002</v>
      </c>
      <c r="AC50" s="48">
        <v>0.62620000000000009</v>
      </c>
      <c r="AD50" s="48">
        <v>0.63650000000000018</v>
      </c>
      <c r="AE50" s="48">
        <v>0.61645000000000005</v>
      </c>
      <c r="AF50" s="48">
        <v>0.55694999999999995</v>
      </c>
      <c r="AG50" s="48">
        <v>0.43154999999999999</v>
      </c>
      <c r="AH50" s="48">
        <v>0.31629999999999997</v>
      </c>
      <c r="AI50" s="48">
        <v>0.29135</v>
      </c>
      <c r="AJ50" s="48">
        <v>0.42055000000000003</v>
      </c>
      <c r="AK50" s="48">
        <v>0.6049000000000001</v>
      </c>
      <c r="AL50" s="48">
        <v>0.63429999999999997</v>
      </c>
      <c r="AM50" s="48">
        <v>0.59029999999999994</v>
      </c>
      <c r="AN50" s="48">
        <v>0.61339999999999995</v>
      </c>
      <c r="AO50" s="48">
        <v>0.66915000000000002</v>
      </c>
      <c r="AP50" s="48">
        <v>0.74280000000000013</v>
      </c>
      <c r="AQ50" s="48">
        <v>0.78804999999999992</v>
      </c>
      <c r="AR50" s="48">
        <v>0.82220000000000004</v>
      </c>
      <c r="AS50" s="48">
        <v>0.86260000000000003</v>
      </c>
      <c r="AT50" s="48">
        <v>0.88934999999999997</v>
      </c>
      <c r="AU50" s="48">
        <v>0.94734999999999991</v>
      </c>
      <c r="AV50" s="48">
        <v>0.97609999999999997</v>
      </c>
      <c r="AW50" s="48">
        <v>0.96360000000000001</v>
      </c>
      <c r="AX50" s="48">
        <v>0.94660000000000011</v>
      </c>
      <c r="AY50" s="48">
        <v>0.61399999999999999</v>
      </c>
      <c r="AZ50" s="48">
        <v>0.43665000000000009</v>
      </c>
      <c r="BA50" s="48">
        <v>0.40865000000000001</v>
      </c>
      <c r="BB50" s="48">
        <v>0.31730000000000003</v>
      </c>
      <c r="BC50" s="48">
        <v>0.24165</v>
      </c>
      <c r="BD50" s="48">
        <v>0.19775000000000004</v>
      </c>
      <c r="BE50" s="48">
        <v>0.16839999999999999</v>
      </c>
      <c r="BF50" s="48">
        <v>0.15095</v>
      </c>
      <c r="BG50" s="48">
        <v>0.12850000000000003</v>
      </c>
      <c r="BH50" s="48">
        <v>6.1699999999999998E-2</v>
      </c>
      <c r="BI50" s="48">
        <v>5.8700000000000002E-2</v>
      </c>
      <c r="BJ50" s="48">
        <v>0.1036</v>
      </c>
      <c r="BK50" s="48">
        <v>0.23590000000000003</v>
      </c>
      <c r="BL50" s="48">
        <v>0.31995000000000001</v>
      </c>
      <c r="BM50" s="48">
        <v>0.27585000000000004</v>
      </c>
      <c r="BN50" s="48">
        <v>0.25830000000000003</v>
      </c>
      <c r="BO50" s="48">
        <v>0.224</v>
      </c>
      <c r="BP50" s="48">
        <v>0.19969999999999999</v>
      </c>
      <c r="BQ50" s="48">
        <v>0.17610000000000003</v>
      </c>
      <c r="BR50" s="48">
        <v>0.16245000000000001</v>
      </c>
      <c r="BS50" s="48">
        <v>0.19985</v>
      </c>
      <c r="BT50" s="48">
        <v>0.21765000000000001</v>
      </c>
      <c r="BU50" s="48">
        <v>0.24665000000000004</v>
      </c>
      <c r="BV50" s="48">
        <v>0.27195000000000003</v>
      </c>
      <c r="BW50" s="48">
        <v>0.30300000000000005</v>
      </c>
      <c r="BX50" s="48">
        <v>0.30114999999999997</v>
      </c>
      <c r="BY50" s="48">
        <v>0.32399999999999995</v>
      </c>
      <c r="BZ50" s="48">
        <v>0.35175000000000001</v>
      </c>
      <c r="CA50" s="48">
        <v>0.41870000000000007</v>
      </c>
      <c r="CB50" s="48">
        <v>0.52285000000000004</v>
      </c>
      <c r="CC50" s="48">
        <v>0.55530000000000002</v>
      </c>
      <c r="CD50" s="48">
        <v>0.58020000000000005</v>
      </c>
      <c r="CE50" s="48">
        <v>0.55245000000000011</v>
      </c>
      <c r="CF50" s="48">
        <v>0.4753</v>
      </c>
      <c r="CG50" s="48">
        <v>0.52529999999999999</v>
      </c>
      <c r="CH50" s="48">
        <v>0.53424999999999989</v>
      </c>
      <c r="CI50" s="48">
        <v>0.56494999999999995</v>
      </c>
      <c r="CJ50" s="48">
        <v>0.51185000000000003</v>
      </c>
      <c r="CK50" s="48">
        <v>0.55625000000000002</v>
      </c>
      <c r="CL50" s="48">
        <v>0.57450000000000001</v>
      </c>
      <c r="CM50" s="48">
        <v>0.55730000000000002</v>
      </c>
      <c r="CN50" s="48">
        <v>0.49949999999999994</v>
      </c>
      <c r="CO50" s="48">
        <v>0.51124999999999998</v>
      </c>
      <c r="CP50" s="48">
        <v>0.51715</v>
      </c>
      <c r="CQ50" s="48">
        <v>0.55940000000000001</v>
      </c>
      <c r="CR50" s="48">
        <v>0.63919999999999999</v>
      </c>
      <c r="CS50" s="48">
        <v>0.6130000000000001</v>
      </c>
      <c r="CT50" s="48">
        <v>0.64880000000000004</v>
      </c>
      <c r="CU50" s="48">
        <v>0.65290000000000004</v>
      </c>
      <c r="CV50" s="48">
        <v>0.69394999999999996</v>
      </c>
      <c r="CW50" s="48">
        <v>0.65825</v>
      </c>
      <c r="CX50" s="48">
        <v>0.62460000000000004</v>
      </c>
      <c r="CY50" s="48">
        <v>0.6048</v>
      </c>
      <c r="CZ50" s="48">
        <v>0.57695000000000007</v>
      </c>
      <c r="DA50" s="48">
        <v>0.5232</v>
      </c>
      <c r="DB50" s="48">
        <v>0.50485000000000002</v>
      </c>
      <c r="DC50" s="48">
        <v>0.47625000000000006</v>
      </c>
      <c r="DD50" s="48">
        <v>0.43519999999999992</v>
      </c>
      <c r="DE50" s="48">
        <v>0.42095000000000005</v>
      </c>
      <c r="DF50" s="48">
        <v>0.39835000000000004</v>
      </c>
    </row>
    <row r="51" spans="1:110" x14ac:dyDescent="0.2">
      <c r="A51" s="46" t="s">
        <v>47</v>
      </c>
      <c r="B51" s="47">
        <f t="shared" si="23"/>
        <v>-3.4110558754074427</v>
      </c>
      <c r="C51" s="47">
        <f t="shared" si="24"/>
        <v>-6.7492967406480142</v>
      </c>
      <c r="D51" s="49" t="e">
        <f t="shared" ref="D51:D81" ca="1" si="38">_xludf.STDEV.P(W51:DF51)*100</f>
        <v>#NAME?</v>
      </c>
      <c r="E51" s="51">
        <v>2.1991536696902299E-2</v>
      </c>
      <c r="F51" s="48">
        <v>0.60690291584724421</v>
      </c>
      <c r="G51" s="48">
        <v>0.61185237310872809</v>
      </c>
      <c r="H51" s="48">
        <v>0.64325373914138184</v>
      </c>
      <c r="I51" s="48">
        <v>0.67439588325372435</v>
      </c>
      <c r="J51" s="48">
        <v>0.69868893935163057</v>
      </c>
      <c r="K51" s="48">
        <v>0.71848252363222909</v>
      </c>
      <c r="L51" s="48">
        <v>0.65788199260668345</v>
      </c>
      <c r="M51" s="48">
        <v>0.62460499571670247</v>
      </c>
      <c r="N51" s="48">
        <v>0.70287730037917973</v>
      </c>
      <c r="O51" s="48">
        <v>0.72818428817245728</v>
      </c>
      <c r="P51" s="48">
        <v>0.72773879306556521</v>
      </c>
      <c r="Q51" s="48">
        <v>0.64101347460131863</v>
      </c>
      <c r="R51" s="48">
        <v>0.60102658406273812</v>
      </c>
      <c r="S51" s="48">
        <v>0.58886409595922273</v>
      </c>
      <c r="T51" s="48">
        <v>0.63931647595169283</v>
      </c>
      <c r="U51" s="48">
        <v>0.63171387766399556</v>
      </c>
      <c r="V51" s="48">
        <v>0.64090949407981168</v>
      </c>
      <c r="W51" s="48">
        <v>0.55203789519586621</v>
      </c>
      <c r="X51" s="48">
        <v>0.60397401695854092</v>
      </c>
      <c r="Y51" s="48">
        <v>0.42515748838546752</v>
      </c>
      <c r="Z51" s="48">
        <v>0.35272406997669198</v>
      </c>
      <c r="AA51" s="48">
        <v>0.11350533158920351</v>
      </c>
      <c r="AB51" s="48">
        <v>0.20164652951127207</v>
      </c>
      <c r="AC51" s="48">
        <v>0.23694949524348921</v>
      </c>
      <c r="AD51" s="48">
        <v>0.32226373538068809</v>
      </c>
      <c r="AE51" s="48">
        <v>0.31375762363239712</v>
      </c>
      <c r="AF51" s="48">
        <v>0.2355226134775871</v>
      </c>
      <c r="AG51" s="48">
        <v>0.2009741486894249</v>
      </c>
      <c r="AH51" s="48">
        <v>0.18630711042118023</v>
      </c>
      <c r="AI51" s="48">
        <v>0.26027265184637705</v>
      </c>
      <c r="AJ51" s="48">
        <v>0.33295812935831781</v>
      </c>
      <c r="AK51" s="48">
        <v>0.33203831763887554</v>
      </c>
      <c r="AL51" s="48">
        <v>0.29939107392188397</v>
      </c>
      <c r="AM51" s="48">
        <v>0.1851507185851469</v>
      </c>
      <c r="AN51" s="48">
        <v>0.27057907152090049</v>
      </c>
      <c r="AO51" s="48">
        <v>0.26425679717696826</v>
      </c>
      <c r="AP51" s="48">
        <v>0.33215635406868516</v>
      </c>
      <c r="AQ51" s="48">
        <v>0.2932680556020667</v>
      </c>
      <c r="AR51" s="48">
        <v>0.32777443529260381</v>
      </c>
      <c r="AS51" s="48">
        <v>0.35617498307789586</v>
      </c>
      <c r="AT51" s="48">
        <v>0.40952469431985872</v>
      </c>
      <c r="AU51" s="48">
        <v>0.58852900002293451</v>
      </c>
      <c r="AV51" s="48">
        <v>0.7685387548307715</v>
      </c>
      <c r="AW51" s="48">
        <v>0.90761641482622102</v>
      </c>
      <c r="AX51" s="48">
        <v>0.90558320491692779</v>
      </c>
      <c r="AY51" s="48">
        <v>0.79328100131852086</v>
      </c>
      <c r="AZ51" s="48">
        <v>0.69380151058900141</v>
      </c>
      <c r="BA51" s="48">
        <v>0.713365244170726</v>
      </c>
      <c r="BB51" s="48">
        <v>0.64905925790739982</v>
      </c>
      <c r="BC51" s="48">
        <v>0.64421672039358291</v>
      </c>
      <c r="BD51" s="48">
        <v>0.64172720100375813</v>
      </c>
      <c r="BE51" s="48">
        <v>0.5805368750045965</v>
      </c>
      <c r="BF51" s="48">
        <v>0.37941449471451216</v>
      </c>
      <c r="BG51" s="48">
        <v>0.30319958290663096</v>
      </c>
      <c r="BH51" s="48">
        <v>0.22731104879687486</v>
      </c>
      <c r="BI51" s="48">
        <v>0.16704701347451748</v>
      </c>
      <c r="BJ51" s="48">
        <v>0.18272102628527481</v>
      </c>
      <c r="BK51" s="48">
        <v>0.22737752639555361</v>
      </c>
      <c r="BL51" s="48">
        <v>0.42254679427068109</v>
      </c>
      <c r="BM51" s="48">
        <v>0.4440673931565452</v>
      </c>
      <c r="BN51" s="48">
        <v>0.54632617501140956</v>
      </c>
      <c r="BO51" s="48">
        <v>0.47145883255852106</v>
      </c>
      <c r="BP51" s="48">
        <v>0.40921297408245233</v>
      </c>
      <c r="BQ51" s="48">
        <v>0.36337471451394626</v>
      </c>
      <c r="BR51" s="48">
        <v>0.37965859826602288</v>
      </c>
      <c r="BS51" s="48">
        <v>0.40888639672662458</v>
      </c>
      <c r="BT51" s="48">
        <v>0.31754782299413908</v>
      </c>
      <c r="BU51" s="48">
        <v>0.40612973613900494</v>
      </c>
      <c r="BV51" s="48">
        <v>0.48653929480964847</v>
      </c>
      <c r="BW51" s="48">
        <v>0.72507845334978305</v>
      </c>
      <c r="BX51" s="48">
        <v>0.64243502098702687</v>
      </c>
      <c r="BY51" s="48">
        <v>0.6284709708419931</v>
      </c>
      <c r="BZ51" s="48">
        <v>0.37211685006884571</v>
      </c>
      <c r="CA51" s="48">
        <v>0.3424084193825444</v>
      </c>
      <c r="CB51" s="48">
        <v>0.37797638424363311</v>
      </c>
      <c r="CC51" s="48">
        <v>0.49812667307051467</v>
      </c>
      <c r="CD51" s="48">
        <v>0.55448737188294162</v>
      </c>
      <c r="CE51" s="48">
        <v>0.55117874346600537</v>
      </c>
      <c r="CF51" s="48">
        <v>0.47944146012406874</v>
      </c>
      <c r="CG51" s="48">
        <v>0.51598517972034486</v>
      </c>
      <c r="CH51" s="48">
        <v>0.4794106014583967</v>
      </c>
      <c r="CI51" s="48">
        <v>0.56746311194900423</v>
      </c>
      <c r="CJ51" s="48">
        <v>0.50999076420264444</v>
      </c>
      <c r="CK51" s="48">
        <v>0.53732459334527993</v>
      </c>
      <c r="CL51" s="48">
        <v>0.58450222174427446</v>
      </c>
      <c r="CM51" s="48">
        <v>0.63205327494184982</v>
      </c>
      <c r="CN51" s="48">
        <v>0.6754012246349641</v>
      </c>
      <c r="CO51" s="48">
        <v>0.71111999436828655</v>
      </c>
      <c r="CP51" s="48">
        <v>0.79080399162980797</v>
      </c>
      <c r="CQ51" s="48">
        <v>0.78316110347233459</v>
      </c>
      <c r="CR51" s="48">
        <v>0.83331598286469133</v>
      </c>
      <c r="CS51" s="48">
        <v>0.71324082036168046</v>
      </c>
      <c r="CT51" s="48">
        <v>0.73505033683108922</v>
      </c>
      <c r="CU51" s="48">
        <v>0.61149271159927832</v>
      </c>
      <c r="CV51" s="48">
        <v>0.6424985576593697</v>
      </c>
      <c r="CW51" s="48">
        <v>0.63738977574514932</v>
      </c>
      <c r="CX51" s="48">
        <v>0.68042941849889294</v>
      </c>
      <c r="CY51" s="48">
        <v>0.64237503521084616</v>
      </c>
      <c r="CZ51" s="48">
        <v>0.58758590835389646</v>
      </c>
      <c r="DA51" s="48">
        <v>0.43678315024679853</v>
      </c>
      <c r="DB51" s="48">
        <v>0.32658962859820695</v>
      </c>
      <c r="DC51" s="48">
        <v>0.32765779955227164</v>
      </c>
      <c r="DD51" s="48">
        <v>0.21034454008657463</v>
      </c>
      <c r="DE51" s="48">
        <v>0.2978851625503256</v>
      </c>
      <c r="DF51" s="48">
        <v>0.20776794446454588</v>
      </c>
    </row>
    <row r="52" spans="1:110" x14ac:dyDescent="0.2">
      <c r="A52" s="46" t="s">
        <v>50</v>
      </c>
      <c r="B52" s="47">
        <f t="shared" si="23"/>
        <v>4.7569231270108094</v>
      </c>
      <c r="C52" s="47">
        <f t="shared" si="24"/>
        <v>8.0364130793532098</v>
      </c>
      <c r="D52" s="49" t="e">
        <f t="shared" ref="D52:D82" ca="1" si="39">_xludf.STDEV.P(W52:DF52)*100</f>
        <v>#NAME?</v>
      </c>
      <c r="E52" s="51">
        <v>8.2374142249752799E-3</v>
      </c>
      <c r="F52" s="48">
        <v>0.40321221679832286</v>
      </c>
      <c r="G52" s="48">
        <v>0.38915915901822917</v>
      </c>
      <c r="H52" s="48">
        <v>0.3665980506109548</v>
      </c>
      <c r="I52" s="48">
        <v>0.32284808600479076</v>
      </c>
      <c r="J52" s="48">
        <v>0.29939106527175541</v>
      </c>
      <c r="K52" s="48">
        <v>0.2632044202269927</v>
      </c>
      <c r="L52" s="48">
        <v>0.22016606256284796</v>
      </c>
      <c r="M52" s="48">
        <v>0.24120635891844577</v>
      </c>
      <c r="N52" s="48">
        <v>0.33372770007472985</v>
      </c>
      <c r="O52" s="48">
        <v>0.35584519458417796</v>
      </c>
      <c r="P52" s="48">
        <v>0.36683440047833682</v>
      </c>
      <c r="Q52" s="48">
        <v>0.35564298552821477</v>
      </c>
      <c r="R52" s="48">
        <v>0.36730853591149254</v>
      </c>
      <c r="S52" s="48">
        <v>0.34987092704671247</v>
      </c>
      <c r="T52" s="48">
        <v>0.34543365463747305</v>
      </c>
      <c r="U52" s="48">
        <v>0.33826946753945819</v>
      </c>
      <c r="V52" s="48">
        <v>0.37345140479555095</v>
      </c>
      <c r="W52" s="48">
        <v>0.41149959916846962</v>
      </c>
      <c r="X52" s="48">
        <v>0.45053490434243981</v>
      </c>
      <c r="Y52" s="48">
        <v>0.47081946174415418</v>
      </c>
      <c r="Z52" s="48">
        <v>0.40148193652308789</v>
      </c>
      <c r="AA52" s="48">
        <v>0.34645717256538033</v>
      </c>
      <c r="AB52" s="48">
        <v>0.35631635753514501</v>
      </c>
      <c r="AC52" s="48">
        <v>0.3812854594656292</v>
      </c>
      <c r="AD52" s="48">
        <v>0.40150488918630545</v>
      </c>
      <c r="AE52" s="48">
        <v>0.4448346807020751</v>
      </c>
      <c r="AF52" s="48">
        <v>0.53929994848624963</v>
      </c>
      <c r="AG52" s="48">
        <v>0.57240344848026614</v>
      </c>
      <c r="AH52" s="48">
        <v>0.58912736994185111</v>
      </c>
      <c r="AI52" s="48">
        <v>0.62673396288781125</v>
      </c>
      <c r="AJ52" s="48">
        <v>0.68418073181483119</v>
      </c>
      <c r="AK52" s="48">
        <v>0.73854701642639142</v>
      </c>
      <c r="AL52" s="48">
        <v>0.77563847305920663</v>
      </c>
      <c r="AM52" s="48">
        <v>0.81042388815013755</v>
      </c>
      <c r="AN52" s="48">
        <v>0.80874452598154412</v>
      </c>
      <c r="AO52" s="48">
        <v>0.81668390608470487</v>
      </c>
      <c r="AP52" s="48">
        <v>0.81633064692878377</v>
      </c>
      <c r="AQ52" s="48">
        <v>0.83791450757224228</v>
      </c>
      <c r="AR52" s="48">
        <v>0.860391749113121</v>
      </c>
      <c r="AS52" s="48">
        <v>0.85147525430544513</v>
      </c>
      <c r="AT52" s="48">
        <v>0.82616768442256394</v>
      </c>
      <c r="AU52" s="48">
        <v>0.76293656830177703</v>
      </c>
      <c r="AV52" s="48">
        <v>0.76202296848959317</v>
      </c>
      <c r="AW52" s="48">
        <v>0.73465675240640416</v>
      </c>
      <c r="AX52" s="48">
        <v>0.69807355487057687</v>
      </c>
      <c r="AY52" s="48">
        <v>0.59220336406016416</v>
      </c>
      <c r="AZ52" s="48">
        <v>0.54730428109575036</v>
      </c>
      <c r="BA52" s="48">
        <v>0.54054010314593226</v>
      </c>
      <c r="BB52" s="48">
        <v>0.48931939125227586</v>
      </c>
      <c r="BC52" s="48">
        <v>0.42595223636758717</v>
      </c>
      <c r="BD52" s="48">
        <v>0.37987828243742566</v>
      </c>
      <c r="BE52" s="48">
        <v>0.3124153245940422</v>
      </c>
      <c r="BF52" s="48">
        <v>0.29806716858472881</v>
      </c>
      <c r="BG52" s="48">
        <v>0.31783574912039964</v>
      </c>
      <c r="BH52" s="48">
        <v>0.29923749109886166</v>
      </c>
      <c r="BI52" s="48">
        <v>0.31539478876302857</v>
      </c>
      <c r="BJ52" s="48">
        <v>0.24630396773747643</v>
      </c>
      <c r="BK52" s="48">
        <v>0.27897560690287349</v>
      </c>
      <c r="BL52" s="48">
        <v>0.26203503759048535</v>
      </c>
      <c r="BM52" s="48">
        <v>0.26280416045978716</v>
      </c>
      <c r="BN52" s="48">
        <v>0.27262678142495456</v>
      </c>
      <c r="BO52" s="48">
        <v>0.30313436410359207</v>
      </c>
      <c r="BP52" s="48">
        <v>0.33000309206456258</v>
      </c>
      <c r="BQ52" s="48">
        <v>0.31680880919675442</v>
      </c>
      <c r="BR52" s="48">
        <v>0.34665875787681905</v>
      </c>
      <c r="BS52" s="48">
        <v>0.36569241336392411</v>
      </c>
      <c r="BT52" s="48">
        <v>0.40125023614765187</v>
      </c>
      <c r="BU52" s="48">
        <v>0.36959499120484052</v>
      </c>
      <c r="BV52" s="48">
        <v>0.47307073490810131</v>
      </c>
      <c r="BW52" s="48">
        <v>0.48269565698193984</v>
      </c>
      <c r="BX52" s="48">
        <v>0.50715602974562923</v>
      </c>
      <c r="BY52" s="48">
        <v>0.52418905207351685</v>
      </c>
      <c r="BZ52" s="48">
        <v>0.549282587046244</v>
      </c>
      <c r="CA52" s="48">
        <v>0.60316523065276162</v>
      </c>
      <c r="CB52" s="48">
        <v>0.63052183921381511</v>
      </c>
      <c r="CC52" s="48">
        <v>0.65840426454707557</v>
      </c>
      <c r="CD52" s="48">
        <v>0.66543541517938798</v>
      </c>
      <c r="CE52" s="48">
        <v>0.67197366729586838</v>
      </c>
      <c r="CF52" s="48">
        <v>0.62261346449978006</v>
      </c>
      <c r="CG52" s="48">
        <v>0.65767299319090711</v>
      </c>
      <c r="CH52" s="48">
        <v>0.68122566390655637</v>
      </c>
      <c r="CI52" s="48">
        <v>0.70973259381907605</v>
      </c>
      <c r="CJ52" s="48">
        <v>0.67099586178334092</v>
      </c>
      <c r="CK52" s="48">
        <v>0.64613592261836994</v>
      </c>
      <c r="CL52" s="48">
        <v>0.61167586032544397</v>
      </c>
      <c r="CM52" s="48">
        <v>0.60001013758736865</v>
      </c>
      <c r="CN52" s="48">
        <v>0.61099865404543474</v>
      </c>
      <c r="CO52" s="48">
        <v>0.59202195254508094</v>
      </c>
      <c r="CP52" s="48">
        <v>0.55802259098914675</v>
      </c>
      <c r="CQ52" s="48">
        <v>0.56080276292442421</v>
      </c>
      <c r="CR52" s="48">
        <v>0.58722426097647862</v>
      </c>
      <c r="CS52" s="48">
        <v>0.58914026317204593</v>
      </c>
      <c r="CT52" s="48">
        <v>0.54674221343213369</v>
      </c>
      <c r="CU52" s="48">
        <v>0.50123902247667518</v>
      </c>
      <c r="CV52" s="48">
        <v>0.5214122857103809</v>
      </c>
      <c r="CW52" s="48">
        <v>0.48819912239456731</v>
      </c>
      <c r="CX52" s="48">
        <v>0.48498235846584209</v>
      </c>
      <c r="CY52" s="48">
        <v>0.45410753138123916</v>
      </c>
      <c r="CZ52" s="48">
        <v>0.48470290664187865</v>
      </c>
      <c r="DA52" s="48">
        <v>0.48614051736593378</v>
      </c>
      <c r="DB52" s="48">
        <v>0.5012704750637077</v>
      </c>
      <c r="DC52" s="48">
        <v>0.48013491726609181</v>
      </c>
      <c r="DD52" s="48">
        <v>0.47377489852133137</v>
      </c>
      <c r="DE52" s="48">
        <v>0.4065297092434122</v>
      </c>
      <c r="DF52" s="48">
        <v>0.38480191468933922</v>
      </c>
    </row>
    <row r="53" spans="1:110" x14ac:dyDescent="0.2">
      <c r="A53" s="46" t="s">
        <v>53</v>
      </c>
      <c r="B53" s="47">
        <f t="shared" si="23"/>
        <v>-23.631860764312119</v>
      </c>
      <c r="C53" s="47">
        <f t="shared" si="24"/>
        <v>-6.2987259114943956</v>
      </c>
      <c r="D53" s="49" t="e">
        <f t="shared" ref="D53:D83" ca="1" si="40">_xludf.STDEV.P(W53:DF53)*100</f>
        <v>#NAME?</v>
      </c>
      <c r="E53" s="51">
        <v>2.01864336162801E-2</v>
      </c>
      <c r="F53" s="48">
        <v>0.3014723454025916</v>
      </c>
      <c r="G53" s="48">
        <v>0.31537758813029149</v>
      </c>
      <c r="H53" s="48">
        <v>0.33038824468818528</v>
      </c>
      <c r="I53" s="48">
        <v>0.36445960451753556</v>
      </c>
      <c r="J53" s="48">
        <v>0.39231783806303727</v>
      </c>
      <c r="K53" s="48">
        <v>0.41046416149506909</v>
      </c>
      <c r="L53" s="48">
        <v>0.4640894075177992</v>
      </c>
      <c r="M53" s="48">
        <v>0.48121411283189541</v>
      </c>
      <c r="N53" s="48">
        <v>0.51964297850173169</v>
      </c>
      <c r="O53" s="48">
        <v>0.55493301295419928</v>
      </c>
      <c r="P53" s="48">
        <v>0.54582687178437406</v>
      </c>
      <c r="Q53" s="48">
        <v>0.53779095304571278</v>
      </c>
      <c r="R53" s="48">
        <v>0.52318478630232879</v>
      </c>
      <c r="S53" s="48">
        <v>0.53158618676792646</v>
      </c>
      <c r="T53" s="48">
        <v>0.50286772607572316</v>
      </c>
      <c r="U53" s="48">
        <v>0.53961131590182732</v>
      </c>
      <c r="V53" s="48">
        <v>0.51748792799641707</v>
      </c>
      <c r="W53" s="48">
        <v>0.48185473062498063</v>
      </c>
      <c r="X53" s="48">
        <v>0.36572619563275627</v>
      </c>
      <c r="Y53" s="48">
        <v>0.23727013894785887</v>
      </c>
      <c r="Z53" s="48">
        <v>0.16229282689467625</v>
      </c>
      <c r="AA53" s="48">
        <v>0.1379755975151874</v>
      </c>
      <c r="AB53" s="48">
        <v>0.14466409790677892</v>
      </c>
      <c r="AC53" s="48">
        <v>0.15726055989527243</v>
      </c>
      <c r="AD53" s="48">
        <v>0.16130957704934115</v>
      </c>
      <c r="AE53" s="48">
        <v>0.15670053106985923</v>
      </c>
      <c r="AF53" s="48">
        <v>0.137017840988124</v>
      </c>
      <c r="AG53" s="48">
        <v>0.11557547908302802</v>
      </c>
      <c r="AH53" s="48">
        <v>8.7069076246990423E-2</v>
      </c>
      <c r="AI53" s="48">
        <v>0.11534499153065687</v>
      </c>
      <c r="AJ53" s="48">
        <v>0.31847674013267263</v>
      </c>
      <c r="AK53" s="48">
        <v>0.46936571522770709</v>
      </c>
      <c r="AL53" s="48">
        <v>0.69834952951490392</v>
      </c>
      <c r="AM53" s="48">
        <v>0.68725175048310871</v>
      </c>
      <c r="AN53" s="48">
        <v>0.70387930878931415</v>
      </c>
      <c r="AO53" s="48">
        <v>0.72567083089950446</v>
      </c>
      <c r="AP53" s="48">
        <v>0.72484813264348247</v>
      </c>
      <c r="AQ53" s="48">
        <v>0.73882252797346426</v>
      </c>
      <c r="AR53" s="48">
        <v>0.78558293801418577</v>
      </c>
      <c r="AS53" s="48">
        <v>0.83405921876140388</v>
      </c>
      <c r="AT53" s="48">
        <v>0.8724096595987374</v>
      </c>
      <c r="AU53" s="48">
        <v>0.89489972863400424</v>
      </c>
      <c r="AV53" s="48">
        <v>0.92466300496146503</v>
      </c>
      <c r="AW53" s="48">
        <v>0.88740239739190363</v>
      </c>
      <c r="AX53" s="48">
        <v>0.81363661161751188</v>
      </c>
      <c r="AY53" s="48">
        <v>0.20271407010538087</v>
      </c>
      <c r="AZ53" s="48">
        <v>0.19756777326260946</v>
      </c>
      <c r="BA53" s="48">
        <v>0.19562939892529782</v>
      </c>
      <c r="BB53" s="48">
        <v>0.23578632224376142</v>
      </c>
      <c r="BC53" s="48">
        <v>0.22749038953776038</v>
      </c>
      <c r="BD53" s="48">
        <v>0.20381903222654574</v>
      </c>
      <c r="BE53" s="48">
        <v>0.14804654034032627</v>
      </c>
      <c r="BF53" s="48">
        <v>9.9436453943733766E-2</v>
      </c>
      <c r="BG53" s="48">
        <v>7.508399218517102E-2</v>
      </c>
      <c r="BH53" s="48">
        <v>4.0844603552719433E-2</v>
      </c>
      <c r="BI53" s="48">
        <v>6.6631093129146099E-2</v>
      </c>
      <c r="BJ53" s="48">
        <v>0.13329846252730482</v>
      </c>
      <c r="BK53" s="48">
        <v>0.37572636555663419</v>
      </c>
      <c r="BL53" s="48">
        <v>0.36056341834267186</v>
      </c>
      <c r="BM53" s="48">
        <v>0.37146753871328614</v>
      </c>
      <c r="BN53" s="48">
        <v>0.37033300921722156</v>
      </c>
      <c r="BO53" s="48">
        <v>0.3959064155413598</v>
      </c>
      <c r="BP53" s="48">
        <v>0.41715876004570901</v>
      </c>
      <c r="BQ53" s="48">
        <v>0.39885104842472857</v>
      </c>
      <c r="BR53" s="48">
        <v>0.37175862726299191</v>
      </c>
      <c r="BS53" s="48">
        <v>0.32554618733873064</v>
      </c>
      <c r="BT53" s="48">
        <v>0.29382343438164088</v>
      </c>
      <c r="BU53" s="48">
        <v>0.31601433601608653</v>
      </c>
      <c r="BV53" s="48">
        <v>0.4087934624926437</v>
      </c>
      <c r="BW53" s="48">
        <v>0.43717452756428726</v>
      </c>
      <c r="BX53" s="48">
        <v>0.44715983123556419</v>
      </c>
      <c r="BY53" s="48">
        <v>0.45780975951696751</v>
      </c>
      <c r="BZ53" s="48">
        <v>0.47844879311709049</v>
      </c>
      <c r="CA53" s="48">
        <v>0.53805551455428158</v>
      </c>
      <c r="CB53" s="48">
        <v>0.5590529266603167</v>
      </c>
      <c r="CC53" s="48">
        <v>0.59475802420435275</v>
      </c>
      <c r="CD53" s="48">
        <v>0.6657146488978003</v>
      </c>
      <c r="CE53" s="48">
        <v>0.72720805977603653</v>
      </c>
      <c r="CF53" s="48">
        <v>0.76412230792956792</v>
      </c>
      <c r="CG53" s="48">
        <v>0.77228434430045823</v>
      </c>
      <c r="CH53" s="48">
        <v>0.77106104927376151</v>
      </c>
      <c r="CI53" s="48">
        <v>0.74518065795761812</v>
      </c>
      <c r="CJ53" s="48">
        <v>0.76449893333890084</v>
      </c>
      <c r="CK53" s="48">
        <v>0.77803426971845424</v>
      </c>
      <c r="CL53" s="48">
        <v>0.79069381064769972</v>
      </c>
      <c r="CM53" s="48">
        <v>0.79560978976141328</v>
      </c>
      <c r="CN53" s="48">
        <v>0.79515146522579983</v>
      </c>
      <c r="CO53" s="48">
        <v>0.7867133559866325</v>
      </c>
      <c r="CP53" s="48">
        <v>0.77183396831115292</v>
      </c>
      <c r="CQ53" s="48">
        <v>0.71631155772129551</v>
      </c>
      <c r="CR53" s="48">
        <v>0.63694002618003009</v>
      </c>
      <c r="CS53" s="48">
        <v>0.59683911332633777</v>
      </c>
      <c r="CT53" s="48">
        <v>0.59780137499327413</v>
      </c>
      <c r="CU53" s="48">
        <v>0.66811795156820541</v>
      </c>
      <c r="CV53" s="48">
        <v>0.65918075351738192</v>
      </c>
      <c r="CW53" s="48">
        <v>0.65164186518204492</v>
      </c>
      <c r="CX53" s="48">
        <v>0.63723674082549531</v>
      </c>
      <c r="CY53" s="48">
        <v>0.62343013755631427</v>
      </c>
      <c r="CZ53" s="48">
        <v>0.61057869066141623</v>
      </c>
      <c r="DA53" s="48">
        <v>0.59928092122816978</v>
      </c>
      <c r="DB53" s="48">
        <v>0.61065282188817216</v>
      </c>
      <c r="DC53" s="48">
        <v>0.62645625596020826</v>
      </c>
      <c r="DD53" s="48">
        <v>0.63487616944307246</v>
      </c>
      <c r="DE53" s="48">
        <v>0.65223328097676014</v>
      </c>
      <c r="DF53" s="48">
        <v>0.65577668394861344</v>
      </c>
    </row>
    <row r="54" spans="1:110" x14ac:dyDescent="0.2">
      <c r="A54" s="46" t="s">
        <v>56</v>
      </c>
      <c r="B54" s="47">
        <f t="shared" si="23"/>
        <v>-24.546563898639306</v>
      </c>
      <c r="C54" s="47">
        <f t="shared" si="24"/>
        <v>-0.17329626811327659</v>
      </c>
      <c r="D54" s="49" t="e">
        <f t="shared" ref="D54:D84" ca="1" si="41">_xludf.STDEV.P(W54:DF54)*100</f>
        <v>#NAME?</v>
      </c>
      <c r="E54" s="51">
        <v>1.80309517953146E-3</v>
      </c>
      <c r="F54" s="48">
        <v>0.60000833967451339</v>
      </c>
      <c r="G54" s="48">
        <v>0.59671571058036121</v>
      </c>
      <c r="H54" s="48">
        <v>0.59671571058036121</v>
      </c>
      <c r="I54" s="48">
        <v>0.60174130235564616</v>
      </c>
      <c r="J54" s="48">
        <v>0.60330096876866557</v>
      </c>
      <c r="K54" s="48">
        <v>0.60503393144979833</v>
      </c>
      <c r="L54" s="48">
        <v>0.75383504340640006</v>
      </c>
      <c r="M54" s="48">
        <v>0.74756244630452395</v>
      </c>
      <c r="N54" s="48">
        <v>0.8007029146927187</v>
      </c>
      <c r="O54" s="48">
        <v>0.83097134195733824</v>
      </c>
      <c r="P54" s="48">
        <v>0.8426970685338373</v>
      </c>
      <c r="Q54" s="48">
        <v>0.84547397866090646</v>
      </c>
      <c r="R54" s="48">
        <v>0.82871959404174533</v>
      </c>
      <c r="S54" s="48">
        <v>0.80176938764656303</v>
      </c>
      <c r="T54" s="48">
        <v>0.78623531300882865</v>
      </c>
      <c r="U54" s="48">
        <v>0.79542308148620888</v>
      </c>
      <c r="V54" s="48">
        <v>0.91011655293453453</v>
      </c>
      <c r="W54" s="48">
        <v>0.9121407547640672</v>
      </c>
      <c r="X54" s="48">
        <v>0.8593098811949238</v>
      </c>
      <c r="Y54" s="48">
        <v>0.7509771881162195</v>
      </c>
      <c r="Z54" s="48">
        <v>0.49996300228282481</v>
      </c>
      <c r="AA54" s="48">
        <v>0.33274633132052012</v>
      </c>
      <c r="AB54" s="48">
        <v>0.25461726887421565</v>
      </c>
      <c r="AC54" s="48">
        <v>0.26971963597535537</v>
      </c>
      <c r="AD54" s="48">
        <v>0.32771963597535542</v>
      </c>
      <c r="AE54" s="48">
        <v>0.31827345622949349</v>
      </c>
      <c r="AF54" s="48">
        <v>0.30287984997995376</v>
      </c>
      <c r="AG54" s="48">
        <v>0.14402865804266185</v>
      </c>
      <c r="AH54" s="48">
        <v>0.12224451181095922</v>
      </c>
      <c r="AI54" s="48">
        <v>9.9639221630378749E-2</v>
      </c>
      <c r="AJ54" s="48">
        <v>0.14511348666715759</v>
      </c>
      <c r="AK54" s="48">
        <v>0.21913879206657011</v>
      </c>
      <c r="AL54" s="48">
        <v>0.39442140516458429</v>
      </c>
      <c r="AM54" s="48">
        <v>0.42053378826186205</v>
      </c>
      <c r="AN54" s="48">
        <v>0.4479771881162195</v>
      </c>
      <c r="AO54" s="48">
        <v>0.56956857883927769</v>
      </c>
      <c r="AP54" s="48">
        <v>0.59331433740805295</v>
      </c>
      <c r="AQ54" s="48">
        <v>0.52552683853310089</v>
      </c>
      <c r="AR54" s="48">
        <v>0.57054490782787981</v>
      </c>
      <c r="AS54" s="48">
        <v>0.68557994284755797</v>
      </c>
      <c r="AT54" s="48">
        <v>0.67737659859103061</v>
      </c>
      <c r="AU54" s="48">
        <v>0.77252041962247475</v>
      </c>
      <c r="AV54" s="48">
        <v>0.83925366867947992</v>
      </c>
      <c r="AW54" s="48">
        <v>0.92336077836962138</v>
      </c>
      <c r="AX54" s="48">
        <v>0.89177997639444606</v>
      </c>
      <c r="AY54" s="48">
        <v>0.55366121632015186</v>
      </c>
      <c r="AZ54" s="48">
        <v>0.45997138389094816</v>
      </c>
      <c r="BA54" s="48">
        <v>0.43071714245972337</v>
      </c>
      <c r="BB54" s="48">
        <v>0.3962270152679252</v>
      </c>
      <c r="BC54" s="48">
        <v>0.15520473420227959</v>
      </c>
      <c r="BD54" s="48">
        <v>0.15633269307870432</v>
      </c>
      <c r="BE54" s="48">
        <v>0.14792935720889897</v>
      </c>
      <c r="BF54" s="48">
        <v>0.1249691348175786</v>
      </c>
      <c r="BG54" s="48">
        <v>7.8373860633136172E-2</v>
      </c>
      <c r="BH54" s="48">
        <v>5.3548546847001666E-2</v>
      </c>
      <c r="BI54" s="48">
        <v>5.8474551412651274E-2</v>
      </c>
      <c r="BJ54" s="48">
        <v>7.736494820687792E-2</v>
      </c>
      <c r="BK54" s="48">
        <v>0.20097857806197175</v>
      </c>
      <c r="BL54" s="48">
        <v>0.22558775170393641</v>
      </c>
      <c r="BM54" s="48">
        <v>0.24369150875082846</v>
      </c>
      <c r="BN54" s="48">
        <v>0.28800416983725668</v>
      </c>
      <c r="BO54" s="48">
        <v>0.38135243869510793</v>
      </c>
      <c r="BP54" s="48">
        <v>0.42085981798767774</v>
      </c>
      <c r="BQ54" s="48">
        <v>0.39154298706399276</v>
      </c>
      <c r="BR54" s="48">
        <v>0.37470348744446358</v>
      </c>
      <c r="BS54" s="48">
        <v>0.40217664891136262</v>
      </c>
      <c r="BT54" s="48">
        <v>0.41851768166458031</v>
      </c>
      <c r="BU54" s="48">
        <v>0.45054466338561744</v>
      </c>
      <c r="BV54" s="48">
        <v>0.43804701371331317</v>
      </c>
      <c r="BW54" s="48">
        <v>0.37646731530801769</v>
      </c>
      <c r="BX54" s="48">
        <v>0.38209791088801065</v>
      </c>
      <c r="BY54" s="48">
        <v>0.40927259710187613</v>
      </c>
      <c r="BZ54" s="48">
        <v>0.48694019039904429</v>
      </c>
      <c r="CA54" s="48">
        <v>0.47587592458495953</v>
      </c>
      <c r="CB54" s="48">
        <v>0.56543003121497004</v>
      </c>
      <c r="CC54" s="48">
        <v>0.54389317668573112</v>
      </c>
      <c r="CD54" s="48">
        <v>0.57400972962026553</v>
      </c>
      <c r="CE54" s="48">
        <v>0.57692600456564969</v>
      </c>
      <c r="CF54" s="48">
        <v>0.58256800608753279</v>
      </c>
      <c r="CG54" s="48">
        <v>0.49537525057888843</v>
      </c>
      <c r="CH54" s="48">
        <v>0.48592490099576979</v>
      </c>
      <c r="CI54" s="48">
        <v>0.51728845925689559</v>
      </c>
      <c r="CJ54" s="48">
        <v>0.59324978521809568</v>
      </c>
      <c r="CK54" s="48">
        <v>0.58195159634093452</v>
      </c>
      <c r="CL54" s="48">
        <v>0.56110375704689197</v>
      </c>
      <c r="CM54" s="48">
        <v>0.58528122315226194</v>
      </c>
      <c r="CN54" s="48">
        <v>0.61702113556215576</v>
      </c>
      <c r="CO54" s="48">
        <v>0.64572266030912229</v>
      </c>
      <c r="CP54" s="48">
        <v>0.63217578978374522</v>
      </c>
      <c r="CQ54" s="48">
        <v>0.62080499541798606</v>
      </c>
      <c r="CR54" s="48">
        <v>0.59485756891430808</v>
      </c>
      <c r="CS54" s="48">
        <v>0.61932320790070117</v>
      </c>
      <c r="CT54" s="48">
        <v>0.59766117438654187</v>
      </c>
      <c r="CU54" s="48">
        <v>0.57632737773795784</v>
      </c>
      <c r="CV54" s="48">
        <v>0.49716160395035058</v>
      </c>
      <c r="CW54" s="48">
        <v>0.5056828827004427</v>
      </c>
      <c r="CX54" s="48">
        <v>0.49109206472912931</v>
      </c>
      <c r="CY54" s="48">
        <v>0.47872850646800369</v>
      </c>
      <c r="CZ54" s="48">
        <v>0.45765618735527791</v>
      </c>
      <c r="DA54" s="48">
        <v>0.44028845925689553</v>
      </c>
      <c r="DB54" s="48">
        <v>0.45011516298878229</v>
      </c>
      <c r="DC54" s="48">
        <v>0.41883978599540161</v>
      </c>
      <c r="DD54" s="48">
        <v>0.42137664052464063</v>
      </c>
      <c r="DE54" s="48">
        <v>0.41395049277105478</v>
      </c>
      <c r="DF54" s="48">
        <v>0.41441502818756809</v>
      </c>
    </row>
    <row r="55" spans="1:110" x14ac:dyDescent="0.2">
      <c r="A55" s="46" t="s">
        <v>59</v>
      </c>
      <c r="B55" s="47">
        <f t="shared" si="23"/>
        <v>-5.8836079987144521</v>
      </c>
      <c r="C55" s="47">
        <f t="shared" si="24"/>
        <v>-5.0032781801294366</v>
      </c>
      <c r="D55" s="49" t="e">
        <f t="shared" ref="D55:D85" ca="1" si="42">_xludf.STDEV.P(W55:DF55)*100</f>
        <v>#NAME?</v>
      </c>
      <c r="E55" s="51">
        <v>1.20875645665695E-3</v>
      </c>
      <c r="F55" s="48">
        <v>0.12618481125109635</v>
      </c>
      <c r="G55" s="48">
        <v>0.12807550569045126</v>
      </c>
      <c r="H55" s="48">
        <v>9.9082148496141595E-2</v>
      </c>
      <c r="I55" s="48">
        <v>0.17621759305239071</v>
      </c>
      <c r="J55" s="48">
        <v>0.19404515215634677</v>
      </c>
      <c r="K55" s="48">
        <v>0.29301838532209373</v>
      </c>
      <c r="L55" s="48">
        <v>0.18844744277036612</v>
      </c>
      <c r="M55" s="48">
        <v>0.21639659396885552</v>
      </c>
      <c r="N55" s="48">
        <v>0.30101432025459851</v>
      </c>
      <c r="O55" s="48">
        <v>0.2584841296797144</v>
      </c>
      <c r="P55" s="48">
        <v>0.19496876901973204</v>
      </c>
      <c r="Q55" s="48">
        <v>0.18502089123824086</v>
      </c>
      <c r="R55" s="48">
        <v>0.23569750638078876</v>
      </c>
      <c r="S55" s="48">
        <v>0.19126860928041844</v>
      </c>
      <c r="T55" s="48">
        <v>0.20868465865082522</v>
      </c>
      <c r="U55" s="48">
        <v>0.23785411418402128</v>
      </c>
      <c r="V55" s="48">
        <v>0.51477506823634056</v>
      </c>
      <c r="W55" s="48">
        <v>0.61061670977068538</v>
      </c>
      <c r="X55" s="48">
        <v>0.60003072183791173</v>
      </c>
      <c r="Y55" s="48">
        <v>0.43804355864781658</v>
      </c>
      <c r="Z55" s="48">
        <v>0.26698576844390381</v>
      </c>
      <c r="AA55" s="48">
        <v>0.23269307745520126</v>
      </c>
      <c r="AB55" s="48">
        <v>0.27489701352788104</v>
      </c>
      <c r="AC55" s="48">
        <v>0.30776120865284728</v>
      </c>
      <c r="AD55" s="48">
        <v>0.2956690648497412</v>
      </c>
      <c r="AE55" s="48">
        <v>0.25320864374032631</v>
      </c>
      <c r="AF55" s="48">
        <v>0.33091047247901229</v>
      </c>
      <c r="AG55" s="48">
        <v>0.30146986031345369</v>
      </c>
      <c r="AH55" s="48">
        <v>0.26478655492986031</v>
      </c>
      <c r="AI55" s="48">
        <v>0.15614919122719564</v>
      </c>
      <c r="AJ55" s="48">
        <v>0.22398221817302383</v>
      </c>
      <c r="AK55" s="48">
        <v>0.32443182397831705</v>
      </c>
      <c r="AL55" s="48">
        <v>0.5214989701693763</v>
      </c>
      <c r="AM55" s="48">
        <v>0.51251208671407311</v>
      </c>
      <c r="AN55" s="48">
        <v>0.46659874282065417</v>
      </c>
      <c r="AO55" s="48">
        <v>0.46476133891663385</v>
      </c>
      <c r="AP55" s="48">
        <v>0.43477844887942674</v>
      </c>
      <c r="AQ55" s="48">
        <v>0.44513990326381525</v>
      </c>
      <c r="AR55" s="48">
        <v>0.58635856747472015</v>
      </c>
      <c r="AS55" s="48">
        <v>0.69704676910199881</v>
      </c>
      <c r="AT55" s="48">
        <v>0.73799351193111318</v>
      </c>
      <c r="AU55" s="48">
        <v>0.8529877168327693</v>
      </c>
      <c r="AV55" s="48">
        <v>0.8452980760453046</v>
      </c>
      <c r="AW55" s="48">
        <v>0.9588702209689034</v>
      </c>
      <c r="AX55" s="48">
        <v>0.94421985544690501</v>
      </c>
      <c r="AY55" s="48">
        <v>0.81093837884084385</v>
      </c>
      <c r="AZ55" s="48">
        <v>0.71233661207025556</v>
      </c>
      <c r="BA55" s="48">
        <v>0.72882488438009796</v>
      </c>
      <c r="BB55" s="48">
        <v>0.71069482690907904</v>
      </c>
      <c r="BC55" s="48">
        <v>0.6420482925149722</v>
      </c>
      <c r="BD55" s="48">
        <v>0.71845224431598986</v>
      </c>
      <c r="BE55" s="48">
        <v>0.70297229585348886</v>
      </c>
      <c r="BF55" s="48">
        <v>0.65084403993323081</v>
      </c>
      <c r="BG55" s="48">
        <v>0.34462528521100694</v>
      </c>
      <c r="BH55" s="48">
        <v>0.20047478772031144</v>
      </c>
      <c r="BI55" s="48">
        <v>0.15174478937299551</v>
      </c>
      <c r="BJ55" s="48">
        <v>0.26238206040622675</v>
      </c>
      <c r="BK55" s="48">
        <v>0.71869093716679988</v>
      </c>
      <c r="BL55" s="48">
        <v>0.63863499288448022</v>
      </c>
      <c r="BM55" s="48">
        <v>0.64861023883722801</v>
      </c>
      <c r="BN55" s="48">
        <v>0.59906704134986022</v>
      </c>
      <c r="BO55" s="48">
        <v>0.61803109614127782</v>
      </c>
      <c r="BP55" s="48">
        <v>0.6962504069232649</v>
      </c>
      <c r="BQ55" s="48">
        <v>0.7056981692672154</v>
      </c>
      <c r="BR55" s="48">
        <v>0.6995386349313345</v>
      </c>
      <c r="BS55" s="48">
        <v>0.67307777706272187</v>
      </c>
      <c r="BT55" s="48">
        <v>0.63913402525071494</v>
      </c>
      <c r="BU55" s="48">
        <v>0.66879660859223833</v>
      </c>
      <c r="BV55" s="48">
        <v>0.516328075605481</v>
      </c>
      <c r="BW55" s="48">
        <v>0.47557179340992078</v>
      </c>
      <c r="BX55" s="48">
        <v>0.4793211510363713</v>
      </c>
      <c r="BY55" s="48">
        <v>0.52106158770838107</v>
      </c>
      <c r="BZ55" s="48">
        <v>0.53683770103321404</v>
      </c>
      <c r="CA55" s="48">
        <v>0.56664843975017087</v>
      </c>
      <c r="CB55" s="48">
        <v>0.58283735288619476</v>
      </c>
      <c r="CC55" s="48">
        <v>0.5746437269462118</v>
      </c>
      <c r="CD55" s="48">
        <v>0.62849024512856322</v>
      </c>
      <c r="CE55" s="48">
        <v>0.72378284780722324</v>
      </c>
      <c r="CF55" s="48">
        <v>0.73204676478577002</v>
      </c>
      <c r="CG55" s="48">
        <v>0.76365394544537002</v>
      </c>
      <c r="CH55" s="48">
        <v>0.59814123313708678</v>
      </c>
      <c r="CI55" s="48">
        <v>0.69158736968711532</v>
      </c>
      <c r="CJ55" s="48">
        <v>0.68906658413173805</v>
      </c>
      <c r="CK55" s="48">
        <v>0.69196166437755402</v>
      </c>
      <c r="CL55" s="48">
        <v>0.64123333054073262</v>
      </c>
      <c r="CM55" s="48">
        <v>0.6095814231754636</v>
      </c>
      <c r="CN55" s="48">
        <v>0.65177717127568624</v>
      </c>
      <c r="CO55" s="48">
        <v>0.62737642686432871</v>
      </c>
      <c r="CP55" s="48">
        <v>0.59349121679800243</v>
      </c>
      <c r="CQ55" s="48">
        <v>0.50676771640373652</v>
      </c>
      <c r="CR55" s="48">
        <v>0.49481007008994493</v>
      </c>
      <c r="CS55" s="48">
        <v>0.51589471107876184</v>
      </c>
      <c r="CT55" s="48">
        <v>0.58871155548989085</v>
      </c>
      <c r="CU55" s="48">
        <v>0.55908640382300434</v>
      </c>
      <c r="CV55" s="48">
        <v>0.51251596864397808</v>
      </c>
      <c r="CW55" s="48">
        <v>0.46779582394499553</v>
      </c>
      <c r="CX55" s="48">
        <v>0.44090323834996908</v>
      </c>
      <c r="CY55" s="48">
        <v>0.48829367802391593</v>
      </c>
      <c r="CZ55" s="48">
        <v>0.49336723847634822</v>
      </c>
      <c r="DA55" s="48">
        <v>0.51242355192572164</v>
      </c>
      <c r="DB55" s="48">
        <v>0.50359760208453075</v>
      </c>
      <c r="DC55" s="48">
        <v>0.52094805453106219</v>
      </c>
      <c r="DD55" s="48">
        <v>0.55105145898678298</v>
      </c>
      <c r="DE55" s="48">
        <v>0.5729339013576823</v>
      </c>
      <c r="DF55" s="48">
        <v>0.56557578251178831</v>
      </c>
    </row>
    <row r="56" spans="1:110" x14ac:dyDescent="0.2">
      <c r="A56" s="46" t="s">
        <v>62</v>
      </c>
      <c r="B56" s="47">
        <f t="shared" si="23"/>
        <v>17.956877307775631</v>
      </c>
      <c r="C56" s="47">
        <f t="shared" si="24"/>
        <v>-1.7801313791182771</v>
      </c>
      <c r="D56" s="49" t="e">
        <f t="shared" ref="D56:D86" ca="1" si="43">_xludf.STDEV.P(W56:DF56)*100</f>
        <v>#NAME?</v>
      </c>
      <c r="E56" s="51">
        <v>3.6858036373128303E-2</v>
      </c>
      <c r="F56" s="48">
        <v>0.62873466466015548</v>
      </c>
      <c r="G56" s="48">
        <v>0.68420333099417574</v>
      </c>
      <c r="H56" s="48">
        <v>0.64794117158084696</v>
      </c>
      <c r="I56" s="48">
        <v>0.64653597845133826</v>
      </c>
      <c r="J56" s="48">
        <v>0.63259692908045861</v>
      </c>
      <c r="K56" s="48">
        <v>0.65886210366093789</v>
      </c>
      <c r="L56" s="48">
        <v>0.61944187519854343</v>
      </c>
      <c r="M56" s="48">
        <v>0.56134387432445432</v>
      </c>
      <c r="N56" s="48">
        <v>0.55870629349640155</v>
      </c>
      <c r="O56" s="48">
        <v>0.5608018108739794</v>
      </c>
      <c r="P56" s="48">
        <v>0.51513718237951733</v>
      </c>
      <c r="Q56" s="48">
        <v>0.44916589158239917</v>
      </c>
      <c r="R56" s="48">
        <v>0.41004762998426453</v>
      </c>
      <c r="S56" s="48">
        <v>0.30678759091785218</v>
      </c>
      <c r="T56" s="48">
        <v>0.23939492152081043</v>
      </c>
      <c r="U56" s="48">
        <v>0.18778433720260757</v>
      </c>
      <c r="V56" s="48">
        <v>0.17691002250101323</v>
      </c>
      <c r="W56" s="48">
        <v>0.1559667205844387</v>
      </c>
      <c r="X56" s="48">
        <v>0.12415316613049342</v>
      </c>
      <c r="Y56" s="48">
        <v>0.11012582721150613</v>
      </c>
      <c r="Z56" s="48">
        <v>0.10205396175618492</v>
      </c>
      <c r="AA56" s="48">
        <v>0.12465587311188761</v>
      </c>
      <c r="AB56" s="48">
        <v>0.15962890027045626</v>
      </c>
      <c r="AC56" s="48">
        <v>0.19419710784194258</v>
      </c>
      <c r="AD56" s="48">
        <v>0.22536015478339408</v>
      </c>
      <c r="AE56" s="48">
        <v>0.24690640164427477</v>
      </c>
      <c r="AF56" s="48">
        <v>0.29612652527948902</v>
      </c>
      <c r="AG56" s="48">
        <v>0.3478894590738027</v>
      </c>
      <c r="AH56" s="48">
        <v>0.38396432345093578</v>
      </c>
      <c r="AI56" s="48">
        <v>0.43305263258379378</v>
      </c>
      <c r="AJ56" s="48">
        <v>0.48542015090815593</v>
      </c>
      <c r="AK56" s="48">
        <v>0.52560136657939205</v>
      </c>
      <c r="AL56" s="48">
        <v>0.57729753583171817</v>
      </c>
      <c r="AM56" s="48">
        <v>0.59094448860026072</v>
      </c>
      <c r="AN56" s="48">
        <v>0.6374034587600097</v>
      </c>
      <c r="AO56" s="48">
        <v>0.68583676729432685</v>
      </c>
      <c r="AP56" s="48">
        <v>0.78540499900616989</v>
      </c>
      <c r="AQ56" s="48">
        <v>0.8474463003257503</v>
      </c>
      <c r="AR56" s="48">
        <v>0.87955810527378386</v>
      </c>
      <c r="AS56" s="48">
        <v>0.8789369391464944</v>
      </c>
      <c r="AT56" s="48">
        <v>0.85708981020699126</v>
      </c>
      <c r="AU56" s="48">
        <v>0.83536174449014977</v>
      </c>
      <c r="AV56" s="48">
        <v>0.79731671159396134</v>
      </c>
      <c r="AW56" s="48">
        <v>0.7821412123862449</v>
      </c>
      <c r="AX56" s="48">
        <v>0.66883133093242408</v>
      </c>
      <c r="AY56" s="48">
        <v>0.6417380029163513</v>
      </c>
      <c r="AZ56" s="48">
        <v>0.58066911364652385</v>
      </c>
      <c r="BA56" s="48">
        <v>0.52846752317881063</v>
      </c>
      <c r="BB56" s="48">
        <v>0.46041802998286868</v>
      </c>
      <c r="BC56" s="48">
        <v>0.41089783726946288</v>
      </c>
      <c r="BD56" s="48">
        <v>0.38575986705947557</v>
      </c>
      <c r="BE56" s="48">
        <v>0.38167998979983525</v>
      </c>
      <c r="BF56" s="48">
        <v>0.44036223022310772</v>
      </c>
      <c r="BG56" s="48">
        <v>0.44255773016010214</v>
      </c>
      <c r="BH56" s="48">
        <v>0.48795957562768028</v>
      </c>
      <c r="BI56" s="48">
        <v>0.38343742898438277</v>
      </c>
      <c r="BJ56" s="48">
        <v>0.43197684160882449</v>
      </c>
      <c r="BK56" s="48">
        <v>0.3786158797565507</v>
      </c>
      <c r="BL56" s="48">
        <v>0.36356853527158856</v>
      </c>
      <c r="BM56" s="48">
        <v>0.29840063132235284</v>
      </c>
      <c r="BN56" s="48">
        <v>0.26311500786441017</v>
      </c>
      <c r="BO56" s="48">
        <v>0.23200272033681182</v>
      </c>
      <c r="BP56" s="48">
        <v>0.20076451661851086</v>
      </c>
      <c r="BQ56" s="48">
        <v>0.22141183915016927</v>
      </c>
      <c r="BR56" s="48">
        <v>0.23598332409704076</v>
      </c>
      <c r="BS56" s="48">
        <v>0.26205315455753164</v>
      </c>
      <c r="BT56" s="48">
        <v>0.24804030324626578</v>
      </c>
      <c r="BU56" s="48">
        <v>0.2363176132543755</v>
      </c>
      <c r="BV56" s="48">
        <v>0.25136795508790832</v>
      </c>
      <c r="BW56" s="48">
        <v>0.30803568089077726</v>
      </c>
      <c r="BX56" s="48">
        <v>0.35485495443526688</v>
      </c>
      <c r="BY56" s="48">
        <v>0.40660329886917762</v>
      </c>
      <c r="BZ56" s="48">
        <v>0.43652726812032533</v>
      </c>
      <c r="CA56" s="48">
        <v>0.48660118337037644</v>
      </c>
      <c r="CB56" s="48">
        <v>0.53690277748917559</v>
      </c>
      <c r="CC56" s="48">
        <v>0.6031831106367791</v>
      </c>
      <c r="CD56" s="48">
        <v>0.61769418795741693</v>
      </c>
      <c r="CE56" s="48">
        <v>0.59341778442084125</v>
      </c>
      <c r="CF56" s="48">
        <v>0.56291067380035442</v>
      </c>
      <c r="CG56" s="48">
        <v>0.58405298301576403</v>
      </c>
      <c r="CH56" s="48">
        <v>0.5983938527316861</v>
      </c>
      <c r="CI56" s="48">
        <v>0.62900779338431057</v>
      </c>
      <c r="CJ56" s="48">
        <v>0.6219064936815234</v>
      </c>
      <c r="CK56" s="48">
        <v>0.65371603070852258</v>
      </c>
      <c r="CL56" s="48">
        <v>0.72069857356016265</v>
      </c>
      <c r="CM56" s="48">
        <v>0.73768045964976414</v>
      </c>
      <c r="CN56" s="48">
        <v>0.76123449860471681</v>
      </c>
      <c r="CO56" s="48">
        <v>0.74497293776081885</v>
      </c>
      <c r="CP56" s="48">
        <v>0.76860111097064954</v>
      </c>
      <c r="CQ56" s="48">
        <v>0.76828729967297504</v>
      </c>
      <c r="CR56" s="48">
        <v>0.78105567071206028</v>
      </c>
      <c r="CS56" s="48">
        <v>0.75916408617899955</v>
      </c>
      <c r="CT56" s="48">
        <v>0.69250858598307552</v>
      </c>
      <c r="CU56" s="48">
        <v>0.6728742141574543</v>
      </c>
      <c r="CV56" s="48">
        <v>0.66474686706503616</v>
      </c>
      <c r="CW56" s="48">
        <v>0.60359637397424826</v>
      </c>
      <c r="CX56" s="48">
        <v>0.57500180638546394</v>
      </c>
      <c r="CY56" s="48">
        <v>0.52316425528842403</v>
      </c>
      <c r="CZ56" s="48">
        <v>0.48425490338755761</v>
      </c>
      <c r="DA56" s="48">
        <v>0.38976993608540095</v>
      </c>
      <c r="DB56" s="48">
        <v>0.33802554033465737</v>
      </c>
      <c r="DC56" s="48">
        <v>0.33664641761357628</v>
      </c>
      <c r="DD56" s="48">
        <v>0.34048340604003907</v>
      </c>
      <c r="DE56" s="48">
        <v>0.38445961721272348</v>
      </c>
      <c r="DF56" s="48">
        <v>0.31310332580465988</v>
      </c>
    </row>
    <row r="57" spans="1:110" x14ac:dyDescent="0.2">
      <c r="A57" s="46" t="s">
        <v>65</v>
      </c>
      <c r="B57" s="47">
        <f t="shared" si="23"/>
        <v>8.7677210034259883</v>
      </c>
      <c r="C57" s="47">
        <f t="shared" si="24"/>
        <v>-6.0551197093980322</v>
      </c>
      <c r="D57" s="49" t="e">
        <f t="shared" ref="D57:D87" ca="1" si="44">_xludf.STDEV.P(W57:DF57)*100</f>
        <v>#NAME?</v>
      </c>
      <c r="E57" s="51">
        <v>1.5499992470370901E-2</v>
      </c>
      <c r="F57" s="48">
        <v>0.34670442251789213</v>
      </c>
      <c r="G57" s="48">
        <v>0.38416592136013128</v>
      </c>
      <c r="H57" s="48">
        <v>0.37841566561162571</v>
      </c>
      <c r="I57" s="48">
        <v>0.40725561961187245</v>
      </c>
      <c r="J57" s="48">
        <v>0.41829551823984606</v>
      </c>
      <c r="K57" s="48">
        <v>0.40861665422933019</v>
      </c>
      <c r="L57" s="48">
        <v>0.36666635476060561</v>
      </c>
      <c r="M57" s="48">
        <v>0.33872977558756068</v>
      </c>
      <c r="N57" s="48">
        <v>0.32695389882545761</v>
      </c>
      <c r="O57" s="48">
        <v>0.29410730359410753</v>
      </c>
      <c r="P57" s="48">
        <v>0.27287634644396247</v>
      </c>
      <c r="Q57" s="48">
        <v>0.25902721248363225</v>
      </c>
      <c r="R57" s="48">
        <v>0.24149789286182055</v>
      </c>
      <c r="S57" s="48">
        <v>0.2368610151739875</v>
      </c>
      <c r="T57" s="48">
        <v>0.24824956081979302</v>
      </c>
      <c r="U57" s="48">
        <v>0.24719892124090773</v>
      </c>
      <c r="V57" s="48">
        <v>0.23049863098889301</v>
      </c>
      <c r="W57" s="48">
        <v>0.23021573821086941</v>
      </c>
      <c r="X57" s="48">
        <v>0.22797299854676206</v>
      </c>
      <c r="Y57" s="48">
        <v>0.21399839437055523</v>
      </c>
      <c r="Z57" s="48">
        <v>0.19834382730977307</v>
      </c>
      <c r="AA57" s="48">
        <v>0.23892040780299131</v>
      </c>
      <c r="AB57" s="48">
        <v>0.17507118824556459</v>
      </c>
      <c r="AC57" s="48">
        <v>0.1763067386326963</v>
      </c>
      <c r="AD57" s="48">
        <v>0.19418747702369124</v>
      </c>
      <c r="AE57" s="48">
        <v>0.18085248251125774</v>
      </c>
      <c r="AF57" s="48">
        <v>0.19941431436992371</v>
      </c>
      <c r="AG57" s="48">
        <v>0.21149984555581006</v>
      </c>
      <c r="AH57" s="48">
        <v>0.18589228772359676</v>
      </c>
      <c r="AI57" s="48">
        <v>0.19805547555530242</v>
      </c>
      <c r="AJ57" s="48">
        <v>0.24341110112834236</v>
      </c>
      <c r="AK57" s="48">
        <v>0.33551624012362452</v>
      </c>
      <c r="AL57" s="48">
        <v>0.47152547245669252</v>
      </c>
      <c r="AM57" s="48">
        <v>0.64478042679137826</v>
      </c>
      <c r="AN57" s="48">
        <v>0.6807284734922936</v>
      </c>
      <c r="AO57" s="48">
        <v>0.68966067104794171</v>
      </c>
      <c r="AP57" s="48">
        <v>0.68906148486894048</v>
      </c>
      <c r="AQ57" s="48">
        <v>0.67666800294777651</v>
      </c>
      <c r="AR57" s="48">
        <v>0.72127093495952521</v>
      </c>
      <c r="AS57" s="48">
        <v>0.72498756491865302</v>
      </c>
      <c r="AT57" s="48">
        <v>0.70422592572429732</v>
      </c>
      <c r="AU57" s="48">
        <v>0.73744724385112226</v>
      </c>
      <c r="AV57" s="48">
        <v>0.75573429387974222</v>
      </c>
      <c r="AW57" s="48">
        <v>0.84742114182907247</v>
      </c>
      <c r="AX57" s="48">
        <v>0.77355237919899977</v>
      </c>
      <c r="AY57" s="48">
        <v>0.51986742628661453</v>
      </c>
      <c r="AZ57" s="48">
        <v>0.41123665832358808</v>
      </c>
      <c r="BA57" s="48">
        <v>0.35768789062063078</v>
      </c>
      <c r="BB57" s="48">
        <v>0.3101845197690995</v>
      </c>
      <c r="BC57" s="48">
        <v>0.31785735743540577</v>
      </c>
      <c r="BD57" s="48">
        <v>0.35422168906783918</v>
      </c>
      <c r="BE57" s="48">
        <v>0.36937799370525376</v>
      </c>
      <c r="BF57" s="48">
        <v>0.35518795538076131</v>
      </c>
      <c r="BG57" s="48">
        <v>0.29985384408259547</v>
      </c>
      <c r="BH57" s="48">
        <v>0.25293907550328859</v>
      </c>
      <c r="BI57" s="48">
        <v>0.44654764918902912</v>
      </c>
      <c r="BJ57" s="48">
        <v>0.48763541547151878</v>
      </c>
      <c r="BK57" s="48">
        <v>0.55653167216015675</v>
      </c>
      <c r="BL57" s="48">
        <v>0.56183388986331784</v>
      </c>
      <c r="BM57" s="48">
        <v>0.56645556194828139</v>
      </c>
      <c r="BN57" s="48">
        <v>0.50238750575682012</v>
      </c>
      <c r="BO57" s="48">
        <v>0.49010442923846836</v>
      </c>
      <c r="BP57" s="48">
        <v>0.49314736592506681</v>
      </c>
      <c r="BQ57" s="48">
        <v>0.55197698566465414</v>
      </c>
      <c r="BR57" s="48">
        <v>0.59862622000529098</v>
      </c>
      <c r="BS57" s="48">
        <v>0.56461330311586733</v>
      </c>
      <c r="BT57" s="48">
        <v>0.5870733238288216</v>
      </c>
      <c r="BU57" s="48">
        <v>0.53585863977857628</v>
      </c>
      <c r="BV57" s="48">
        <v>0.5619304883492745</v>
      </c>
      <c r="BW57" s="48">
        <v>0.62984828939919579</v>
      </c>
      <c r="BX57" s="48">
        <v>0.71054617827505817</v>
      </c>
      <c r="BY57" s="48">
        <v>0.71545297837025734</v>
      </c>
      <c r="BZ57" s="48">
        <v>0.7759694969544928</v>
      </c>
      <c r="CA57" s="48">
        <v>0.76251663869606434</v>
      </c>
      <c r="CB57" s="48">
        <v>0.73231143145317235</v>
      </c>
      <c r="CC57" s="48">
        <v>0.68198571018084853</v>
      </c>
      <c r="CD57" s="48">
        <v>0.64212779616557969</v>
      </c>
      <c r="CE57" s="48">
        <v>0.66771369661841529</v>
      </c>
      <c r="CF57" s="48">
        <v>0.62045069221934646</v>
      </c>
      <c r="CG57" s="48">
        <v>0.68345589781810068</v>
      </c>
      <c r="CH57" s="48">
        <v>0.64535720480088965</v>
      </c>
      <c r="CI57" s="48">
        <v>0.77687586512688389</v>
      </c>
      <c r="CJ57" s="48">
        <v>0.69470731560154964</v>
      </c>
      <c r="CK57" s="48">
        <v>0.72221678142460477</v>
      </c>
      <c r="CL57" s="48">
        <v>0.7253351598801322</v>
      </c>
      <c r="CM57" s="48">
        <v>0.7486602302076979</v>
      </c>
      <c r="CN57" s="48">
        <v>0.73132736003703414</v>
      </c>
      <c r="CO57" s="48">
        <v>0.67956301029290034</v>
      </c>
      <c r="CP57" s="48">
        <v>0.65414400306509179</v>
      </c>
      <c r="CQ57" s="48">
        <v>0.63275714108447811</v>
      </c>
      <c r="CR57" s="48">
        <v>0.70138760141233525</v>
      </c>
      <c r="CS57" s="48">
        <v>0.67372839136490736</v>
      </c>
      <c r="CT57" s="48">
        <v>0.68950415781641217</v>
      </c>
      <c r="CU57" s="48">
        <v>0.59299935908092782</v>
      </c>
      <c r="CV57" s="48">
        <v>0.58193189660738698</v>
      </c>
      <c r="CW57" s="48">
        <v>0.54733315178300679</v>
      </c>
      <c r="CX57" s="48">
        <v>0.53065163711963725</v>
      </c>
      <c r="CY57" s="48">
        <v>0.54414689688758233</v>
      </c>
      <c r="CZ57" s="48">
        <v>0.55464135698084593</v>
      </c>
      <c r="DA57" s="48">
        <v>0.54343484824591126</v>
      </c>
      <c r="DB57" s="48">
        <v>0.55238248234590903</v>
      </c>
      <c r="DC57" s="48">
        <v>0.58153750168482066</v>
      </c>
      <c r="DD57" s="48">
        <v>0.61376550014011666</v>
      </c>
      <c r="DE57" s="48">
        <v>0.60347316478890223</v>
      </c>
      <c r="DF57" s="48">
        <v>0.61227482575321079</v>
      </c>
    </row>
    <row r="58" spans="1:110" x14ac:dyDescent="0.2">
      <c r="A58" s="46" t="s">
        <v>68</v>
      </c>
      <c r="B58" s="47">
        <f t="shared" si="23"/>
        <v>-26.955000000000002</v>
      </c>
      <c r="C58" s="47">
        <f t="shared" si="24"/>
        <v>9.370000000000001</v>
      </c>
      <c r="D58" s="49" t="e">
        <f t="shared" ref="D58:D88" ca="1" si="45">_xludf.STDEV.P(W58:DF58)*100</f>
        <v>#NAME?</v>
      </c>
      <c r="E58" s="51">
        <v>7.1902938061271099E-3</v>
      </c>
      <c r="F58" s="48">
        <v>0.48154000000000002</v>
      </c>
      <c r="G58" s="48">
        <v>0.46809000000000006</v>
      </c>
      <c r="H58" s="48">
        <v>0.44999000000000006</v>
      </c>
      <c r="I58" s="48">
        <v>0.38784000000000002</v>
      </c>
      <c r="J58" s="48">
        <v>0.42519000000000001</v>
      </c>
      <c r="K58" s="48">
        <v>0.5718399999999999</v>
      </c>
      <c r="L58" s="48">
        <v>0.66159000000000001</v>
      </c>
      <c r="M58" s="48">
        <v>0.61714000000000002</v>
      </c>
      <c r="N58" s="48">
        <v>0.64234000000000002</v>
      </c>
      <c r="O58" s="48">
        <v>0.65529000000000004</v>
      </c>
      <c r="P58" s="48">
        <v>0.66974</v>
      </c>
      <c r="Q58" s="48">
        <v>0.75109000000000004</v>
      </c>
      <c r="R58" s="48">
        <v>0.75908999999999993</v>
      </c>
      <c r="S58" s="48">
        <v>0.80784</v>
      </c>
      <c r="T58" s="48">
        <v>0.76414500000000007</v>
      </c>
      <c r="U58" s="48">
        <v>0.79036499999999998</v>
      </c>
      <c r="V58" s="48">
        <v>0.70496000000000003</v>
      </c>
      <c r="W58" s="48">
        <v>0.55809500000000001</v>
      </c>
      <c r="X58" s="48">
        <v>0.36026500000000006</v>
      </c>
      <c r="Y58" s="48">
        <v>0.33590500000000001</v>
      </c>
      <c r="Z58" s="48">
        <v>0.26587499999999997</v>
      </c>
      <c r="AA58" s="48">
        <v>0.21696500000000002</v>
      </c>
      <c r="AB58" s="48">
        <v>0.16031000000000001</v>
      </c>
      <c r="AC58" s="48">
        <v>0.14122500000000002</v>
      </c>
      <c r="AD58" s="48">
        <v>0.20083499999999999</v>
      </c>
      <c r="AE58" s="48">
        <v>0.226405</v>
      </c>
      <c r="AF58" s="48">
        <v>0.16774000000000003</v>
      </c>
      <c r="AG58" s="48">
        <v>0.16414499999999999</v>
      </c>
      <c r="AH58" s="48">
        <v>0.23222999999999996</v>
      </c>
      <c r="AI58" s="48">
        <v>0.40634000000000003</v>
      </c>
      <c r="AJ58" s="48">
        <v>0.510625</v>
      </c>
      <c r="AK58" s="48">
        <v>0.51985000000000003</v>
      </c>
      <c r="AL58" s="48">
        <v>0.485315</v>
      </c>
      <c r="AM58" s="48">
        <v>0.54369000000000001</v>
      </c>
      <c r="AN58" s="48">
        <v>0.40202000000000004</v>
      </c>
      <c r="AO58" s="48">
        <v>0.438</v>
      </c>
      <c r="AP58" s="48">
        <v>0.41694999999999999</v>
      </c>
      <c r="AQ58" s="48">
        <v>0.51754500000000003</v>
      </c>
      <c r="AR58" s="48">
        <v>0.54283000000000003</v>
      </c>
      <c r="AS58" s="48">
        <v>0.58014999999999994</v>
      </c>
      <c r="AT58" s="48">
        <v>0.55996000000000012</v>
      </c>
      <c r="AU58" s="48">
        <v>0.52313500000000002</v>
      </c>
      <c r="AV58" s="48">
        <v>0.54995500000000008</v>
      </c>
      <c r="AW58" s="48">
        <v>0.48324499999999998</v>
      </c>
      <c r="AX58" s="48">
        <v>0.48867500000000003</v>
      </c>
      <c r="AY58" s="48">
        <v>0.4022</v>
      </c>
      <c r="AZ58" s="48">
        <v>0.41440999999999995</v>
      </c>
      <c r="BA58" s="48">
        <v>0.40592000000000006</v>
      </c>
      <c r="BB58" s="48">
        <v>0.408605</v>
      </c>
      <c r="BC58" s="48">
        <v>0.39086000000000004</v>
      </c>
      <c r="BD58" s="48">
        <v>0.37575500000000001</v>
      </c>
      <c r="BE58" s="48">
        <v>0.38137000000000004</v>
      </c>
      <c r="BF58" s="48">
        <v>0.36535500000000004</v>
      </c>
      <c r="BG58" s="48">
        <v>0.36453000000000002</v>
      </c>
      <c r="BH58" s="48">
        <v>0.37373000000000001</v>
      </c>
      <c r="BI58" s="48">
        <v>0.38299000000000005</v>
      </c>
      <c r="BJ58" s="48">
        <v>0.47735</v>
      </c>
      <c r="BK58" s="48">
        <v>0.53996</v>
      </c>
      <c r="BL58" s="48">
        <v>0.56035000000000001</v>
      </c>
      <c r="BM58" s="48">
        <v>0.54354999999999998</v>
      </c>
      <c r="BN58" s="48">
        <v>0.52425500000000003</v>
      </c>
      <c r="BO58" s="48">
        <v>0.47319</v>
      </c>
      <c r="BP58" s="48">
        <v>0.47163000000000005</v>
      </c>
      <c r="BQ58" s="48">
        <v>0.47664000000000006</v>
      </c>
      <c r="BR58" s="48">
        <v>0.48333000000000004</v>
      </c>
      <c r="BS58" s="48">
        <v>0.487985</v>
      </c>
      <c r="BT58" s="48">
        <v>0.49262999999999996</v>
      </c>
      <c r="BU58" s="48">
        <v>0.46933500000000006</v>
      </c>
      <c r="BV58" s="48">
        <v>0.45885500000000001</v>
      </c>
      <c r="BW58" s="48">
        <v>0.47965500000000005</v>
      </c>
      <c r="BX58" s="48">
        <v>0.52546000000000004</v>
      </c>
      <c r="BY58" s="48">
        <v>0.56616</v>
      </c>
      <c r="BZ58" s="48">
        <v>0.59575</v>
      </c>
      <c r="CA58" s="48">
        <v>0.61435499999999998</v>
      </c>
      <c r="CB58" s="48">
        <v>0.5798049999999999</v>
      </c>
      <c r="CC58" s="48">
        <v>0.57574499999999995</v>
      </c>
      <c r="CD58" s="48">
        <v>0.57845999999999997</v>
      </c>
      <c r="CE58" s="48">
        <v>0.59070500000000004</v>
      </c>
      <c r="CF58" s="48">
        <v>0.59674500000000008</v>
      </c>
      <c r="CG58" s="48">
        <v>0.58654000000000006</v>
      </c>
      <c r="CH58" s="48">
        <v>0.57216500000000003</v>
      </c>
      <c r="CI58" s="48">
        <v>0.57927000000000006</v>
      </c>
      <c r="CJ58" s="48">
        <v>0.60159499999999988</v>
      </c>
      <c r="CK58" s="48">
        <v>0.60237499999999999</v>
      </c>
      <c r="CL58" s="48">
        <v>0.59269000000000005</v>
      </c>
      <c r="CM58" s="48">
        <v>0.58220500000000008</v>
      </c>
      <c r="CN58" s="48">
        <v>0.57575500000000002</v>
      </c>
      <c r="CO58" s="48">
        <v>0.57326999999999995</v>
      </c>
      <c r="CP58" s="48">
        <v>0.55522000000000005</v>
      </c>
      <c r="CQ58" s="48">
        <v>0.53247</v>
      </c>
      <c r="CR58" s="48">
        <v>0.49863499999999999</v>
      </c>
      <c r="CS58" s="48">
        <v>0.50295000000000001</v>
      </c>
      <c r="CT58" s="48">
        <v>0.47810000000000002</v>
      </c>
      <c r="CU58" s="48">
        <v>0.46025000000000005</v>
      </c>
      <c r="CV58" s="48">
        <v>0.45231500000000002</v>
      </c>
      <c r="CW58" s="48">
        <v>0.44808000000000003</v>
      </c>
      <c r="CX58" s="48">
        <v>0.45654499999999998</v>
      </c>
      <c r="CY58" s="48">
        <v>0.46135999999999999</v>
      </c>
      <c r="CZ58" s="48">
        <v>0.48022500000000001</v>
      </c>
      <c r="DA58" s="48">
        <v>0.48471000000000003</v>
      </c>
      <c r="DB58" s="48">
        <v>0.55679500000000004</v>
      </c>
      <c r="DC58" s="48">
        <v>0.59743000000000002</v>
      </c>
      <c r="DD58" s="48">
        <v>0.60916499999999996</v>
      </c>
      <c r="DE58" s="48">
        <v>0.61346499999999993</v>
      </c>
      <c r="DF58" s="48">
        <v>0.623</v>
      </c>
    </row>
    <row r="59" spans="1:110" x14ac:dyDescent="0.2">
      <c r="A59" s="46" t="s">
        <v>71</v>
      </c>
      <c r="B59" s="47">
        <f t="shared" si="23"/>
        <v>-3.6653591369620209</v>
      </c>
      <c r="C59" s="47">
        <f t="shared" si="24"/>
        <v>1.0590707780703701</v>
      </c>
      <c r="D59" s="49" t="e">
        <f t="shared" ref="D59:D89" ca="1" si="46">_xludf.STDEV.P(W59:DF59)*100</f>
        <v>#NAME?</v>
      </c>
      <c r="E59" s="51">
        <v>3.5037874034325102E-2</v>
      </c>
      <c r="F59" s="48">
        <v>0.16234311595403594</v>
      </c>
      <c r="G59" s="48">
        <v>0.15279748526215167</v>
      </c>
      <c r="H59" s="48">
        <v>0.14860798961978158</v>
      </c>
      <c r="I59" s="48">
        <v>0.15175240817333224</v>
      </c>
      <c r="J59" s="48">
        <v>0.17958578323721075</v>
      </c>
      <c r="K59" s="48">
        <v>0.179855928079311</v>
      </c>
      <c r="L59" s="48">
        <v>0.19124834045269759</v>
      </c>
      <c r="M59" s="48">
        <v>0.17060908235488853</v>
      </c>
      <c r="N59" s="48">
        <v>0.2463183221080828</v>
      </c>
      <c r="O59" s="48">
        <v>0.30517384819422561</v>
      </c>
      <c r="P59" s="48">
        <v>0.26506790690578413</v>
      </c>
      <c r="Q59" s="48">
        <v>0.19899670732365615</v>
      </c>
      <c r="R59" s="48">
        <v>0.15800852296341455</v>
      </c>
      <c r="S59" s="48">
        <v>0.14167399980412251</v>
      </c>
      <c r="T59" s="48">
        <v>0.17804239337584693</v>
      </c>
      <c r="U59" s="48">
        <v>0.21760089155331272</v>
      </c>
      <c r="V59" s="48">
        <v>0.23258648845017224</v>
      </c>
      <c r="W59" s="48">
        <v>0.18721265762117381</v>
      </c>
      <c r="X59" s="48">
        <v>0.16237950399852125</v>
      </c>
      <c r="Y59" s="48">
        <v>0.12101748880928108</v>
      </c>
      <c r="Z59" s="48">
        <v>0.21229785831327416</v>
      </c>
      <c r="AA59" s="48">
        <v>0.32423283014342708</v>
      </c>
      <c r="AB59" s="48">
        <v>0.34301254979476514</v>
      </c>
      <c r="AC59" s="48">
        <v>0.3724342112568847</v>
      </c>
      <c r="AD59" s="48">
        <v>0.36360194339913593</v>
      </c>
      <c r="AE59" s="48">
        <v>0.35739292508716752</v>
      </c>
      <c r="AF59" s="48">
        <v>0.33674207279082607</v>
      </c>
      <c r="AG59" s="48">
        <v>0.35821903600365801</v>
      </c>
      <c r="AH59" s="48">
        <v>0.36792744535225491</v>
      </c>
      <c r="AI59" s="48">
        <v>0.39685306381439617</v>
      </c>
      <c r="AJ59" s="48">
        <v>0.40808253145015061</v>
      </c>
      <c r="AK59" s="48">
        <v>0.42458687597231759</v>
      </c>
      <c r="AL59" s="48">
        <v>0.47309963273728606</v>
      </c>
      <c r="AM59" s="48">
        <v>0.48746691910288087</v>
      </c>
      <c r="AN59" s="48">
        <v>0.50539660528565655</v>
      </c>
      <c r="AO59" s="48">
        <v>0.49909824872962394</v>
      </c>
      <c r="AP59" s="48">
        <v>0.5147201840990715</v>
      </c>
      <c r="AQ59" s="48">
        <v>0.46362881199468986</v>
      </c>
      <c r="AR59" s="48">
        <v>0.41289246773369298</v>
      </c>
      <c r="AS59" s="48">
        <v>0.41338372332905243</v>
      </c>
      <c r="AT59" s="48">
        <v>0.43365194503144833</v>
      </c>
      <c r="AU59" s="48">
        <v>0.44341654189566154</v>
      </c>
      <c r="AV59" s="48">
        <v>0.42492935402093668</v>
      </c>
      <c r="AW59" s="48">
        <v>0.41876420934206771</v>
      </c>
      <c r="AX59" s="48">
        <v>0.43007745277297654</v>
      </c>
      <c r="AY59" s="48">
        <v>0.44875271139312539</v>
      </c>
      <c r="AZ59" s="48">
        <v>0.4183350069310276</v>
      </c>
      <c r="BA59" s="48">
        <v>0.32759444333949922</v>
      </c>
      <c r="BB59" s="48">
        <v>0.28761979078851707</v>
      </c>
      <c r="BC59" s="48">
        <v>0.33862463355344241</v>
      </c>
      <c r="BD59" s="48">
        <v>0.43360457175180184</v>
      </c>
      <c r="BE59" s="48">
        <v>0.4610987469723824</v>
      </c>
      <c r="BF59" s="48">
        <v>0.44982392544627614</v>
      </c>
      <c r="BG59" s="48">
        <v>0.43017274098809583</v>
      </c>
      <c r="BH59" s="48">
        <v>0.46244024300650727</v>
      </c>
      <c r="BI59" s="48">
        <v>0.48257767421420222</v>
      </c>
      <c r="BJ59" s="48">
        <v>0.46011659436176339</v>
      </c>
      <c r="BK59" s="48">
        <v>0.46444540346224894</v>
      </c>
      <c r="BL59" s="48">
        <v>0.47718927420114376</v>
      </c>
      <c r="BM59" s="48">
        <v>0.52080906498966084</v>
      </c>
      <c r="BN59" s="48">
        <v>0.5513972406672889</v>
      </c>
      <c r="BO59" s="48">
        <v>0.55983456404857523</v>
      </c>
      <c r="BP59" s="48">
        <v>0.6382401207090761</v>
      </c>
      <c r="BQ59" s="48">
        <v>0.6866745942964706</v>
      </c>
      <c r="BR59" s="48">
        <v>0.70966024655363658</v>
      </c>
      <c r="BS59" s="48">
        <v>0.72705496958887295</v>
      </c>
      <c r="BT59" s="48">
        <v>0.78095788342568495</v>
      </c>
      <c r="BU59" s="48">
        <v>0.79839587113064925</v>
      </c>
      <c r="BV59" s="48">
        <v>0.83335645274032966</v>
      </c>
      <c r="BW59" s="48">
        <v>0.84340169591006875</v>
      </c>
      <c r="BX59" s="48">
        <v>0.85853165600017223</v>
      </c>
      <c r="BY59" s="48">
        <v>0.87225056681219459</v>
      </c>
      <c r="BZ59" s="48">
        <v>0.88440125302761641</v>
      </c>
      <c r="CA59" s="48">
        <v>0.8951345669427796</v>
      </c>
      <c r="CB59" s="48">
        <v>0.899564308485862</v>
      </c>
      <c r="CC59" s="48">
        <v>0.87501669929396675</v>
      </c>
      <c r="CD59" s="48">
        <v>0.81283615502644058</v>
      </c>
      <c r="CE59" s="48">
        <v>0.79038981043898116</v>
      </c>
      <c r="CF59" s="48">
        <v>0.777732856561688</v>
      </c>
      <c r="CG59" s="48">
        <v>0.78232417330576276</v>
      </c>
      <c r="CH59" s="48">
        <v>0.73615627508259229</v>
      </c>
      <c r="CI59" s="48">
        <v>0.71920162897294415</v>
      </c>
      <c r="CJ59" s="48">
        <v>0.71866254274446362</v>
      </c>
      <c r="CK59" s="48">
        <v>0.69597859507998072</v>
      </c>
      <c r="CL59" s="48">
        <v>0.71201433327181085</v>
      </c>
      <c r="CM59" s="48">
        <v>0.7126139515380745</v>
      </c>
      <c r="CN59" s="48">
        <v>0.73089147124817577</v>
      </c>
      <c r="CO59" s="48">
        <v>0.68506035148584066</v>
      </c>
      <c r="CP59" s="48">
        <v>0.64368404391407297</v>
      </c>
      <c r="CQ59" s="48">
        <v>0.59477480705508312</v>
      </c>
      <c r="CR59" s="48">
        <v>0.55088707136570247</v>
      </c>
      <c r="CS59" s="48">
        <v>0.55692401301325278</v>
      </c>
      <c r="CT59" s="48">
        <v>0.59850460685267637</v>
      </c>
      <c r="CU59" s="48">
        <v>0.64076447167257733</v>
      </c>
      <c r="CV59" s="48">
        <v>0.6230248347352364</v>
      </c>
      <c r="CW59" s="48">
        <v>0.62480207764380535</v>
      </c>
      <c r="CX59" s="48">
        <v>0.61961846214116123</v>
      </c>
      <c r="CY59" s="48">
        <v>0.64776602176115883</v>
      </c>
      <c r="CZ59" s="48">
        <v>0.67289670153524661</v>
      </c>
      <c r="DA59" s="48">
        <v>0.67755618751561553</v>
      </c>
      <c r="DB59" s="48">
        <v>0.67898191669836983</v>
      </c>
      <c r="DC59" s="48">
        <v>0.67723826740070092</v>
      </c>
      <c r="DD59" s="48">
        <v>0.66760176284719353</v>
      </c>
      <c r="DE59" s="48">
        <v>0.66171556277537169</v>
      </c>
      <c r="DF59" s="48">
        <v>0.56131148637212369</v>
      </c>
    </row>
    <row r="60" spans="1:110" x14ac:dyDescent="0.2">
      <c r="A60" s="46" t="s">
        <v>74</v>
      </c>
      <c r="B60" s="47">
        <f t="shared" si="23"/>
        <v>-10.110000000000003</v>
      </c>
      <c r="C60" s="47">
        <f t="shared" si="24"/>
        <v>-2.4650000000000007</v>
      </c>
      <c r="D60" s="49" t="e">
        <f t="shared" ref="D60:D90" ca="1" si="47">_xludf.STDEV.P(W60:DF60)*100</f>
        <v>#NAME?</v>
      </c>
      <c r="E60" s="51">
        <v>0</v>
      </c>
      <c r="F60" s="48">
        <v>0.49484999999999996</v>
      </c>
      <c r="G60" s="48">
        <v>0.48649999999999999</v>
      </c>
      <c r="H60" s="48">
        <v>0.52015</v>
      </c>
      <c r="I60" s="48">
        <v>0.51949999999999996</v>
      </c>
      <c r="J60" s="48">
        <v>0.52475000000000005</v>
      </c>
      <c r="K60" s="48">
        <v>0.52279999999999993</v>
      </c>
      <c r="L60" s="48">
        <v>0.58509999999999995</v>
      </c>
      <c r="M60" s="48">
        <v>0.60585</v>
      </c>
      <c r="N60" s="48">
        <v>0.64680000000000004</v>
      </c>
      <c r="O60" s="48">
        <v>0.61820000000000008</v>
      </c>
      <c r="P60" s="48">
        <v>0.59079999999999999</v>
      </c>
      <c r="Q60" s="48">
        <v>0.59594999999999998</v>
      </c>
      <c r="R60" s="48">
        <v>0.58204999999999996</v>
      </c>
      <c r="S60" s="48">
        <v>0.57700000000000007</v>
      </c>
      <c r="T60" s="48">
        <v>0.54549999999999998</v>
      </c>
      <c r="U60" s="48">
        <v>0.56410000000000005</v>
      </c>
      <c r="V60" s="48">
        <v>0.50859999999999994</v>
      </c>
      <c r="W60" s="48">
        <v>0.36205000000000004</v>
      </c>
      <c r="X60" s="48">
        <v>0.27055000000000001</v>
      </c>
      <c r="Y60" s="48">
        <v>0.21945000000000003</v>
      </c>
      <c r="Z60" s="48">
        <v>0.17624999999999999</v>
      </c>
      <c r="AA60" s="48">
        <v>0.15840000000000001</v>
      </c>
      <c r="AB60" s="48">
        <v>0.1678</v>
      </c>
      <c r="AC60" s="48">
        <v>0.18615000000000001</v>
      </c>
      <c r="AD60" s="48">
        <v>0.17949999999999997</v>
      </c>
      <c r="AE60" s="48">
        <v>0.19824999999999998</v>
      </c>
      <c r="AF60" s="48">
        <v>0.2228</v>
      </c>
      <c r="AG60" s="48">
        <v>0.22325</v>
      </c>
      <c r="AH60" s="48">
        <v>0.21390000000000001</v>
      </c>
      <c r="AI60" s="48">
        <v>0.18775</v>
      </c>
      <c r="AJ60" s="48">
        <v>0.24474999999999997</v>
      </c>
      <c r="AK60" s="48">
        <v>0.33479999999999993</v>
      </c>
      <c r="AL60" s="48">
        <v>0.44875000000000004</v>
      </c>
      <c r="AM60" s="48">
        <v>0.48799999999999999</v>
      </c>
      <c r="AN60" s="48">
        <v>0.47220000000000001</v>
      </c>
      <c r="AO60" s="48">
        <v>0.51010000000000011</v>
      </c>
      <c r="AP60" s="48">
        <v>0.49110000000000004</v>
      </c>
      <c r="AQ60" s="48">
        <v>0.51439999999999997</v>
      </c>
      <c r="AR60" s="48">
        <v>0.56845000000000001</v>
      </c>
      <c r="AS60" s="48">
        <v>0.60075000000000001</v>
      </c>
      <c r="AT60" s="48">
        <v>0.70740000000000003</v>
      </c>
      <c r="AU60" s="48">
        <v>0.68414999999999992</v>
      </c>
      <c r="AV60" s="48">
        <v>0.76489999999999991</v>
      </c>
      <c r="AW60" s="48">
        <v>0.61855000000000004</v>
      </c>
      <c r="AX60" s="48">
        <v>0.57734999999999992</v>
      </c>
      <c r="AY60" s="48">
        <v>0.47754999999999997</v>
      </c>
      <c r="AZ60" s="48">
        <v>0.41899999999999998</v>
      </c>
      <c r="BA60" s="48">
        <v>0.39815</v>
      </c>
      <c r="BB60" s="48">
        <v>0.4521</v>
      </c>
      <c r="BC60" s="48">
        <v>0.46135000000000004</v>
      </c>
      <c r="BD60" s="48">
        <v>0.44389999999999996</v>
      </c>
      <c r="BE60" s="48">
        <v>0.36410000000000003</v>
      </c>
      <c r="BF60" s="48">
        <v>0.31254999999999999</v>
      </c>
      <c r="BG60" s="48">
        <v>0.26214999999999999</v>
      </c>
      <c r="BH60" s="48">
        <v>0.20644999999999999</v>
      </c>
      <c r="BI60" s="48">
        <v>0.25090000000000001</v>
      </c>
      <c r="BJ60" s="48">
        <v>0.30304999999999999</v>
      </c>
      <c r="BK60" s="48">
        <v>0.48015000000000002</v>
      </c>
      <c r="BL60" s="48">
        <v>0.48254999999999998</v>
      </c>
      <c r="BM60" s="48">
        <v>0.49305000000000004</v>
      </c>
      <c r="BN60" s="48">
        <v>0.4753</v>
      </c>
      <c r="BO60" s="48">
        <v>0.47660000000000002</v>
      </c>
      <c r="BP60" s="48">
        <v>0.49505000000000005</v>
      </c>
      <c r="BQ60" s="48">
        <v>0.50374999999999992</v>
      </c>
      <c r="BR60" s="48">
        <v>0.51615</v>
      </c>
      <c r="BS60" s="48">
        <v>0.49734999999999996</v>
      </c>
      <c r="BT60" s="48">
        <v>0.48305000000000003</v>
      </c>
      <c r="BU60" s="48">
        <v>0.48620000000000002</v>
      </c>
      <c r="BV60" s="48">
        <v>0.50509999999999999</v>
      </c>
      <c r="BW60" s="48">
        <v>0.50669999999999993</v>
      </c>
      <c r="BX60" s="48">
        <v>0.50449999999999995</v>
      </c>
      <c r="BY60" s="48">
        <v>0.55069999999999997</v>
      </c>
      <c r="BZ60" s="48">
        <v>0.57644999999999991</v>
      </c>
      <c r="CA60" s="48">
        <v>0.57015000000000005</v>
      </c>
      <c r="CB60" s="48">
        <v>0.55289999999999995</v>
      </c>
      <c r="CC60" s="48">
        <v>0.59209999999999996</v>
      </c>
      <c r="CD60" s="48">
        <v>0.62754999999999994</v>
      </c>
      <c r="CE60" s="48">
        <v>0.65974999999999995</v>
      </c>
      <c r="CF60" s="48">
        <v>0.65554999999999997</v>
      </c>
      <c r="CG60" s="48">
        <v>0.62539999999999996</v>
      </c>
      <c r="CH60" s="48">
        <v>0.64009999999999989</v>
      </c>
      <c r="CI60" s="48">
        <v>0.63514999999999988</v>
      </c>
      <c r="CJ60" s="48">
        <v>0.65559999999999996</v>
      </c>
      <c r="CK60" s="48">
        <v>0.66164999999999996</v>
      </c>
      <c r="CL60" s="48">
        <v>0.67214999999999991</v>
      </c>
      <c r="CM60" s="48">
        <v>0.66904999999999992</v>
      </c>
      <c r="CN60" s="48">
        <v>0.65794999999999992</v>
      </c>
      <c r="CO60" s="48">
        <v>0.63859999999999995</v>
      </c>
      <c r="CP60" s="48">
        <v>0.59345000000000003</v>
      </c>
      <c r="CQ60" s="48">
        <v>0.55584999999999996</v>
      </c>
      <c r="CR60" s="48">
        <v>0.6149</v>
      </c>
      <c r="CS60" s="48">
        <v>0.61660000000000004</v>
      </c>
      <c r="CT60" s="48">
        <v>0.58765000000000001</v>
      </c>
      <c r="CU60" s="48">
        <v>0.56974999999999998</v>
      </c>
      <c r="CV60" s="48">
        <v>0.59299999999999997</v>
      </c>
      <c r="CW60" s="48">
        <v>0.61399999999999999</v>
      </c>
      <c r="CX60" s="48">
        <v>0.60960000000000003</v>
      </c>
      <c r="CY60" s="48">
        <v>0.62039999999999995</v>
      </c>
      <c r="CZ60" s="48">
        <v>0.55940000000000001</v>
      </c>
      <c r="DA60" s="48">
        <v>0.59119999999999995</v>
      </c>
      <c r="DB60" s="48">
        <v>0.62199999999999989</v>
      </c>
      <c r="DC60" s="48">
        <v>0.6238999999999999</v>
      </c>
      <c r="DD60" s="48">
        <v>0.60079999999999989</v>
      </c>
      <c r="DE60" s="48">
        <v>0.61039999999999994</v>
      </c>
      <c r="DF60" s="48">
        <v>0.65079999999999993</v>
      </c>
    </row>
    <row r="61" spans="1:110" x14ac:dyDescent="0.2">
      <c r="A61" s="46" t="s">
        <v>77</v>
      </c>
      <c r="B61" s="47">
        <f t="shared" si="23"/>
        <v>-1.2534110730017645</v>
      </c>
      <c r="C61" s="47">
        <f t="shared" si="24"/>
        <v>0</v>
      </c>
      <c r="D61" s="49" t="e">
        <f t="shared" ref="D61:D91" ca="1" si="48">_xludf.STDEV.P(W61:DF61)*100</f>
        <v>#NAME?</v>
      </c>
      <c r="E61" s="51">
        <v>7.9536978008463294E-2</v>
      </c>
      <c r="F61" s="48">
        <v>0.47096018869272938</v>
      </c>
      <c r="G61" s="48">
        <v>0.47096018869272938</v>
      </c>
      <c r="H61" s="48">
        <v>0.47096018869272938</v>
      </c>
      <c r="I61" s="48">
        <v>0.47096018869272938</v>
      </c>
      <c r="J61" s="48">
        <v>0.48472800604133981</v>
      </c>
      <c r="K61" s="48">
        <v>0.49437136423167921</v>
      </c>
      <c r="L61" s="48">
        <v>0.51244444862991201</v>
      </c>
      <c r="M61" s="48">
        <v>0.52693665150754831</v>
      </c>
      <c r="N61" s="48">
        <v>0.49116742065455504</v>
      </c>
      <c r="O61" s="48">
        <v>0.4852133988547575</v>
      </c>
      <c r="P61" s="48">
        <v>0.48503628138508098</v>
      </c>
      <c r="Q61" s="48">
        <v>0.48349429942274702</v>
      </c>
      <c r="R61" s="48">
        <v>0.48560681272964706</v>
      </c>
      <c r="S61" s="48">
        <v>0.46612560780481649</v>
      </c>
      <c r="T61" s="48">
        <v>0.4617412472601814</v>
      </c>
      <c r="U61" s="48">
        <v>0.46745860988695243</v>
      </c>
      <c r="V61" s="48">
        <v>0.48472800604133981</v>
      </c>
      <c r="W61" s="48">
        <v>0.49437136423167921</v>
      </c>
      <c r="X61" s="48">
        <v>0.51244444862991201</v>
      </c>
      <c r="Y61" s="48">
        <v>0.52693665150754831</v>
      </c>
      <c r="Z61" s="48">
        <v>0.51821513679543141</v>
      </c>
      <c r="AA61" s="48">
        <v>0.52066750340690682</v>
      </c>
      <c r="AB61" s="48">
        <v>0.52415290856710173</v>
      </c>
      <c r="AC61" s="48">
        <v>0.51688251242026095</v>
      </c>
      <c r="AD61" s="48">
        <v>0.52035324364098701</v>
      </c>
      <c r="AE61" s="48">
        <v>0.52219233667286646</v>
      </c>
      <c r="AF61" s="48">
        <v>0.51952971814268722</v>
      </c>
      <c r="AG61" s="48">
        <v>0.51588182664001614</v>
      </c>
      <c r="AH61" s="48">
        <v>0.51325671448610455</v>
      </c>
      <c r="AI61" s="48">
        <v>0.50851725361813405</v>
      </c>
      <c r="AJ61" s="48">
        <v>0.50729908019784697</v>
      </c>
      <c r="AK61" s="48">
        <v>0.50753618703544245</v>
      </c>
      <c r="AL61" s="48">
        <v>0.5199202635507939</v>
      </c>
      <c r="AM61" s="48">
        <v>0.5498918683792211</v>
      </c>
      <c r="AN61" s="48">
        <v>0.62704945604573148</v>
      </c>
      <c r="AO61" s="48">
        <v>0.60446874923909444</v>
      </c>
      <c r="AP61" s="48">
        <v>0.56866528906775349</v>
      </c>
      <c r="AQ61" s="48">
        <v>0.55254744732193928</v>
      </c>
      <c r="AR61" s="48">
        <v>0.54327413692909921</v>
      </c>
      <c r="AS61" s="48">
        <v>0.53868850028148041</v>
      </c>
      <c r="AT61" s="48">
        <v>0.52910060883945786</v>
      </c>
      <c r="AU61" s="48">
        <v>0.52885859678551628</v>
      </c>
      <c r="AV61" s="48">
        <v>0.52809533101957262</v>
      </c>
      <c r="AW61" s="48">
        <v>0.5269987431873473</v>
      </c>
      <c r="AX61" s="48">
        <v>0.53669576445071654</v>
      </c>
      <c r="AY61" s="48">
        <v>0.53549975248726511</v>
      </c>
      <c r="AZ61" s="48">
        <v>0.51054726168092757</v>
      </c>
      <c r="BA61" s="48">
        <v>0.49174125391255452</v>
      </c>
      <c r="BB61" s="48">
        <v>0.48108412675705048</v>
      </c>
      <c r="BC61" s="48">
        <v>0.46291573822785764</v>
      </c>
      <c r="BD61" s="48">
        <v>0.47293218848018426</v>
      </c>
      <c r="BE61" s="48">
        <v>0.48149365454916992</v>
      </c>
      <c r="BF61" s="48">
        <v>0.48861889366847361</v>
      </c>
      <c r="BG61" s="48">
        <v>0.52432227456096259</v>
      </c>
      <c r="BH61" s="48">
        <v>0.54174948712287607</v>
      </c>
      <c r="BI61" s="48">
        <v>0.56660708697937356</v>
      </c>
      <c r="BJ61" s="48">
        <v>0.59960276460292317</v>
      </c>
      <c r="BK61" s="48">
        <v>0.62146275022339037</v>
      </c>
      <c r="BL61" s="48">
        <v>0.68679349392735256</v>
      </c>
      <c r="BM61" s="48">
        <v>0.69031971360232602</v>
      </c>
      <c r="BN61" s="48">
        <v>0.70345987697020684</v>
      </c>
      <c r="BO61" s="48">
        <v>0.72112159429593281</v>
      </c>
      <c r="BP61" s="48">
        <v>0.70651003983877225</v>
      </c>
      <c r="BQ61" s="48">
        <v>0.73531920557535291</v>
      </c>
      <c r="BR61" s="48">
        <v>0.76388870451329915</v>
      </c>
      <c r="BS61" s="48">
        <v>0.73806391870472532</v>
      </c>
      <c r="BT61" s="48">
        <v>0.70389082204758702</v>
      </c>
      <c r="BU61" s="48">
        <v>0.69482016809328773</v>
      </c>
      <c r="BV61" s="48">
        <v>0.66856063769432006</v>
      </c>
      <c r="BW61" s="48">
        <v>0.64354958370375603</v>
      </c>
      <c r="BX61" s="48">
        <v>0.63251712249005509</v>
      </c>
      <c r="BY61" s="48">
        <v>0.61424293550189024</v>
      </c>
      <c r="BZ61" s="48">
        <v>0.5869072491105094</v>
      </c>
      <c r="CA61" s="48">
        <v>0.561799406426023</v>
      </c>
      <c r="CB61" s="48">
        <v>0.54559134354987993</v>
      </c>
      <c r="CC61" s="48">
        <v>0.52278541504657516</v>
      </c>
      <c r="CD61" s="48">
        <v>0.47456658898213261</v>
      </c>
      <c r="CE61" s="48">
        <v>0.45749658091796075</v>
      </c>
      <c r="CF61" s="48">
        <v>0.43823059277210735</v>
      </c>
      <c r="CG61" s="48">
        <v>0.42408596711601471</v>
      </c>
      <c r="CH61" s="48">
        <v>0.41339466591664742</v>
      </c>
      <c r="CI61" s="48">
        <v>0.40655139856109518</v>
      </c>
      <c r="CJ61" s="48">
        <v>0.4262931491583356</v>
      </c>
      <c r="CK61" s="48">
        <v>0.4103983220995347</v>
      </c>
      <c r="CL61" s="48">
        <v>0.39454996752208338</v>
      </c>
      <c r="CM61" s="48">
        <v>0.39183559176606736</v>
      </c>
      <c r="CN61" s="48">
        <v>0.36806108386163178</v>
      </c>
      <c r="CO61" s="48">
        <v>0.32394956508882783</v>
      </c>
      <c r="CP61" s="48">
        <v>0.30021904746734429</v>
      </c>
      <c r="CQ61" s="48">
        <v>0.29655519547070713</v>
      </c>
      <c r="CR61" s="48">
        <v>0.29383471545158635</v>
      </c>
      <c r="CS61" s="48">
        <v>0.28550147630478406</v>
      </c>
      <c r="CT61" s="48">
        <v>0.28355947031396112</v>
      </c>
      <c r="CU61" s="48">
        <v>0.33704178861449319</v>
      </c>
      <c r="CV61" s="48">
        <v>0.32265013600579634</v>
      </c>
      <c r="CW61" s="48">
        <v>0.33367871087931589</v>
      </c>
      <c r="CX61" s="48">
        <v>0.35729755057759138</v>
      </c>
      <c r="CY61" s="48">
        <v>0.36367507734999055</v>
      </c>
      <c r="CZ61" s="48">
        <v>0.36118546516594419</v>
      </c>
      <c r="DA61" s="48">
        <v>0.35608405069842308</v>
      </c>
      <c r="DB61" s="48">
        <v>0.37273102324491808</v>
      </c>
      <c r="DC61" s="48">
        <v>0.37196789527148738</v>
      </c>
      <c r="DD61" s="48">
        <v>0.36772655933711801</v>
      </c>
      <c r="DE61" s="48">
        <v>0.36646010956032998</v>
      </c>
      <c r="DF61" s="48">
        <v>0.37876274023535472</v>
      </c>
    </row>
    <row r="62" spans="1:110" x14ac:dyDescent="0.2">
      <c r="A62" s="46" t="s">
        <v>80</v>
      </c>
      <c r="B62" s="47">
        <f t="shared" si="23"/>
        <v>12.702695515312479</v>
      </c>
      <c r="C62" s="47">
        <f t="shared" si="24"/>
        <v>17.052781416403974</v>
      </c>
      <c r="D62" s="49" t="e">
        <f t="shared" ref="D62:D92" ca="1" si="49">_xludf.STDEV.P(W62:DF62)*100</f>
        <v>#NAME?</v>
      </c>
      <c r="E62" s="51">
        <v>4.8040037547750401E-2</v>
      </c>
      <c r="F62" s="48">
        <v>0.62215357525979109</v>
      </c>
      <c r="G62" s="48">
        <v>0.53308482809858004</v>
      </c>
      <c r="H62" s="48">
        <v>0.48276725096888534</v>
      </c>
      <c r="I62" s="48">
        <v>0.45162576109575137</v>
      </c>
      <c r="J62" s="48">
        <v>0.47824042417292456</v>
      </c>
      <c r="K62" s="48">
        <v>0.49332689130342972</v>
      </c>
      <c r="L62" s="48">
        <v>0.48409832871434083</v>
      </c>
      <c r="M62" s="48">
        <v>0.47130856574868574</v>
      </c>
      <c r="N62" s="48">
        <v>0.45725989507555509</v>
      </c>
      <c r="O62" s="48">
        <v>0.44301851644605894</v>
      </c>
      <c r="P62" s="48">
        <v>0.46124255688888982</v>
      </c>
      <c r="Q62" s="48">
        <v>0.4951266201066663</v>
      </c>
      <c r="R62" s="48">
        <v>0.52589239002343291</v>
      </c>
      <c r="S62" s="48">
        <v>0.58468352213979569</v>
      </c>
      <c r="T62" s="48">
        <v>0.60080299370019852</v>
      </c>
      <c r="U62" s="48">
        <v>0.61302634956767565</v>
      </c>
      <c r="V62" s="48">
        <v>0.58765070860121205</v>
      </c>
      <c r="W62" s="48">
        <v>0.5359909886189913</v>
      </c>
      <c r="X62" s="48">
        <v>0.49394398988929311</v>
      </c>
      <c r="Y62" s="48">
        <v>0.41142009228606169</v>
      </c>
      <c r="Z62" s="48">
        <v>0.36186026106020291</v>
      </c>
      <c r="AA62" s="48">
        <v>0.3849593533398008</v>
      </c>
      <c r="AB62" s="48">
        <v>0.36114141088323076</v>
      </c>
      <c r="AC62" s="48">
        <v>0.33459393492524647</v>
      </c>
      <c r="AD62" s="48">
        <v>0.282638386244844</v>
      </c>
      <c r="AE62" s="48">
        <v>0.28844978574060126</v>
      </c>
      <c r="AF62" s="48">
        <v>0.34407627749010294</v>
      </c>
      <c r="AG62" s="48">
        <v>0.28168250186020977</v>
      </c>
      <c r="AH62" s="48">
        <v>0.25902571107071848</v>
      </c>
      <c r="AI62" s="48">
        <v>0.19014156886303812</v>
      </c>
      <c r="AJ62" s="48">
        <v>0.21837070412607024</v>
      </c>
      <c r="AK62" s="48">
        <v>0.23397646772364467</v>
      </c>
      <c r="AL62" s="48">
        <v>0.22381821233778865</v>
      </c>
      <c r="AM62" s="48">
        <v>0.19526610233213568</v>
      </c>
      <c r="AN62" s="48">
        <v>0.23681681027557433</v>
      </c>
      <c r="AO62" s="48">
        <v>0.21634374897294562</v>
      </c>
      <c r="AP62" s="48">
        <v>0.25431712952405272</v>
      </c>
      <c r="AQ62" s="48">
        <v>0.21018423633779257</v>
      </c>
      <c r="AR62" s="48">
        <v>0.21904811116607817</v>
      </c>
      <c r="AS62" s="48">
        <v>0.25511724010991799</v>
      </c>
      <c r="AT62" s="48">
        <v>0.33630104858668453</v>
      </c>
      <c r="AU62" s="48">
        <v>0.44542622055273884</v>
      </c>
      <c r="AV62" s="48">
        <v>0.46734252463515574</v>
      </c>
      <c r="AW62" s="48">
        <v>0.57995905054707597</v>
      </c>
      <c r="AX62" s="48">
        <v>0.55572782864647585</v>
      </c>
      <c r="AY62" s="48">
        <v>0.54514271421092508</v>
      </c>
      <c r="AZ62" s="48">
        <v>0.50621252773011849</v>
      </c>
      <c r="BA62" s="48">
        <v>0.4810598937600099</v>
      </c>
      <c r="BB62" s="48">
        <v>0.46569542980202772</v>
      </c>
      <c r="BC62" s="48">
        <v>0.46302023446788865</v>
      </c>
      <c r="BD62" s="48">
        <v>0.48133112382385329</v>
      </c>
      <c r="BE62" s="48">
        <v>0.39240926414870225</v>
      </c>
      <c r="BF62" s="48">
        <v>0.38526051382789517</v>
      </c>
      <c r="BG62" s="48">
        <v>0.29946166049132661</v>
      </c>
      <c r="BH62" s="48">
        <v>0.27675502076931152</v>
      </c>
      <c r="BI62" s="48">
        <v>0.2646534929810237</v>
      </c>
      <c r="BJ62" s="48">
        <v>0.41334884379314707</v>
      </c>
      <c r="BK62" s="48">
        <v>0.52932263903838983</v>
      </c>
      <c r="BL62" s="48">
        <v>0.65180052528000187</v>
      </c>
      <c r="BM62" s="48">
        <v>0.62877626234989514</v>
      </c>
      <c r="BN62" s="48">
        <v>0.64350382111515192</v>
      </c>
      <c r="BO62" s="48">
        <v>0.62940511061818294</v>
      </c>
      <c r="BP62" s="48">
        <v>0.65171660555959754</v>
      </c>
      <c r="BQ62" s="48">
        <v>0.62973367386504453</v>
      </c>
      <c r="BR62" s="48">
        <v>0.62233103166705916</v>
      </c>
      <c r="BS62" s="48">
        <v>0.62884903797332481</v>
      </c>
      <c r="BT62" s="48">
        <v>0.7063578420072667</v>
      </c>
      <c r="BU62" s="48">
        <v>0.76951647917575161</v>
      </c>
      <c r="BV62" s="48">
        <v>0.69644844950140106</v>
      </c>
      <c r="BW62" s="48">
        <v>0.51447438437493986</v>
      </c>
      <c r="BX62" s="48">
        <v>0.24487634199757108</v>
      </c>
      <c r="BY62" s="48">
        <v>0.30720369407353287</v>
      </c>
      <c r="BZ62" s="48">
        <v>0.29083394440403498</v>
      </c>
      <c r="CA62" s="48">
        <v>0.30352184387717057</v>
      </c>
      <c r="CB62" s="48">
        <v>0.22902095195474895</v>
      </c>
      <c r="CC62" s="48">
        <v>0.25800525280000958</v>
      </c>
      <c r="CD62" s="48">
        <v>0.22074995886061705</v>
      </c>
      <c r="CE62" s="48">
        <v>0.23733671232809372</v>
      </c>
      <c r="CF62" s="48">
        <v>0.21030401069092064</v>
      </c>
      <c r="CG62" s="48">
        <v>0.29496038678627656</v>
      </c>
      <c r="CH62" s="48">
        <v>0.34485217122425887</v>
      </c>
      <c r="CI62" s="48">
        <v>0.54376094497778449</v>
      </c>
      <c r="CJ62" s="48">
        <v>0.7610095379765569</v>
      </c>
      <c r="CK62" s="48">
        <v>0.76676355821089892</v>
      </c>
      <c r="CL62" s="48">
        <v>0.7828226884056505</v>
      </c>
      <c r="CM62" s="48">
        <v>0.8178075948363609</v>
      </c>
      <c r="CN62" s="48">
        <v>0.81386166312241781</v>
      </c>
      <c r="CO62" s="48">
        <v>0.80477717072807053</v>
      </c>
      <c r="CP62" s="48">
        <v>0.77187481486705656</v>
      </c>
      <c r="CQ62" s="48">
        <v>0.76008672384483389</v>
      </c>
      <c r="CR62" s="48">
        <v>0.7706692579587775</v>
      </c>
      <c r="CS62" s="48">
        <v>0.79269100639029022</v>
      </c>
      <c r="CT62" s="48">
        <v>0.74944061637978465</v>
      </c>
      <c r="CU62" s="48">
        <v>0.71175340148200283</v>
      </c>
      <c r="CV62" s="48">
        <v>0.70464891158947884</v>
      </c>
      <c r="CW62" s="48">
        <v>0.7561761991579723</v>
      </c>
      <c r="CX62" s="48">
        <v>0.77190337614060023</v>
      </c>
      <c r="CY62" s="48">
        <v>0.74955841599675521</v>
      </c>
      <c r="CZ62" s="48">
        <v>0.75352453610018899</v>
      </c>
      <c r="DA62" s="48">
        <v>0.73713881739473341</v>
      </c>
      <c r="DB62" s="48">
        <v>0.7707177377405936</v>
      </c>
      <c r="DC62" s="48">
        <v>0.84701904304160558</v>
      </c>
      <c r="DD62" s="48">
        <v>0.82774389641695401</v>
      </c>
      <c r="DE62" s="48">
        <v>0.75133448745533482</v>
      </c>
      <c r="DF62" s="48">
        <v>0.74765674471109511</v>
      </c>
    </row>
    <row r="63" spans="1:110" x14ac:dyDescent="0.2">
      <c r="A63" s="46" t="s">
        <v>83</v>
      </c>
      <c r="B63" s="47">
        <f t="shared" si="23"/>
        <v>9.0080076570716479</v>
      </c>
      <c r="C63" s="47">
        <f t="shared" si="24"/>
        <v>17.670502691680262</v>
      </c>
      <c r="D63" s="49" t="e">
        <f t="shared" ref="D63:D93" ca="1" si="50">_xludf.STDEV.P(W63:DF63)*100</f>
        <v>#NAME?</v>
      </c>
      <c r="E63" s="51">
        <v>3.6421317885880898E-2</v>
      </c>
      <c r="F63" s="48">
        <v>0.32588924716626255</v>
      </c>
      <c r="G63" s="48">
        <v>0.2914613822851258</v>
      </c>
      <c r="H63" s="48">
        <v>0.23852391262918421</v>
      </c>
      <c r="I63" s="48">
        <v>0.14918422024945993</v>
      </c>
      <c r="J63" s="48">
        <v>0.11833487895811873</v>
      </c>
      <c r="K63" s="48">
        <v>0.12080282626142606</v>
      </c>
      <c r="L63" s="48">
        <v>0.11636052111547293</v>
      </c>
      <c r="M63" s="48">
        <v>0.12450474721638698</v>
      </c>
      <c r="N63" s="48">
        <v>0.18015695890596647</v>
      </c>
      <c r="O63" s="48">
        <v>0.24531076771327917</v>
      </c>
      <c r="P63" s="48">
        <v>0.27270498277999017</v>
      </c>
      <c r="Q63" s="48">
        <v>0.23580917059554607</v>
      </c>
      <c r="R63" s="48">
        <v>0.22716662988598987</v>
      </c>
      <c r="S63" s="48">
        <v>0.22308812836460043</v>
      </c>
      <c r="T63" s="48">
        <v>0.22790705821379445</v>
      </c>
      <c r="U63" s="48">
        <v>0.27097435784264612</v>
      </c>
      <c r="V63" s="48">
        <v>0.36536695372321798</v>
      </c>
      <c r="W63" s="48">
        <v>0.43940861119471547</v>
      </c>
      <c r="X63" s="48">
        <v>0.50480759554621968</v>
      </c>
      <c r="Y63" s="48">
        <v>0.38795348497008519</v>
      </c>
      <c r="Z63" s="48">
        <v>0.3297083094258938</v>
      </c>
      <c r="AA63" s="48">
        <v>0.17409941853076324</v>
      </c>
      <c r="AB63" s="48">
        <v>0.26838620740963987</v>
      </c>
      <c r="AC63" s="48">
        <v>0.2967659822115345</v>
      </c>
      <c r="AD63" s="48">
        <v>0.30897588875516085</v>
      </c>
      <c r="AE63" s="48">
        <v>0.2499999558631881</v>
      </c>
      <c r="AF63" s="48">
        <v>0.26110409954193164</v>
      </c>
      <c r="AG63" s="48">
        <v>0.18163138295383113</v>
      </c>
      <c r="AH63" s="48">
        <v>0.15152395676599648</v>
      </c>
      <c r="AI63" s="48">
        <v>0.14091979101884666</v>
      </c>
      <c r="AJ63" s="48">
        <v>0.15793589460661472</v>
      </c>
      <c r="AK63" s="48">
        <v>0.20014422610091429</v>
      </c>
      <c r="AL63" s="48">
        <v>0.23123716788711998</v>
      </c>
      <c r="AM63" s="48">
        <v>0.41793418714685082</v>
      </c>
      <c r="AN63" s="48">
        <v>0.43706239793362162</v>
      </c>
      <c r="AO63" s="48">
        <v>0.44459606981645355</v>
      </c>
      <c r="AP63" s="48">
        <v>0.49579477446754222</v>
      </c>
      <c r="AQ63" s="48">
        <v>0.55195020246099413</v>
      </c>
      <c r="AR63" s="48">
        <v>0.59674187096669473</v>
      </c>
      <c r="AS63" s="48">
        <v>0.66337806734213112</v>
      </c>
      <c r="AT63" s="48">
        <v>0.7919517775103212</v>
      </c>
      <c r="AU63" s="48">
        <v>0.84834765589998407</v>
      </c>
      <c r="AV63" s="48">
        <v>0.96260412161033848</v>
      </c>
      <c r="AW63" s="48">
        <v>0.94508335907980834</v>
      </c>
      <c r="AX63" s="48">
        <v>0.89806734376566499</v>
      </c>
      <c r="AY63" s="48">
        <v>0.5792148082388574</v>
      </c>
      <c r="AZ63" s="48">
        <v>0.57365702511118566</v>
      </c>
      <c r="BA63" s="48">
        <v>0.55354482963855811</v>
      </c>
      <c r="BB63" s="48">
        <v>0.48382536245693936</v>
      </c>
      <c r="BC63" s="48">
        <v>0.49518115842443156</v>
      </c>
      <c r="BD63" s="48">
        <v>0.49357541762795498</v>
      </c>
      <c r="BE63" s="48">
        <v>0.46494241548798493</v>
      </c>
      <c r="BF63" s="48">
        <v>0.40497449025308369</v>
      </c>
      <c r="BG63" s="48">
        <v>0.32526780001332961</v>
      </c>
      <c r="BH63" s="48">
        <v>0.10943928745773683</v>
      </c>
      <c r="BI63" s="48">
        <v>0.14707705888250006</v>
      </c>
      <c r="BJ63" s="48">
        <v>0.2109985132242983</v>
      </c>
      <c r="BK63" s="48">
        <v>0.54601610358776886</v>
      </c>
      <c r="BL63" s="48">
        <v>0.56132385361283121</v>
      </c>
      <c r="BM63" s="48">
        <v>0.56884308523084681</v>
      </c>
      <c r="BN63" s="48">
        <v>0.54774690507236246</v>
      </c>
      <c r="BO63" s="48">
        <v>0.48419888119833882</v>
      </c>
      <c r="BP63" s="48">
        <v>0.48962193265787013</v>
      </c>
      <c r="BQ63" s="48">
        <v>0.54799050556722717</v>
      </c>
      <c r="BR63" s="48">
        <v>0.60450973718524281</v>
      </c>
      <c r="BS63" s="48">
        <v>0.6015417678135293</v>
      </c>
      <c r="BT63" s="48">
        <v>0.50258828284344437</v>
      </c>
      <c r="BU63" s="48">
        <v>0.45260425402077514</v>
      </c>
      <c r="BV63" s="48">
        <v>0.48209788761824907</v>
      </c>
      <c r="BW63" s="48">
        <v>0.55798092286082845</v>
      </c>
      <c r="BX63" s="48">
        <v>0.52911237201987782</v>
      </c>
      <c r="BY63" s="48">
        <v>0.5357742546894807</v>
      </c>
      <c r="BZ63" s="48">
        <v>0.55625182883599888</v>
      </c>
      <c r="CA63" s="48">
        <v>0.66127423262107454</v>
      </c>
      <c r="CB63" s="48">
        <v>0.689769397131063</v>
      </c>
      <c r="CC63" s="48">
        <v>0.69717319490417251</v>
      </c>
      <c r="CD63" s="48">
        <v>0.67509141087369207</v>
      </c>
      <c r="CE63" s="48">
        <v>0.66139907262512954</v>
      </c>
      <c r="CF63" s="48">
        <v>0.65892149847861148</v>
      </c>
      <c r="CG63" s="48">
        <v>0.69828854047545386</v>
      </c>
      <c r="CH63" s="48">
        <v>0.69940235513422055</v>
      </c>
      <c r="CI63" s="48">
        <v>0.70248733340016722</v>
      </c>
      <c r="CJ63" s="48">
        <v>0.71272769552275317</v>
      </c>
      <c r="CK63" s="48">
        <v>0.71026294245491206</v>
      </c>
      <c r="CL63" s="48">
        <v>0.70816514311028833</v>
      </c>
      <c r="CM63" s="48">
        <v>0.71729803490822752</v>
      </c>
      <c r="CN63" s="48">
        <v>0.70002235964826398</v>
      </c>
      <c r="CO63" s="48">
        <v>0.6664614264219384</v>
      </c>
      <c r="CP63" s="48">
        <v>0.65917135503397095</v>
      </c>
      <c r="CQ63" s="48">
        <v>0.66324675059351901</v>
      </c>
      <c r="CR63" s="48">
        <v>0.68348728926335467</v>
      </c>
      <c r="CS63" s="48">
        <v>0.71013153743267476</v>
      </c>
      <c r="CT63" s="48">
        <v>0.74381897398600727</v>
      </c>
      <c r="CU63" s="48">
        <v>0.71766813873009849</v>
      </c>
      <c r="CV63" s="48">
        <v>0.72322736449665992</v>
      </c>
      <c r="CW63" s="48">
        <v>0.72087318771530706</v>
      </c>
      <c r="CX63" s="48">
        <v>0.72950942822755582</v>
      </c>
      <c r="CY63" s="48">
        <v>0.72297588875516106</v>
      </c>
      <c r="CZ63" s="48">
        <v>0.73444221687232902</v>
      </c>
      <c r="DA63" s="48">
        <v>0.77776589393790985</v>
      </c>
      <c r="DB63" s="48">
        <v>0.85846291319764079</v>
      </c>
      <c r="DC63" s="48">
        <v>0.91263755074070196</v>
      </c>
      <c r="DD63" s="48">
        <v>0.85451743588462759</v>
      </c>
      <c r="DE63" s="48">
        <v>0.76777228240884232</v>
      </c>
      <c r="DF63" s="48">
        <v>0.60895186578394589</v>
      </c>
    </row>
    <row r="64" spans="1:110" x14ac:dyDescent="0.2">
      <c r="A64" s="46" t="s">
        <v>86</v>
      </c>
      <c r="B64" s="47">
        <f t="shared" si="23"/>
        <v>14.636875878740913</v>
      </c>
      <c r="C64" s="47">
        <f t="shared" si="24"/>
        <v>-0.39632181096658226</v>
      </c>
      <c r="D64" s="49" t="e">
        <f t="shared" ref="D64:D94" ca="1" si="51">_xludf.STDEV.P(W64:DF64)*100</f>
        <v>#NAME?</v>
      </c>
      <c r="E64" s="51">
        <v>2.9882587983715899E-2</v>
      </c>
      <c r="F64" s="48">
        <v>0.56116694042633319</v>
      </c>
      <c r="G64" s="48">
        <v>0.54959915586353569</v>
      </c>
      <c r="H64" s="48">
        <v>0.56833630768933774</v>
      </c>
      <c r="I64" s="48">
        <v>0.56513015853599902</v>
      </c>
      <c r="J64" s="48">
        <v>0.57583709795638316</v>
      </c>
      <c r="K64" s="48">
        <v>0.58133940573010201</v>
      </c>
      <c r="L64" s="48">
        <v>0.60104608652913727</v>
      </c>
      <c r="M64" s="48">
        <v>0.59521054156354403</v>
      </c>
      <c r="N64" s="48">
        <v>0.54794661457954663</v>
      </c>
      <c r="O64" s="48">
        <v>0.4631626708095663</v>
      </c>
      <c r="P64" s="48">
        <v>0.4392676316454357</v>
      </c>
      <c r="Q64" s="48">
        <v>0.41479818163892407</v>
      </c>
      <c r="R64" s="48">
        <v>0.40447940745794148</v>
      </c>
      <c r="S64" s="48">
        <v>0.3998024943789717</v>
      </c>
      <c r="T64" s="48">
        <v>0.38295456334481115</v>
      </c>
      <c r="U64" s="48">
        <v>0.37867112249535151</v>
      </c>
      <c r="V64" s="48">
        <v>0.33798547998939321</v>
      </c>
      <c r="W64" s="48">
        <v>0.2960526160698097</v>
      </c>
      <c r="X64" s="48">
        <v>0.2362329832873028</v>
      </c>
      <c r="Y64" s="48">
        <v>0.18933253638888858</v>
      </c>
      <c r="Z64" s="48">
        <v>0.20720042665610422</v>
      </c>
      <c r="AA64" s="48">
        <v>0.22347093469440132</v>
      </c>
      <c r="AB64" s="48">
        <v>0.26636795362553167</v>
      </c>
      <c r="AC64" s="48">
        <v>0.26339485320949274</v>
      </c>
      <c r="AD64" s="48">
        <v>0.3093299321997906</v>
      </c>
      <c r="AE64" s="48">
        <v>0.31347682849304448</v>
      </c>
      <c r="AF64" s="48">
        <v>0.31316198030762238</v>
      </c>
      <c r="AG64" s="48">
        <v>0.28964224123694271</v>
      </c>
      <c r="AH64" s="48">
        <v>0.30391954798771093</v>
      </c>
      <c r="AI64" s="48">
        <v>0.34542625306058417</v>
      </c>
      <c r="AJ64" s="48">
        <v>0.41830658050380909</v>
      </c>
      <c r="AK64" s="48">
        <v>0.48390780068432554</v>
      </c>
      <c r="AL64" s="48">
        <v>0.56027811108885972</v>
      </c>
      <c r="AM64" s="48">
        <v>0.67059193117666227</v>
      </c>
      <c r="AN64" s="48">
        <v>0.65509852693323167</v>
      </c>
      <c r="AO64" s="48">
        <v>0.6811898681980324</v>
      </c>
      <c r="AP64" s="48">
        <v>0.68760448568887145</v>
      </c>
      <c r="AQ64" s="48">
        <v>0.72846161903313367</v>
      </c>
      <c r="AR64" s="48">
        <v>0.73663426265810639</v>
      </c>
      <c r="AS64" s="48">
        <v>0.74082070517956478</v>
      </c>
      <c r="AT64" s="48">
        <v>0.77104193515087571</v>
      </c>
      <c r="AU64" s="48">
        <v>0.76506150409293872</v>
      </c>
      <c r="AV64" s="48">
        <v>0.76456908352423902</v>
      </c>
      <c r="AW64" s="48">
        <v>0.79702927720476302</v>
      </c>
      <c r="AX64" s="48">
        <v>0.76702564228542935</v>
      </c>
      <c r="AY64" s="48">
        <v>0.3705408023081086</v>
      </c>
      <c r="AZ64" s="48">
        <v>0.34965325965109412</v>
      </c>
      <c r="BA64" s="48">
        <v>0.34016824096778808</v>
      </c>
      <c r="BB64" s="48">
        <v>0.33591219120637372</v>
      </c>
      <c r="BC64" s="48">
        <v>0.31556284631530052</v>
      </c>
      <c r="BD64" s="48">
        <v>0.29646962535273508</v>
      </c>
      <c r="BE64" s="48">
        <v>0.28508971193775873</v>
      </c>
      <c r="BF64" s="48">
        <v>0.27556652175670776</v>
      </c>
      <c r="BG64" s="48">
        <v>0.27628341827899244</v>
      </c>
      <c r="BH64" s="48">
        <v>0.27184299520056721</v>
      </c>
      <c r="BI64" s="48">
        <v>0.24383003934879899</v>
      </c>
      <c r="BJ64" s="48">
        <v>0.28969662007301983</v>
      </c>
      <c r="BK64" s="48">
        <v>0.48577095565179729</v>
      </c>
      <c r="BL64" s="48">
        <v>0.47328627705535631</v>
      </c>
      <c r="BM64" s="48">
        <v>0.43765676872397336</v>
      </c>
      <c r="BN64" s="48">
        <v>0.39534804651132233</v>
      </c>
      <c r="BO64" s="48">
        <v>0.40483569504383154</v>
      </c>
      <c r="BP64" s="48">
        <v>0.42961200092712903</v>
      </c>
      <c r="BQ64" s="48">
        <v>0.44687757971962677</v>
      </c>
      <c r="BR64" s="48">
        <v>0.49071368668447357</v>
      </c>
      <c r="BS64" s="48">
        <v>0.51436621306546082</v>
      </c>
      <c r="BT64" s="48">
        <v>0.51345387690451705</v>
      </c>
      <c r="BU64" s="48">
        <v>0.49515076762882332</v>
      </c>
      <c r="BV64" s="48">
        <v>0.54621489471378637</v>
      </c>
      <c r="BW64" s="48">
        <v>0.64780572368186662</v>
      </c>
      <c r="BX64" s="48">
        <v>0.65021264942059642</v>
      </c>
      <c r="BY64" s="48">
        <v>0.68197236726532517</v>
      </c>
      <c r="BZ64" s="48">
        <v>0.72244050649436897</v>
      </c>
      <c r="CA64" s="48">
        <v>0.75310462983100246</v>
      </c>
      <c r="CB64" s="48">
        <v>0.76500218095676664</v>
      </c>
      <c r="CC64" s="48">
        <v>0.75365269127005319</v>
      </c>
      <c r="CD64" s="48">
        <v>0.74375877272941959</v>
      </c>
      <c r="CE64" s="48">
        <v>0.74528795258269998</v>
      </c>
      <c r="CF64" s="48">
        <v>0.7874812197117842</v>
      </c>
      <c r="CG64" s="48">
        <v>0.8016962461919056</v>
      </c>
      <c r="CH64" s="48">
        <v>0.76572745188671432</v>
      </c>
      <c r="CI64" s="48">
        <v>0.62388391910530339</v>
      </c>
      <c r="CJ64" s="48">
        <v>0.62498823073290488</v>
      </c>
      <c r="CK64" s="48">
        <v>0.63411569964256043</v>
      </c>
      <c r="CL64" s="48">
        <v>0.63758462745706679</v>
      </c>
      <c r="CM64" s="48">
        <v>0.62969019946194371</v>
      </c>
      <c r="CN64" s="48">
        <v>0.64156862566235406</v>
      </c>
      <c r="CO64" s="48">
        <v>0.62290809045029827</v>
      </c>
      <c r="CP64" s="48">
        <v>0.60399939755296594</v>
      </c>
      <c r="CQ64" s="48">
        <v>0.6250152673421242</v>
      </c>
      <c r="CR64" s="48">
        <v>0.60556549591733744</v>
      </c>
      <c r="CS64" s="48">
        <v>0.60370275277825214</v>
      </c>
      <c r="CT64" s="48">
        <v>0.55210838664485196</v>
      </c>
      <c r="CU64" s="48">
        <v>0.4921229786880883</v>
      </c>
      <c r="CV64" s="48">
        <v>0.46495829494495872</v>
      </c>
      <c r="CW64" s="48">
        <v>0.46211825950231905</v>
      </c>
      <c r="CX64" s="48">
        <v>0.47667830329625799</v>
      </c>
      <c r="CY64" s="48">
        <v>0.44242297016713061</v>
      </c>
      <c r="CZ64" s="48">
        <v>0.40354878823374696</v>
      </c>
      <c r="DA64" s="48">
        <v>0.39478703422416411</v>
      </c>
      <c r="DB64" s="48">
        <v>0.35687994992956451</v>
      </c>
      <c r="DC64" s="48">
        <v>0.38664451949788231</v>
      </c>
      <c r="DD64" s="48">
        <v>0.36672143753986775</v>
      </c>
      <c r="DE64" s="48">
        <v>0.3696647296833715</v>
      </c>
      <c r="DF64" s="48">
        <v>0.33653927654481453</v>
      </c>
    </row>
    <row r="65" spans="1:110" x14ac:dyDescent="0.2">
      <c r="A65" s="46" t="s">
        <v>89</v>
      </c>
      <c r="B65" s="47">
        <f t="shared" si="23"/>
        <v>-16.125543991059399</v>
      </c>
      <c r="C65" s="47">
        <f t="shared" si="24"/>
        <v>6.7987717231071665E-2</v>
      </c>
      <c r="D65" s="49" t="e">
        <f t="shared" ref="D65:D95" ca="1" si="52">_xludf.STDEV.P(W65:DF65)*100</f>
        <v>#NAME?</v>
      </c>
      <c r="E65" s="51">
        <v>6.9076817275981001E-2</v>
      </c>
      <c r="F65" s="48">
        <v>0.35574371156392048</v>
      </c>
      <c r="G65" s="48">
        <v>0.34413674204491884</v>
      </c>
      <c r="H65" s="48">
        <v>0.35630293675986646</v>
      </c>
      <c r="I65" s="48">
        <v>0.35506383439160977</v>
      </c>
      <c r="J65" s="48">
        <v>0.39216419318561774</v>
      </c>
      <c r="K65" s="48">
        <v>0.38809937585653287</v>
      </c>
      <c r="L65" s="48">
        <v>0.44160329734747422</v>
      </c>
      <c r="M65" s="48">
        <v>0.49427353447654027</v>
      </c>
      <c r="N65" s="48">
        <v>0.54878502361113712</v>
      </c>
      <c r="O65" s="48">
        <v>0.51981812229534896</v>
      </c>
      <c r="P65" s="48">
        <v>0.49904958996312188</v>
      </c>
      <c r="Q65" s="48">
        <v>0.51699915147451447</v>
      </c>
      <c r="R65" s="48">
        <v>0.46078434170946175</v>
      </c>
      <c r="S65" s="48">
        <v>0.40220814144590644</v>
      </c>
      <c r="T65" s="48">
        <v>0.36155483022544077</v>
      </c>
      <c r="U65" s="48">
        <v>0.36202229870182689</v>
      </c>
      <c r="V65" s="48">
        <v>0.41046913598308371</v>
      </c>
      <c r="W65" s="48">
        <v>0.47483326659320035</v>
      </c>
      <c r="X65" s="48">
        <v>0.42832692018937008</v>
      </c>
      <c r="Y65" s="48">
        <v>0.31135775372229041</v>
      </c>
      <c r="Z65" s="48">
        <v>0.22831035288726936</v>
      </c>
      <c r="AA65" s="48">
        <v>0.21150126908005903</v>
      </c>
      <c r="AB65" s="48">
        <v>0.19063983448930605</v>
      </c>
      <c r="AC65" s="48">
        <v>0.21602689592652424</v>
      </c>
      <c r="AD65" s="48">
        <v>0.23346030621866218</v>
      </c>
      <c r="AE65" s="48">
        <v>0.2592616949622446</v>
      </c>
      <c r="AF65" s="48">
        <v>0.26553126470205263</v>
      </c>
      <c r="AG65" s="48">
        <v>0.26558770818606264</v>
      </c>
      <c r="AH65" s="48">
        <v>0.2269551058866528</v>
      </c>
      <c r="AI65" s="48">
        <v>0.23155469024656194</v>
      </c>
      <c r="AJ65" s="48">
        <v>0.24376066788016071</v>
      </c>
      <c r="AK65" s="48">
        <v>0.3263361534090104</v>
      </c>
      <c r="AL65" s="48">
        <v>0.40465179526001771</v>
      </c>
      <c r="AM65" s="48">
        <v>0.48074372694145012</v>
      </c>
      <c r="AN65" s="48">
        <v>0.58613255750195803</v>
      </c>
      <c r="AO65" s="48">
        <v>0.64434565146630718</v>
      </c>
      <c r="AP65" s="48">
        <v>0.49790884980085987</v>
      </c>
      <c r="AQ65" s="48">
        <v>0.45757028620637402</v>
      </c>
      <c r="AR65" s="48">
        <v>0.47202503676983021</v>
      </c>
      <c r="AS65" s="48">
        <v>0.60892075824706571</v>
      </c>
      <c r="AT65" s="48">
        <v>0.71742569009324364</v>
      </c>
      <c r="AU65" s="48">
        <v>0.74089041181614435</v>
      </c>
      <c r="AV65" s="48">
        <v>0.66615473015712789</v>
      </c>
      <c r="AW65" s="48">
        <v>0.57072437285520117</v>
      </c>
      <c r="AX65" s="48">
        <v>0.62244476557923334</v>
      </c>
      <c r="AY65" s="48">
        <v>0.71356024345565261</v>
      </c>
      <c r="AZ65" s="48">
        <v>0.6593582175515611</v>
      </c>
      <c r="BA65" s="48">
        <v>0.64519546981009634</v>
      </c>
      <c r="BB65" s="48">
        <v>0.58385482323255078</v>
      </c>
      <c r="BC65" s="48">
        <v>0.45968718558610422</v>
      </c>
      <c r="BD65" s="48">
        <v>0.40176290132303533</v>
      </c>
      <c r="BE65" s="48">
        <v>0.43289888036869445</v>
      </c>
      <c r="BF65" s="48">
        <v>0.45977480849137098</v>
      </c>
      <c r="BG65" s="48">
        <v>0.3925187332463736</v>
      </c>
      <c r="BH65" s="48">
        <v>0.17917820663264808</v>
      </c>
      <c r="BI65" s="48">
        <v>0.18775255420903425</v>
      </c>
      <c r="BJ65" s="48">
        <v>0.21505786837697677</v>
      </c>
      <c r="BK65" s="48">
        <v>0.55400694236259507</v>
      </c>
      <c r="BL65" s="48">
        <v>0.65887144963901401</v>
      </c>
      <c r="BM65" s="48">
        <v>0.6169816365277192</v>
      </c>
      <c r="BN65" s="48">
        <v>0.50613095827869126</v>
      </c>
      <c r="BO65" s="48">
        <v>0.47091713613118358</v>
      </c>
      <c r="BP65" s="48">
        <v>0.42809813322124329</v>
      </c>
      <c r="BQ65" s="48">
        <v>0.46361622966990762</v>
      </c>
      <c r="BR65" s="48">
        <v>0.50365657396247165</v>
      </c>
      <c r="BS65" s="48">
        <v>0.51806629278546323</v>
      </c>
      <c r="BT65" s="48">
        <v>0.44719285616182425</v>
      </c>
      <c r="BU65" s="48">
        <v>0.48448114613969034</v>
      </c>
      <c r="BV65" s="48">
        <v>0.52734308428986232</v>
      </c>
      <c r="BW65" s="48">
        <v>0.64607597570090047</v>
      </c>
      <c r="BX65" s="48">
        <v>0.67392114470982822</v>
      </c>
      <c r="BY65" s="48">
        <v>0.66178046299744986</v>
      </c>
      <c r="BZ65" s="48">
        <v>0.56866605776303403</v>
      </c>
      <c r="CA65" s="48">
        <v>0.48537816529935368</v>
      </c>
      <c r="CB65" s="48">
        <v>0.51515627609107806</v>
      </c>
      <c r="CC65" s="48">
        <v>0.61851584963151118</v>
      </c>
      <c r="CD65" s="48">
        <v>0.64576891847702145</v>
      </c>
      <c r="CE65" s="48">
        <v>0.61857363436225332</v>
      </c>
      <c r="CF65" s="48">
        <v>0.50095758776103128</v>
      </c>
      <c r="CG65" s="48">
        <v>0.53273979260035897</v>
      </c>
      <c r="CH65" s="48">
        <v>0.61265233928314655</v>
      </c>
      <c r="CI65" s="48">
        <v>0.71280909507352086</v>
      </c>
      <c r="CJ65" s="48">
        <v>0.69871211836249303</v>
      </c>
      <c r="CK65" s="48">
        <v>0.67879772208276801</v>
      </c>
      <c r="CL65" s="48">
        <v>0.64627607468408721</v>
      </c>
      <c r="CM65" s="48">
        <v>0.58044737792672851</v>
      </c>
      <c r="CN65" s="48">
        <v>0.60461139192908442</v>
      </c>
      <c r="CO65" s="48">
        <v>0.65771035918019394</v>
      </c>
      <c r="CP65" s="48">
        <v>0.69375267333566637</v>
      </c>
      <c r="CQ65" s="48">
        <v>0.6946597052430975</v>
      </c>
      <c r="CR65" s="48">
        <v>0.65025673262607153</v>
      </c>
      <c r="CS65" s="48">
        <v>0.51455554389552727</v>
      </c>
      <c r="CT65" s="48">
        <v>0.57801706631234506</v>
      </c>
      <c r="CU65" s="48">
        <v>0.66645183803861985</v>
      </c>
      <c r="CV65" s="48">
        <v>0.70285362083572123</v>
      </c>
      <c r="CW65" s="48">
        <v>0.70367224137284734</v>
      </c>
      <c r="CX65" s="48">
        <v>0.68969028769823704</v>
      </c>
      <c r="CY65" s="48">
        <v>0.6592887126316811</v>
      </c>
      <c r="CZ65" s="48">
        <v>0.61712649090808225</v>
      </c>
      <c r="DA65" s="48">
        <v>0.61313347721239786</v>
      </c>
      <c r="DB65" s="48">
        <v>0.60542778172469802</v>
      </c>
      <c r="DC65" s="48">
        <v>0.57314273743093358</v>
      </c>
      <c r="DD65" s="48">
        <v>0.47979942492805977</v>
      </c>
      <c r="DE65" s="48">
        <v>0.46822876821457599</v>
      </c>
      <c r="DF65" s="48">
        <v>0.51221989727469874</v>
      </c>
    </row>
    <row r="66" spans="1:110" x14ac:dyDescent="0.2">
      <c r="A66" s="46" t="s">
        <v>216</v>
      </c>
      <c r="B66" s="47">
        <f t="shared" si="23"/>
        <v>-9.6</v>
      </c>
      <c r="C66" s="47">
        <f t="shared" si="24"/>
        <v>-8.6499999999999986</v>
      </c>
      <c r="D66" s="49" t="e">
        <f t="shared" ref="D66:D96" ca="1" si="53">_xludf.STDEV.P(W66:DF66)*100</f>
        <v>#NAME?</v>
      </c>
      <c r="E66" s="51">
        <v>4.56897893209781E-3</v>
      </c>
      <c r="F66" s="48">
        <v>0.14899999999999999</v>
      </c>
      <c r="G66" s="48">
        <v>0.1875</v>
      </c>
      <c r="H66" s="48">
        <v>0.1825</v>
      </c>
      <c r="I66" s="48">
        <v>0.23549999999999999</v>
      </c>
      <c r="J66" s="48">
        <v>0.21149999999999999</v>
      </c>
      <c r="K66" s="48">
        <v>0.17749999999999999</v>
      </c>
      <c r="L66" s="48">
        <v>0.221</v>
      </c>
      <c r="M66" s="48">
        <v>0.216</v>
      </c>
      <c r="N66" s="48">
        <v>0.3075</v>
      </c>
      <c r="O66" s="48">
        <v>0.27400000000000002</v>
      </c>
      <c r="P66" s="48">
        <v>0.26900000000000002</v>
      </c>
      <c r="Q66" s="48">
        <v>0.245</v>
      </c>
      <c r="R66" s="48">
        <v>0.24</v>
      </c>
      <c r="S66" s="48">
        <v>0.20649999999999999</v>
      </c>
      <c r="T66" s="48">
        <v>0.17299999999999999</v>
      </c>
      <c r="U66" s="48">
        <v>0.1535</v>
      </c>
      <c r="V66" s="48">
        <v>0.14399999999999999</v>
      </c>
      <c r="W66" s="48">
        <v>0.13900000000000001</v>
      </c>
      <c r="X66" s="48">
        <v>0.1295</v>
      </c>
      <c r="Y66" s="48">
        <v>0.1105</v>
      </c>
      <c r="Z66" s="48">
        <v>0.1055</v>
      </c>
      <c r="AA66" s="48">
        <v>0.115</v>
      </c>
      <c r="AB66" s="48">
        <v>0.115</v>
      </c>
      <c r="AC66" s="48">
        <v>0.125</v>
      </c>
      <c r="AD66" s="48">
        <v>0.13450000000000001</v>
      </c>
      <c r="AE66" s="48">
        <v>0.1585</v>
      </c>
      <c r="AF66" s="48">
        <v>0.16800000000000001</v>
      </c>
      <c r="AG66" s="48">
        <v>0.19700000000000001</v>
      </c>
      <c r="AH66" s="48">
        <v>0.22550000000000001</v>
      </c>
      <c r="AI66" s="48">
        <v>0.25950000000000001</v>
      </c>
      <c r="AJ66" s="48">
        <v>0.33150000000000002</v>
      </c>
      <c r="AK66" s="48">
        <v>5.2499999999999998E-2</v>
      </c>
      <c r="AL66" s="48">
        <v>5.2499999999999998E-2</v>
      </c>
      <c r="AM66" s="48">
        <v>5.2499999999999998E-2</v>
      </c>
      <c r="AN66" s="48">
        <v>5.2499999999999998E-2</v>
      </c>
      <c r="AO66" s="48">
        <v>9.0999999999999998E-2</v>
      </c>
      <c r="AP66" s="48">
        <v>8.6499999999999994E-2</v>
      </c>
      <c r="AQ66" s="48">
        <v>7.6499999999999999E-2</v>
      </c>
      <c r="AR66" s="48">
        <v>7.1999999999999995E-2</v>
      </c>
      <c r="AS66" s="48">
        <v>8.1500000000000003E-2</v>
      </c>
      <c r="AT66" s="48">
        <v>0.10050000000000001</v>
      </c>
      <c r="AU66" s="48">
        <v>0.22550000000000001</v>
      </c>
      <c r="AV66" s="48">
        <v>0.30249999999999999</v>
      </c>
      <c r="AW66" s="48">
        <v>4.4999999999999997E-3</v>
      </c>
      <c r="AX66" s="48">
        <v>4.4999999999999997E-3</v>
      </c>
      <c r="AY66" s="48">
        <v>4.4999999999999997E-3</v>
      </c>
      <c r="AZ66" s="48">
        <v>4.4999999999999997E-3</v>
      </c>
      <c r="BA66" s="48">
        <v>0</v>
      </c>
      <c r="BB66" s="48">
        <v>2.4E-2</v>
      </c>
      <c r="BC66" s="48">
        <v>3.3500000000000002E-2</v>
      </c>
      <c r="BD66" s="48">
        <v>2.8500000000000001E-2</v>
      </c>
      <c r="BE66" s="48">
        <v>3.7999999999999999E-2</v>
      </c>
      <c r="BF66" s="48">
        <v>4.2999999999999997E-2</v>
      </c>
      <c r="BG66" s="48">
        <v>4.8000000000000001E-2</v>
      </c>
      <c r="BH66" s="48">
        <v>9.6000000000000002E-2</v>
      </c>
      <c r="BI66" s="48">
        <v>0.40350000000000003</v>
      </c>
      <c r="BJ66" s="48">
        <v>0.40350000000000003</v>
      </c>
      <c r="BK66" s="48">
        <v>0.40350000000000003</v>
      </c>
      <c r="BL66" s="48">
        <v>0.40350000000000003</v>
      </c>
      <c r="BM66" s="48">
        <v>0.39400000000000002</v>
      </c>
      <c r="BN66" s="48">
        <v>0.38900000000000001</v>
      </c>
      <c r="BO66" s="48">
        <v>0.39900000000000002</v>
      </c>
      <c r="BP66" s="48">
        <v>0.42299999999999999</v>
      </c>
      <c r="BQ66" s="48">
        <v>0.4375</v>
      </c>
      <c r="BR66" s="48">
        <v>0.442</v>
      </c>
      <c r="BS66" s="48">
        <v>0.45150000000000001</v>
      </c>
      <c r="BT66" s="48">
        <v>0.46600000000000003</v>
      </c>
      <c r="BU66" s="48">
        <v>0.35549999999999998</v>
      </c>
      <c r="BV66" s="48">
        <v>0.35549999999999998</v>
      </c>
      <c r="BW66" s="48">
        <v>0.35549999999999998</v>
      </c>
      <c r="BX66" s="48">
        <v>0.35549999999999998</v>
      </c>
      <c r="BY66" s="48">
        <v>0.34100000000000003</v>
      </c>
      <c r="BZ66" s="48">
        <v>0.34599999999999997</v>
      </c>
      <c r="CA66" s="48">
        <v>0.35049999999999998</v>
      </c>
      <c r="CB66" s="48">
        <v>0.38450000000000001</v>
      </c>
      <c r="CC66" s="48">
        <v>0.375</v>
      </c>
      <c r="CD66" s="48">
        <v>0.33650000000000002</v>
      </c>
      <c r="CE66" s="48">
        <v>0.2545</v>
      </c>
      <c r="CF66" s="48">
        <v>0.3795</v>
      </c>
      <c r="CG66" s="48">
        <v>0.20150000000000001</v>
      </c>
      <c r="CH66" s="48">
        <v>0.32650000000000001</v>
      </c>
      <c r="CI66" s="48">
        <v>0.29799999999999999</v>
      </c>
      <c r="CJ66" s="48">
        <v>0.4325</v>
      </c>
      <c r="CK66" s="48">
        <v>0.44700000000000001</v>
      </c>
      <c r="CL66" s="48">
        <v>0.46150000000000002</v>
      </c>
      <c r="CM66" s="48">
        <v>0.47099999999999997</v>
      </c>
      <c r="CN66" s="48">
        <v>0.47549999999999998</v>
      </c>
      <c r="CO66" s="48">
        <v>0.48049999999999998</v>
      </c>
      <c r="CP66" s="48">
        <v>0.48549999999999999</v>
      </c>
      <c r="CQ66" s="48">
        <v>0.5</v>
      </c>
      <c r="CR66" s="48">
        <v>0.49</v>
      </c>
      <c r="CS66" s="48">
        <v>0.495</v>
      </c>
      <c r="CT66" s="48">
        <v>0.27850000000000003</v>
      </c>
      <c r="CU66" s="48">
        <v>0.27850000000000003</v>
      </c>
      <c r="CV66" s="48">
        <v>0.27850000000000003</v>
      </c>
      <c r="CW66" s="48">
        <v>0.27850000000000003</v>
      </c>
      <c r="CX66" s="48">
        <v>0.26400000000000001</v>
      </c>
      <c r="CY66" s="48">
        <v>0.3125</v>
      </c>
      <c r="CZ66" s="48">
        <v>0.32200000000000001</v>
      </c>
      <c r="DA66" s="48">
        <v>0.317</v>
      </c>
      <c r="DB66" s="48">
        <v>0.25</v>
      </c>
      <c r="DC66" s="48">
        <v>0.16300000000000001</v>
      </c>
      <c r="DD66" s="48">
        <v>0.192</v>
      </c>
      <c r="DE66" s="48">
        <v>0.42749999999999999</v>
      </c>
      <c r="DF66" s="48">
        <v>0.45650000000000002</v>
      </c>
    </row>
    <row r="67" spans="1:110" x14ac:dyDescent="0.2">
      <c r="A67" s="46" t="s">
        <v>217</v>
      </c>
      <c r="B67" s="47">
        <f t="shared" si="23"/>
        <v>-19.337500000000006</v>
      </c>
      <c r="C67" s="47">
        <f t="shared" si="24"/>
        <v>-3.4025000000000025</v>
      </c>
      <c r="D67" s="49" t="e">
        <f t="shared" ref="D67:D97" ca="1" si="54">_xludf.STDEV.P(W67:DF67)*100</f>
        <v>#NAME?</v>
      </c>
      <c r="E67" s="51">
        <v>0.12685617906461899</v>
      </c>
      <c r="F67" s="48">
        <v>0.155725</v>
      </c>
      <c r="G67" s="48">
        <v>0.15925</v>
      </c>
      <c r="H67" s="48">
        <v>0.16677500000000001</v>
      </c>
      <c r="I67" s="48">
        <v>0.18975000000000003</v>
      </c>
      <c r="J67" s="48">
        <v>0.26035000000000003</v>
      </c>
      <c r="K67" s="48">
        <v>0.32352500000000001</v>
      </c>
      <c r="L67" s="48">
        <v>0.31037500000000001</v>
      </c>
      <c r="M67" s="48">
        <v>0.3019</v>
      </c>
      <c r="N67" s="48">
        <v>0.29952500000000004</v>
      </c>
      <c r="O67" s="48">
        <v>0.32274999999999993</v>
      </c>
      <c r="P67" s="48">
        <v>0.29762500000000003</v>
      </c>
      <c r="Q67" s="48">
        <v>0.34910000000000008</v>
      </c>
      <c r="R67" s="48">
        <v>0.35402499999999998</v>
      </c>
      <c r="S67" s="48">
        <v>0.32215000000000005</v>
      </c>
      <c r="T67" s="48">
        <v>0.25542500000000001</v>
      </c>
      <c r="U67" s="48">
        <v>0.25774999999999998</v>
      </c>
      <c r="V67" s="48">
        <v>0.38067500000000004</v>
      </c>
      <c r="W67" s="48">
        <v>0.58294999999999997</v>
      </c>
      <c r="X67" s="48">
        <v>0.64707500000000007</v>
      </c>
      <c r="Y67" s="48">
        <v>0.50812500000000005</v>
      </c>
      <c r="Z67" s="48">
        <v>0.31574999999999998</v>
      </c>
      <c r="AA67" s="48">
        <v>0.24792500000000001</v>
      </c>
      <c r="AB67" s="48">
        <v>0.34212500000000001</v>
      </c>
      <c r="AC67" s="48">
        <v>0.39924999999999999</v>
      </c>
      <c r="AD67" s="48">
        <v>0.39290000000000003</v>
      </c>
      <c r="AE67" s="48">
        <v>0.37992499999999996</v>
      </c>
      <c r="AF67" s="48">
        <v>0.36064999999999997</v>
      </c>
      <c r="AG67" s="48">
        <v>0.33634999999999993</v>
      </c>
      <c r="AH67" s="48">
        <v>0.331125</v>
      </c>
      <c r="AI67" s="48">
        <v>0.34337500000000004</v>
      </c>
      <c r="AJ67" s="48">
        <v>0.4008000000000001</v>
      </c>
      <c r="AK67" s="48">
        <v>0.44472500000000009</v>
      </c>
      <c r="AL67" s="48">
        <v>0.43225000000000002</v>
      </c>
      <c r="AM67" s="48">
        <v>0.41970000000000007</v>
      </c>
      <c r="AN67" s="48">
        <v>0.37664999999999998</v>
      </c>
      <c r="AO67" s="48">
        <v>0.38055</v>
      </c>
      <c r="AP67" s="48">
        <v>0.42552500000000004</v>
      </c>
      <c r="AQ67" s="48">
        <v>0.47302500000000003</v>
      </c>
      <c r="AR67" s="48">
        <v>0.5520250000000001</v>
      </c>
      <c r="AS67" s="48">
        <v>0.56690000000000007</v>
      </c>
      <c r="AT67" s="48">
        <v>0.62034999999999996</v>
      </c>
      <c r="AU67" s="48">
        <v>0.74932500000000002</v>
      </c>
      <c r="AV67" s="48">
        <v>0.70952500000000007</v>
      </c>
      <c r="AW67" s="48">
        <v>0.71044999999999991</v>
      </c>
      <c r="AX67" s="48">
        <v>0.64210000000000012</v>
      </c>
      <c r="AY67" s="48">
        <v>0.67272500000000002</v>
      </c>
      <c r="AZ67" s="48">
        <v>0.62590000000000001</v>
      </c>
      <c r="BA67" s="48">
        <v>0.60807500000000003</v>
      </c>
      <c r="BB67" s="48">
        <v>0.58087500000000014</v>
      </c>
      <c r="BC67" s="48">
        <v>0.59105000000000019</v>
      </c>
      <c r="BD67" s="48">
        <v>0.54120000000000001</v>
      </c>
      <c r="BE67" s="48">
        <v>0.49032500000000007</v>
      </c>
      <c r="BF67" s="48">
        <v>0.44285000000000008</v>
      </c>
      <c r="BG67" s="48">
        <v>0.33717500000000006</v>
      </c>
      <c r="BH67" s="48">
        <v>0.15530000000000002</v>
      </c>
      <c r="BI67" s="48">
        <v>0.155775</v>
      </c>
      <c r="BJ67" s="48">
        <v>0.17197499999999999</v>
      </c>
      <c r="BK67" s="48">
        <v>0.37270000000000009</v>
      </c>
      <c r="BL67" s="48">
        <v>0.44162499999999999</v>
      </c>
      <c r="BM67" s="48">
        <v>0.44302500000000006</v>
      </c>
      <c r="BN67" s="48">
        <v>0.47950000000000009</v>
      </c>
      <c r="BO67" s="48">
        <v>0.40122500000000011</v>
      </c>
      <c r="BP67" s="48">
        <v>0.41050000000000014</v>
      </c>
      <c r="BQ67" s="48">
        <v>0.35502500000000003</v>
      </c>
      <c r="BR67" s="48">
        <v>0.38320000000000004</v>
      </c>
      <c r="BS67" s="48">
        <v>0.46980000000000005</v>
      </c>
      <c r="BT67" s="48">
        <v>0.54097500000000009</v>
      </c>
      <c r="BU67" s="48">
        <v>0.65064999999999995</v>
      </c>
      <c r="BV67" s="48">
        <v>0.6464000000000002</v>
      </c>
      <c r="BW67" s="48">
        <v>0.58715000000000006</v>
      </c>
      <c r="BX67" s="48">
        <v>0.55347500000000005</v>
      </c>
      <c r="BY67" s="48">
        <v>0.55945</v>
      </c>
      <c r="BZ67" s="48">
        <v>0.54137500000000005</v>
      </c>
      <c r="CA67" s="48">
        <v>0.47610000000000008</v>
      </c>
      <c r="CB67" s="48">
        <v>0.38132500000000003</v>
      </c>
      <c r="CC67" s="48">
        <v>0.43270000000000008</v>
      </c>
      <c r="CD67" s="48">
        <v>0.60250000000000004</v>
      </c>
      <c r="CE67" s="48">
        <v>0.6543500000000001</v>
      </c>
      <c r="CF67" s="48">
        <v>0.63882500000000009</v>
      </c>
      <c r="CG67" s="48">
        <v>0.70015000000000005</v>
      </c>
      <c r="CH67" s="48">
        <v>0.77695000000000003</v>
      </c>
      <c r="CI67" s="48">
        <v>0.81632500000000008</v>
      </c>
      <c r="CJ67" s="48">
        <v>0.72597500000000004</v>
      </c>
      <c r="CK67" s="48">
        <v>0.66932500000000006</v>
      </c>
      <c r="CL67" s="48">
        <v>0.61175000000000002</v>
      </c>
      <c r="CM67" s="48">
        <v>0.72380000000000011</v>
      </c>
      <c r="CN67" s="48">
        <v>0.74882500000000007</v>
      </c>
      <c r="CO67" s="48">
        <v>0.77747500000000014</v>
      </c>
      <c r="CP67" s="48">
        <v>0.74777500000000008</v>
      </c>
      <c r="CQ67" s="48">
        <v>0.70242500000000019</v>
      </c>
      <c r="CR67" s="48">
        <v>0.71100000000000019</v>
      </c>
      <c r="CS67" s="48">
        <v>0.68162500000000015</v>
      </c>
      <c r="CT67" s="48">
        <v>0.72060000000000002</v>
      </c>
      <c r="CU67" s="48">
        <v>0.723325</v>
      </c>
      <c r="CV67" s="48">
        <v>0.78562500000000013</v>
      </c>
      <c r="CW67" s="48">
        <v>0.7899250000000001</v>
      </c>
      <c r="CX67" s="48">
        <v>0.73182500000000006</v>
      </c>
      <c r="CY67" s="48">
        <v>0.71610000000000007</v>
      </c>
      <c r="CZ67" s="48">
        <v>0.73697500000000005</v>
      </c>
      <c r="DA67" s="48">
        <v>0.80420000000000014</v>
      </c>
      <c r="DB67" s="48">
        <v>0.75437500000000013</v>
      </c>
      <c r="DC67" s="48">
        <v>0.69162500000000005</v>
      </c>
      <c r="DD67" s="48">
        <v>0.57552500000000018</v>
      </c>
      <c r="DE67" s="48">
        <v>0.3620000000000001</v>
      </c>
      <c r="DF67" s="48">
        <v>0.306425</v>
      </c>
    </row>
    <row r="68" spans="1:110" x14ac:dyDescent="0.2"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spans="1:110" s="45" customFormat="1" x14ac:dyDescent="0.2">
      <c r="A69" s="42" t="s">
        <v>1</v>
      </c>
      <c r="B69" s="43" t="s">
        <v>246</v>
      </c>
      <c r="C69" s="44" t="s">
        <v>260</v>
      </c>
      <c r="D69" s="44" t="s">
        <v>258</v>
      </c>
      <c r="E69" s="44"/>
      <c r="F69" s="44">
        <v>45565</v>
      </c>
      <c r="G69" s="44">
        <v>45535</v>
      </c>
      <c r="H69" s="44">
        <v>45504</v>
      </c>
      <c r="I69" s="44">
        <v>45473</v>
      </c>
      <c r="J69" s="44">
        <v>45443</v>
      </c>
      <c r="K69" s="44">
        <v>45412</v>
      </c>
      <c r="L69" s="44">
        <v>45382</v>
      </c>
      <c r="M69" s="44">
        <v>45351</v>
      </c>
      <c r="N69" s="44">
        <v>45322</v>
      </c>
      <c r="O69" s="44">
        <v>45291</v>
      </c>
      <c r="P69" s="44">
        <v>45260</v>
      </c>
      <c r="Q69" s="44">
        <v>45230</v>
      </c>
      <c r="R69" s="44">
        <v>45199</v>
      </c>
      <c r="S69" s="44">
        <v>45169</v>
      </c>
      <c r="T69" s="44">
        <v>45138</v>
      </c>
      <c r="U69" s="44">
        <v>45107</v>
      </c>
      <c r="V69" s="44">
        <v>45077</v>
      </c>
      <c r="W69" s="44">
        <v>45046</v>
      </c>
      <c r="X69" s="44">
        <v>45016</v>
      </c>
      <c r="Y69" s="44">
        <v>44985</v>
      </c>
      <c r="Z69" s="44">
        <v>44957</v>
      </c>
      <c r="AA69" s="44">
        <v>44926</v>
      </c>
      <c r="AB69" s="44">
        <v>44895</v>
      </c>
      <c r="AC69" s="44">
        <v>44865</v>
      </c>
      <c r="AD69" s="44">
        <v>44834</v>
      </c>
      <c r="AE69" s="44">
        <v>44804</v>
      </c>
      <c r="AF69" s="44">
        <v>44773</v>
      </c>
      <c r="AG69" s="44">
        <v>44742</v>
      </c>
      <c r="AH69" s="44">
        <v>44712</v>
      </c>
      <c r="AI69" s="44">
        <v>44681</v>
      </c>
      <c r="AJ69" s="44">
        <v>44651</v>
      </c>
      <c r="AK69" s="44">
        <v>44620</v>
      </c>
      <c r="AL69" s="44">
        <v>44592</v>
      </c>
      <c r="AM69" s="44">
        <v>44561</v>
      </c>
      <c r="AN69" s="44">
        <v>44530</v>
      </c>
      <c r="AO69" s="44">
        <v>44500</v>
      </c>
      <c r="AP69" s="44">
        <v>44469</v>
      </c>
      <c r="AQ69" s="44">
        <v>44439</v>
      </c>
      <c r="AR69" s="44">
        <v>44408</v>
      </c>
      <c r="AS69" s="44">
        <v>44377</v>
      </c>
      <c r="AT69" s="44">
        <v>44347</v>
      </c>
      <c r="AU69" s="44">
        <v>44316</v>
      </c>
      <c r="AV69" s="44">
        <v>44286</v>
      </c>
      <c r="AW69" s="44">
        <v>44255</v>
      </c>
      <c r="AX69" s="44">
        <v>44227</v>
      </c>
      <c r="AY69" s="44">
        <v>44196</v>
      </c>
      <c r="AZ69" s="44">
        <v>44165</v>
      </c>
      <c r="BA69" s="44">
        <v>44135</v>
      </c>
      <c r="BB69" s="44">
        <v>44104</v>
      </c>
      <c r="BC69" s="44">
        <v>44074</v>
      </c>
      <c r="BD69" s="44">
        <v>44043</v>
      </c>
      <c r="BE69" s="44">
        <v>44012</v>
      </c>
      <c r="BF69" s="44">
        <v>43982</v>
      </c>
      <c r="BG69" s="44">
        <v>43951</v>
      </c>
      <c r="BH69" s="44">
        <v>43921</v>
      </c>
      <c r="BI69" s="44">
        <v>43890</v>
      </c>
      <c r="BJ69" s="44">
        <v>43861</v>
      </c>
      <c r="BK69" s="44">
        <v>43830</v>
      </c>
      <c r="BL69" s="44">
        <v>43799</v>
      </c>
      <c r="BM69" s="44">
        <v>43769</v>
      </c>
      <c r="BN69" s="44">
        <v>43738</v>
      </c>
      <c r="BO69" s="44">
        <v>43708</v>
      </c>
      <c r="BP69" s="44">
        <v>43677</v>
      </c>
      <c r="BQ69" s="44">
        <v>43646</v>
      </c>
      <c r="BR69" s="44">
        <v>43616</v>
      </c>
      <c r="BS69" s="44">
        <v>43585</v>
      </c>
      <c r="BT69" s="44">
        <v>43555</v>
      </c>
      <c r="BU69" s="44">
        <v>43524</v>
      </c>
      <c r="BV69" s="44">
        <v>43496</v>
      </c>
      <c r="BW69" s="44">
        <v>43465</v>
      </c>
      <c r="BX69" s="44">
        <v>43434</v>
      </c>
      <c r="BY69" s="44">
        <v>43404</v>
      </c>
      <c r="BZ69" s="44">
        <v>43373</v>
      </c>
      <c r="CA69" s="44">
        <v>43343</v>
      </c>
      <c r="CB69" s="44">
        <v>43312</v>
      </c>
      <c r="CC69" s="44">
        <v>43281</v>
      </c>
      <c r="CD69" s="44">
        <v>43251</v>
      </c>
      <c r="CE69" s="44">
        <v>43220</v>
      </c>
      <c r="CF69" s="44">
        <v>43190</v>
      </c>
      <c r="CG69" s="44">
        <v>43159</v>
      </c>
      <c r="CH69" s="44">
        <v>43131</v>
      </c>
      <c r="CI69" s="44">
        <v>43100</v>
      </c>
      <c r="CJ69" s="44">
        <v>43069</v>
      </c>
      <c r="CK69" s="44">
        <v>43039</v>
      </c>
      <c r="CL69" s="44">
        <v>43008</v>
      </c>
      <c r="CM69" s="44">
        <v>42978</v>
      </c>
      <c r="CN69" s="44">
        <v>42947</v>
      </c>
      <c r="CO69" s="44">
        <v>42916</v>
      </c>
      <c r="CP69" s="44">
        <v>42886</v>
      </c>
      <c r="CQ69" s="44">
        <v>42855</v>
      </c>
      <c r="CR69" s="44">
        <v>42825</v>
      </c>
      <c r="CS69" s="44">
        <v>42794</v>
      </c>
      <c r="CT69" s="44">
        <v>42766</v>
      </c>
      <c r="CU69" s="44">
        <v>42735</v>
      </c>
      <c r="CV69" s="44">
        <v>42704</v>
      </c>
      <c r="CW69" s="44">
        <v>42674</v>
      </c>
      <c r="CX69" s="44">
        <v>42643</v>
      </c>
      <c r="CY69" s="44">
        <v>42613</v>
      </c>
      <c r="CZ69" s="44">
        <v>42582</v>
      </c>
      <c r="DA69" s="44">
        <v>42551</v>
      </c>
      <c r="DB69" s="44">
        <v>42521</v>
      </c>
      <c r="DC69" s="44">
        <v>42490</v>
      </c>
      <c r="DD69" s="44">
        <v>42460</v>
      </c>
      <c r="DE69" s="44">
        <v>42429</v>
      </c>
      <c r="DF69" s="44">
        <v>42400</v>
      </c>
    </row>
    <row r="70" spans="1:110" x14ac:dyDescent="0.2">
      <c r="A70" s="46" t="s">
        <v>6</v>
      </c>
      <c r="B70" s="47">
        <f>(F70-Q70)*100</f>
        <v>-17.323076923076908</v>
      </c>
      <c r="C70" s="47">
        <f>(F70-I70)*100</f>
        <v>-11.076923076923073</v>
      </c>
      <c r="D70" s="49" t="e">
        <f t="shared" ref="D70:D102" ca="1" si="55">_xludf.STDEV.P(W70:DF70)*100</f>
        <v>#NAME?</v>
      </c>
      <c r="E70" s="47"/>
      <c r="F70" s="48">
        <v>0.54723076923076919</v>
      </c>
      <c r="G70" s="48">
        <v>0.55369230769230759</v>
      </c>
      <c r="H70" s="48">
        <v>0.64207692307692288</v>
      </c>
      <c r="I70" s="48">
        <v>0.65799999999999992</v>
      </c>
      <c r="J70" s="48">
        <v>0.69123076923076909</v>
      </c>
      <c r="K70" s="48">
        <v>0.71099999999999985</v>
      </c>
      <c r="L70" s="48">
        <v>0.72015384615384603</v>
      </c>
      <c r="M70" s="48">
        <v>0.66884615384615365</v>
      </c>
      <c r="N70" s="48">
        <v>0.64338461538461533</v>
      </c>
      <c r="O70" s="48">
        <v>0.63861538461538447</v>
      </c>
      <c r="P70" s="48">
        <v>0.67138461538461514</v>
      </c>
      <c r="Q70" s="48">
        <v>0.72046153846153826</v>
      </c>
      <c r="R70" s="48">
        <v>0.76592307692307682</v>
      </c>
      <c r="S70" s="48">
        <v>0.76838461538461533</v>
      </c>
      <c r="T70" s="48">
        <v>0.69969230769230761</v>
      </c>
      <c r="U70" s="48">
        <v>0.63530769230769202</v>
      </c>
      <c r="V70" s="48">
        <v>0.59438461538461529</v>
      </c>
      <c r="W70" s="48">
        <v>0.62684615384615372</v>
      </c>
      <c r="X70" s="48">
        <v>0.64761538461538448</v>
      </c>
      <c r="Y70" s="48">
        <v>0.67392307692307685</v>
      </c>
      <c r="Z70" s="48">
        <v>0.70646153846153825</v>
      </c>
      <c r="AA70" s="48">
        <v>0.71961538461538443</v>
      </c>
      <c r="AB70" s="48">
        <v>0.74061538461538445</v>
      </c>
      <c r="AC70" s="48">
        <v>0.75599999999999989</v>
      </c>
      <c r="AD70" s="48">
        <v>0.78053846153846129</v>
      </c>
      <c r="AE70" s="48">
        <v>0.79276923076923045</v>
      </c>
      <c r="AF70" s="48">
        <v>0.81792307692307664</v>
      </c>
      <c r="AG70" s="48">
        <v>0.85061538461538455</v>
      </c>
      <c r="AH70" s="48">
        <v>0.85407692307692296</v>
      </c>
      <c r="AI70" s="48">
        <v>0.85523076923076902</v>
      </c>
      <c r="AJ70" s="48">
        <v>0.84138461538461529</v>
      </c>
      <c r="AK70" s="48">
        <v>0.86169230769230742</v>
      </c>
      <c r="AL70" s="48">
        <v>0.85346153846153838</v>
      </c>
      <c r="AM70" s="48">
        <v>0.73238461538461519</v>
      </c>
      <c r="AN70" s="48">
        <v>0.67546153846153834</v>
      </c>
      <c r="AO70" s="48">
        <v>0.70269230769230762</v>
      </c>
      <c r="AP70" s="48">
        <v>0.73223076923076902</v>
      </c>
      <c r="AQ70" s="48">
        <v>0.66953846153846142</v>
      </c>
      <c r="AR70" s="48">
        <v>0.65115384615384608</v>
      </c>
      <c r="AS70" s="48">
        <v>0.63523076923076904</v>
      </c>
      <c r="AT70" s="48">
        <v>0.60276923076923072</v>
      </c>
      <c r="AU70" s="48">
        <v>0.52161538461538448</v>
      </c>
      <c r="AV70" s="48">
        <v>0.49515384615384611</v>
      </c>
      <c r="AW70" s="48">
        <v>0.4326923076923076</v>
      </c>
      <c r="AX70" s="48">
        <v>0.3907692307692307</v>
      </c>
      <c r="AY70" s="48">
        <v>0.32930769230769225</v>
      </c>
      <c r="AZ70" s="48">
        <v>0.23569230769230765</v>
      </c>
      <c r="BA70" s="48">
        <v>0.20115384615384613</v>
      </c>
      <c r="BB70" s="48">
        <v>0.18446153846153843</v>
      </c>
      <c r="BC70" s="48">
        <v>0.20607692307692305</v>
      </c>
      <c r="BD70" s="48">
        <v>0.20623076923076919</v>
      </c>
      <c r="BE70" s="48">
        <v>0.15676923076923074</v>
      </c>
      <c r="BF70" s="48">
        <v>9.3076923076923071E-2</v>
      </c>
      <c r="BG70" s="48">
        <v>6.2846153846153843E-2</v>
      </c>
      <c r="BH70" s="48">
        <v>7.1999999999999981E-2</v>
      </c>
      <c r="BI70" s="48">
        <v>0.1592307692307692</v>
      </c>
      <c r="BJ70" s="48">
        <v>0.33284615384615374</v>
      </c>
      <c r="BK70" s="48">
        <v>0.36969230769230765</v>
      </c>
      <c r="BL70" s="48">
        <v>0.38207692307692293</v>
      </c>
      <c r="BM70" s="48">
        <v>0.35776923076923067</v>
      </c>
      <c r="BN70" s="48">
        <v>0.34876923076923072</v>
      </c>
      <c r="BO70" s="48">
        <v>0.40269230769230757</v>
      </c>
      <c r="BP70" s="48">
        <v>0.46323076923076911</v>
      </c>
      <c r="BQ70" s="48">
        <v>0.47684615384615375</v>
      </c>
      <c r="BR70" s="48">
        <v>0.52884615384615374</v>
      </c>
      <c r="BS70" s="48">
        <v>0.53830769230769226</v>
      </c>
      <c r="BT70" s="48">
        <v>0.54007692307692301</v>
      </c>
      <c r="BU70" s="48">
        <v>0.47792307692307678</v>
      </c>
      <c r="BV70" s="48">
        <v>0.3837692307692307</v>
      </c>
      <c r="BW70" s="48">
        <v>0.35846153846153839</v>
      </c>
      <c r="BX70" s="48">
        <v>0.41438461538461524</v>
      </c>
      <c r="BY70" s="48">
        <v>0.5476153846153845</v>
      </c>
      <c r="BZ70" s="48">
        <v>0.65884615384615364</v>
      </c>
      <c r="CA70" s="48">
        <v>0.66592307692307684</v>
      </c>
      <c r="CB70" s="48">
        <v>0.62723076923076904</v>
      </c>
      <c r="CC70" s="48">
        <v>0.63784615384615362</v>
      </c>
      <c r="CD70" s="48">
        <v>0.65592307692307683</v>
      </c>
      <c r="CE70" s="48">
        <v>0.61553846153846148</v>
      </c>
      <c r="CF70" s="48">
        <v>0.60030769230769221</v>
      </c>
      <c r="CG70" s="48">
        <v>0.57938461538461528</v>
      </c>
      <c r="CH70" s="48">
        <v>0.55815384615384611</v>
      </c>
      <c r="CI70" s="48">
        <v>0.53546153846153832</v>
      </c>
      <c r="CJ70" s="48">
        <v>0.48446153846153839</v>
      </c>
      <c r="CK70" s="48">
        <v>0.43284615384615371</v>
      </c>
      <c r="CL70" s="48">
        <v>0.4008461538461538</v>
      </c>
      <c r="CM70" s="48">
        <v>0.39161538461538453</v>
      </c>
      <c r="CN70" s="48">
        <v>0.3561538461538461</v>
      </c>
      <c r="CO70" s="48">
        <v>0.3388461538461538</v>
      </c>
      <c r="CP70" s="48">
        <v>0.30976923076923069</v>
      </c>
      <c r="CQ70" s="48">
        <v>0.30761538461538457</v>
      </c>
      <c r="CR70" s="48">
        <v>0.31807692307692298</v>
      </c>
      <c r="CS70" s="48">
        <v>0.3277692307692307</v>
      </c>
      <c r="CT70" s="48">
        <v>0.31399999999999989</v>
      </c>
      <c r="CU70" s="48">
        <v>0.27869230769230763</v>
      </c>
      <c r="CV70" s="48">
        <v>0.26092307692307687</v>
      </c>
      <c r="CW70" s="48">
        <v>0.23838461538461533</v>
      </c>
      <c r="CX70" s="48">
        <v>0.25261538461538458</v>
      </c>
      <c r="CY70" s="48">
        <v>0.23923076923076922</v>
      </c>
      <c r="CZ70" s="48">
        <v>0.24246153846153845</v>
      </c>
      <c r="DA70" s="48">
        <v>0.23830769230769228</v>
      </c>
      <c r="DB70" s="48">
        <v>0.24923076923076914</v>
      </c>
      <c r="DC70" s="48">
        <v>0.20646153846153845</v>
      </c>
      <c r="DD70" s="48">
        <v>0.15807692307692306</v>
      </c>
      <c r="DE70" s="48">
        <v>0.11361538461538459</v>
      </c>
      <c r="DF70" s="48">
        <v>9.3307692307692286E-2</v>
      </c>
    </row>
    <row r="71" spans="1:110" x14ac:dyDescent="0.2">
      <c r="A71" s="46" t="s">
        <v>9</v>
      </c>
      <c r="B71" s="47">
        <f t="shared" ref="B71:B134" si="56">(F71-Q71)*100</f>
        <v>-12.6</v>
      </c>
      <c r="C71" s="47">
        <f t="shared" ref="C71:C134" si="57">(F71-I71)*100</f>
        <v>10.7</v>
      </c>
      <c r="D71" s="49" t="e">
        <f t="shared" ref="D71:D103" ca="1" si="58">_xludf.STDEV.P(W71:DF71)*100</f>
        <v>#NAME?</v>
      </c>
      <c r="E71" s="47"/>
      <c r="F71" s="48">
        <v>0.64</v>
      </c>
      <c r="G71" s="48">
        <v>0.621</v>
      </c>
      <c r="H71" s="48">
        <v>0.60099999999999998</v>
      </c>
      <c r="I71" s="48">
        <v>0.53300000000000003</v>
      </c>
      <c r="J71" s="48">
        <v>0.44600000000000001</v>
      </c>
      <c r="K71" s="48">
        <v>0.223</v>
      </c>
      <c r="L71" s="48">
        <v>0.45600000000000002</v>
      </c>
      <c r="M71" s="48">
        <v>0.42700000000000005</v>
      </c>
      <c r="N71" s="48">
        <v>0.13500000000000001</v>
      </c>
      <c r="O71" s="48">
        <v>4.8000000000000001E-2</v>
      </c>
      <c r="P71" s="48">
        <v>0.35899999999999999</v>
      </c>
      <c r="Q71" s="48">
        <v>0.76600000000000001</v>
      </c>
      <c r="R71" s="48">
        <v>0.89300000000000002</v>
      </c>
      <c r="S71" s="48">
        <v>0.7569999999999999</v>
      </c>
      <c r="T71" s="48">
        <v>0.54300000000000004</v>
      </c>
      <c r="U71" s="48">
        <v>0.5</v>
      </c>
      <c r="V71" s="48">
        <v>0.99</v>
      </c>
      <c r="W71" s="48">
        <v>1</v>
      </c>
      <c r="X71" s="48">
        <v>0.98</v>
      </c>
      <c r="Y71" s="48">
        <v>0.57199999999999995</v>
      </c>
      <c r="Z71" s="48">
        <v>0.41700000000000004</v>
      </c>
      <c r="AA71" s="48">
        <v>0.21299999999999999</v>
      </c>
      <c r="AB71" s="48">
        <v>0.27100000000000002</v>
      </c>
      <c r="AC71" s="48">
        <v>0.47499999999999998</v>
      </c>
      <c r="AD71" s="48">
        <v>0.52400000000000002</v>
      </c>
      <c r="AE71" s="48">
        <v>0.48499999999999999</v>
      </c>
      <c r="AF71" s="48">
        <v>0.46600000000000003</v>
      </c>
      <c r="AG71" s="48">
        <v>0.3</v>
      </c>
      <c r="AH71" s="48">
        <v>0.378</v>
      </c>
      <c r="AI71" s="48">
        <v>0.32</v>
      </c>
      <c r="AJ71" s="48">
        <v>0.504</v>
      </c>
      <c r="AK71" s="48">
        <v>0.67900000000000005</v>
      </c>
      <c r="AL71" s="48">
        <v>0.93200000000000005</v>
      </c>
      <c r="AM71" s="48">
        <v>0.97</v>
      </c>
      <c r="AN71" s="48">
        <v>0.95099999999999996</v>
      </c>
      <c r="AO71" s="48">
        <v>0.873</v>
      </c>
      <c r="AP71" s="48">
        <v>0.92200000000000004</v>
      </c>
      <c r="AQ71" s="48">
        <v>0.84400000000000008</v>
      </c>
      <c r="AR71" s="48">
        <v>0.66900000000000004</v>
      </c>
      <c r="AS71" s="48">
        <v>0.40700000000000003</v>
      </c>
      <c r="AT71" s="48">
        <v>0.14499999999999999</v>
      </c>
      <c r="AU71" s="48">
        <v>5.8000000000000003E-2</v>
      </c>
      <c r="AV71" s="48">
        <v>0.126</v>
      </c>
      <c r="AW71" s="48">
        <v>0.20300000000000001</v>
      </c>
      <c r="AX71" s="48">
        <v>0.252</v>
      </c>
      <c r="AY71" s="48">
        <v>0.33</v>
      </c>
      <c r="AZ71" s="48">
        <v>0.31</v>
      </c>
      <c r="BA71" s="48">
        <v>0.29099999999999998</v>
      </c>
      <c r="BB71" s="48">
        <v>0.155</v>
      </c>
      <c r="BC71" s="48">
        <v>0.184</v>
      </c>
      <c r="BD71" s="48">
        <v>0.38800000000000001</v>
      </c>
      <c r="BE71" s="48">
        <v>0.58199999999999996</v>
      </c>
      <c r="BF71" s="48">
        <v>0.79600000000000004</v>
      </c>
      <c r="BG71" s="48">
        <v>0.82499999999999996</v>
      </c>
      <c r="BH71" s="48">
        <v>0.66</v>
      </c>
      <c r="BI71" s="48">
        <v>0.495</v>
      </c>
      <c r="BJ71" s="48">
        <v>0.28100000000000003</v>
      </c>
      <c r="BK71" s="48">
        <v>7.6999999999999999E-2</v>
      </c>
      <c r="BL71" s="48">
        <v>0.10599999999999998</v>
      </c>
      <c r="BM71" s="48">
        <v>0.19400000000000001</v>
      </c>
      <c r="BN71" s="48">
        <v>0.26200000000000001</v>
      </c>
      <c r="BO71" s="48">
        <v>0.34899999999999998</v>
      </c>
      <c r="BP71" s="48">
        <v>0.36799999999999999</v>
      </c>
      <c r="BQ71" s="48">
        <v>0.39800000000000002</v>
      </c>
      <c r="BR71" s="48">
        <v>0.23300000000000001</v>
      </c>
      <c r="BS71" s="48">
        <v>0.17399999999999999</v>
      </c>
      <c r="BT71" s="48">
        <v>8.6999999999999994E-2</v>
      </c>
      <c r="BU71" s="48">
        <v>0.33900000000000002</v>
      </c>
      <c r="BV71" s="48">
        <v>0.51400000000000001</v>
      </c>
      <c r="BW71" s="48">
        <v>0.70799999999999996</v>
      </c>
      <c r="BX71" s="48">
        <v>0.73699999999999988</v>
      </c>
      <c r="BY71" s="48">
        <v>0.72799999999999998</v>
      </c>
      <c r="BZ71" s="48">
        <v>0.69899999999999995</v>
      </c>
      <c r="CA71" s="48">
        <v>0.65</v>
      </c>
      <c r="CB71" s="48">
        <v>0.61099999999999999</v>
      </c>
      <c r="CC71" s="48">
        <v>0.56299999999999994</v>
      </c>
      <c r="CD71" s="48">
        <v>0.63100000000000001</v>
      </c>
      <c r="CE71" s="48">
        <v>0.74699999999999989</v>
      </c>
      <c r="CF71" s="48">
        <v>0.91200000000000003</v>
      </c>
      <c r="CG71" s="48">
        <v>0.94099999999999995</v>
      </c>
      <c r="CH71" s="48">
        <v>0.96099999999999997</v>
      </c>
      <c r="CI71" s="48">
        <v>0.88300000000000001</v>
      </c>
      <c r="CJ71" s="48">
        <v>0.85400000000000009</v>
      </c>
      <c r="CK71" s="48">
        <v>0.78600000000000003</v>
      </c>
      <c r="CL71" s="48">
        <v>0.80500000000000005</v>
      </c>
      <c r="CM71" s="48">
        <v>0.83400000000000007</v>
      </c>
      <c r="CN71" s="48">
        <v>0.8640000000000001</v>
      </c>
      <c r="CO71" s="48">
        <v>0.90200000000000002</v>
      </c>
      <c r="CP71" s="48">
        <v>0.81499999999999995</v>
      </c>
      <c r="CQ71" s="48">
        <v>0.55300000000000005</v>
      </c>
      <c r="CR71" s="48">
        <v>0.24200000000000002</v>
      </c>
      <c r="CS71" s="48">
        <v>3.7999999999999999E-2</v>
      </c>
      <c r="CT71" s="48">
        <v>2.9000000000000001E-2</v>
      </c>
      <c r="CU71" s="48">
        <v>0.11600000000000001</v>
      </c>
      <c r="CV71" s="48">
        <v>0.16500000000000001</v>
      </c>
      <c r="CW71" s="48">
        <v>9.7000000000000003E-2</v>
      </c>
      <c r="CX71" s="48">
        <v>1.9E-2</v>
      </c>
      <c r="CY71" s="48">
        <v>0</v>
      </c>
      <c r="CZ71" s="48">
        <v>8.9999999999999993E-3</v>
      </c>
      <c r="DA71" s="48">
        <v>6.7000000000000004E-2</v>
      </c>
      <c r="DB71" s="48">
        <v>0.436</v>
      </c>
      <c r="DC71" s="48">
        <v>0.59199999999999997</v>
      </c>
      <c r="DD71" s="48">
        <v>0.77600000000000002</v>
      </c>
      <c r="DE71" s="48">
        <v>0.68899999999999995</v>
      </c>
      <c r="DF71" s="48">
        <v>0.71799999999999997</v>
      </c>
    </row>
    <row r="72" spans="1:110" x14ac:dyDescent="0.2">
      <c r="A72" s="46" t="s">
        <v>12</v>
      </c>
      <c r="B72" s="47">
        <f t="shared" si="56"/>
        <v>-13.4</v>
      </c>
      <c r="C72" s="47">
        <f t="shared" si="57"/>
        <v>-2.9000000000000026</v>
      </c>
      <c r="D72" s="49" t="e">
        <f t="shared" ref="D72:D104" ca="1" si="59">_xludf.STDEV.P(W72:DF72)*100</f>
        <v>#NAME?</v>
      </c>
      <c r="E72" s="47"/>
      <c r="F72" s="48">
        <v>0.56699999999999995</v>
      </c>
      <c r="G72" s="48">
        <v>0.57599999999999996</v>
      </c>
      <c r="H72" s="48">
        <v>0.61499999999999999</v>
      </c>
      <c r="I72" s="48">
        <v>0.59599999999999997</v>
      </c>
      <c r="J72" s="48">
        <v>0.58599999999999997</v>
      </c>
      <c r="K72" s="48">
        <v>0.63400000000000001</v>
      </c>
      <c r="L72" s="48">
        <v>0.67300000000000004</v>
      </c>
      <c r="M72" s="48">
        <v>0.69199999999999995</v>
      </c>
      <c r="N72" s="48">
        <v>0.70099999999999996</v>
      </c>
      <c r="O72" s="48">
        <v>0.72099999999999997</v>
      </c>
      <c r="P72" s="48">
        <v>0.74</v>
      </c>
      <c r="Q72" s="48">
        <v>0.70099999999999996</v>
      </c>
      <c r="R72" s="48">
        <v>0.68200000000000005</v>
      </c>
      <c r="S72" s="48">
        <v>0.625</v>
      </c>
      <c r="T72" s="48">
        <v>0.60499999999999998</v>
      </c>
      <c r="U72" s="48">
        <v>0.66300000000000003</v>
      </c>
      <c r="V72" s="48">
        <v>0.79800000000000004</v>
      </c>
      <c r="W72" s="48">
        <v>0.85499999999999998</v>
      </c>
      <c r="X72" s="48">
        <v>0.875</v>
      </c>
      <c r="Y72" s="48">
        <v>0.88400000000000001</v>
      </c>
      <c r="Z72" s="48">
        <v>0.90300000000000002</v>
      </c>
      <c r="AA72" s="48">
        <v>0.99</v>
      </c>
      <c r="AB72" s="48">
        <v>0.94199999999999995</v>
      </c>
      <c r="AC72" s="48">
        <v>0.94199999999999995</v>
      </c>
      <c r="AD72" s="48">
        <v>0.94199999999999995</v>
      </c>
      <c r="AE72" s="48">
        <v>0.94199999999999995</v>
      </c>
      <c r="AF72" s="48">
        <v>0.91300000000000003</v>
      </c>
      <c r="AG72" s="48">
        <v>0.93200000000000005</v>
      </c>
      <c r="AH72" s="48">
        <v>0.92300000000000004</v>
      </c>
      <c r="AI72" s="48">
        <v>1</v>
      </c>
      <c r="AJ72" s="48">
        <v>0.98</v>
      </c>
      <c r="AK72" s="48">
        <v>0.89400000000000002</v>
      </c>
      <c r="AL72" s="48">
        <v>0.86499999999999999</v>
      </c>
      <c r="AM72" s="48">
        <v>0.80700000000000005</v>
      </c>
      <c r="AN72" s="48">
        <v>0.81699999999999995</v>
      </c>
      <c r="AO72" s="48">
        <v>0.82599999999999996</v>
      </c>
      <c r="AP72" s="48">
        <v>0.82599999999999996</v>
      </c>
      <c r="AQ72" s="48">
        <v>0.82599999999999996</v>
      </c>
      <c r="AR72" s="48">
        <v>0.75900000000000001</v>
      </c>
      <c r="AS72" s="48">
        <v>0.75900000000000001</v>
      </c>
      <c r="AT72" s="48">
        <v>0.75900000000000001</v>
      </c>
      <c r="AU72" s="48">
        <v>0.75900000000000001</v>
      </c>
      <c r="AV72" s="48">
        <v>0.51900000000000002</v>
      </c>
      <c r="AW72" s="48">
        <v>0.65300000000000002</v>
      </c>
      <c r="AX72" s="48">
        <v>0.75</v>
      </c>
      <c r="AY72" s="48">
        <v>0.73</v>
      </c>
      <c r="AZ72" s="48">
        <v>0.42299999999999999</v>
      </c>
      <c r="BA72" s="48">
        <v>0.25</v>
      </c>
      <c r="BB72" s="48">
        <v>0.20100000000000001</v>
      </c>
      <c r="BC72" s="48">
        <v>0.182</v>
      </c>
      <c r="BD72" s="48">
        <v>0.16300000000000001</v>
      </c>
      <c r="BE72" s="48">
        <v>0.105</v>
      </c>
      <c r="BF72" s="48">
        <v>8.5999999999999993E-2</v>
      </c>
      <c r="BG72" s="48">
        <v>7.5999999999999998E-2</v>
      </c>
      <c r="BH72" s="48">
        <v>9.6000000000000002E-2</v>
      </c>
      <c r="BI72" s="48">
        <v>0.153</v>
      </c>
      <c r="BJ72" s="48">
        <v>0.14399999999999999</v>
      </c>
      <c r="BK72" s="48">
        <v>0.115</v>
      </c>
      <c r="BL72" s="48">
        <v>0.13400000000000001</v>
      </c>
      <c r="BM72" s="48">
        <v>0.17299999999999999</v>
      </c>
      <c r="BN72" s="48">
        <v>0.192</v>
      </c>
      <c r="BO72" s="48">
        <v>0.21099999999999999</v>
      </c>
      <c r="BP72" s="48">
        <v>0.221</v>
      </c>
      <c r="BQ72" s="48">
        <v>0.25900000000000001</v>
      </c>
      <c r="BR72" s="48">
        <v>0.307</v>
      </c>
      <c r="BS72" s="48">
        <v>0.34599999999999997</v>
      </c>
      <c r="BT72" s="48">
        <v>0.32600000000000001</v>
      </c>
      <c r="BU72" s="48">
        <v>0.26900000000000002</v>
      </c>
      <c r="BV72" s="48">
        <v>0.24</v>
      </c>
      <c r="BW72" s="48">
        <v>0.29799999999999999</v>
      </c>
      <c r="BX72" s="48">
        <v>0.38400000000000001</v>
      </c>
      <c r="BY72" s="48">
        <v>0.432</v>
      </c>
      <c r="BZ72" s="48">
        <v>0.39400000000000002</v>
      </c>
      <c r="CA72" s="48">
        <v>0.40300000000000002</v>
      </c>
      <c r="CB72" s="48">
        <v>0.47099999999999997</v>
      </c>
      <c r="CC72" s="48">
        <v>0.5</v>
      </c>
      <c r="CD72" s="48">
        <v>0.375</v>
      </c>
      <c r="CE72" s="48">
        <v>0.33600000000000002</v>
      </c>
      <c r="CF72" s="48">
        <v>0.48</v>
      </c>
      <c r="CG72" s="48">
        <v>0.55700000000000005</v>
      </c>
      <c r="CH72" s="48">
        <v>0.64400000000000002</v>
      </c>
      <c r="CI72" s="48">
        <v>0.54800000000000004</v>
      </c>
      <c r="CJ72" s="48">
        <v>0.53800000000000003</v>
      </c>
      <c r="CK72" s="48">
        <v>0.52800000000000002</v>
      </c>
      <c r="CL72" s="48">
        <v>0.50900000000000001</v>
      </c>
      <c r="CM72" s="48">
        <v>0.45100000000000001</v>
      </c>
      <c r="CN72" s="48">
        <v>0.28799999999999998</v>
      </c>
      <c r="CO72" s="48">
        <v>0.23</v>
      </c>
      <c r="CP72" s="48">
        <v>0.27800000000000002</v>
      </c>
      <c r="CQ72" s="48">
        <v>0.41299999999999998</v>
      </c>
      <c r="CR72" s="48">
        <v>0.442</v>
      </c>
      <c r="CS72" s="48">
        <v>0.35499999999999998</v>
      </c>
      <c r="CT72" s="48">
        <v>0.317</v>
      </c>
      <c r="CU72" s="48">
        <v>0.46100000000000002</v>
      </c>
      <c r="CV72" s="48">
        <v>0.49</v>
      </c>
      <c r="CW72" s="48">
        <v>0.36499999999999999</v>
      </c>
      <c r="CX72" s="48">
        <v>0.125</v>
      </c>
      <c r="CY72" s="48">
        <v>6.7000000000000004E-2</v>
      </c>
      <c r="CZ72" s="48">
        <v>5.7000000000000002E-2</v>
      </c>
      <c r="DA72" s="48">
        <v>4.8000000000000001E-2</v>
      </c>
      <c r="DB72" s="48">
        <v>3.7999999999999999E-2</v>
      </c>
      <c r="DC72" s="48">
        <v>2.8000000000000001E-2</v>
      </c>
      <c r="DD72" s="48">
        <v>1.9E-2</v>
      </c>
      <c r="DE72" s="48">
        <v>8.9999999999999993E-3</v>
      </c>
      <c r="DF72" s="48">
        <v>0</v>
      </c>
    </row>
    <row r="73" spans="1:110" x14ac:dyDescent="0.2">
      <c r="A73" s="46" t="s">
        <v>15</v>
      </c>
      <c r="B73" s="47">
        <f t="shared" si="56"/>
        <v>-41.3</v>
      </c>
      <c r="C73" s="47">
        <f t="shared" si="57"/>
        <v>-37.499999999999993</v>
      </c>
      <c r="D73" s="49" t="e">
        <f t="shared" ref="D73:D105" ca="1" si="60">_xludf.STDEV.P(W73:DF73)*100</f>
        <v>#NAME?</v>
      </c>
      <c r="E73" s="47"/>
      <c r="F73" s="48">
        <v>0.317</v>
      </c>
      <c r="G73" s="48">
        <v>0.42299999999999999</v>
      </c>
      <c r="H73" s="48">
        <v>0.625</v>
      </c>
      <c r="I73" s="48">
        <v>0.69199999999999995</v>
      </c>
      <c r="J73" s="48">
        <v>0.70099999999999996</v>
      </c>
      <c r="K73" s="48">
        <v>0.71099999999999997</v>
      </c>
      <c r="L73" s="48">
        <v>0.74</v>
      </c>
      <c r="M73" s="48">
        <v>0.77800000000000002</v>
      </c>
      <c r="N73" s="48">
        <v>0.79800000000000004</v>
      </c>
      <c r="O73" s="48">
        <v>0.78800000000000014</v>
      </c>
      <c r="P73" s="48">
        <v>0.75900000000000001</v>
      </c>
      <c r="Q73" s="48">
        <v>0.73</v>
      </c>
      <c r="R73" s="48">
        <v>0.67300000000000004</v>
      </c>
      <c r="S73" s="48">
        <v>0.57599999999999996</v>
      </c>
      <c r="T73" s="48">
        <v>0.60499999999999998</v>
      </c>
      <c r="U73" s="48">
        <v>0.64400000000000002</v>
      </c>
      <c r="V73" s="48">
        <v>0.72099999999999997</v>
      </c>
      <c r="W73" s="48">
        <v>0.76900000000000013</v>
      </c>
      <c r="X73" s="48">
        <v>0.80699999999999994</v>
      </c>
      <c r="Y73" s="48">
        <v>0.83599999999999985</v>
      </c>
      <c r="Z73" s="48">
        <v>0.85499999999999998</v>
      </c>
      <c r="AA73" s="48">
        <v>0.86499999999999999</v>
      </c>
      <c r="AB73" s="48">
        <v>0.875</v>
      </c>
      <c r="AC73" s="48">
        <v>0.84599999999999997</v>
      </c>
      <c r="AD73" s="48">
        <v>0.82600000000000007</v>
      </c>
      <c r="AE73" s="48">
        <v>0.88400000000000001</v>
      </c>
      <c r="AF73" s="48">
        <v>0.90300000000000002</v>
      </c>
      <c r="AG73" s="48">
        <v>0.93200000000000016</v>
      </c>
      <c r="AH73" s="48">
        <v>0.96100000000000008</v>
      </c>
      <c r="AI73" s="48">
        <v>0.97099999999999997</v>
      </c>
      <c r="AJ73" s="48">
        <v>0.94200000000000006</v>
      </c>
      <c r="AK73" s="48">
        <v>0.92299999999999993</v>
      </c>
      <c r="AL73" s="48">
        <v>0.89400000000000002</v>
      </c>
      <c r="AM73" s="48">
        <v>0.91300000000000014</v>
      </c>
      <c r="AN73" s="48">
        <v>0.97999999999999987</v>
      </c>
      <c r="AO73" s="48">
        <v>1</v>
      </c>
      <c r="AP73" s="48">
        <v>0.99</v>
      </c>
      <c r="AQ73" s="48">
        <v>0.95099999999999996</v>
      </c>
      <c r="AR73" s="48">
        <v>0.81700000000000006</v>
      </c>
      <c r="AS73" s="48">
        <v>0.75</v>
      </c>
      <c r="AT73" s="48">
        <v>0.68200000000000005</v>
      </c>
      <c r="AU73" s="48">
        <v>0.52800000000000002</v>
      </c>
      <c r="AV73" s="48">
        <v>0.38400000000000001</v>
      </c>
      <c r="AW73" s="48">
        <v>0.39400000000000007</v>
      </c>
      <c r="AX73" s="48">
        <v>0.375</v>
      </c>
      <c r="AY73" s="48">
        <v>0.307</v>
      </c>
      <c r="AZ73" s="48">
        <v>0.21099999999999999</v>
      </c>
      <c r="BA73" s="48">
        <v>0.153</v>
      </c>
      <c r="BB73" s="48">
        <v>0.125</v>
      </c>
      <c r="BC73" s="48">
        <v>0.11499999999999999</v>
      </c>
      <c r="BD73" s="48">
        <v>0.13400000000000001</v>
      </c>
      <c r="BE73" s="48">
        <v>0.14399999999999999</v>
      </c>
      <c r="BF73" s="48">
        <v>0.17299999999999999</v>
      </c>
      <c r="BG73" s="48">
        <v>0.20099999999999998</v>
      </c>
      <c r="BH73" s="48">
        <v>0.24</v>
      </c>
      <c r="BI73" s="48">
        <v>0.28799999999999998</v>
      </c>
      <c r="BJ73" s="48">
        <v>0.25</v>
      </c>
      <c r="BK73" s="48">
        <v>0.22999999999999998</v>
      </c>
      <c r="BL73" s="48">
        <v>0.221</v>
      </c>
      <c r="BM73" s="48">
        <v>0.27800000000000002</v>
      </c>
      <c r="BN73" s="48">
        <v>0.35499999999999998</v>
      </c>
      <c r="BO73" s="48">
        <v>0.41300000000000003</v>
      </c>
      <c r="BP73" s="48">
        <v>0.442</v>
      </c>
      <c r="BQ73" s="48">
        <v>0.50900000000000001</v>
      </c>
      <c r="BR73" s="48">
        <v>0.55700000000000005</v>
      </c>
      <c r="BS73" s="48">
        <v>0.58599999999999997</v>
      </c>
      <c r="BT73" s="48">
        <v>0.61499999999999999</v>
      </c>
      <c r="BU73" s="48">
        <v>0.65300000000000002</v>
      </c>
      <c r="BV73" s="48">
        <v>0.66300000000000003</v>
      </c>
      <c r="BW73" s="48">
        <v>0.63400000000000001</v>
      </c>
      <c r="BX73" s="48">
        <v>0.59599999999999997</v>
      </c>
      <c r="BY73" s="48">
        <v>0.54800000000000004</v>
      </c>
      <c r="BZ73" s="48">
        <v>0.46100000000000002</v>
      </c>
      <c r="CA73" s="48">
        <v>0.47100000000000003</v>
      </c>
      <c r="CB73" s="48">
        <v>0.48</v>
      </c>
      <c r="CC73" s="48">
        <v>0.48999999999999994</v>
      </c>
      <c r="CD73" s="48">
        <v>0.51900000000000002</v>
      </c>
      <c r="CE73" s="48">
        <v>0.53800000000000003</v>
      </c>
      <c r="CF73" s="48">
        <v>0.56699999999999995</v>
      </c>
      <c r="CG73" s="48">
        <v>0.5</v>
      </c>
      <c r="CH73" s="48">
        <v>0.40300000000000002</v>
      </c>
      <c r="CI73" s="48">
        <v>0.33600000000000002</v>
      </c>
      <c r="CJ73" s="48">
        <v>0.32600000000000001</v>
      </c>
      <c r="CK73" s="48">
        <v>0.34599999999999997</v>
      </c>
      <c r="CL73" s="48">
        <v>0.29799999999999999</v>
      </c>
      <c r="CM73" s="48">
        <v>0.182</v>
      </c>
      <c r="CN73" s="48">
        <v>9.6000000000000002E-2</v>
      </c>
      <c r="CO73" s="48">
        <v>0.105</v>
      </c>
      <c r="CP73" s="48">
        <v>0.16300000000000001</v>
      </c>
      <c r="CQ73" s="48">
        <v>0.192</v>
      </c>
      <c r="CR73" s="48">
        <v>0.25900000000000001</v>
      </c>
      <c r="CS73" s="48">
        <v>0.36499999999999999</v>
      </c>
      <c r="CT73" s="48">
        <v>0.45100000000000001</v>
      </c>
      <c r="CU73" s="48">
        <v>0.43199999999999994</v>
      </c>
      <c r="CV73" s="48">
        <v>0.26900000000000002</v>
      </c>
      <c r="CW73" s="48">
        <v>8.5999999999999993E-2</v>
      </c>
      <c r="CX73" s="48">
        <v>7.5999999999999998E-2</v>
      </c>
      <c r="CY73" s="48">
        <v>6.7000000000000004E-2</v>
      </c>
      <c r="CZ73" s="48">
        <v>5.7000000000000002E-2</v>
      </c>
      <c r="DA73" s="48">
        <v>4.8000000000000001E-2</v>
      </c>
      <c r="DB73" s="48">
        <v>3.7999999999999999E-2</v>
      </c>
      <c r="DC73" s="48">
        <v>2.8000000000000001E-2</v>
      </c>
      <c r="DD73" s="48">
        <v>8.9999999999999993E-3</v>
      </c>
      <c r="DE73" s="48">
        <v>0</v>
      </c>
      <c r="DF73" s="48">
        <v>1.9E-2</v>
      </c>
    </row>
    <row r="74" spans="1:110" x14ac:dyDescent="0.2">
      <c r="A74" s="46" t="s">
        <v>18</v>
      </c>
      <c r="B74" s="47">
        <f t="shared" si="56"/>
        <v>-8.7000000000000082</v>
      </c>
      <c r="C74" s="47">
        <f t="shared" si="57"/>
        <v>-7.6999999999999957</v>
      </c>
      <c r="D74" s="49" t="e">
        <f t="shared" ref="D74:D106" ca="1" si="61">_xludf.STDEV.P(W74:DF74)*100</f>
        <v>#NAME?</v>
      </c>
      <c r="E74" s="47"/>
      <c r="F74" s="48">
        <v>0.68200000000000005</v>
      </c>
      <c r="G74" s="48">
        <v>0.70099999999999996</v>
      </c>
      <c r="H74" s="48">
        <v>0.75</v>
      </c>
      <c r="I74" s="48">
        <v>0.75900000000000001</v>
      </c>
      <c r="J74" s="48">
        <v>0.71099999999999997</v>
      </c>
      <c r="K74" s="48">
        <v>0.64400000000000002</v>
      </c>
      <c r="L74" s="48">
        <v>0.625</v>
      </c>
      <c r="M74" s="48">
        <v>0.61499999999999999</v>
      </c>
      <c r="N74" s="48">
        <v>0.65300000000000002</v>
      </c>
      <c r="O74" s="48">
        <v>0.66300000000000003</v>
      </c>
      <c r="P74" s="48">
        <v>0.77800000000000002</v>
      </c>
      <c r="Q74" s="48">
        <v>0.76900000000000013</v>
      </c>
      <c r="R74" s="48">
        <v>0.73</v>
      </c>
      <c r="S74" s="48">
        <v>0.72099999999999997</v>
      </c>
      <c r="T74" s="48">
        <v>0.67300000000000004</v>
      </c>
      <c r="U74" s="48">
        <v>0.69199999999999995</v>
      </c>
      <c r="V74" s="48">
        <v>0.78800000000000014</v>
      </c>
      <c r="W74" s="48">
        <v>0.81700000000000006</v>
      </c>
      <c r="X74" s="48">
        <v>0.88400000000000001</v>
      </c>
      <c r="Y74" s="48">
        <v>0.97099999999999997</v>
      </c>
      <c r="Z74" s="48">
        <v>0.97999999999999987</v>
      </c>
      <c r="AA74" s="48">
        <v>0.95099999999999996</v>
      </c>
      <c r="AB74" s="48">
        <v>0.94200000000000006</v>
      </c>
      <c r="AC74" s="48">
        <v>0.91300000000000014</v>
      </c>
      <c r="AD74" s="48">
        <v>0.86499999999999999</v>
      </c>
      <c r="AE74" s="48">
        <v>0.82600000000000007</v>
      </c>
      <c r="AF74" s="48">
        <v>0.83599999999999985</v>
      </c>
      <c r="AG74" s="48">
        <v>0.83599999999999985</v>
      </c>
      <c r="AH74" s="48">
        <v>0.85499999999999998</v>
      </c>
      <c r="AI74" s="48">
        <v>0.875</v>
      </c>
      <c r="AJ74" s="48">
        <v>0.90300000000000002</v>
      </c>
      <c r="AK74" s="48">
        <v>0.92299999999999993</v>
      </c>
      <c r="AL74" s="48">
        <v>0.89400000000000002</v>
      </c>
      <c r="AM74" s="48">
        <v>0.93200000000000016</v>
      </c>
      <c r="AN74" s="48">
        <v>0.99</v>
      </c>
      <c r="AO74" s="48">
        <v>1</v>
      </c>
      <c r="AP74" s="48">
        <v>0.96100000000000008</v>
      </c>
      <c r="AQ74" s="48">
        <v>0.80699999999999994</v>
      </c>
      <c r="AR74" s="48">
        <v>0.79800000000000004</v>
      </c>
      <c r="AS74" s="48">
        <v>0.74</v>
      </c>
      <c r="AT74" s="48">
        <v>0.63400000000000001</v>
      </c>
      <c r="AU74" s="48">
        <v>0.45100000000000001</v>
      </c>
      <c r="AV74" s="48">
        <v>0.26900000000000002</v>
      </c>
      <c r="AW74" s="48">
        <v>0.36499999999999999</v>
      </c>
      <c r="AX74" s="48">
        <v>0.38400000000000001</v>
      </c>
      <c r="AY74" s="48">
        <v>0.35499999999999998</v>
      </c>
      <c r="AZ74" s="48">
        <v>0.221</v>
      </c>
      <c r="BA74" s="48">
        <v>0.13400000000000001</v>
      </c>
      <c r="BB74" s="48">
        <v>8.5999999999999993E-2</v>
      </c>
      <c r="BC74" s="48">
        <v>9.6000000000000002E-2</v>
      </c>
      <c r="BD74" s="48">
        <v>0.105</v>
      </c>
      <c r="BE74" s="48">
        <v>0.11499999999999999</v>
      </c>
      <c r="BF74" s="48">
        <v>0.125</v>
      </c>
      <c r="BG74" s="48">
        <v>0.14399999999999999</v>
      </c>
      <c r="BH74" s="48">
        <v>0.16300000000000001</v>
      </c>
      <c r="BI74" s="48">
        <v>0.17299999999999999</v>
      </c>
      <c r="BJ74" s="48">
        <v>0.17299999999999999</v>
      </c>
      <c r="BK74" s="48">
        <v>0.192</v>
      </c>
      <c r="BL74" s="48">
        <v>0.20099999999999998</v>
      </c>
      <c r="BM74" s="48">
        <v>0.21099999999999999</v>
      </c>
      <c r="BN74" s="48">
        <v>0.22999999999999998</v>
      </c>
      <c r="BO74" s="48">
        <v>0.24</v>
      </c>
      <c r="BP74" s="48">
        <v>0.317</v>
      </c>
      <c r="BQ74" s="48">
        <v>0.375</v>
      </c>
      <c r="BR74" s="48">
        <v>0.40300000000000002</v>
      </c>
      <c r="BS74" s="48">
        <v>0.45100000000000001</v>
      </c>
      <c r="BT74" s="48">
        <v>0.48999999999999994</v>
      </c>
      <c r="BU74" s="48">
        <v>0.5</v>
      </c>
      <c r="BV74" s="48">
        <v>0.52800000000000002</v>
      </c>
      <c r="BW74" s="48">
        <v>0.54800000000000004</v>
      </c>
      <c r="BX74" s="48">
        <v>0.56699999999999995</v>
      </c>
      <c r="BY74" s="48">
        <v>0.59599999999999997</v>
      </c>
      <c r="BZ74" s="48">
        <v>0.55700000000000005</v>
      </c>
      <c r="CA74" s="48">
        <v>0.53800000000000003</v>
      </c>
      <c r="CB74" s="48">
        <v>0.50900000000000001</v>
      </c>
      <c r="CC74" s="48">
        <v>0.442</v>
      </c>
      <c r="CD74" s="48">
        <v>0.42299999999999999</v>
      </c>
      <c r="CE74" s="48">
        <v>0.41300000000000003</v>
      </c>
      <c r="CF74" s="48">
        <v>0.48</v>
      </c>
      <c r="CG74" s="48">
        <v>0.47100000000000003</v>
      </c>
      <c r="CH74" s="48">
        <v>0.43199999999999994</v>
      </c>
      <c r="CI74" s="48">
        <v>0.51900000000000002</v>
      </c>
      <c r="CJ74" s="48">
        <v>0.58599999999999997</v>
      </c>
      <c r="CK74" s="48">
        <v>0.60499999999999998</v>
      </c>
      <c r="CL74" s="48">
        <v>0.57599999999999996</v>
      </c>
      <c r="CM74" s="48">
        <v>0.39400000000000007</v>
      </c>
      <c r="CN74" s="48">
        <v>0.25900000000000001</v>
      </c>
      <c r="CO74" s="48">
        <v>0.25</v>
      </c>
      <c r="CP74" s="48">
        <v>0.28799999999999998</v>
      </c>
      <c r="CQ74" s="48">
        <v>0.33600000000000002</v>
      </c>
      <c r="CR74" s="48">
        <v>0.32600000000000001</v>
      </c>
      <c r="CS74" s="48">
        <v>0.29799999999999999</v>
      </c>
      <c r="CT74" s="48">
        <v>0.307</v>
      </c>
      <c r="CU74" s="48">
        <v>0.34599999999999997</v>
      </c>
      <c r="CV74" s="48">
        <v>0.27800000000000002</v>
      </c>
      <c r="CW74" s="48">
        <v>0.153</v>
      </c>
      <c r="CX74" s="48">
        <v>7.5999999999999998E-2</v>
      </c>
      <c r="CY74" s="48">
        <v>6.7000000000000004E-2</v>
      </c>
      <c r="CZ74" s="48">
        <v>5.7000000000000002E-2</v>
      </c>
      <c r="DA74" s="48">
        <v>4.8000000000000001E-2</v>
      </c>
      <c r="DB74" s="48">
        <v>3.7999999999999999E-2</v>
      </c>
      <c r="DC74" s="48">
        <v>2.8000000000000001E-2</v>
      </c>
      <c r="DD74" s="48">
        <v>8.9999999999999993E-3</v>
      </c>
      <c r="DE74" s="48">
        <v>0</v>
      </c>
      <c r="DF74" s="48">
        <v>1.9E-2</v>
      </c>
    </row>
    <row r="75" spans="1:110" x14ac:dyDescent="0.2">
      <c r="A75" s="46" t="s">
        <v>21</v>
      </c>
      <c r="B75" s="47">
        <f t="shared" si="56"/>
        <v>5.8933426125583832</v>
      </c>
      <c r="C75" s="47">
        <f t="shared" si="57"/>
        <v>-19.851740230036054</v>
      </c>
      <c r="D75" s="49" t="e">
        <f t="shared" ref="D75:D107" ca="1" si="62">_xludf.STDEV.P(W75:DF75)*100</f>
        <v>#NAME?</v>
      </c>
      <c r="E75" s="47"/>
      <c r="F75" s="48">
        <v>0.57066809653157446</v>
      </c>
      <c r="G75" s="48">
        <v>0.63728260526606484</v>
      </c>
      <c r="H75" s="48">
        <v>0.70470562509217261</v>
      </c>
      <c r="I75" s="48">
        <v>0.76918549883193499</v>
      </c>
      <c r="J75" s="48">
        <v>0.72757197574346966</v>
      </c>
      <c r="K75" s="48">
        <v>0.65418428239636517</v>
      </c>
      <c r="L75" s="48">
        <v>0.53735338266372268</v>
      </c>
      <c r="M75" s="48">
        <v>0.47849869914556026</v>
      </c>
      <c r="N75" s="48">
        <v>0.42470918229748084</v>
      </c>
      <c r="O75" s="48">
        <v>0.443814619577797</v>
      </c>
      <c r="P75" s="48">
        <v>0.44329096626184755</v>
      </c>
      <c r="Q75" s="48">
        <v>0.51173467040599063</v>
      </c>
      <c r="R75" s="48">
        <v>0.49711190921426474</v>
      </c>
      <c r="S75" s="48">
        <v>0.53041578919441312</v>
      </c>
      <c r="T75" s="48">
        <v>0.41967244477287891</v>
      </c>
      <c r="U75" s="48">
        <v>0.34158139858557446</v>
      </c>
      <c r="V75" s="48">
        <v>0.21260795457032561</v>
      </c>
      <c r="W75" s="48">
        <v>0.17619655363799824</v>
      </c>
      <c r="X75" s="48">
        <v>0.24280617635179805</v>
      </c>
      <c r="Y75" s="48">
        <v>0.31431483227758372</v>
      </c>
      <c r="Z75" s="48">
        <v>0.35310214704406812</v>
      </c>
      <c r="AA75" s="48">
        <v>0.35191127430402236</v>
      </c>
      <c r="AB75" s="48">
        <v>0.30482538713638813</v>
      </c>
      <c r="AC75" s="48">
        <v>0.2733172289692074</v>
      </c>
      <c r="AD75" s="48">
        <v>0.25737925999229028</v>
      </c>
      <c r="AE75" s="48">
        <v>0.25036009525840069</v>
      </c>
      <c r="AF75" s="48">
        <v>0.2951775533645411</v>
      </c>
      <c r="AG75" s="48">
        <v>0.36886579040484546</v>
      </c>
      <c r="AH75" s="48">
        <v>0.54735826868441328</v>
      </c>
      <c r="AI75" s="48">
        <v>0.60619894045843725</v>
      </c>
      <c r="AJ75" s="48">
        <v>0.67350437017232789</v>
      </c>
      <c r="AK75" s="48">
        <v>0.69467426147568156</v>
      </c>
      <c r="AL75" s="48">
        <v>0.70030239657551829</v>
      </c>
      <c r="AM75" s="48">
        <v>0.69842589453396697</v>
      </c>
      <c r="AN75" s="48">
        <v>0.76272386666788372</v>
      </c>
      <c r="AO75" s="48">
        <v>0.77059411769384645</v>
      </c>
      <c r="AP75" s="48">
        <v>0.75154192504125705</v>
      </c>
      <c r="AQ75" s="48">
        <v>0.73213405116464148</v>
      </c>
      <c r="AR75" s="48">
        <v>0.81190814906424891</v>
      </c>
      <c r="AS75" s="48">
        <v>0.85655583427676762</v>
      </c>
      <c r="AT75" s="48">
        <v>0.8853176609347424</v>
      </c>
      <c r="AU75" s="48">
        <v>0.90480434977781055</v>
      </c>
      <c r="AV75" s="48">
        <v>0.88001002913925686</v>
      </c>
      <c r="AW75" s="48">
        <v>0.81730966941664795</v>
      </c>
      <c r="AX75" s="48">
        <v>0.70248971211025601</v>
      </c>
      <c r="AY75" s="48">
        <v>0.58959226481152804</v>
      </c>
      <c r="AZ75" s="48">
        <v>0.54787330444274662</v>
      </c>
      <c r="BA75" s="48">
        <v>0.46988842024264238</v>
      </c>
      <c r="BB75" s="48">
        <v>0.45756397435419049</v>
      </c>
      <c r="BC75" s="48">
        <v>0.45255696848212124</v>
      </c>
      <c r="BD75" s="48">
        <v>0.40784202689773724</v>
      </c>
      <c r="BE75" s="48">
        <v>0.26122793972155484</v>
      </c>
      <c r="BF75" s="48">
        <v>0.10772197760604969</v>
      </c>
      <c r="BG75" s="48">
        <v>5.2690017563591242E-2</v>
      </c>
      <c r="BH75" s="48">
        <v>4.9705585071391389E-2</v>
      </c>
      <c r="BI75" s="48">
        <v>0.13175200856589289</v>
      </c>
      <c r="BJ75" s="48">
        <v>0.24013223446183882</v>
      </c>
      <c r="BK75" s="48">
        <v>0.27150928250134942</v>
      </c>
      <c r="BL75" s="48">
        <v>0.24523312889082149</v>
      </c>
      <c r="BM75" s="48">
        <v>0.23582339610196831</v>
      </c>
      <c r="BN75" s="48">
        <v>0.24458757340086626</v>
      </c>
      <c r="BO75" s="48">
        <v>0.2651390956158452</v>
      </c>
      <c r="BP75" s="48">
        <v>0.19329952186765914</v>
      </c>
      <c r="BQ75" s="48">
        <v>0.17495410057243441</v>
      </c>
      <c r="BR75" s="48">
        <v>0.19969869157913478</v>
      </c>
      <c r="BS75" s="48">
        <v>0.28170993715396131</v>
      </c>
      <c r="BT75" s="48">
        <v>0.27035822263371284</v>
      </c>
      <c r="BU75" s="48">
        <v>0.19206612216651178</v>
      </c>
      <c r="BV75" s="48">
        <v>0.15146051823710943</v>
      </c>
      <c r="BW75" s="48">
        <v>0.16456073016864309</v>
      </c>
      <c r="BX75" s="48">
        <v>0.18811002015243067</v>
      </c>
      <c r="BY75" s="48">
        <v>0.19890282120683869</v>
      </c>
      <c r="BZ75" s="48">
        <v>0.22292497302840009</v>
      </c>
      <c r="CA75" s="48">
        <v>0.34877833760236493</v>
      </c>
      <c r="CB75" s="48">
        <v>0.5260840803360165</v>
      </c>
      <c r="CC75" s="48">
        <v>0.62029721727743625</v>
      </c>
      <c r="CD75" s="48">
        <v>0.67067499002383113</v>
      </c>
      <c r="CE75" s="48">
        <v>0.63937603224388906</v>
      </c>
      <c r="CF75" s="48">
        <v>0.58492588631539377</v>
      </c>
      <c r="CG75" s="48">
        <v>0.62065248900299308</v>
      </c>
      <c r="CH75" s="48">
        <v>0.62188888182173152</v>
      </c>
      <c r="CI75" s="48">
        <v>0.66734140854074653</v>
      </c>
      <c r="CJ75" s="48">
        <v>0.80105347541727123</v>
      </c>
      <c r="CK75" s="48">
        <v>0.87717095314967586</v>
      </c>
      <c r="CL75" s="48">
        <v>0.93373815525226733</v>
      </c>
      <c r="CM75" s="48">
        <v>0.90497406018358573</v>
      </c>
      <c r="CN75" s="48">
        <v>0.8807033928609812</v>
      </c>
      <c r="CO75" s="48">
        <v>0.85530543958507543</v>
      </c>
      <c r="CP75" s="48">
        <v>0.85694490248995492</v>
      </c>
      <c r="CQ75" s="48">
        <v>0.86105677552470394</v>
      </c>
      <c r="CR75" s="48">
        <v>0.8912525342854406</v>
      </c>
      <c r="CS75" s="48">
        <v>0.91249938164300937</v>
      </c>
      <c r="CT75" s="48">
        <v>0.93106658374560103</v>
      </c>
      <c r="CU75" s="48">
        <v>0.91808029234116362</v>
      </c>
      <c r="CV75" s="48">
        <v>0.85774998081591514</v>
      </c>
      <c r="CW75" s="48">
        <v>0.72843095488627474</v>
      </c>
      <c r="CX75" s="48">
        <v>0.60989325364667102</v>
      </c>
      <c r="CY75" s="48">
        <v>0.49690730157032537</v>
      </c>
      <c r="CZ75" s="48">
        <v>0.32051794007974677</v>
      </c>
      <c r="DA75" s="48">
        <v>0.2239942867637974</v>
      </c>
      <c r="DB75" s="48">
        <v>0.19211888877800309</v>
      </c>
      <c r="DC75" s="48">
        <v>0.24929215638908633</v>
      </c>
      <c r="DD75" s="48">
        <v>0.28319551153404571</v>
      </c>
      <c r="DE75" s="48">
        <v>0.2311497606658085</v>
      </c>
      <c r="DF75" s="48">
        <v>0.17750094124793633</v>
      </c>
    </row>
    <row r="76" spans="1:110" x14ac:dyDescent="0.2">
      <c r="A76" s="46" t="s">
        <v>24</v>
      </c>
      <c r="B76" s="47">
        <f t="shared" si="56"/>
        <v>22.150000000000002</v>
      </c>
      <c r="C76" s="47">
        <f t="shared" si="57"/>
        <v>11.099999999999998</v>
      </c>
      <c r="D76" s="49" t="e">
        <f t="shared" ref="D76:D108" ca="1" si="63">_xludf.STDEV.P(W76:DF76)*100</f>
        <v>#NAME?</v>
      </c>
      <c r="E76" s="47"/>
      <c r="F76" s="48">
        <v>0.9325</v>
      </c>
      <c r="G76" s="48">
        <v>0.89850000000000008</v>
      </c>
      <c r="H76" s="48">
        <v>0.85050000000000003</v>
      </c>
      <c r="I76" s="48">
        <v>0.82150000000000001</v>
      </c>
      <c r="J76" s="48">
        <v>0.74950000000000006</v>
      </c>
      <c r="K76" s="48">
        <v>0.68700000000000006</v>
      </c>
      <c r="L76" s="48">
        <v>0.629</v>
      </c>
      <c r="M76" s="48">
        <v>0.57150000000000001</v>
      </c>
      <c r="N76" s="48">
        <v>0.54249999999999998</v>
      </c>
      <c r="O76" s="48">
        <v>0.59100000000000008</v>
      </c>
      <c r="P76" s="48">
        <v>0.65849999999999997</v>
      </c>
      <c r="Q76" s="48">
        <v>0.71099999999999997</v>
      </c>
      <c r="R76" s="48">
        <v>0.72550000000000003</v>
      </c>
      <c r="S76" s="48">
        <v>0.75449999999999995</v>
      </c>
      <c r="T76" s="48">
        <v>0.66799999999999993</v>
      </c>
      <c r="U76" s="48">
        <v>0.63400000000000001</v>
      </c>
      <c r="V76" s="48">
        <v>0.53349999999999997</v>
      </c>
      <c r="W76" s="48">
        <v>0.44199999999999995</v>
      </c>
      <c r="X76" s="48">
        <v>0.3075</v>
      </c>
      <c r="Y76" s="48">
        <v>0.3165</v>
      </c>
      <c r="Z76" s="48">
        <v>0.40800000000000003</v>
      </c>
      <c r="AA76" s="48">
        <v>0.36049999999999999</v>
      </c>
      <c r="AB76" s="48">
        <v>0.16750000000000001</v>
      </c>
      <c r="AC76" s="48">
        <v>4.7500000000000007E-2</v>
      </c>
      <c r="AD76" s="48">
        <v>6.6500000000000004E-2</v>
      </c>
      <c r="AE76" s="48">
        <v>8.1499999999999989E-2</v>
      </c>
      <c r="AF76" s="48">
        <v>0.1195</v>
      </c>
      <c r="AG76" s="48">
        <v>0.125</v>
      </c>
      <c r="AH76" s="48">
        <v>0.22050000000000003</v>
      </c>
      <c r="AI76" s="48">
        <v>0.36000000000000004</v>
      </c>
      <c r="AJ76" s="48">
        <v>0.42749999999999994</v>
      </c>
      <c r="AK76" s="48">
        <v>0.32150000000000006</v>
      </c>
      <c r="AL76" s="48">
        <v>0.18700000000000003</v>
      </c>
      <c r="AM76" s="48">
        <v>0.20600000000000002</v>
      </c>
      <c r="AN76" s="48">
        <v>0.2155</v>
      </c>
      <c r="AO76" s="48">
        <v>0.20649999999999999</v>
      </c>
      <c r="AP76" s="48">
        <v>0.10050000000000001</v>
      </c>
      <c r="AQ76" s="48">
        <v>0.23949999999999999</v>
      </c>
      <c r="AR76" s="48">
        <v>0.48049999999999993</v>
      </c>
      <c r="AS76" s="48">
        <v>0.6725000000000001</v>
      </c>
      <c r="AT76" s="48">
        <v>0.72050000000000003</v>
      </c>
      <c r="AU76" s="48">
        <v>0.745</v>
      </c>
      <c r="AV76" s="48">
        <v>0.76899999999999991</v>
      </c>
      <c r="AW76" s="48">
        <v>0.83599999999999985</v>
      </c>
      <c r="AX76" s="48">
        <v>0.87949999999999995</v>
      </c>
      <c r="AY76" s="48">
        <v>0.90350000000000008</v>
      </c>
      <c r="AZ76" s="48">
        <v>0.91300000000000003</v>
      </c>
      <c r="BA76" s="48">
        <v>0.91299999999999992</v>
      </c>
      <c r="BB76" s="48">
        <v>0.93699999999999994</v>
      </c>
      <c r="BC76" s="48">
        <v>0.9415</v>
      </c>
      <c r="BD76" s="48">
        <v>0.92749999999999988</v>
      </c>
      <c r="BE76" s="48">
        <v>0.8889999999999999</v>
      </c>
      <c r="BF76" s="48">
        <v>0.8025000000000001</v>
      </c>
      <c r="BG76" s="48">
        <v>0.75949999999999995</v>
      </c>
      <c r="BH76" s="48">
        <v>0.72050000000000003</v>
      </c>
      <c r="BI76" s="48">
        <v>0.71599999999999997</v>
      </c>
      <c r="BJ76" s="48">
        <v>0.73499999999999988</v>
      </c>
      <c r="BK76" s="48">
        <v>0.7400000000000001</v>
      </c>
      <c r="BL76" s="48">
        <v>0.78299999999999992</v>
      </c>
      <c r="BM76" s="48">
        <v>0.83599999999999985</v>
      </c>
      <c r="BN76" s="48">
        <v>0.83599999999999985</v>
      </c>
      <c r="BO76" s="48">
        <v>0.74450000000000005</v>
      </c>
      <c r="BP76" s="48">
        <v>0.61499999999999988</v>
      </c>
      <c r="BQ76" s="48">
        <v>0.39350000000000002</v>
      </c>
      <c r="BR76" s="48">
        <v>0.23</v>
      </c>
      <c r="BS76" s="48">
        <v>0.17250000000000001</v>
      </c>
      <c r="BT76" s="48">
        <v>0.22549999999999998</v>
      </c>
      <c r="BU76" s="48">
        <v>0.24</v>
      </c>
      <c r="BV76" s="48">
        <v>0.22549999999999998</v>
      </c>
      <c r="BW76" s="48">
        <v>0.14399999999999999</v>
      </c>
      <c r="BX76" s="48">
        <v>0.10550000000000001</v>
      </c>
      <c r="BY76" s="48">
        <v>4.3000000000000003E-2</v>
      </c>
      <c r="BZ76" s="48">
        <v>4.3000000000000003E-2</v>
      </c>
      <c r="CA76" s="48">
        <v>0.10550000000000001</v>
      </c>
      <c r="CB76" s="48">
        <v>0.27850000000000003</v>
      </c>
      <c r="CC76" s="48">
        <v>0.38900000000000001</v>
      </c>
      <c r="CD76" s="48">
        <v>0.40350000000000003</v>
      </c>
      <c r="CE76" s="48">
        <v>0.40800000000000003</v>
      </c>
      <c r="CF76" s="48">
        <v>0.38400000000000006</v>
      </c>
      <c r="CG76" s="48">
        <v>0.47549999999999998</v>
      </c>
      <c r="CH76" s="48">
        <v>0.51400000000000001</v>
      </c>
      <c r="CI76" s="48">
        <v>0.49950000000000006</v>
      </c>
      <c r="CJ76" s="48">
        <v>0.42250000000000004</v>
      </c>
      <c r="CK76" s="48">
        <v>0.33599999999999997</v>
      </c>
      <c r="CL76" s="48">
        <v>0.216</v>
      </c>
      <c r="CM76" s="48">
        <v>8.6000000000000007E-2</v>
      </c>
      <c r="CN76" s="48">
        <v>0.10049999999999999</v>
      </c>
      <c r="CO76" s="48">
        <v>0.17300000000000001</v>
      </c>
      <c r="CP76" s="48">
        <v>0.38900000000000001</v>
      </c>
      <c r="CQ76" s="48">
        <v>0.42250000000000004</v>
      </c>
      <c r="CR76" s="48">
        <v>0.49</v>
      </c>
      <c r="CS76" s="48">
        <v>0.55199999999999994</v>
      </c>
      <c r="CT76" s="48">
        <v>0.61499999999999999</v>
      </c>
      <c r="CU76" s="48">
        <v>0.69200000000000006</v>
      </c>
      <c r="CV76" s="48">
        <v>0.65350000000000008</v>
      </c>
      <c r="CW76" s="48">
        <v>0.74950000000000006</v>
      </c>
      <c r="CX76" s="48">
        <v>0.81699999999999995</v>
      </c>
      <c r="CY76" s="48">
        <v>0.83600000000000008</v>
      </c>
      <c r="CZ76" s="48">
        <v>0.79799999999999993</v>
      </c>
      <c r="DA76" s="48">
        <v>0.63900000000000001</v>
      </c>
      <c r="DB76" s="48">
        <v>0.49</v>
      </c>
      <c r="DC76" s="48">
        <v>0.43700000000000006</v>
      </c>
      <c r="DD76" s="48">
        <v>0.36049999999999999</v>
      </c>
      <c r="DE76" s="48">
        <v>0.1535</v>
      </c>
      <c r="DF76" s="48">
        <v>4.2999999999999997E-2</v>
      </c>
    </row>
    <row r="77" spans="1:110" x14ac:dyDescent="0.2">
      <c r="A77" s="46" t="s">
        <v>27</v>
      </c>
      <c r="B77" s="47">
        <f t="shared" si="56"/>
        <v>-12.725000000000009</v>
      </c>
      <c r="C77" s="47">
        <f t="shared" si="57"/>
        <v>-9.0999999999999979</v>
      </c>
      <c r="D77" s="49" t="e">
        <f t="shared" ref="D77:D109" ca="1" si="64">_xludf.STDEV.P(W77:DF77)*100</f>
        <v>#NAME?</v>
      </c>
      <c r="E77" s="47"/>
      <c r="F77" s="48">
        <v>0.50700000000000001</v>
      </c>
      <c r="G77" s="48">
        <v>0.51375000000000004</v>
      </c>
      <c r="H77" s="48">
        <v>0.53550000000000009</v>
      </c>
      <c r="I77" s="48">
        <v>0.59799999999999998</v>
      </c>
      <c r="J77" s="48">
        <v>0.63424999999999998</v>
      </c>
      <c r="K77" s="48">
        <v>0.57175000000000009</v>
      </c>
      <c r="L77" s="48">
        <v>0.45174999999999998</v>
      </c>
      <c r="M77" s="48">
        <v>0.37425000000000003</v>
      </c>
      <c r="N77" s="48">
        <v>0.38399999999999995</v>
      </c>
      <c r="O77" s="48">
        <v>0.45874999999999999</v>
      </c>
      <c r="P77" s="48">
        <v>0.54049999999999987</v>
      </c>
      <c r="Q77" s="48">
        <v>0.63425000000000009</v>
      </c>
      <c r="R77" s="48">
        <v>0.66774999999999995</v>
      </c>
      <c r="S77" s="48">
        <v>0.70150000000000001</v>
      </c>
      <c r="T77" s="48">
        <v>0.68474999999999997</v>
      </c>
      <c r="U77" s="48">
        <v>0.55000000000000004</v>
      </c>
      <c r="V77" s="48">
        <v>0.45624999999999999</v>
      </c>
      <c r="W77" s="48">
        <v>0.43949999999999995</v>
      </c>
      <c r="X77" s="48">
        <v>0.52124999999999999</v>
      </c>
      <c r="Y77" s="48">
        <v>0.55950000000000011</v>
      </c>
      <c r="Z77" s="48">
        <v>0.58849999999999991</v>
      </c>
      <c r="AA77" s="48">
        <v>0.56950000000000001</v>
      </c>
      <c r="AB77" s="48">
        <v>0.53300000000000003</v>
      </c>
      <c r="AC77" s="48">
        <v>0.48049999999999998</v>
      </c>
      <c r="AD77" s="48">
        <v>0.47799999999999992</v>
      </c>
      <c r="AE77" s="48">
        <v>0.48024999999999995</v>
      </c>
      <c r="AF77" s="48">
        <v>0.51875000000000004</v>
      </c>
      <c r="AG77" s="48">
        <v>0.68924999999999992</v>
      </c>
      <c r="AH77" s="48">
        <v>0.82625000000000004</v>
      </c>
      <c r="AI77" s="48">
        <v>0.8819999999999999</v>
      </c>
      <c r="AJ77" s="48">
        <v>0.91299999999999992</v>
      </c>
      <c r="AK77" s="48">
        <v>0.91299999999999992</v>
      </c>
      <c r="AL77" s="48">
        <v>0.91525000000000001</v>
      </c>
      <c r="AM77" s="48">
        <v>0.90124999999999988</v>
      </c>
      <c r="AN77" s="48">
        <v>0.90600000000000003</v>
      </c>
      <c r="AO77" s="48">
        <v>0.90600000000000003</v>
      </c>
      <c r="AP77" s="48">
        <v>0.91300000000000014</v>
      </c>
      <c r="AQ77" s="48">
        <v>0.89599999999999991</v>
      </c>
      <c r="AR77" s="48">
        <v>0.86724999999999985</v>
      </c>
      <c r="AS77" s="48">
        <v>0.80474999999999985</v>
      </c>
      <c r="AT77" s="48">
        <v>0.747</v>
      </c>
      <c r="AU77" s="48">
        <v>0.72575000000000001</v>
      </c>
      <c r="AV77" s="48">
        <v>0.63900000000000001</v>
      </c>
      <c r="AW77" s="48">
        <v>0.55249999999999999</v>
      </c>
      <c r="AX77" s="48">
        <v>0.44900000000000001</v>
      </c>
      <c r="AY77" s="48">
        <v>0.41799999999999998</v>
      </c>
      <c r="AZ77" s="48">
        <v>0.35525000000000001</v>
      </c>
      <c r="BA77" s="48">
        <v>0.35275000000000006</v>
      </c>
      <c r="BB77" s="48">
        <v>0.36250000000000004</v>
      </c>
      <c r="BC77" s="48">
        <v>0.38450000000000001</v>
      </c>
      <c r="BD77" s="48">
        <v>0.31924999999999998</v>
      </c>
      <c r="BE77" s="48">
        <v>0.24475000000000002</v>
      </c>
      <c r="BF77" s="48">
        <v>0.15825</v>
      </c>
      <c r="BG77" s="48">
        <v>0.14150000000000001</v>
      </c>
      <c r="BH77" s="48">
        <v>0.1845</v>
      </c>
      <c r="BI77" s="48">
        <v>0.24475000000000002</v>
      </c>
      <c r="BJ77" s="48">
        <v>0.27125000000000005</v>
      </c>
      <c r="BK77" s="48">
        <v>0.22775000000000001</v>
      </c>
      <c r="BL77" s="48">
        <v>0.22050000000000003</v>
      </c>
      <c r="BM77" s="48">
        <v>0.23050000000000001</v>
      </c>
      <c r="BN77" s="48">
        <v>0.25675000000000003</v>
      </c>
      <c r="BO77" s="48">
        <v>0.26375000000000004</v>
      </c>
      <c r="BP77" s="48">
        <v>0.29525000000000001</v>
      </c>
      <c r="BQ77" s="48">
        <v>0.30974999999999997</v>
      </c>
      <c r="BR77" s="48">
        <v>0.31199999999999994</v>
      </c>
      <c r="BS77" s="48">
        <v>0.26174999999999998</v>
      </c>
      <c r="BT77" s="48">
        <v>0.26874999999999999</v>
      </c>
      <c r="BU77" s="48">
        <v>0.27600000000000002</v>
      </c>
      <c r="BV77" s="48">
        <v>0.34075</v>
      </c>
      <c r="BW77" s="48">
        <v>0.36475000000000002</v>
      </c>
      <c r="BX77" s="48">
        <v>0.40824999999999995</v>
      </c>
      <c r="BY77" s="48">
        <v>0.40824999999999995</v>
      </c>
      <c r="BZ77" s="48">
        <v>0.40575</v>
      </c>
      <c r="CA77" s="48">
        <v>0.46575000000000005</v>
      </c>
      <c r="CB77" s="48">
        <v>0.58374999999999999</v>
      </c>
      <c r="CC77" s="48">
        <v>0.64875000000000005</v>
      </c>
      <c r="CD77" s="48">
        <v>0.64624999999999999</v>
      </c>
      <c r="CE77" s="48">
        <v>0.63649999999999995</v>
      </c>
      <c r="CF77" s="48">
        <v>0.62474999999999992</v>
      </c>
      <c r="CG77" s="48">
        <v>0.62449999999999994</v>
      </c>
      <c r="CH77" s="48">
        <v>0.5595</v>
      </c>
      <c r="CI77" s="48">
        <v>0.57425000000000004</v>
      </c>
      <c r="CJ77" s="48">
        <v>0.6027499999999999</v>
      </c>
      <c r="CK77" s="48">
        <v>0.69650000000000001</v>
      </c>
      <c r="CL77" s="48">
        <v>0.72299999999999998</v>
      </c>
      <c r="CM77" s="48">
        <v>0.70374999999999999</v>
      </c>
      <c r="CN77" s="48">
        <v>0.64400000000000002</v>
      </c>
      <c r="CO77" s="48">
        <v>0.52825000000000011</v>
      </c>
      <c r="CP77" s="48">
        <v>0.48500000000000004</v>
      </c>
      <c r="CQ77" s="48">
        <v>0.5212500000000001</v>
      </c>
      <c r="CR77" s="48">
        <v>0.54525000000000012</v>
      </c>
      <c r="CS77" s="48">
        <v>0.52350000000000008</v>
      </c>
      <c r="CT77" s="48">
        <v>0.53575000000000006</v>
      </c>
      <c r="CU77" s="48">
        <v>0.56425000000000003</v>
      </c>
      <c r="CV77" s="48">
        <v>0.55025000000000002</v>
      </c>
      <c r="CW77" s="48">
        <v>0.48275000000000001</v>
      </c>
      <c r="CX77" s="48">
        <v>0.41049999999999998</v>
      </c>
      <c r="CY77" s="48">
        <v>0.33100000000000002</v>
      </c>
      <c r="CZ77" s="48">
        <v>0.29274999999999995</v>
      </c>
      <c r="DA77" s="48">
        <v>0.23749999999999999</v>
      </c>
      <c r="DB77" s="48">
        <v>0.17749999999999999</v>
      </c>
      <c r="DC77" s="48">
        <v>0.12200000000000001</v>
      </c>
      <c r="DD77" s="48">
        <v>8.6250000000000007E-2</v>
      </c>
      <c r="DE77" s="48">
        <v>8.3499999999999991E-2</v>
      </c>
      <c r="DF77" s="48">
        <v>7.3999999999999996E-2</v>
      </c>
    </row>
    <row r="78" spans="1:110" x14ac:dyDescent="0.2">
      <c r="A78" s="46" t="s">
        <v>30</v>
      </c>
      <c r="B78" s="47">
        <f t="shared" si="56"/>
        <v>9.8999999999999986</v>
      </c>
      <c r="C78" s="47">
        <f t="shared" si="57"/>
        <v>0.50000000000000322</v>
      </c>
      <c r="D78" s="49" t="e">
        <f t="shared" ref="D78:D110" ca="1" si="65">_xludf.STDEV.P(W78:DF78)*100</f>
        <v>#NAME?</v>
      </c>
      <c r="E78" s="47"/>
      <c r="F78" s="48">
        <v>0.24266666666666667</v>
      </c>
      <c r="G78" s="48">
        <v>0.21533333333333332</v>
      </c>
      <c r="H78" s="48">
        <v>0.21233333333333332</v>
      </c>
      <c r="I78" s="48">
        <v>0.23766666666666664</v>
      </c>
      <c r="J78" s="48">
        <v>0.25733333333333336</v>
      </c>
      <c r="K78" s="48">
        <v>0.23399999999999999</v>
      </c>
      <c r="L78" s="48">
        <v>0.20133333333333334</v>
      </c>
      <c r="M78" s="48">
        <v>0.14966666666666667</v>
      </c>
      <c r="N78" s="48">
        <v>0.13</v>
      </c>
      <c r="O78" s="48">
        <v>0.11366666666666665</v>
      </c>
      <c r="P78" s="48">
        <v>0.11266666666666668</v>
      </c>
      <c r="Q78" s="48">
        <v>0.14366666666666669</v>
      </c>
      <c r="R78" s="48">
        <v>0.185</v>
      </c>
      <c r="S78" s="48">
        <v>0.22433333333333333</v>
      </c>
      <c r="T78" s="48">
        <v>0.24233333333333335</v>
      </c>
      <c r="U78" s="48">
        <v>0.23533333333333334</v>
      </c>
      <c r="V78" s="48">
        <v>0.16933333333333334</v>
      </c>
      <c r="W78" s="48">
        <v>0.15233333333333335</v>
      </c>
      <c r="X78" s="48">
        <v>0.27500000000000002</v>
      </c>
      <c r="Y78" s="48">
        <v>0.41433333333333333</v>
      </c>
      <c r="Z78" s="48">
        <v>0.56933333333333336</v>
      </c>
      <c r="AA78" s="48">
        <v>0.63266666666666671</v>
      </c>
      <c r="AB78" s="48">
        <v>0.67366666666666675</v>
      </c>
      <c r="AC78" s="48">
        <v>0.67999999999999994</v>
      </c>
      <c r="AD78" s="48">
        <v>0.67133333333333334</v>
      </c>
      <c r="AE78" s="48">
        <v>0.70266666666666666</v>
      </c>
      <c r="AF78" s="48">
        <v>0.78866666666666674</v>
      </c>
      <c r="AG78" s="48">
        <v>0.8666666666666667</v>
      </c>
      <c r="AH78" s="48">
        <v>0.89899999999999991</v>
      </c>
      <c r="AI78" s="48">
        <v>0.93166666666666664</v>
      </c>
      <c r="AJ78" s="48">
        <v>0.93333333333333324</v>
      </c>
      <c r="AK78" s="48">
        <v>0.93966666666666665</v>
      </c>
      <c r="AL78" s="48">
        <v>0.878</v>
      </c>
      <c r="AM78" s="48">
        <v>0.8620000000000001</v>
      </c>
      <c r="AN78" s="48">
        <v>0.8696666666666667</v>
      </c>
      <c r="AO78" s="48">
        <v>0.8536666666666668</v>
      </c>
      <c r="AP78" s="48">
        <v>0.83599999999999997</v>
      </c>
      <c r="AQ78" s="48">
        <v>0.85533333333333328</v>
      </c>
      <c r="AR78" s="48">
        <v>0.86533333333333329</v>
      </c>
      <c r="AS78" s="48">
        <v>0.86466666666666669</v>
      </c>
      <c r="AT78" s="48">
        <v>0.84866666666666679</v>
      </c>
      <c r="AU78" s="48">
        <v>0.85433333333333328</v>
      </c>
      <c r="AV78" s="48">
        <v>0.85433333333333339</v>
      </c>
      <c r="AW78" s="48">
        <v>0.80433333333333334</v>
      </c>
      <c r="AX78" s="48">
        <v>0.71233333333333326</v>
      </c>
      <c r="AY78" s="48">
        <v>0.60699999999999998</v>
      </c>
      <c r="AZ78" s="48">
        <v>0.50166666666666671</v>
      </c>
      <c r="BA78" s="48">
        <v>0.42000000000000004</v>
      </c>
      <c r="BB78" s="48">
        <v>0.40866666666666673</v>
      </c>
      <c r="BC78" s="48">
        <v>0.41766666666666669</v>
      </c>
      <c r="BD78" s="48">
        <v>0.46500000000000002</v>
      </c>
      <c r="BE78" s="48">
        <v>0.45299999999999996</v>
      </c>
      <c r="BF78" s="48">
        <v>0.44999999999999996</v>
      </c>
      <c r="BG78" s="48">
        <v>0.44600000000000001</v>
      </c>
      <c r="BH78" s="48">
        <v>0.46</v>
      </c>
      <c r="BI78" s="48">
        <v>0.47333333333333327</v>
      </c>
      <c r="BJ78" s="48">
        <v>0.48399999999999999</v>
      </c>
      <c r="BK78" s="48">
        <v>0.50166666666666659</v>
      </c>
      <c r="BL78" s="48">
        <v>0.52500000000000002</v>
      </c>
      <c r="BM78" s="48">
        <v>0.54766666666666663</v>
      </c>
      <c r="BN78" s="48">
        <v>0.46966666666666668</v>
      </c>
      <c r="BO78" s="48">
        <v>0.39533333333333337</v>
      </c>
      <c r="BP78" s="48">
        <v>0.28199999999999997</v>
      </c>
      <c r="BQ78" s="48">
        <v>0.21800000000000003</v>
      </c>
      <c r="BR78" s="48">
        <v>0.21333333333333332</v>
      </c>
      <c r="BS78" s="48">
        <v>0.20899999999999999</v>
      </c>
      <c r="BT78" s="48">
        <v>0.23700000000000002</v>
      </c>
      <c r="BU78" s="48">
        <v>0.22133333333333335</v>
      </c>
      <c r="BV78" s="48">
        <v>0.22499999999999998</v>
      </c>
      <c r="BW78" s="48">
        <v>0.28466666666666668</v>
      </c>
      <c r="BX78" s="48">
        <v>0.36399999999999999</v>
      </c>
      <c r="BY78" s="48">
        <v>0.4263333333333334</v>
      </c>
      <c r="BZ78" s="48">
        <v>0.52066666666666672</v>
      </c>
      <c r="CA78" s="48">
        <v>0.6343333333333333</v>
      </c>
      <c r="CB78" s="48">
        <v>0.73899999999999999</v>
      </c>
      <c r="CC78" s="48">
        <v>0.76200000000000001</v>
      </c>
      <c r="CD78" s="48">
        <v>0.77800000000000002</v>
      </c>
      <c r="CE78" s="48">
        <v>0.74199999999999999</v>
      </c>
      <c r="CF78" s="48">
        <v>0.68533333333333335</v>
      </c>
      <c r="CG78" s="48">
        <v>0.60133333333333328</v>
      </c>
      <c r="CH78" s="48">
        <v>0.58266666666666667</v>
      </c>
      <c r="CI78" s="48">
        <v>0.57066666666666666</v>
      </c>
      <c r="CJ78" s="48">
        <v>0.49333333333333335</v>
      </c>
      <c r="CK78" s="48">
        <v>0.52233333333333332</v>
      </c>
      <c r="CL78" s="48">
        <v>0.52533333333333332</v>
      </c>
      <c r="CM78" s="48">
        <v>0.49033333333333334</v>
      </c>
      <c r="CN78" s="48">
        <v>0.48066666666666669</v>
      </c>
      <c r="CO78" s="48">
        <v>0.48700000000000004</v>
      </c>
      <c r="CP78" s="48">
        <v>0.51600000000000001</v>
      </c>
      <c r="CQ78" s="48">
        <v>0.53200000000000003</v>
      </c>
      <c r="CR78" s="48">
        <v>0.54800000000000004</v>
      </c>
      <c r="CS78" s="48">
        <v>0.55100000000000005</v>
      </c>
      <c r="CT78" s="48">
        <v>0.57666666666666666</v>
      </c>
      <c r="CU78" s="48">
        <v>0.56066666666666665</v>
      </c>
      <c r="CV78" s="48">
        <v>0.53500000000000003</v>
      </c>
      <c r="CW78" s="48">
        <v>0.4966666666666667</v>
      </c>
      <c r="CX78" s="48">
        <v>0.47100000000000003</v>
      </c>
      <c r="CY78" s="48">
        <v>0.45499999999999996</v>
      </c>
      <c r="CZ78" s="48">
        <v>0.40700000000000003</v>
      </c>
      <c r="DA78" s="48">
        <v>0.36833333333333335</v>
      </c>
      <c r="DB78" s="48">
        <v>0.35866666666666669</v>
      </c>
      <c r="DC78" s="48">
        <v>0.34933333333333333</v>
      </c>
      <c r="DD78" s="48">
        <v>0.34599999999999997</v>
      </c>
      <c r="DE78" s="48">
        <v>0.33633333333333332</v>
      </c>
      <c r="DF78" s="48">
        <v>0.33333333333333331</v>
      </c>
    </row>
    <row r="79" spans="1:110" x14ac:dyDescent="0.2">
      <c r="A79" s="46" t="s">
        <v>33</v>
      </c>
      <c r="B79" s="47">
        <f t="shared" si="56"/>
        <v>4.7999999999999989</v>
      </c>
      <c r="C79" s="47">
        <f t="shared" si="57"/>
        <v>9.5999999999999979</v>
      </c>
      <c r="D79" s="49" t="e">
        <f t="shared" ref="D79:D111" ca="1" si="66">_xludf.STDEV.P(W79:DF79)*100</f>
        <v>#NAME?</v>
      </c>
      <c r="E79" s="47"/>
      <c r="F79" s="48">
        <v>0.21099999999999999</v>
      </c>
      <c r="G79" s="48">
        <v>0.153</v>
      </c>
      <c r="H79" s="48">
        <v>0.125</v>
      </c>
      <c r="I79" s="48">
        <v>0.11500000000000002</v>
      </c>
      <c r="J79" s="48">
        <v>0.105</v>
      </c>
      <c r="K79" s="48">
        <v>6.7000000000000004E-2</v>
      </c>
      <c r="L79" s="48">
        <v>2.8000000000000001E-2</v>
      </c>
      <c r="M79" s="48">
        <v>0</v>
      </c>
      <c r="N79" s="48">
        <v>8.9999999999999993E-3</v>
      </c>
      <c r="O79" s="48">
        <v>3.7999999999999999E-2</v>
      </c>
      <c r="P79" s="48">
        <v>7.5999999999999998E-2</v>
      </c>
      <c r="Q79" s="48">
        <v>0.16300000000000001</v>
      </c>
      <c r="R79" s="48">
        <v>0.221</v>
      </c>
      <c r="S79" s="48">
        <v>0.20100000000000001</v>
      </c>
      <c r="T79" s="48">
        <v>0.17299999999999999</v>
      </c>
      <c r="U79" s="48">
        <v>0.18200000000000002</v>
      </c>
      <c r="V79" s="48">
        <v>9.6000000000000002E-2</v>
      </c>
      <c r="W79" s="48">
        <v>4.8000000000000001E-2</v>
      </c>
      <c r="X79" s="48">
        <v>1.9E-2</v>
      </c>
      <c r="Y79" s="48">
        <v>5.7000000000000002E-2</v>
      </c>
      <c r="Z79" s="48">
        <v>0.13400000000000001</v>
      </c>
      <c r="AA79" s="48">
        <v>0.23000000000000004</v>
      </c>
      <c r="AB79" s="48">
        <v>0.33600000000000002</v>
      </c>
      <c r="AC79" s="48">
        <v>0.51900000000000002</v>
      </c>
      <c r="AD79" s="48">
        <v>0.65300000000000002</v>
      </c>
      <c r="AE79" s="48">
        <v>0.71099999999999997</v>
      </c>
      <c r="AF79" s="48">
        <v>0.79800000000000004</v>
      </c>
      <c r="AG79" s="48">
        <v>0.85499999999999998</v>
      </c>
      <c r="AH79" s="48">
        <v>0.84599999999999997</v>
      </c>
      <c r="AI79" s="48">
        <v>0.82599999999999996</v>
      </c>
      <c r="AJ79" s="48">
        <v>0.90300000000000002</v>
      </c>
      <c r="AK79" s="48">
        <v>0.96099999999999997</v>
      </c>
      <c r="AL79" s="48">
        <v>1</v>
      </c>
      <c r="AM79" s="48">
        <v>0.99</v>
      </c>
      <c r="AN79" s="48">
        <v>0.97099999999999997</v>
      </c>
      <c r="AO79" s="48">
        <v>0.94199999999999995</v>
      </c>
      <c r="AP79" s="48">
        <v>0.92300000000000004</v>
      </c>
      <c r="AQ79" s="48">
        <v>0.91300000000000003</v>
      </c>
      <c r="AR79" s="48">
        <v>0.87500000000000011</v>
      </c>
      <c r="AS79" s="48">
        <v>0.88400000000000001</v>
      </c>
      <c r="AT79" s="48">
        <v>0.93200000000000005</v>
      </c>
      <c r="AU79" s="48">
        <v>0.98</v>
      </c>
      <c r="AV79" s="48">
        <v>0.95099999999999996</v>
      </c>
      <c r="AW79" s="48">
        <v>0.86499999999999999</v>
      </c>
      <c r="AX79" s="48">
        <v>0.80700000000000005</v>
      </c>
      <c r="AY79" s="48">
        <v>0.77800000000000002</v>
      </c>
      <c r="AZ79" s="48">
        <v>0.74</v>
      </c>
      <c r="BA79" s="48">
        <v>0.67300000000000004</v>
      </c>
      <c r="BB79" s="48">
        <v>0.62499999999999989</v>
      </c>
      <c r="BC79" s="48">
        <v>0.56699999999999995</v>
      </c>
      <c r="BD79" s="48">
        <v>0.432</v>
      </c>
      <c r="BE79" s="48">
        <v>0.29799999999999999</v>
      </c>
      <c r="BF79" s="48">
        <v>0.34599999999999997</v>
      </c>
      <c r="BG79" s="48">
        <v>0.442</v>
      </c>
      <c r="BH79" s="48">
        <v>0.41299999999999998</v>
      </c>
      <c r="BI79" s="48">
        <v>0.36499999999999999</v>
      </c>
      <c r="BJ79" s="48">
        <v>0.35499999999999998</v>
      </c>
      <c r="BK79" s="48">
        <v>0.32600000000000001</v>
      </c>
      <c r="BL79" s="48">
        <v>0.39400000000000002</v>
      </c>
      <c r="BM79" s="48">
        <v>0.45100000000000001</v>
      </c>
      <c r="BN79" s="48">
        <v>0.5</v>
      </c>
      <c r="BO79" s="48">
        <v>0.49</v>
      </c>
      <c r="BP79" s="48">
        <v>0.52800000000000002</v>
      </c>
      <c r="BQ79" s="48">
        <v>0.46100000000000002</v>
      </c>
      <c r="BR79" s="48">
        <v>0.307</v>
      </c>
      <c r="BS79" s="48">
        <v>0.24</v>
      </c>
      <c r="BT79" s="48">
        <v>0.25</v>
      </c>
      <c r="BU79" s="48">
        <v>0.317</v>
      </c>
      <c r="BV79" s="48">
        <v>0.48</v>
      </c>
      <c r="BW79" s="48">
        <v>0.42299999999999999</v>
      </c>
      <c r="BX79" s="48">
        <v>0.26900000000000002</v>
      </c>
      <c r="BY79" s="48">
        <v>0.14399999999999999</v>
      </c>
      <c r="BZ79" s="48">
        <v>8.5999999999999993E-2</v>
      </c>
      <c r="CA79" s="48">
        <v>0.192</v>
      </c>
      <c r="CB79" s="48">
        <v>0.38400000000000001</v>
      </c>
      <c r="CC79" s="48">
        <v>0.61499999999999999</v>
      </c>
      <c r="CD79" s="48">
        <v>0.68200000000000005</v>
      </c>
      <c r="CE79" s="48">
        <v>0.70099999999999996</v>
      </c>
      <c r="CF79" s="48">
        <v>0.73</v>
      </c>
      <c r="CG79" s="48">
        <v>0.75</v>
      </c>
      <c r="CH79" s="48">
        <v>0.72099999999999997</v>
      </c>
      <c r="CI79" s="48">
        <v>0.75900000000000001</v>
      </c>
      <c r="CJ79" s="48">
        <v>0.78800000000000003</v>
      </c>
      <c r="CK79" s="48">
        <v>0.83599999999999997</v>
      </c>
      <c r="CL79" s="48">
        <v>0.89400000000000002</v>
      </c>
      <c r="CM79" s="48">
        <v>0.81699999999999995</v>
      </c>
      <c r="CN79" s="48">
        <v>0.76900000000000002</v>
      </c>
      <c r="CO79" s="48">
        <v>0.69199999999999995</v>
      </c>
      <c r="CP79" s="48">
        <v>0.66300000000000003</v>
      </c>
      <c r="CQ79" s="48">
        <v>0.63400000000000001</v>
      </c>
      <c r="CR79" s="48">
        <v>0.60499999999999998</v>
      </c>
      <c r="CS79" s="48">
        <v>0.57599999999999996</v>
      </c>
      <c r="CT79" s="48">
        <v>0.54800000000000004</v>
      </c>
      <c r="CU79" s="48">
        <v>0.50900000000000001</v>
      </c>
      <c r="CV79" s="48">
        <v>0.47099999999999997</v>
      </c>
      <c r="CW79" s="48">
        <v>0.55700000000000005</v>
      </c>
      <c r="CX79" s="48">
        <v>0.59599999999999997</v>
      </c>
      <c r="CY79" s="48">
        <v>0.64400000000000002</v>
      </c>
      <c r="CZ79" s="48">
        <v>0.58599999999999997</v>
      </c>
      <c r="DA79" s="48">
        <v>0.53800000000000003</v>
      </c>
      <c r="DB79" s="48">
        <v>0.40300000000000002</v>
      </c>
      <c r="DC79" s="48">
        <v>0.28799999999999998</v>
      </c>
      <c r="DD79" s="48">
        <v>0.25900000000000001</v>
      </c>
      <c r="DE79" s="48">
        <v>0.27800000000000002</v>
      </c>
      <c r="DF79" s="48">
        <v>0.375</v>
      </c>
    </row>
    <row r="80" spans="1:110" x14ac:dyDescent="0.2">
      <c r="A80" s="46" t="s">
        <v>36</v>
      </c>
      <c r="B80" s="47">
        <f t="shared" si="56"/>
        <v>-25.872681648045535</v>
      </c>
      <c r="C80" s="47">
        <f t="shared" si="57"/>
        <v>-23.81413535615302</v>
      </c>
      <c r="D80" s="49" t="e">
        <f t="shared" ref="D80:D112" ca="1" si="67">_xludf.STDEV.P(W80:DF80)*100</f>
        <v>#NAME?</v>
      </c>
      <c r="E80" s="47"/>
      <c r="F80" s="48">
        <v>0.1824859297191504</v>
      </c>
      <c r="G80" s="48">
        <v>0.20795961860169754</v>
      </c>
      <c r="H80" s="48">
        <v>0.29723608428336012</v>
      </c>
      <c r="I80" s="48">
        <v>0.42062728328068061</v>
      </c>
      <c r="J80" s="48">
        <v>0.45510972352235207</v>
      </c>
      <c r="K80" s="48">
        <v>0.3746793477880902</v>
      </c>
      <c r="L80" s="48">
        <v>0.2758753982976771</v>
      </c>
      <c r="M80" s="48">
        <v>0.23924694325770124</v>
      </c>
      <c r="N80" s="48">
        <v>0.29206042052485642</v>
      </c>
      <c r="O80" s="48">
        <v>0.32602118646485473</v>
      </c>
      <c r="P80" s="48">
        <v>0.40729761898927569</v>
      </c>
      <c r="Q80" s="48">
        <v>0.44121274619960577</v>
      </c>
      <c r="R80" s="48">
        <v>0.42826653032047091</v>
      </c>
      <c r="S80" s="48">
        <v>0.3723111046524108</v>
      </c>
      <c r="T80" s="48">
        <v>0.25679511341742967</v>
      </c>
      <c r="U80" s="48">
        <v>0.19831738166554749</v>
      </c>
      <c r="V80" s="48">
        <v>0.18237676724022014</v>
      </c>
      <c r="W80" s="48">
        <v>0.21958492019304987</v>
      </c>
      <c r="X80" s="48">
        <v>0.26119680571751075</v>
      </c>
      <c r="Y80" s="48">
        <v>0.25601309293159091</v>
      </c>
      <c r="Z80" s="48">
        <v>0.24160300195369902</v>
      </c>
      <c r="AA80" s="48">
        <v>0.20960187790324869</v>
      </c>
      <c r="AB80" s="48">
        <v>0.17115421790873511</v>
      </c>
      <c r="AC80" s="48">
        <v>0.17636288740126713</v>
      </c>
      <c r="AD80" s="48">
        <v>0.21045211362128793</v>
      </c>
      <c r="AE80" s="48">
        <v>0.25942972230129036</v>
      </c>
      <c r="AF80" s="48">
        <v>0.32812216965819907</v>
      </c>
      <c r="AG80" s="48">
        <v>0.38797551586242063</v>
      </c>
      <c r="AH80" s="48">
        <v>0.50078619484405895</v>
      </c>
      <c r="AI80" s="48">
        <v>0.60201438106637928</v>
      </c>
      <c r="AJ80" s="48">
        <v>0.64256711696230329</v>
      </c>
      <c r="AK80" s="48">
        <v>0.63427582254484871</v>
      </c>
      <c r="AL80" s="48">
        <v>0.62609072378327313</v>
      </c>
      <c r="AM80" s="48">
        <v>0.62732345525978661</v>
      </c>
      <c r="AN80" s="48">
        <v>0.64509961552966399</v>
      </c>
      <c r="AO80" s="48">
        <v>0.68245390362798575</v>
      </c>
      <c r="AP80" s="48">
        <v>0.68375406781092229</v>
      </c>
      <c r="AQ80" s="48">
        <v>0.68944504179559529</v>
      </c>
      <c r="AR80" s="48">
        <v>0.70103877079532351</v>
      </c>
      <c r="AS80" s="48">
        <v>0.73542409155734778</v>
      </c>
      <c r="AT80" s="48">
        <v>0.78371030795175334</v>
      </c>
      <c r="AU80" s="48">
        <v>0.74822103762926051</v>
      </c>
      <c r="AV80" s="48">
        <v>0.75920033042509061</v>
      </c>
      <c r="AW80" s="48">
        <v>0.667762667639344</v>
      </c>
      <c r="AX80" s="48">
        <v>0.59977501862193794</v>
      </c>
      <c r="AY80" s="48">
        <v>0.53358765541699416</v>
      </c>
      <c r="AZ80" s="48">
        <v>0.5962978233298607</v>
      </c>
      <c r="BA80" s="48">
        <v>0.59321701852817232</v>
      </c>
      <c r="BB80" s="48">
        <v>0.52736485261258503</v>
      </c>
      <c r="BC80" s="48">
        <v>0.45851552909894466</v>
      </c>
      <c r="BD80" s="48">
        <v>0.37678232088261587</v>
      </c>
      <c r="BE80" s="48">
        <v>0.29741881461495961</v>
      </c>
      <c r="BF80" s="48">
        <v>0.19910362684013597</v>
      </c>
      <c r="BG80" s="48">
        <v>0.17829847262977885</v>
      </c>
      <c r="BH80" s="48">
        <v>0.20460803003058098</v>
      </c>
      <c r="BI80" s="48">
        <v>0.31322130416272953</v>
      </c>
      <c r="BJ80" s="48">
        <v>0.54457488082894112</v>
      </c>
      <c r="BK80" s="48">
        <v>0.62705187993169176</v>
      </c>
      <c r="BL80" s="48">
        <v>0.60763204151748784</v>
      </c>
      <c r="BM80" s="48">
        <v>0.55079916838039311</v>
      </c>
      <c r="BN80" s="48">
        <v>0.43486758561611061</v>
      </c>
      <c r="BO80" s="48">
        <v>0.4235202280104407</v>
      </c>
      <c r="BP80" s="48">
        <v>0.46836089197478203</v>
      </c>
      <c r="BQ80" s="48">
        <v>0.53621207110726732</v>
      </c>
      <c r="BR80" s="48">
        <v>0.53637062326551266</v>
      </c>
      <c r="BS80" s="48">
        <v>0.52686152067187086</v>
      </c>
      <c r="BT80" s="48">
        <v>0.49938591327432069</v>
      </c>
      <c r="BU80" s="48">
        <v>0.53665530737337608</v>
      </c>
      <c r="BV80" s="48">
        <v>0.56930085397208585</v>
      </c>
      <c r="BW80" s="48">
        <v>0.56861118840286673</v>
      </c>
      <c r="BX80" s="48">
        <v>0.52262880802751188</v>
      </c>
      <c r="BY80" s="48">
        <v>0.49687494213915018</v>
      </c>
      <c r="BZ80" s="48">
        <v>0.50060412725793479</v>
      </c>
      <c r="CA80" s="48">
        <v>0.58815814435626079</v>
      </c>
      <c r="CB80" s="48">
        <v>0.70879992172550232</v>
      </c>
      <c r="CC80" s="48">
        <v>0.74735785452411041</v>
      </c>
      <c r="CD80" s="48">
        <v>0.7606372853530956</v>
      </c>
      <c r="CE80" s="48">
        <v>0.70479191611026559</v>
      </c>
      <c r="CF80" s="48">
        <v>0.62779039128381209</v>
      </c>
      <c r="CG80" s="48">
        <v>0.58297293089472535</v>
      </c>
      <c r="CH80" s="48">
        <v>0.57788653514578925</v>
      </c>
      <c r="CI80" s="48">
        <v>0.50179573573458547</v>
      </c>
      <c r="CJ80" s="48">
        <v>0.47907398579056309</v>
      </c>
      <c r="CK80" s="48">
        <v>0.55651238101783085</v>
      </c>
      <c r="CL80" s="48">
        <v>0.77792130374650659</v>
      </c>
      <c r="CM80" s="48">
        <v>0.80792483635637702</v>
      </c>
      <c r="CN80" s="48">
        <v>0.78077464092271842</v>
      </c>
      <c r="CO80" s="48">
        <v>0.7108154560946498</v>
      </c>
      <c r="CP80" s="48">
        <v>0.63595660196396109</v>
      </c>
      <c r="CQ80" s="48">
        <v>0.68199637879287367</v>
      </c>
      <c r="CR80" s="48">
        <v>0.77259172903321305</v>
      </c>
      <c r="CS80" s="48">
        <v>0.83240700289950131</v>
      </c>
      <c r="CT80" s="48">
        <v>0.86321002741105934</v>
      </c>
      <c r="CU80" s="48">
        <v>0.85962107640151131</v>
      </c>
      <c r="CV80" s="48">
        <v>0.83099279422621108</v>
      </c>
      <c r="CW80" s="48">
        <v>0.78388226823827345</v>
      </c>
      <c r="CX80" s="48">
        <v>0.71275235608272758</v>
      </c>
      <c r="CY80" s="48">
        <v>0.60187059492627659</v>
      </c>
      <c r="CZ80" s="48">
        <v>0.45608548257641707</v>
      </c>
      <c r="DA80" s="48">
        <v>0.33301519315444611</v>
      </c>
      <c r="DB80" s="48">
        <v>0.28412527310783864</v>
      </c>
      <c r="DC80" s="48">
        <v>0.3114767876713016</v>
      </c>
      <c r="DD80" s="48">
        <v>0.34366165570314228</v>
      </c>
      <c r="DE80" s="48">
        <v>0.33599331463126364</v>
      </c>
      <c r="DF80" s="48">
        <v>0.2607903816979637</v>
      </c>
    </row>
    <row r="81" spans="1:110" x14ac:dyDescent="0.2">
      <c r="A81" s="46" t="s">
        <v>39</v>
      </c>
      <c r="B81" s="47">
        <f t="shared" si="56"/>
        <v>-5.1445883117856752</v>
      </c>
      <c r="C81" s="47">
        <f t="shared" si="57"/>
        <v>1.5760314888517812</v>
      </c>
      <c r="D81" s="49" t="e">
        <f t="shared" ref="D81:D113" ca="1" si="68">_xludf.STDEV.P(W81:DF81)*100</f>
        <v>#NAME?</v>
      </c>
      <c r="E81" s="47"/>
      <c r="F81" s="48">
        <v>0.4259358020726472</v>
      </c>
      <c r="G81" s="48">
        <v>0.41680277413118588</v>
      </c>
      <c r="H81" s="48">
        <v>0.41128873752683809</v>
      </c>
      <c r="I81" s="48">
        <v>0.41017548718412938</v>
      </c>
      <c r="J81" s="48">
        <v>0.42633869771980465</v>
      </c>
      <c r="K81" s="48">
        <v>0.42260676433578898</v>
      </c>
      <c r="L81" s="48">
        <v>0.42070918782639111</v>
      </c>
      <c r="M81" s="48">
        <v>0.42023230929370708</v>
      </c>
      <c r="N81" s="48">
        <v>0.43956780385939032</v>
      </c>
      <c r="O81" s="48">
        <v>0.46186903540404434</v>
      </c>
      <c r="P81" s="48">
        <v>0.46975869814091709</v>
      </c>
      <c r="Q81" s="48">
        <v>0.47738168519050395</v>
      </c>
      <c r="R81" s="48">
        <v>0.47729161466863168</v>
      </c>
      <c r="S81" s="48">
        <v>0.49350505920794646</v>
      </c>
      <c r="T81" s="48">
        <v>0.35189795904698518</v>
      </c>
      <c r="U81" s="48">
        <v>0.25130973863996547</v>
      </c>
      <c r="V81" s="48">
        <v>0.19089474353108793</v>
      </c>
      <c r="W81" s="48">
        <v>0.19736906702306775</v>
      </c>
      <c r="X81" s="48">
        <v>0.24197406061727877</v>
      </c>
      <c r="Y81" s="48">
        <v>0.30374764958955519</v>
      </c>
      <c r="Z81" s="48">
        <v>0.37804273950089168</v>
      </c>
      <c r="AA81" s="48">
        <v>0.38719533298349001</v>
      </c>
      <c r="AB81" s="48">
        <v>0.38568923961207874</v>
      </c>
      <c r="AC81" s="48">
        <v>0.42013492977804512</v>
      </c>
      <c r="AD81" s="48">
        <v>0.43835572305050713</v>
      </c>
      <c r="AE81" s="48">
        <v>0.45259149112520419</v>
      </c>
      <c r="AF81" s="48">
        <v>0.46630938965223029</v>
      </c>
      <c r="AG81" s="48">
        <v>0.50113258140155503</v>
      </c>
      <c r="AH81" s="48">
        <v>0.53436044873644861</v>
      </c>
      <c r="AI81" s="48">
        <v>0.56186637053790878</v>
      </c>
      <c r="AJ81" s="48">
        <v>0.55581234522500411</v>
      </c>
      <c r="AK81" s="48">
        <v>0.55877568277119516</v>
      </c>
      <c r="AL81" s="48">
        <v>0.54940829794925383</v>
      </c>
      <c r="AM81" s="48">
        <v>0.60877639881524515</v>
      </c>
      <c r="AN81" s="48">
        <v>0.68222697714194513</v>
      </c>
      <c r="AO81" s="48">
        <v>0.71541635428186956</v>
      </c>
      <c r="AP81" s="48">
        <v>0.72193960690105585</v>
      </c>
      <c r="AQ81" s="48">
        <v>0.7383586971632915</v>
      </c>
      <c r="AR81" s="48">
        <v>0.72692323861768382</v>
      </c>
      <c r="AS81" s="48">
        <v>0.69510434470702376</v>
      </c>
      <c r="AT81" s="48">
        <v>0.68171240924177423</v>
      </c>
      <c r="AU81" s="48">
        <v>0.72591891734660829</v>
      </c>
      <c r="AV81" s="48">
        <v>0.78393088574559611</v>
      </c>
      <c r="AW81" s="48">
        <v>0.71443407052629193</v>
      </c>
      <c r="AX81" s="48">
        <v>0.63384344819928917</v>
      </c>
      <c r="AY81" s="48">
        <v>0.55370012238420285</v>
      </c>
      <c r="AZ81" s="48">
        <v>0.59026851083686194</v>
      </c>
      <c r="BA81" s="48">
        <v>0.55742778068020515</v>
      </c>
      <c r="BB81" s="48">
        <v>0.50192222033478873</v>
      </c>
      <c r="BC81" s="48">
        <v>0.37766964163155797</v>
      </c>
      <c r="BD81" s="48">
        <v>0.30996611312482791</v>
      </c>
      <c r="BE81" s="48">
        <v>0.30133715815347495</v>
      </c>
      <c r="BF81" s="48">
        <v>0.28155186908759977</v>
      </c>
      <c r="BG81" s="48">
        <v>0.2133633502007849</v>
      </c>
      <c r="BH81" s="48">
        <v>0.1887781339616541</v>
      </c>
      <c r="BI81" s="48">
        <v>0.20734780157819571</v>
      </c>
      <c r="BJ81" s="48">
        <v>0.26409793728523728</v>
      </c>
      <c r="BK81" s="48">
        <v>0.33462559958692101</v>
      </c>
      <c r="BL81" s="48">
        <v>0.34581288822252904</v>
      </c>
      <c r="BM81" s="48">
        <v>0.35278607809165891</v>
      </c>
      <c r="BN81" s="48">
        <v>0.32888094640241888</v>
      </c>
      <c r="BO81" s="48">
        <v>0.32594694001950475</v>
      </c>
      <c r="BP81" s="48">
        <v>0.32619056197999258</v>
      </c>
      <c r="BQ81" s="48">
        <v>0.34630930010424699</v>
      </c>
      <c r="BR81" s="48">
        <v>0.37921339430468143</v>
      </c>
      <c r="BS81" s="48">
        <v>0.41544231059442349</v>
      </c>
      <c r="BT81" s="48">
        <v>0.4380728344757101</v>
      </c>
      <c r="BU81" s="48">
        <v>0.42763476166240844</v>
      </c>
      <c r="BV81" s="48">
        <v>0.41576401660844203</v>
      </c>
      <c r="BW81" s="48">
        <v>0.4318061372611699</v>
      </c>
      <c r="BX81" s="48">
        <v>0.44936487397182917</v>
      </c>
      <c r="BY81" s="48">
        <v>0.51188476041877939</v>
      </c>
      <c r="BZ81" s="48">
        <v>0.54927848711434035</v>
      </c>
      <c r="CA81" s="48">
        <v>0.59898755053381125</v>
      </c>
      <c r="CB81" s="48">
        <v>0.63476158604421062</v>
      </c>
      <c r="CC81" s="48">
        <v>0.66620052558661158</v>
      </c>
      <c r="CD81" s="48">
        <v>0.69533834677121742</v>
      </c>
      <c r="CE81" s="48">
        <v>0.68720702760295982</v>
      </c>
      <c r="CF81" s="48">
        <v>0.71275525119303584</v>
      </c>
      <c r="CG81" s="48">
        <v>0.67893318315800266</v>
      </c>
      <c r="CH81" s="48">
        <v>0.67972645594253589</v>
      </c>
      <c r="CI81" s="48">
        <v>0.67761078987331158</v>
      </c>
      <c r="CJ81" s="48">
        <v>0.71562363976694732</v>
      </c>
      <c r="CK81" s="48">
        <v>0.74265099563126935</v>
      </c>
      <c r="CL81" s="48">
        <v>0.78447951414926564</v>
      </c>
      <c r="CM81" s="48">
        <v>0.85304952498384812</v>
      </c>
      <c r="CN81" s="48">
        <v>0.83636811102276054</v>
      </c>
      <c r="CO81" s="48">
        <v>0.81139241633994208</v>
      </c>
      <c r="CP81" s="48">
        <v>0.81573242170855109</v>
      </c>
      <c r="CQ81" s="48">
        <v>0.84116061419644184</v>
      </c>
      <c r="CR81" s="48">
        <v>0.77119821954365586</v>
      </c>
      <c r="CS81" s="48">
        <v>0.70490573163791237</v>
      </c>
      <c r="CT81" s="48">
        <v>0.6615423240302778</v>
      </c>
      <c r="CU81" s="48">
        <v>0.63820171198951048</v>
      </c>
      <c r="CV81" s="48">
        <v>0.62404399162912327</v>
      </c>
      <c r="CW81" s="48">
        <v>0.58130421033217805</v>
      </c>
      <c r="CX81" s="48">
        <v>0.52236686577075331</v>
      </c>
      <c r="CY81" s="48">
        <v>0.40199382621462038</v>
      </c>
      <c r="CZ81" s="48">
        <v>0.35714522346092237</v>
      </c>
      <c r="DA81" s="48">
        <v>0.31312959434295989</v>
      </c>
      <c r="DB81" s="48">
        <v>0.28707349753366301</v>
      </c>
      <c r="DC81" s="48">
        <v>0.28221801760382997</v>
      </c>
      <c r="DD81" s="48">
        <v>0.26825406006351743</v>
      </c>
      <c r="DE81" s="48">
        <v>0.27426937513877181</v>
      </c>
      <c r="DF81" s="48">
        <v>0.26227542655886515</v>
      </c>
    </row>
    <row r="82" spans="1:110" x14ac:dyDescent="0.2">
      <c r="A82" s="46" t="s">
        <v>42</v>
      </c>
      <c r="B82" s="47">
        <f t="shared" si="56"/>
        <v>-18.543763304722745</v>
      </c>
      <c r="C82" s="47">
        <f t="shared" si="57"/>
        <v>-21.355708614715301</v>
      </c>
      <c r="D82" s="49" t="e">
        <f t="shared" ref="D82:D114" ca="1" si="69">_xludf.STDEV.P(W82:DF82)*100</f>
        <v>#NAME?</v>
      </c>
      <c r="E82" s="47"/>
      <c r="F82" s="48">
        <v>0.17956416863079019</v>
      </c>
      <c r="G82" s="48">
        <v>0.23128572136857806</v>
      </c>
      <c r="H82" s="48">
        <v>0.28394681060419813</v>
      </c>
      <c r="I82" s="48">
        <v>0.39312125477794319</v>
      </c>
      <c r="J82" s="48">
        <v>0.38647575714657362</v>
      </c>
      <c r="K82" s="48">
        <v>0.35180370151408441</v>
      </c>
      <c r="L82" s="48">
        <v>0.35297445574850295</v>
      </c>
      <c r="M82" s="48">
        <v>0.367370843936769</v>
      </c>
      <c r="N82" s="48">
        <v>0.45952144137658574</v>
      </c>
      <c r="O82" s="48">
        <v>0.47379862537113082</v>
      </c>
      <c r="P82" s="48">
        <v>0.43782745583561988</v>
      </c>
      <c r="Q82" s="48">
        <v>0.36500180167801766</v>
      </c>
      <c r="R82" s="48">
        <v>0.33085056056529655</v>
      </c>
      <c r="S82" s="48">
        <v>0.34074645808763948</v>
      </c>
      <c r="T82" s="48">
        <v>0.3202906102728455</v>
      </c>
      <c r="U82" s="48">
        <v>0.27972698035242355</v>
      </c>
      <c r="V82" s="48">
        <v>0.27188516900108217</v>
      </c>
      <c r="W82" s="48">
        <v>0.29229390881392481</v>
      </c>
      <c r="X82" s="48">
        <v>0.27907885303941565</v>
      </c>
      <c r="Y82" s="48">
        <v>0.30694464239450769</v>
      </c>
      <c r="Z82" s="48">
        <v>0.35626004455252497</v>
      </c>
      <c r="AA82" s="48">
        <v>0.43421960137142901</v>
      </c>
      <c r="AB82" s="48">
        <v>0.41705940946155284</v>
      </c>
      <c r="AC82" s="48">
        <v>0.47244885886271959</v>
      </c>
      <c r="AD82" s="48">
        <v>0.53713266359364531</v>
      </c>
      <c r="AE82" s="48">
        <v>0.54588080770026959</v>
      </c>
      <c r="AF82" s="48">
        <v>0.50865619143521401</v>
      </c>
      <c r="AG82" s="48">
        <v>0.47888111518815613</v>
      </c>
      <c r="AH82" s="48">
        <v>0.61050599582683507</v>
      </c>
      <c r="AI82" s="48">
        <v>0.55615157920911595</v>
      </c>
      <c r="AJ82" s="48">
        <v>0.47740220845673398</v>
      </c>
      <c r="AK82" s="48">
        <v>0.55750325200113915</v>
      </c>
      <c r="AL82" s="48">
        <v>0.57987420255453648</v>
      </c>
      <c r="AM82" s="48">
        <v>0.69497137654831254</v>
      </c>
      <c r="AN82" s="48">
        <v>0.68237113624806733</v>
      </c>
      <c r="AO82" s="48">
        <v>0.72481580026651238</v>
      </c>
      <c r="AP82" s="48">
        <v>0.69616594309826085</v>
      </c>
      <c r="AQ82" s="48">
        <v>0.70419951540868853</v>
      </c>
      <c r="AR82" s="48">
        <v>0.66479838836045912</v>
      </c>
      <c r="AS82" s="48">
        <v>0.67637007186115239</v>
      </c>
      <c r="AT82" s="48">
        <v>0.62978894845174105</v>
      </c>
      <c r="AU82" s="48">
        <v>0.60959690982299286</v>
      </c>
      <c r="AV82" s="48">
        <v>0.54870804980583865</v>
      </c>
      <c r="AW82" s="48">
        <v>0.4238915826977212</v>
      </c>
      <c r="AX82" s="48">
        <v>0.39370439343155145</v>
      </c>
      <c r="AY82" s="48">
        <v>0.44557084574813788</v>
      </c>
      <c r="AZ82" s="48">
        <v>0.46126279852760921</v>
      </c>
      <c r="BA82" s="48">
        <v>0.40654102185274571</v>
      </c>
      <c r="BB82" s="48">
        <v>0.34487733356809347</v>
      </c>
      <c r="BC82" s="48">
        <v>0.32278224837307179</v>
      </c>
      <c r="BD82" s="48">
        <v>0.34489927520532965</v>
      </c>
      <c r="BE82" s="48">
        <v>0.37540601073576907</v>
      </c>
      <c r="BF82" s="48">
        <v>0.36129851077338948</v>
      </c>
      <c r="BG82" s="48">
        <v>0.31044366074219126</v>
      </c>
      <c r="BH82" s="48">
        <v>0.23347982315218865</v>
      </c>
      <c r="BI82" s="48">
        <v>0.24337839179783546</v>
      </c>
      <c r="BJ82" s="48">
        <v>0.25893176678463753</v>
      </c>
      <c r="BK82" s="48">
        <v>0.2898908983280557</v>
      </c>
      <c r="BL82" s="48">
        <v>0.29251428796773593</v>
      </c>
      <c r="BM82" s="48">
        <v>0.33458276319299374</v>
      </c>
      <c r="BN82" s="48">
        <v>0.36240437668401587</v>
      </c>
      <c r="BO82" s="48">
        <v>0.43970215726836592</v>
      </c>
      <c r="BP82" s="48">
        <v>0.48572297400708481</v>
      </c>
      <c r="BQ82" s="48">
        <v>0.55050243400994736</v>
      </c>
      <c r="BR82" s="48">
        <v>0.62592761573770617</v>
      </c>
      <c r="BS82" s="48">
        <v>0.67312376831798748</v>
      </c>
      <c r="BT82" s="48">
        <v>0.7017275252085492</v>
      </c>
      <c r="BU82" s="48">
        <v>0.64994770938400259</v>
      </c>
      <c r="BV82" s="48">
        <v>0.61305040794823562</v>
      </c>
      <c r="BW82" s="48">
        <v>0.67433360551320454</v>
      </c>
      <c r="BX82" s="48">
        <v>0.67691461411919851</v>
      </c>
      <c r="BY82" s="48">
        <v>0.70765299965047668</v>
      </c>
      <c r="BZ82" s="48">
        <v>0.81992315245653358</v>
      </c>
      <c r="CA82" s="48">
        <v>0.79708829319849617</v>
      </c>
      <c r="CB82" s="48">
        <v>0.76311211552091196</v>
      </c>
      <c r="CC82" s="48">
        <v>0.67834986390528196</v>
      </c>
      <c r="CD82" s="48">
        <v>0.67443084890262706</v>
      </c>
      <c r="CE82" s="48">
        <v>0.66651954048520545</v>
      </c>
      <c r="CF82" s="48">
        <v>0.65009742164954054</v>
      </c>
      <c r="CG82" s="48">
        <v>0.62682952376562029</v>
      </c>
      <c r="CH82" s="48">
        <v>0.6372825867632681</v>
      </c>
      <c r="CI82" s="48">
        <v>0.64281114287674113</v>
      </c>
      <c r="CJ82" s="48">
        <v>0.65790739342138327</v>
      </c>
      <c r="CK82" s="48">
        <v>0.69717249422987293</v>
      </c>
      <c r="CL82" s="48">
        <v>0.71602443410084904</v>
      </c>
      <c r="CM82" s="48">
        <v>0.73724845631661906</v>
      </c>
      <c r="CN82" s="48">
        <v>0.68622145096138576</v>
      </c>
      <c r="CO82" s="48">
        <v>0.6277894805148666</v>
      </c>
      <c r="CP82" s="48">
        <v>0.4980310389873473</v>
      </c>
      <c r="CQ82" s="48">
        <v>0.51702163745178076</v>
      </c>
      <c r="CR82" s="48">
        <v>0.61467930645858015</v>
      </c>
      <c r="CS82" s="48">
        <v>0.71063599801540989</v>
      </c>
      <c r="CT82" s="48">
        <v>0.70276363877448245</v>
      </c>
      <c r="CU82" s="48">
        <v>0.66043105287669046</v>
      </c>
      <c r="CV82" s="48">
        <v>0.57375216827903242</v>
      </c>
      <c r="CW82" s="48">
        <v>0.51009170682511051</v>
      </c>
      <c r="CX82" s="48">
        <v>0.471500738127274</v>
      </c>
      <c r="CY82" s="48">
        <v>0.4271558593199305</v>
      </c>
      <c r="CZ82" s="48">
        <v>0.4036633343759331</v>
      </c>
      <c r="DA82" s="48">
        <v>0.35043166495066436</v>
      </c>
      <c r="DB82" s="48">
        <v>0.40554589327048435</v>
      </c>
      <c r="DC82" s="48">
        <v>0.4160129003625469</v>
      </c>
      <c r="DD82" s="48">
        <v>0.44385444773232524</v>
      </c>
      <c r="DE82" s="48">
        <v>0.40709053924010258</v>
      </c>
      <c r="DF82" s="48">
        <v>0.37781292329461202</v>
      </c>
    </row>
    <row r="83" spans="1:110" x14ac:dyDescent="0.2">
      <c r="A83" s="46" t="s">
        <v>45</v>
      </c>
      <c r="B83" s="47">
        <f t="shared" si="56"/>
        <v>-4.6000000000000041</v>
      </c>
      <c r="C83" s="47">
        <f t="shared" si="57"/>
        <v>-7.2200000000000042</v>
      </c>
      <c r="D83" s="49" t="e">
        <f t="shared" ref="D83:D115" ca="1" si="70">_xludf.STDEV.P(W83:DF83)*100</f>
        <v>#NAME?</v>
      </c>
      <c r="E83" s="47"/>
      <c r="F83" s="48">
        <v>0.49960000000000004</v>
      </c>
      <c r="G83" s="48">
        <v>0.52620000000000011</v>
      </c>
      <c r="H83" s="48">
        <v>0.53239999999999998</v>
      </c>
      <c r="I83" s="48">
        <v>0.57180000000000009</v>
      </c>
      <c r="J83" s="48">
        <v>0.55000000000000004</v>
      </c>
      <c r="K83" s="48">
        <v>0.60020000000000007</v>
      </c>
      <c r="L83" s="48">
        <v>0.55200000000000005</v>
      </c>
      <c r="M83" s="48">
        <v>0.57000000000000006</v>
      </c>
      <c r="N83" s="48">
        <v>0.51480000000000004</v>
      </c>
      <c r="O83" s="48">
        <v>0.53200000000000014</v>
      </c>
      <c r="P83" s="48">
        <v>0.56020000000000003</v>
      </c>
      <c r="Q83" s="48">
        <v>0.54560000000000008</v>
      </c>
      <c r="R83" s="48">
        <v>0.42560000000000009</v>
      </c>
      <c r="S83" s="48">
        <v>0.31059999999999999</v>
      </c>
      <c r="T83" s="48">
        <v>0.24</v>
      </c>
      <c r="U83" s="48">
        <v>0.20560000000000003</v>
      </c>
      <c r="V83" s="48">
        <v>0.18520000000000003</v>
      </c>
      <c r="W83" s="48">
        <v>0.20980000000000001</v>
      </c>
      <c r="X83" s="48">
        <v>0.2306</v>
      </c>
      <c r="Y83" s="48">
        <v>0.35720000000000002</v>
      </c>
      <c r="Z83" s="48">
        <v>0.45519999999999999</v>
      </c>
      <c r="AA83" s="48">
        <v>0.50080000000000002</v>
      </c>
      <c r="AB83" s="48">
        <v>0.47340000000000004</v>
      </c>
      <c r="AC83" s="48">
        <v>0.41920000000000002</v>
      </c>
      <c r="AD83" s="48">
        <v>0.31619999999999998</v>
      </c>
      <c r="AE83" s="48">
        <v>0.33740000000000003</v>
      </c>
      <c r="AF83" s="48">
        <v>0.42019999999999996</v>
      </c>
      <c r="AG83" s="48">
        <v>0.47320000000000001</v>
      </c>
      <c r="AH83" s="48">
        <v>0.45460000000000006</v>
      </c>
      <c r="AI83" s="48">
        <v>0.45320000000000005</v>
      </c>
      <c r="AJ83" s="48">
        <v>0.47839999999999999</v>
      </c>
      <c r="AK83" s="48">
        <v>0.44580000000000003</v>
      </c>
      <c r="AL83" s="48">
        <v>0.4556</v>
      </c>
      <c r="AM83" s="48">
        <v>0.58220000000000005</v>
      </c>
      <c r="AN83" s="48">
        <v>0.67260000000000009</v>
      </c>
      <c r="AO83" s="48">
        <v>0.73440000000000005</v>
      </c>
      <c r="AP83" s="48">
        <v>0.71699999999999997</v>
      </c>
      <c r="AQ83" s="48">
        <v>0.64200000000000002</v>
      </c>
      <c r="AR83" s="48">
        <v>0.67259999999999998</v>
      </c>
      <c r="AS83" s="48">
        <v>0.7612000000000001</v>
      </c>
      <c r="AT83" s="48">
        <v>0.7612000000000001</v>
      </c>
      <c r="AU83" s="48">
        <v>0.70540000000000003</v>
      </c>
      <c r="AV83" s="48">
        <v>0.62459999999999993</v>
      </c>
      <c r="AW83" s="48">
        <v>0.57840000000000003</v>
      </c>
      <c r="AX83" s="48">
        <v>0.55360000000000009</v>
      </c>
      <c r="AY83" s="48">
        <v>0.55920000000000003</v>
      </c>
      <c r="AZ83" s="48">
        <v>0.51119999999999999</v>
      </c>
      <c r="BA83" s="48">
        <v>0.37280000000000008</v>
      </c>
      <c r="BB83" s="48">
        <v>0.29380000000000001</v>
      </c>
      <c r="BC83" s="48">
        <v>0.25920000000000004</v>
      </c>
      <c r="BD83" s="48">
        <v>0.27079999999999999</v>
      </c>
      <c r="BE83" s="48">
        <v>0.24</v>
      </c>
      <c r="BF83" s="48">
        <v>0.21700000000000003</v>
      </c>
      <c r="BG83" s="48">
        <v>0.2056</v>
      </c>
      <c r="BH83" s="48">
        <v>0.20140000000000002</v>
      </c>
      <c r="BI83" s="48">
        <v>0.21299999999999999</v>
      </c>
      <c r="BJ83" s="48">
        <v>0.22639999999999999</v>
      </c>
      <c r="BK83" s="48">
        <v>0.24200000000000005</v>
      </c>
      <c r="BL83" s="48">
        <v>0.26120000000000004</v>
      </c>
      <c r="BM83" s="48">
        <v>0.28240000000000004</v>
      </c>
      <c r="BN83" s="48">
        <v>0.27240000000000003</v>
      </c>
      <c r="BO83" s="48">
        <v>0.25340000000000007</v>
      </c>
      <c r="BP83" s="48">
        <v>0.22280000000000003</v>
      </c>
      <c r="BQ83" s="48">
        <v>0.192</v>
      </c>
      <c r="BR83" s="48">
        <v>0.2016</v>
      </c>
      <c r="BS83" s="48">
        <v>0.24</v>
      </c>
      <c r="BT83" s="48">
        <v>0.28419999999999995</v>
      </c>
      <c r="BU83" s="48">
        <v>0.3054</v>
      </c>
      <c r="BV83" s="48">
        <v>0.3286</v>
      </c>
      <c r="BW83" s="48">
        <v>0.34940000000000004</v>
      </c>
      <c r="BX83" s="48">
        <v>0.44200000000000006</v>
      </c>
      <c r="BY83" s="48">
        <v>0.52459999999999996</v>
      </c>
      <c r="BZ83" s="48">
        <v>0.59760000000000002</v>
      </c>
      <c r="CA83" s="48">
        <v>0.66700000000000004</v>
      </c>
      <c r="CB83" s="48">
        <v>0.68420000000000014</v>
      </c>
      <c r="CC83" s="48">
        <v>0.70540000000000003</v>
      </c>
      <c r="CD83" s="48">
        <v>0.7420000000000001</v>
      </c>
      <c r="CE83" s="48">
        <v>0.74579999999999991</v>
      </c>
      <c r="CF83" s="48">
        <v>0.7228</v>
      </c>
      <c r="CG83" s="48">
        <v>0.73040000000000005</v>
      </c>
      <c r="CH83" s="48">
        <v>0.73440000000000005</v>
      </c>
      <c r="CI83" s="48">
        <v>0.75919999999999999</v>
      </c>
      <c r="CJ83" s="48">
        <v>0.78239999999999998</v>
      </c>
      <c r="CK83" s="48">
        <v>0.80539999999999989</v>
      </c>
      <c r="CL83" s="48">
        <v>0.8226</v>
      </c>
      <c r="CM83" s="48">
        <v>0.81120000000000014</v>
      </c>
      <c r="CN83" s="48">
        <v>0.78019999999999989</v>
      </c>
      <c r="CO83" s="48">
        <v>0.74199999999999999</v>
      </c>
      <c r="CP83" s="48">
        <v>0.72259999999999991</v>
      </c>
      <c r="CQ83" s="48">
        <v>0.74</v>
      </c>
      <c r="CR83" s="48">
        <v>0.79400000000000004</v>
      </c>
      <c r="CS83" s="48">
        <v>0.81700000000000006</v>
      </c>
      <c r="CT83" s="48">
        <v>0.82099999999999995</v>
      </c>
      <c r="CU83" s="48">
        <v>0.79760000000000009</v>
      </c>
      <c r="CV83" s="48">
        <v>0.74199999999999999</v>
      </c>
      <c r="CW83" s="48">
        <v>0.65920000000000012</v>
      </c>
      <c r="CX83" s="48">
        <v>0.59960000000000002</v>
      </c>
      <c r="CY83" s="48">
        <v>0.53420000000000001</v>
      </c>
      <c r="CZ83" s="48">
        <v>0.49979999999999997</v>
      </c>
      <c r="DA83" s="48">
        <v>0.45160000000000006</v>
      </c>
      <c r="DB83" s="48">
        <v>0.42080000000000001</v>
      </c>
      <c r="DC83" s="48">
        <v>0.42480000000000001</v>
      </c>
      <c r="DD83" s="48">
        <v>0.42080000000000001</v>
      </c>
      <c r="DE83" s="48">
        <v>0.41879999999999995</v>
      </c>
      <c r="DF83" s="48">
        <v>0.38220000000000004</v>
      </c>
    </row>
    <row r="84" spans="1:110" x14ac:dyDescent="0.2">
      <c r="A84" s="46" t="s">
        <v>48</v>
      </c>
      <c r="B84" s="47">
        <f t="shared" si="56"/>
        <v>9.7355352729749711</v>
      </c>
      <c r="C84" s="47">
        <f t="shared" si="57"/>
        <v>16.932574055169034</v>
      </c>
      <c r="D84" s="49" t="e">
        <f t="shared" ref="D84:D116" ca="1" si="71">_xludf.STDEV.P(W84:DF84)*100</f>
        <v>#NAME?</v>
      </c>
      <c r="E84" s="47"/>
      <c r="F84" s="48">
        <v>0.93955580875816092</v>
      </c>
      <c r="G84" s="48">
        <v>0.90080410029987845</v>
      </c>
      <c r="H84" s="48">
        <v>0.82380410029987827</v>
      </c>
      <c r="I84" s="48">
        <v>0.77023006820647055</v>
      </c>
      <c r="J84" s="48">
        <v>0.75396355332950638</v>
      </c>
      <c r="K84" s="48">
        <v>0.75001594517110204</v>
      </c>
      <c r="L84" s="48">
        <v>0.760428246070737</v>
      </c>
      <c r="M84" s="48">
        <v>0.77159225542865451</v>
      </c>
      <c r="N84" s="48">
        <v>0.7259863329930426</v>
      </c>
      <c r="O84" s="48">
        <v>0.72938041055743075</v>
      </c>
      <c r="P84" s="48">
        <v>0.79664464727025031</v>
      </c>
      <c r="Q84" s="48">
        <v>0.8422004560284112</v>
      </c>
      <c r="R84" s="48">
        <v>0.83954214175120367</v>
      </c>
      <c r="S84" s="48">
        <v>0.74102277966353636</v>
      </c>
      <c r="T84" s="48">
        <v>0.6491845108573091</v>
      </c>
      <c r="U84" s="48">
        <v>0.5814328023990265</v>
      </c>
      <c r="V84" s="48">
        <v>0.64836674355047352</v>
      </c>
      <c r="W84" s="48">
        <v>0.62297494415023014</v>
      </c>
      <c r="X84" s="48">
        <v>0.62684738146280605</v>
      </c>
      <c r="Y84" s="48">
        <v>0.62399088932133218</v>
      </c>
      <c r="Z84" s="48">
        <v>0.57700683449243417</v>
      </c>
      <c r="AA84" s="48">
        <v>0.56843508056317105</v>
      </c>
      <c r="AB84" s="48">
        <v>0.39475854295071688</v>
      </c>
      <c r="AC84" s="48">
        <v>0.39400683449243423</v>
      </c>
      <c r="AD84" s="48">
        <v>0.40456036508645038</v>
      </c>
      <c r="AE84" s="48">
        <v>0.48598633299304261</v>
      </c>
      <c r="AF84" s="48">
        <v>0.51159225542865461</v>
      </c>
      <c r="AG84" s="48">
        <v>0.5703439638869372</v>
      </c>
      <c r="AH84" s="48">
        <v>0.60220045602841121</v>
      </c>
      <c r="AI84" s="48">
        <v>0.66598861115718744</v>
      </c>
      <c r="AJ84" s="48">
        <v>0.57339863389267753</v>
      </c>
      <c r="AK84" s="48">
        <v>0.52520045602841126</v>
      </c>
      <c r="AL84" s="48">
        <v>0.51355808692230565</v>
      </c>
      <c r="AM84" s="48">
        <v>0.60539635572853279</v>
      </c>
      <c r="AN84" s="48">
        <v>0.64700455632828957</v>
      </c>
      <c r="AO84" s="48">
        <v>0.65482460179926993</v>
      </c>
      <c r="AP84" s="48">
        <v>0.64441230089963486</v>
      </c>
      <c r="AQ84" s="48">
        <v>0.67982004547098029</v>
      </c>
      <c r="AR84" s="48">
        <v>0.72639179940024345</v>
      </c>
      <c r="AS84" s="48">
        <v>0.81196355332950632</v>
      </c>
      <c r="AT84" s="48">
        <v>0.85117767636487496</v>
      </c>
      <c r="AU84" s="48">
        <v>0.91082004547098028</v>
      </c>
      <c r="AV84" s="48">
        <v>0.97196583149365101</v>
      </c>
      <c r="AW84" s="48">
        <v>0.74183371247793772</v>
      </c>
      <c r="AX84" s="48">
        <v>0.7008519358131845</v>
      </c>
      <c r="AY84" s="48">
        <v>0.4602414570492831</v>
      </c>
      <c r="AZ84" s="48">
        <v>0.56040318824305591</v>
      </c>
      <c r="BA84" s="48">
        <v>0.59620728854293426</v>
      </c>
      <c r="BB84" s="48">
        <v>0.57081548914269087</v>
      </c>
      <c r="BC84" s="48">
        <v>0.52519362153597693</v>
      </c>
      <c r="BD84" s="48">
        <v>0.45201594517110216</v>
      </c>
      <c r="BE84" s="48">
        <v>0.38298405482889797</v>
      </c>
      <c r="BF84" s="48">
        <v>0.32639635572853287</v>
      </c>
      <c r="BG84" s="48">
        <v>0.3332004560284112</v>
      </c>
      <c r="BH84" s="48">
        <v>0.34464464727025024</v>
      </c>
      <c r="BI84" s="48">
        <v>0.40421412303536847</v>
      </c>
      <c r="BJ84" s="48">
        <v>0.47256947576511821</v>
      </c>
      <c r="BK84" s="48">
        <v>0.52424373521342793</v>
      </c>
      <c r="BL84" s="48">
        <v>0.51015717486548329</v>
      </c>
      <c r="BM84" s="48">
        <v>0.46501366700695734</v>
      </c>
      <c r="BN84" s="48">
        <v>0.42797949850060846</v>
      </c>
      <c r="BO84" s="48">
        <v>0.40435535272974976</v>
      </c>
      <c r="BP84" s="48">
        <v>0.39856719760097353</v>
      </c>
      <c r="BQ84" s="48">
        <v>0.38684965764903978</v>
      </c>
      <c r="BR84" s="48">
        <v>0.34279726580744407</v>
      </c>
      <c r="BS84" s="48">
        <v>0.33565375794891811</v>
      </c>
      <c r="BT84" s="48">
        <v>0.3039954436717105</v>
      </c>
      <c r="BU84" s="48">
        <v>0.27860364427146717</v>
      </c>
      <c r="BV84" s="48">
        <v>0.20501366700695733</v>
      </c>
      <c r="BW84" s="48">
        <v>0.2039817766647532</v>
      </c>
      <c r="BX84" s="48">
        <v>0.10778359880048675</v>
      </c>
      <c r="BY84" s="48">
        <v>0.13338952123609868</v>
      </c>
      <c r="BZ84" s="48">
        <v>9.2945329994259598E-2</v>
      </c>
      <c r="CA84" s="48">
        <v>7.2854213977329246E-2</v>
      </c>
      <c r="CB84" s="48">
        <v>9.4232346370615311E-2</v>
      </c>
      <c r="CC84" s="48">
        <v>0.10083826880622718</v>
      </c>
      <c r="CD84" s="48">
        <v>6.7000000000000004E-2</v>
      </c>
      <c r="CE84" s="48">
        <v>4.6785876964631511E-2</v>
      </c>
      <c r="CF84" s="48">
        <v>6.4555808758160929E-2</v>
      </c>
      <c r="CG84" s="48">
        <v>5.6446469405983794E-2</v>
      </c>
      <c r="CH84" s="48">
        <v>0.10737813239328606</v>
      </c>
      <c r="CI84" s="48">
        <v>3.4589977264509818E-2</v>
      </c>
      <c r="CJ84" s="48">
        <v>8.1375854229141314E-2</v>
      </c>
      <c r="CK84" s="48">
        <v>0.15040774457134545</v>
      </c>
      <c r="CL84" s="48">
        <v>0.40122551187818112</v>
      </c>
      <c r="CM84" s="48">
        <v>0.4612072885429343</v>
      </c>
      <c r="CN84" s="48">
        <v>0.52581321097854616</v>
      </c>
      <c r="CO84" s="48">
        <v>0.50042141157830278</v>
      </c>
      <c r="CP84" s="48">
        <v>0.48999316550756572</v>
      </c>
      <c r="CQ84" s="48">
        <v>0.58865147978477339</v>
      </c>
      <c r="CR84" s="48">
        <v>0.57340091007891125</v>
      </c>
      <c r="CS84" s="48">
        <v>0.59777676430805249</v>
      </c>
      <c r="CT84" s="48">
        <v>0.61723917888513835</v>
      </c>
      <c r="CU84" s="48">
        <v>0.6695990879431778</v>
      </c>
      <c r="CV84" s="48">
        <v>0.69683143431379302</v>
      </c>
      <c r="CW84" s="48">
        <v>0.68901138884281254</v>
      </c>
      <c r="CX84" s="48">
        <v>0.58340774457134537</v>
      </c>
      <c r="CY84" s="48">
        <v>0.50096583149365115</v>
      </c>
      <c r="CZ84" s="48">
        <v>0.43043052423488176</v>
      </c>
      <c r="DA84" s="48">
        <v>0.32538041055743078</v>
      </c>
      <c r="DB84" s="48">
        <v>0.34900455632828947</v>
      </c>
      <c r="DC84" s="48">
        <v>0.3558086566281678</v>
      </c>
      <c r="DD84" s="48">
        <v>0.36534624205108196</v>
      </c>
      <c r="DE84" s="48">
        <v>0.3445785884216972</v>
      </c>
      <c r="DF84" s="48">
        <v>0.31700683449243428</v>
      </c>
    </row>
    <row r="85" spans="1:110" x14ac:dyDescent="0.2">
      <c r="A85" s="46" t="s">
        <v>51</v>
      </c>
      <c r="B85" s="47">
        <f t="shared" si="56"/>
        <v>-20.971428571428575</v>
      </c>
      <c r="C85" s="47">
        <f t="shared" si="57"/>
        <v>-35.6</v>
      </c>
      <c r="D85" s="49" t="e">
        <f t="shared" ref="D85:D117" ca="1" si="72">_xludf.STDEV.P(W85:DF85)*100</f>
        <v>#NAME?</v>
      </c>
      <c r="E85" s="47"/>
      <c r="F85" s="48">
        <v>0.16357142857142859</v>
      </c>
      <c r="G85" s="48">
        <v>0.22485714285714284</v>
      </c>
      <c r="H85" s="48">
        <v>0.39564285714285718</v>
      </c>
      <c r="I85" s="48">
        <v>0.51957142857142857</v>
      </c>
      <c r="J85" s="48">
        <v>0.48499999999999993</v>
      </c>
      <c r="K85" s="48">
        <v>0.3274285714285714</v>
      </c>
      <c r="L85" s="48">
        <v>0.20671428571428571</v>
      </c>
      <c r="M85" s="48">
        <v>0.14221428571428571</v>
      </c>
      <c r="N85" s="48">
        <v>0.21785714285714286</v>
      </c>
      <c r="O85" s="48">
        <v>0.26792857142857146</v>
      </c>
      <c r="P85" s="48">
        <v>0.36357142857142855</v>
      </c>
      <c r="Q85" s="48">
        <v>0.37328571428571433</v>
      </c>
      <c r="R85" s="48">
        <v>0.43035714285714288</v>
      </c>
      <c r="S85" s="48">
        <v>0.40007142857142852</v>
      </c>
      <c r="T85" s="48">
        <v>0.3001428571428571</v>
      </c>
      <c r="U85" s="48">
        <v>0.1207857142857143</v>
      </c>
      <c r="V85" s="48">
        <v>5.3999999999999992E-2</v>
      </c>
      <c r="W85" s="48">
        <v>0.11692857142857141</v>
      </c>
      <c r="X85" s="48">
        <v>0.35721428571428565</v>
      </c>
      <c r="Y85" s="48">
        <v>0.50557142857142867</v>
      </c>
      <c r="Z85" s="48">
        <v>0.58949999999999991</v>
      </c>
      <c r="AA85" s="48">
        <v>0.60092857142857137</v>
      </c>
      <c r="AB85" s="48">
        <v>0.50921428571428573</v>
      </c>
      <c r="AC85" s="48">
        <v>0.44064285714285717</v>
      </c>
      <c r="AD85" s="48">
        <v>0.41771428571428576</v>
      </c>
      <c r="AE85" s="48">
        <v>0.4652142857142858</v>
      </c>
      <c r="AF85" s="48">
        <v>0.57221428571428568</v>
      </c>
      <c r="AG85" s="48">
        <v>0.74885714285714278</v>
      </c>
      <c r="AH85" s="48">
        <v>0.88528571428571412</v>
      </c>
      <c r="AI85" s="48">
        <v>0.93064285714285711</v>
      </c>
      <c r="AJ85" s="48">
        <v>0.91235714285714298</v>
      </c>
      <c r="AK85" s="48">
        <v>0.85957142857142854</v>
      </c>
      <c r="AL85" s="48">
        <v>0.8622142857142856</v>
      </c>
      <c r="AM85" s="48">
        <v>0.90357142857142847</v>
      </c>
      <c r="AN85" s="48">
        <v>0.91378571428571409</v>
      </c>
      <c r="AO85" s="48">
        <v>0.92807142857142844</v>
      </c>
      <c r="AP85" s="48">
        <v>0.94621428571428567</v>
      </c>
      <c r="AQ85" s="48">
        <v>0.96778571428571403</v>
      </c>
      <c r="AR85" s="48">
        <v>0.96814285714285697</v>
      </c>
      <c r="AS85" s="48">
        <v>0.94885714285714273</v>
      </c>
      <c r="AT85" s="48">
        <v>0.91414285714285703</v>
      </c>
      <c r="AU85" s="48">
        <v>0.8619285714285716</v>
      </c>
      <c r="AV85" s="48">
        <v>0.78828571428571448</v>
      </c>
      <c r="AW85" s="48">
        <v>0.72014285714285708</v>
      </c>
      <c r="AX85" s="48">
        <v>0.63021428571428562</v>
      </c>
      <c r="AY85" s="48">
        <v>0.58592857142857147</v>
      </c>
      <c r="AZ85" s="48">
        <v>0.53814285714285703</v>
      </c>
      <c r="BA85" s="48">
        <v>0.4601428571428573</v>
      </c>
      <c r="BB85" s="48">
        <v>0.39321428571428574</v>
      </c>
      <c r="BC85" s="48">
        <v>0.3268571428571429</v>
      </c>
      <c r="BD85" s="48">
        <v>0.29892857142857143</v>
      </c>
      <c r="BE85" s="48">
        <v>0.26307142857142862</v>
      </c>
      <c r="BF85" s="48">
        <v>0.22764285714285715</v>
      </c>
      <c r="BG85" s="48">
        <v>0.23385714285714282</v>
      </c>
      <c r="BH85" s="48">
        <v>0.28607142857142864</v>
      </c>
      <c r="BI85" s="48">
        <v>0.28142857142857142</v>
      </c>
      <c r="BJ85" s="48">
        <v>0.28057142857142853</v>
      </c>
      <c r="BK85" s="48">
        <v>0.2330714285714286</v>
      </c>
      <c r="BL85" s="48">
        <v>0.20721428571428571</v>
      </c>
      <c r="BM85" s="48">
        <v>0.21985714285714283</v>
      </c>
      <c r="BN85" s="48">
        <v>0.27421428571428574</v>
      </c>
      <c r="BO85" s="48">
        <v>0.35742857142857148</v>
      </c>
      <c r="BP85" s="48">
        <v>0.40742857142857142</v>
      </c>
      <c r="BQ85" s="48">
        <v>0.43157142857142855</v>
      </c>
      <c r="BR85" s="48">
        <v>0.46178571428571424</v>
      </c>
      <c r="BS85" s="48">
        <v>0.51107142857142862</v>
      </c>
      <c r="BT85" s="48">
        <v>0.49728571428571428</v>
      </c>
      <c r="BU85" s="48">
        <v>0.48035714285714293</v>
      </c>
      <c r="BV85" s="48">
        <v>0.46500000000000008</v>
      </c>
      <c r="BW85" s="48">
        <v>0.54842857142857149</v>
      </c>
      <c r="BX85" s="48">
        <v>0.61978571428571416</v>
      </c>
      <c r="BY85" s="48">
        <v>0.67407142857142865</v>
      </c>
      <c r="BZ85" s="48">
        <v>0.72678571428571426</v>
      </c>
      <c r="CA85" s="48">
        <v>0.72964285714285715</v>
      </c>
      <c r="CB85" s="48">
        <v>0.71978571428571447</v>
      </c>
      <c r="CC85" s="48">
        <v>0.69421428571428578</v>
      </c>
      <c r="CD85" s="48">
        <v>0.69592857142857134</v>
      </c>
      <c r="CE85" s="48">
        <v>0.6746428571428571</v>
      </c>
      <c r="CF85" s="48">
        <v>0.67135714285714276</v>
      </c>
      <c r="CG85" s="48">
        <v>0.65450000000000008</v>
      </c>
      <c r="CH85" s="48">
        <v>0.65192857142857141</v>
      </c>
      <c r="CI85" s="48">
        <v>0.65014285714285724</v>
      </c>
      <c r="CJ85" s="48">
        <v>0.6706428571428571</v>
      </c>
      <c r="CK85" s="48">
        <v>0.71785714285714275</v>
      </c>
      <c r="CL85" s="48">
        <v>0.70471428571428574</v>
      </c>
      <c r="CM85" s="48">
        <v>0.6865</v>
      </c>
      <c r="CN85" s="48">
        <v>0.65500000000000003</v>
      </c>
      <c r="CO85" s="48">
        <v>0.61964285714285705</v>
      </c>
      <c r="CP85" s="48">
        <v>0.57735714285714279</v>
      </c>
      <c r="CQ85" s="48">
        <v>0.52492857142857141</v>
      </c>
      <c r="CR85" s="48">
        <v>0.55092857142857155</v>
      </c>
      <c r="CS85" s="48">
        <v>0.628</v>
      </c>
      <c r="CT85" s="48">
        <v>0.6904285714285715</v>
      </c>
      <c r="CU85" s="48">
        <v>0.5694285714285714</v>
      </c>
      <c r="CV85" s="48">
        <v>0.4419285714285715</v>
      </c>
      <c r="CW85" s="48">
        <v>0.28799999999999998</v>
      </c>
      <c r="CX85" s="48">
        <v>0.19192857142857142</v>
      </c>
      <c r="CY85" s="48">
        <v>0.11700000000000001</v>
      </c>
      <c r="CZ85" s="48">
        <v>0.11442857142857142</v>
      </c>
      <c r="DA85" s="48">
        <v>0.11899999999999998</v>
      </c>
      <c r="DB85" s="48">
        <v>0.13507142857142859</v>
      </c>
      <c r="DC85" s="48">
        <v>0.1642142857142857</v>
      </c>
      <c r="DD85" s="48">
        <v>0.17464285714285713</v>
      </c>
      <c r="DE85" s="48">
        <v>0.1952142857142857</v>
      </c>
      <c r="DF85" s="48">
        <v>0.21807142857142855</v>
      </c>
    </row>
    <row r="86" spans="1:110" x14ac:dyDescent="0.2">
      <c r="A86" s="46" t="s">
        <v>54</v>
      </c>
      <c r="B86" s="47">
        <f t="shared" si="56"/>
        <v>60.5</v>
      </c>
      <c r="C86" s="47">
        <f t="shared" si="57"/>
        <v>17.300000000000004</v>
      </c>
      <c r="D86" s="49" t="e">
        <f t="shared" ref="D86:D118" ca="1" si="73">_xludf.STDEV.P(W86:DF86)*100</f>
        <v>#NAME?</v>
      </c>
      <c r="E86" s="47"/>
      <c r="F86" s="48">
        <v>0.77800000000000002</v>
      </c>
      <c r="G86" s="48">
        <v>0.75900000000000001</v>
      </c>
      <c r="H86" s="48">
        <v>0.63400000000000001</v>
      </c>
      <c r="I86" s="48">
        <v>0.60499999999999998</v>
      </c>
      <c r="J86" s="48">
        <v>0.50900000000000001</v>
      </c>
      <c r="K86" s="48">
        <v>0.442</v>
      </c>
      <c r="L86" s="48">
        <v>0.24</v>
      </c>
      <c r="M86" s="48">
        <v>0.105</v>
      </c>
      <c r="N86" s="48">
        <v>7.5999999999999998E-2</v>
      </c>
      <c r="O86" s="48">
        <v>9.6000000000000002E-2</v>
      </c>
      <c r="P86" s="48">
        <v>0.153</v>
      </c>
      <c r="Q86" s="48">
        <v>0.17299999999999999</v>
      </c>
      <c r="R86" s="48">
        <v>5.7000000000000002E-2</v>
      </c>
      <c r="S86" s="48">
        <v>4.8000000000000001E-2</v>
      </c>
      <c r="T86" s="48">
        <v>0</v>
      </c>
      <c r="U86" s="48">
        <v>2.8000000000000001E-2</v>
      </c>
      <c r="V86" s="48">
        <v>1.9E-2</v>
      </c>
      <c r="W86" s="48">
        <v>8.9999999999999993E-3</v>
      </c>
      <c r="X86" s="48">
        <v>3.7999999999999999E-2</v>
      </c>
      <c r="Y86" s="48">
        <v>6.7000000000000004E-2</v>
      </c>
      <c r="Z86" s="48">
        <v>0.375</v>
      </c>
      <c r="AA86" s="48">
        <v>0.54800000000000004</v>
      </c>
      <c r="AB86" s="48">
        <v>0.51900000000000002</v>
      </c>
      <c r="AC86" s="48">
        <v>0.53800000000000003</v>
      </c>
      <c r="AD86" s="48">
        <v>0.57599999999999996</v>
      </c>
      <c r="AE86" s="48">
        <v>0.625</v>
      </c>
      <c r="AF86" s="48">
        <v>0.65300000000000002</v>
      </c>
      <c r="AG86" s="48">
        <v>0.70099999999999996</v>
      </c>
      <c r="AH86" s="48">
        <v>0.69199999999999995</v>
      </c>
      <c r="AI86" s="48">
        <v>0.74</v>
      </c>
      <c r="AJ86" s="48">
        <v>0.875</v>
      </c>
      <c r="AK86" s="48">
        <v>0.90300000000000002</v>
      </c>
      <c r="AL86" s="48">
        <v>0.95099999999999985</v>
      </c>
      <c r="AM86" s="48">
        <v>0.97099999999999986</v>
      </c>
      <c r="AN86" s="48">
        <v>0.99</v>
      </c>
      <c r="AO86" s="48">
        <v>1</v>
      </c>
      <c r="AP86" s="48">
        <v>0.98</v>
      </c>
      <c r="AQ86" s="48">
        <v>0.96099999999999985</v>
      </c>
      <c r="AR86" s="48">
        <v>0.94199999999999995</v>
      </c>
      <c r="AS86" s="48">
        <v>0.93200000000000005</v>
      </c>
      <c r="AT86" s="48">
        <v>0.92300000000000004</v>
      </c>
      <c r="AU86" s="48">
        <v>0.91300000000000003</v>
      </c>
      <c r="AV86" s="48">
        <v>0.89400000000000002</v>
      </c>
      <c r="AW86" s="48">
        <v>0.79800000000000004</v>
      </c>
      <c r="AX86" s="48">
        <v>0.58599999999999997</v>
      </c>
      <c r="AY86" s="48">
        <v>0.46100000000000002</v>
      </c>
      <c r="AZ86" s="48">
        <v>0.39400000000000002</v>
      </c>
      <c r="BA86" s="48">
        <v>0.35499999999999998</v>
      </c>
      <c r="BB86" s="48">
        <v>0.317</v>
      </c>
      <c r="BC86" s="48">
        <v>0.28799999999999998</v>
      </c>
      <c r="BD86" s="48">
        <v>0.21099999999999999</v>
      </c>
      <c r="BE86" s="48">
        <v>0.16300000000000001</v>
      </c>
      <c r="BF86" s="48">
        <v>0.13400000000000001</v>
      </c>
      <c r="BG86" s="48">
        <v>0.125</v>
      </c>
      <c r="BH86" s="48">
        <v>0.115</v>
      </c>
      <c r="BI86" s="48">
        <v>8.5999999999999993E-2</v>
      </c>
      <c r="BJ86" s="48">
        <v>0.14399999999999999</v>
      </c>
      <c r="BK86" s="48">
        <v>0.182</v>
      </c>
      <c r="BL86" s="48">
        <v>0.307</v>
      </c>
      <c r="BM86" s="48">
        <v>0.34599999999999997</v>
      </c>
      <c r="BN86" s="48">
        <v>0.41299999999999998</v>
      </c>
      <c r="BO86" s="48">
        <v>0.432</v>
      </c>
      <c r="BP86" s="48">
        <v>0.49</v>
      </c>
      <c r="BQ86" s="48">
        <v>0.56699999999999995</v>
      </c>
      <c r="BR86" s="48">
        <v>0.64400000000000002</v>
      </c>
      <c r="BS86" s="48">
        <v>0.66300000000000003</v>
      </c>
      <c r="BT86" s="48">
        <v>0.73</v>
      </c>
      <c r="BU86" s="48">
        <v>0.80700000000000005</v>
      </c>
      <c r="BV86" s="48">
        <v>0.82599999999999996</v>
      </c>
      <c r="BW86" s="48">
        <v>0.88400000000000001</v>
      </c>
      <c r="BX86" s="48">
        <v>0.83599999999999997</v>
      </c>
      <c r="BY86" s="48">
        <v>0.83599999999999997</v>
      </c>
      <c r="BZ86" s="48">
        <v>0.83599999999999997</v>
      </c>
      <c r="CA86" s="48">
        <v>0.83599999999999997</v>
      </c>
      <c r="CB86" s="48">
        <v>0.81699999999999995</v>
      </c>
      <c r="CC86" s="48">
        <v>0.78800000000000003</v>
      </c>
      <c r="CD86" s="48">
        <v>0.75</v>
      </c>
      <c r="CE86" s="48">
        <v>0.68200000000000005</v>
      </c>
      <c r="CF86" s="48">
        <v>0.59599999999999997</v>
      </c>
      <c r="CG86" s="48">
        <v>0.47099999999999997</v>
      </c>
      <c r="CH86" s="48">
        <v>0.40300000000000002</v>
      </c>
      <c r="CI86" s="48">
        <v>0.32600000000000001</v>
      </c>
      <c r="CJ86" s="48">
        <v>0.29799999999999999</v>
      </c>
      <c r="CK86" s="48">
        <v>0.25</v>
      </c>
      <c r="CL86" s="48">
        <v>0.192</v>
      </c>
      <c r="CM86" s="48">
        <v>0.23</v>
      </c>
      <c r="CN86" s="48">
        <v>0.25900000000000001</v>
      </c>
      <c r="CO86" s="48">
        <v>0.25900000000000001</v>
      </c>
      <c r="CP86" s="48">
        <v>0.221</v>
      </c>
      <c r="CQ86" s="48">
        <v>0.20100000000000001</v>
      </c>
      <c r="CR86" s="48">
        <v>0.27800000000000002</v>
      </c>
      <c r="CS86" s="48">
        <v>0.33600000000000002</v>
      </c>
      <c r="CT86" s="48">
        <v>0.36499999999999999</v>
      </c>
      <c r="CU86" s="48">
        <v>0.38400000000000001</v>
      </c>
      <c r="CV86" s="48">
        <v>0.42299999999999999</v>
      </c>
      <c r="CW86" s="48">
        <v>0.45100000000000001</v>
      </c>
      <c r="CX86" s="48">
        <v>0.48</v>
      </c>
      <c r="CY86" s="48">
        <v>0.5</v>
      </c>
      <c r="CZ86" s="48">
        <v>0.52800000000000002</v>
      </c>
      <c r="DA86" s="48">
        <v>0.55700000000000005</v>
      </c>
      <c r="DB86" s="48">
        <v>0.61499999999999999</v>
      </c>
      <c r="DC86" s="48">
        <v>0.67300000000000004</v>
      </c>
      <c r="DD86" s="48">
        <v>0.71099999999999997</v>
      </c>
      <c r="DE86" s="48">
        <v>0.72099999999999997</v>
      </c>
      <c r="DF86" s="48">
        <v>0.76900000000000002</v>
      </c>
    </row>
    <row r="87" spans="1:110" x14ac:dyDescent="0.2">
      <c r="A87" s="46" t="s">
        <v>57</v>
      </c>
      <c r="B87" s="47">
        <f t="shared" si="56"/>
        <v>6.5999999999999988</v>
      </c>
      <c r="C87" s="47">
        <f t="shared" si="57"/>
        <v>3.7499999999999991</v>
      </c>
      <c r="D87" s="49" t="e">
        <f t="shared" ref="D87:D119" ca="1" si="74">_xludf.STDEV.P(W87:DF87)*100</f>
        <v>#NAME?</v>
      </c>
      <c r="E87" s="47"/>
      <c r="F87" s="48">
        <v>9.849999999999999E-2</v>
      </c>
      <c r="G87" s="48">
        <v>8.6999999999999994E-2</v>
      </c>
      <c r="H87" s="48">
        <v>4.9499999999999995E-2</v>
      </c>
      <c r="I87" s="48">
        <v>6.0999999999999999E-2</v>
      </c>
      <c r="J87" s="48">
        <v>0.114</v>
      </c>
      <c r="K87" s="48">
        <v>0.23699999999999999</v>
      </c>
      <c r="L87" s="48">
        <v>0.16999999999999998</v>
      </c>
      <c r="M87" s="48">
        <v>5.3000000000000005E-2</v>
      </c>
      <c r="N87" s="48">
        <v>1.0500000000000001E-2</v>
      </c>
      <c r="O87" s="48">
        <v>0</v>
      </c>
      <c r="P87" s="48">
        <v>2.1500000000000002E-2</v>
      </c>
      <c r="Q87" s="48">
        <v>3.2500000000000001E-2</v>
      </c>
      <c r="R87" s="48">
        <v>7.6499999999999999E-2</v>
      </c>
      <c r="S87" s="48">
        <v>0.11550000000000002</v>
      </c>
      <c r="T87" s="48">
        <v>0.31150000000000005</v>
      </c>
      <c r="U87" s="48">
        <v>0.39349999999999996</v>
      </c>
      <c r="V87" s="48">
        <v>0.36650000000000005</v>
      </c>
      <c r="W87" s="48">
        <v>0.27500000000000002</v>
      </c>
      <c r="X87" s="48">
        <v>0.43850000000000006</v>
      </c>
      <c r="Y87" s="48">
        <v>0.56799999999999995</v>
      </c>
      <c r="Z87" s="48">
        <v>0.69550000000000001</v>
      </c>
      <c r="AA87" s="48">
        <v>0.74550000000000005</v>
      </c>
      <c r="AB87" s="48">
        <v>0.78649999999999998</v>
      </c>
      <c r="AC87" s="48">
        <v>0.81350000000000011</v>
      </c>
      <c r="AD87" s="48">
        <v>0.83850000000000002</v>
      </c>
      <c r="AE87" s="48">
        <v>0.89100000000000001</v>
      </c>
      <c r="AF87" s="48">
        <v>0.91900000000000004</v>
      </c>
      <c r="AG87" s="48">
        <v>0.96049999999999991</v>
      </c>
      <c r="AH87" s="48">
        <v>0.9494999999999999</v>
      </c>
      <c r="AI87" s="48">
        <v>0.96299999999999986</v>
      </c>
      <c r="AJ87" s="48">
        <v>0.99350000000000005</v>
      </c>
      <c r="AK87" s="48">
        <v>0.995</v>
      </c>
      <c r="AL87" s="48">
        <v>0.97099999999999997</v>
      </c>
      <c r="AM87" s="48">
        <v>0.92249999999999999</v>
      </c>
      <c r="AN87" s="48">
        <v>0.92149999999999999</v>
      </c>
      <c r="AO87" s="48">
        <v>0.89949999999999997</v>
      </c>
      <c r="AP87" s="48">
        <v>0.88349999999999995</v>
      </c>
      <c r="AQ87" s="48">
        <v>0.85550000000000004</v>
      </c>
      <c r="AR87" s="48">
        <v>0.79</v>
      </c>
      <c r="AS87" s="48">
        <v>0.76350000000000007</v>
      </c>
      <c r="AT87" s="48">
        <v>0.75250000000000006</v>
      </c>
      <c r="AU87" s="48">
        <v>0.74150000000000005</v>
      </c>
      <c r="AV87" s="48">
        <v>0.72550000000000003</v>
      </c>
      <c r="AW87" s="48">
        <v>0.70399999999999996</v>
      </c>
      <c r="AX87" s="48">
        <v>0.66800000000000004</v>
      </c>
      <c r="AY87" s="48">
        <v>0.59500000000000008</v>
      </c>
      <c r="AZ87" s="48">
        <v>0.50900000000000012</v>
      </c>
      <c r="BA87" s="48">
        <v>0.38800000000000001</v>
      </c>
      <c r="BB87" s="48">
        <v>0.30149999999999999</v>
      </c>
      <c r="BC87" s="48">
        <v>0.21099999999999999</v>
      </c>
      <c r="BD87" s="48">
        <v>0.222</v>
      </c>
      <c r="BE87" s="48">
        <v>0.24200000000000002</v>
      </c>
      <c r="BF87" s="48">
        <v>0.28949999999999998</v>
      </c>
      <c r="BG87" s="48">
        <v>0.32250000000000006</v>
      </c>
      <c r="BH87" s="48">
        <v>0.35350000000000004</v>
      </c>
      <c r="BI87" s="48">
        <v>0.37099999999999994</v>
      </c>
      <c r="BJ87" s="48">
        <v>0.38650000000000001</v>
      </c>
      <c r="BK87" s="48">
        <v>0.42099999999999999</v>
      </c>
      <c r="BL87" s="48">
        <v>0.45900000000000002</v>
      </c>
      <c r="BM87" s="48">
        <v>0.4965</v>
      </c>
      <c r="BN87" s="48">
        <v>0.50900000000000001</v>
      </c>
      <c r="BO87" s="48">
        <v>0.50050000000000006</v>
      </c>
      <c r="BP87" s="48">
        <v>0.436</v>
      </c>
      <c r="BQ87" s="48">
        <v>0.35799999999999998</v>
      </c>
      <c r="BR87" s="48">
        <v>0.28850000000000003</v>
      </c>
      <c r="BS87" s="48">
        <v>0.22850000000000001</v>
      </c>
      <c r="BT87" s="48">
        <v>0.1875</v>
      </c>
      <c r="BU87" s="48">
        <v>0.17050000000000001</v>
      </c>
      <c r="BV87" s="48">
        <v>0.15500000000000003</v>
      </c>
      <c r="BW87" s="48">
        <v>0.14350000000000002</v>
      </c>
      <c r="BX87" s="48">
        <v>0.14699999999999999</v>
      </c>
      <c r="BY87" s="48">
        <v>0.19550000000000001</v>
      </c>
      <c r="BZ87" s="48">
        <v>0.29599999999999999</v>
      </c>
      <c r="CA87" s="48">
        <v>0.42300000000000004</v>
      </c>
      <c r="CB87" s="48">
        <v>0.49350000000000005</v>
      </c>
      <c r="CC87" s="48">
        <v>0.56000000000000005</v>
      </c>
      <c r="CD87" s="48">
        <v>0.58850000000000002</v>
      </c>
      <c r="CE87" s="48">
        <v>0.60399999999999998</v>
      </c>
      <c r="CF87" s="48">
        <v>0.63550000000000006</v>
      </c>
      <c r="CG87" s="48">
        <v>0.65200000000000002</v>
      </c>
      <c r="CH87" s="48">
        <v>0.66249999999999998</v>
      </c>
      <c r="CI87" s="48">
        <v>0.67349999999999999</v>
      </c>
      <c r="CJ87" s="48">
        <v>0.57650000000000001</v>
      </c>
      <c r="CK87" s="48">
        <v>0.5575</v>
      </c>
      <c r="CL87" s="48">
        <v>0.54800000000000004</v>
      </c>
      <c r="CM87" s="48">
        <v>0.52849999999999997</v>
      </c>
      <c r="CN87" s="48">
        <v>0.51900000000000002</v>
      </c>
      <c r="CO87" s="48">
        <v>0.50449999999999995</v>
      </c>
      <c r="CP87" s="48">
        <v>0.49</v>
      </c>
      <c r="CQ87" s="48">
        <v>0.48050000000000004</v>
      </c>
      <c r="CR87" s="48">
        <v>0.47099999999999992</v>
      </c>
      <c r="CS87" s="48">
        <v>0.46149999999999997</v>
      </c>
      <c r="CT87" s="48">
        <v>0.49499999999999994</v>
      </c>
      <c r="CU87" s="48">
        <v>0.53799999999999992</v>
      </c>
      <c r="CV87" s="48">
        <v>0.58650000000000002</v>
      </c>
      <c r="CW87" s="48">
        <v>0.61049999999999993</v>
      </c>
      <c r="CX87" s="48">
        <v>0.63449999999999995</v>
      </c>
      <c r="CY87" s="48">
        <v>0.64900000000000002</v>
      </c>
      <c r="CZ87" s="48">
        <v>0.65350000000000008</v>
      </c>
      <c r="DA87" s="48">
        <v>0.65849999999999997</v>
      </c>
      <c r="DB87" s="48">
        <v>0.67299999999999993</v>
      </c>
      <c r="DC87" s="48">
        <v>0.6775000000000001</v>
      </c>
      <c r="DD87" s="48">
        <v>0.6825</v>
      </c>
      <c r="DE87" s="48">
        <v>0.6875</v>
      </c>
      <c r="DF87" s="48">
        <v>0.66799999999999993</v>
      </c>
    </row>
    <row r="88" spans="1:110" x14ac:dyDescent="0.2">
      <c r="A88" s="46" t="s">
        <v>60</v>
      </c>
      <c r="B88" s="47">
        <f t="shared" si="56"/>
        <v>-68.2</v>
      </c>
      <c r="C88" s="47">
        <f t="shared" si="57"/>
        <v>-30.7</v>
      </c>
      <c r="D88" s="49" t="e">
        <f t="shared" ref="D88:D120" ca="1" si="75">_xludf.STDEV.P(W88:DF88)*100</f>
        <v>#NAME?</v>
      </c>
      <c r="E88" s="47"/>
      <c r="F88" s="48">
        <v>0.125</v>
      </c>
      <c r="G88" s="48">
        <v>0.16300000000000003</v>
      </c>
      <c r="H88" s="48">
        <v>0.26900000000000002</v>
      </c>
      <c r="I88" s="48">
        <v>0.432</v>
      </c>
      <c r="J88" s="48">
        <v>0.442</v>
      </c>
      <c r="K88" s="48">
        <v>0.35500000000000004</v>
      </c>
      <c r="L88" s="48">
        <v>0.28799999999999998</v>
      </c>
      <c r="M88" s="48">
        <v>0.375</v>
      </c>
      <c r="N88" s="48">
        <v>0.54800000000000004</v>
      </c>
      <c r="O88" s="48">
        <v>0.75</v>
      </c>
      <c r="P88" s="48">
        <v>0.79800000000000004</v>
      </c>
      <c r="Q88" s="48">
        <v>0.80700000000000005</v>
      </c>
      <c r="R88" s="48">
        <v>0.65300000000000002</v>
      </c>
      <c r="S88" s="48">
        <v>0.59599999999999997</v>
      </c>
      <c r="T88" s="48">
        <v>0.50900000000000001</v>
      </c>
      <c r="U88" s="48">
        <v>0.34599999999999997</v>
      </c>
      <c r="V88" s="48">
        <v>0.17299999999999999</v>
      </c>
      <c r="W88" s="48">
        <v>0.192</v>
      </c>
      <c r="X88" s="48">
        <v>0.25900000000000001</v>
      </c>
      <c r="Y88" s="48">
        <v>0.32600000000000007</v>
      </c>
      <c r="Z88" s="48">
        <v>0.46100000000000002</v>
      </c>
      <c r="AA88" s="48">
        <v>0.49</v>
      </c>
      <c r="AB88" s="48">
        <v>0.36499999999999999</v>
      </c>
      <c r="AC88" s="48">
        <v>0.21099999999999999</v>
      </c>
      <c r="AD88" s="48">
        <v>5.7000000000000002E-2</v>
      </c>
      <c r="AE88" s="48">
        <v>1.9E-2</v>
      </c>
      <c r="AF88" s="48">
        <v>0</v>
      </c>
      <c r="AG88" s="48">
        <v>8.9999999999999993E-3</v>
      </c>
      <c r="AH88" s="48">
        <v>3.7999999999999999E-2</v>
      </c>
      <c r="AI88" s="48">
        <v>8.6000000000000007E-2</v>
      </c>
      <c r="AJ88" s="48">
        <v>0.14399999999999999</v>
      </c>
      <c r="AK88" s="48">
        <v>0.105</v>
      </c>
      <c r="AL88" s="48">
        <v>6.7000000000000004E-2</v>
      </c>
      <c r="AM88" s="48">
        <v>7.5999999999999998E-2</v>
      </c>
      <c r="AN88" s="48">
        <v>0.182</v>
      </c>
      <c r="AO88" s="48">
        <v>0.39400000000000007</v>
      </c>
      <c r="AP88" s="48">
        <v>0.63400000000000001</v>
      </c>
      <c r="AQ88" s="48">
        <v>0.85499999999999998</v>
      </c>
      <c r="AR88" s="48">
        <v>0.95099999999999996</v>
      </c>
      <c r="AS88" s="48">
        <v>1</v>
      </c>
      <c r="AT88" s="48">
        <v>0.99</v>
      </c>
      <c r="AU88" s="48">
        <v>0.98</v>
      </c>
      <c r="AV88" s="48">
        <v>0.97099999999999997</v>
      </c>
      <c r="AW88" s="48">
        <v>0.96099999999999997</v>
      </c>
      <c r="AX88" s="48">
        <v>0.93200000000000005</v>
      </c>
      <c r="AY88" s="48">
        <v>0.88400000000000001</v>
      </c>
      <c r="AZ88" s="48">
        <v>0.83599999999999985</v>
      </c>
      <c r="BA88" s="48">
        <v>0.76900000000000002</v>
      </c>
      <c r="BB88" s="48">
        <v>0.73</v>
      </c>
      <c r="BC88" s="48">
        <v>0.55700000000000005</v>
      </c>
      <c r="BD88" s="48">
        <v>0.47099999999999997</v>
      </c>
      <c r="BE88" s="48">
        <v>0.29799999999999999</v>
      </c>
      <c r="BF88" s="48">
        <v>0.317</v>
      </c>
      <c r="BG88" s="48">
        <v>0.38400000000000001</v>
      </c>
      <c r="BH88" s="48">
        <v>0.41299999999999998</v>
      </c>
      <c r="BI88" s="48">
        <v>0.52800000000000002</v>
      </c>
      <c r="BJ88" s="48">
        <v>0.56699999999999995</v>
      </c>
      <c r="BK88" s="48">
        <v>0.61499999999999999</v>
      </c>
      <c r="BL88" s="48">
        <v>0.64400000000000002</v>
      </c>
      <c r="BM88" s="48">
        <v>0.70099999999999996</v>
      </c>
      <c r="BN88" s="48">
        <v>0.77799999999999991</v>
      </c>
      <c r="BO88" s="48">
        <v>0.84600000000000009</v>
      </c>
      <c r="BP88" s="48">
        <v>0.90300000000000002</v>
      </c>
      <c r="BQ88" s="48">
        <v>0.91300000000000003</v>
      </c>
      <c r="BR88" s="48">
        <v>0.86499999999999988</v>
      </c>
      <c r="BS88" s="48">
        <v>0.82599999999999996</v>
      </c>
      <c r="BT88" s="48">
        <v>0.78800000000000014</v>
      </c>
      <c r="BU88" s="48">
        <v>0.72099999999999997</v>
      </c>
      <c r="BV88" s="48">
        <v>0.66300000000000003</v>
      </c>
      <c r="BW88" s="48">
        <v>0.69199999999999995</v>
      </c>
      <c r="BX88" s="48">
        <v>0.74</v>
      </c>
      <c r="BY88" s="48">
        <v>0.67300000000000004</v>
      </c>
      <c r="BZ88" s="48">
        <v>0.53800000000000003</v>
      </c>
      <c r="CA88" s="48">
        <v>0.48000000000000004</v>
      </c>
      <c r="CB88" s="48">
        <v>0.5</v>
      </c>
      <c r="CC88" s="48">
        <v>0.51900000000000002</v>
      </c>
      <c r="CD88" s="48">
        <v>0.42300000000000004</v>
      </c>
      <c r="CE88" s="48">
        <v>0.23</v>
      </c>
      <c r="CF88" s="48">
        <v>0.115</v>
      </c>
      <c r="CG88" s="48">
        <v>9.6000000000000002E-2</v>
      </c>
      <c r="CH88" s="48">
        <v>0.13400000000000001</v>
      </c>
      <c r="CI88" s="48">
        <v>0.153</v>
      </c>
      <c r="CJ88" s="48">
        <v>0.25</v>
      </c>
      <c r="CK88" s="48">
        <v>0.45100000000000007</v>
      </c>
      <c r="CL88" s="48">
        <v>0.58599999999999997</v>
      </c>
      <c r="CM88" s="48">
        <v>0.68200000000000005</v>
      </c>
      <c r="CN88" s="48">
        <v>0.71099999999999997</v>
      </c>
      <c r="CO88" s="48">
        <v>0.625</v>
      </c>
      <c r="CP88" s="48">
        <v>0.60499999999999998</v>
      </c>
      <c r="CQ88" s="48">
        <v>0.75900000000000001</v>
      </c>
      <c r="CR88" s="48">
        <v>0.87499999999999989</v>
      </c>
      <c r="CS88" s="48">
        <v>0.92300000000000004</v>
      </c>
      <c r="CT88" s="48">
        <v>0.94199999999999995</v>
      </c>
      <c r="CU88" s="48">
        <v>0.89400000000000002</v>
      </c>
      <c r="CV88" s="48">
        <v>0.81699999999999995</v>
      </c>
      <c r="CW88" s="48">
        <v>0.57599999999999996</v>
      </c>
      <c r="CX88" s="48">
        <v>0.40300000000000002</v>
      </c>
      <c r="CY88" s="48">
        <v>0.307</v>
      </c>
      <c r="CZ88" s="48">
        <v>0.221</v>
      </c>
      <c r="DA88" s="48">
        <v>0.20100000000000001</v>
      </c>
      <c r="DB88" s="48">
        <v>0.27800000000000002</v>
      </c>
      <c r="DC88" s="48">
        <v>0.33600000000000002</v>
      </c>
      <c r="DD88" s="48">
        <v>0.24000000000000002</v>
      </c>
      <c r="DE88" s="48">
        <v>4.8000000000000001E-2</v>
      </c>
      <c r="DF88" s="48">
        <v>2.8000000000000001E-2</v>
      </c>
    </row>
    <row r="89" spans="1:110" x14ac:dyDescent="0.2">
      <c r="A89" s="46" t="s">
        <v>63</v>
      </c>
      <c r="B89" s="47">
        <f t="shared" si="56"/>
        <v>-21.391666666666666</v>
      </c>
      <c r="C89" s="47">
        <f t="shared" si="57"/>
        <v>-13.508333333333326</v>
      </c>
      <c r="D89" s="49" t="e">
        <f t="shared" ref="D89:D121" ca="1" si="76">_xludf.STDEV.P(W89:DF89)*100</f>
        <v>#NAME?</v>
      </c>
      <c r="E89" s="47"/>
      <c r="F89" s="48">
        <v>0.1623333333333333</v>
      </c>
      <c r="G89" s="48">
        <v>0.18466666666666662</v>
      </c>
      <c r="H89" s="48">
        <v>0.22416666666666668</v>
      </c>
      <c r="I89" s="48">
        <v>0.29741666666666655</v>
      </c>
      <c r="J89" s="48">
        <v>0.30475000000000002</v>
      </c>
      <c r="K89" s="48">
        <v>0.28495833333333331</v>
      </c>
      <c r="L89" s="48">
        <v>0.24470833333333328</v>
      </c>
      <c r="M89" s="48">
        <v>0.25912499999999994</v>
      </c>
      <c r="N89" s="48">
        <v>0.32024999999999998</v>
      </c>
      <c r="O89" s="48">
        <v>0.363875</v>
      </c>
      <c r="P89" s="48">
        <v>0.38858333333333311</v>
      </c>
      <c r="Q89" s="48">
        <v>0.37624999999999997</v>
      </c>
      <c r="R89" s="48">
        <v>0.3701666666666667</v>
      </c>
      <c r="S89" s="48">
        <v>0.37024999999999991</v>
      </c>
      <c r="T89" s="48">
        <v>0.31266666666666659</v>
      </c>
      <c r="U89" s="48">
        <v>0.23729166666666662</v>
      </c>
      <c r="V89" s="48">
        <v>0.17841666666666661</v>
      </c>
      <c r="W89" s="48">
        <v>0.17458333333333334</v>
      </c>
      <c r="X89" s="48">
        <v>0.22558333333333327</v>
      </c>
      <c r="Y89" s="48">
        <v>0.22470833333333332</v>
      </c>
      <c r="Z89" s="48">
        <v>0.16345833333333332</v>
      </c>
      <c r="AA89" s="48">
        <v>0.10120833333333332</v>
      </c>
      <c r="AB89" s="48">
        <v>7.7208333333333323E-2</v>
      </c>
      <c r="AC89" s="48">
        <v>6.8124999999999977E-2</v>
      </c>
      <c r="AD89" s="48">
        <v>8.5749999999999979E-2</v>
      </c>
      <c r="AE89" s="48">
        <v>7.2333333333333305E-2</v>
      </c>
      <c r="AF89" s="48">
        <v>0.10962499999999999</v>
      </c>
      <c r="AG89" s="48">
        <v>0.14733333333333332</v>
      </c>
      <c r="AH89" s="48">
        <v>0.28158333333333324</v>
      </c>
      <c r="AI89" s="48">
        <v>0.43016666666666659</v>
      </c>
      <c r="AJ89" s="48">
        <v>0.53187499999999999</v>
      </c>
      <c r="AK89" s="48">
        <v>0.60566666666666669</v>
      </c>
      <c r="AL89" s="48">
        <v>0.61970833333333319</v>
      </c>
      <c r="AM89" s="48">
        <v>0.6094166666666665</v>
      </c>
      <c r="AN89" s="48">
        <v>0.62649999999999983</v>
      </c>
      <c r="AO89" s="48">
        <v>0.65258333333333318</v>
      </c>
      <c r="AP89" s="48">
        <v>0.68512499999999998</v>
      </c>
      <c r="AQ89" s="48">
        <v>0.59704166666666658</v>
      </c>
      <c r="AR89" s="48">
        <v>0.52454166666666657</v>
      </c>
      <c r="AS89" s="48">
        <v>0.62825000000000009</v>
      </c>
      <c r="AT89" s="48">
        <v>0.68349999999999989</v>
      </c>
      <c r="AU89" s="48">
        <v>0.68054166666666671</v>
      </c>
      <c r="AV89" s="48">
        <v>0.54241666666666655</v>
      </c>
      <c r="AW89" s="48">
        <v>0.5100416666666665</v>
      </c>
      <c r="AX89" s="48">
        <v>0.54579166666666645</v>
      </c>
      <c r="AY89" s="48">
        <v>0.57074999999999987</v>
      </c>
      <c r="AZ89" s="48">
        <v>0.53320833333333317</v>
      </c>
      <c r="BA89" s="48">
        <v>0.48970833333333336</v>
      </c>
      <c r="BB89" s="48">
        <v>0.48354166666666659</v>
      </c>
      <c r="BC89" s="48">
        <v>0.49245833333333328</v>
      </c>
      <c r="BD89" s="48">
        <v>0.49708333333333332</v>
      </c>
      <c r="BE89" s="48">
        <v>0.47787499999999988</v>
      </c>
      <c r="BF89" s="48">
        <v>0.44537499999999991</v>
      </c>
      <c r="BG89" s="48">
        <v>0.42158333333333325</v>
      </c>
      <c r="BH89" s="48">
        <v>0.43225000000000002</v>
      </c>
      <c r="BI89" s="48">
        <v>0.50145833333333323</v>
      </c>
      <c r="BJ89" s="48">
        <v>0.58012499999999989</v>
      </c>
      <c r="BK89" s="48">
        <v>0.55549999999999977</v>
      </c>
      <c r="BL89" s="48">
        <v>0.47516666666666663</v>
      </c>
      <c r="BM89" s="48">
        <v>0.37204166666666655</v>
      </c>
      <c r="BN89" s="48">
        <v>0.32854166666666662</v>
      </c>
      <c r="BO89" s="48">
        <v>0.34337499999999987</v>
      </c>
      <c r="BP89" s="48">
        <v>0.41662499999999991</v>
      </c>
      <c r="BQ89" s="48">
        <v>0.5236249999999999</v>
      </c>
      <c r="BR89" s="48">
        <v>0.59399999999999997</v>
      </c>
      <c r="BS89" s="48">
        <v>0.61166666666666647</v>
      </c>
      <c r="BT89" s="48">
        <v>0.57308333333333328</v>
      </c>
      <c r="BU89" s="48">
        <v>0.52233333333333309</v>
      </c>
      <c r="BV89" s="48">
        <v>0.4904166666666665</v>
      </c>
      <c r="BW89" s="48">
        <v>0.50345833333333323</v>
      </c>
      <c r="BX89" s="48">
        <v>0.59804166666666636</v>
      </c>
      <c r="BY89" s="48">
        <v>0.67074999999999985</v>
      </c>
      <c r="BZ89" s="48">
        <v>0.71587499999999971</v>
      </c>
      <c r="CA89" s="48">
        <v>0.7301666666666663</v>
      </c>
      <c r="CB89" s="48">
        <v>0.75462499999999999</v>
      </c>
      <c r="CC89" s="48">
        <v>0.78474999999999961</v>
      </c>
      <c r="CD89" s="48">
        <v>0.81079166666666669</v>
      </c>
      <c r="CE89" s="48">
        <v>0.75074999999999992</v>
      </c>
      <c r="CF89" s="48">
        <v>0.701125</v>
      </c>
      <c r="CG89" s="48">
        <v>0.67916666666666647</v>
      </c>
      <c r="CH89" s="48">
        <v>0.76345833333333313</v>
      </c>
      <c r="CI89" s="48">
        <v>0.80129166666666651</v>
      </c>
      <c r="CJ89" s="48">
        <v>0.83374999999999988</v>
      </c>
      <c r="CK89" s="48">
        <v>0.85991666666666644</v>
      </c>
      <c r="CL89" s="48">
        <v>0.89295833333333319</v>
      </c>
      <c r="CM89" s="48">
        <v>0.91316666666666635</v>
      </c>
      <c r="CN89" s="48">
        <v>0.90241666666666664</v>
      </c>
      <c r="CO89" s="48">
        <v>0.84804166666666647</v>
      </c>
      <c r="CP89" s="48">
        <v>0.77699999999999969</v>
      </c>
      <c r="CQ89" s="48">
        <v>0.7563333333333333</v>
      </c>
      <c r="CR89" s="48">
        <v>0.76474999999999993</v>
      </c>
      <c r="CS89" s="48">
        <v>0.76129166666666637</v>
      </c>
      <c r="CT89" s="48">
        <v>0.70649999999999991</v>
      </c>
      <c r="CU89" s="48">
        <v>0.68699999999999983</v>
      </c>
      <c r="CV89" s="48">
        <v>0.66104166666666653</v>
      </c>
      <c r="CW89" s="48">
        <v>0.62491666666666645</v>
      </c>
      <c r="CX89" s="48">
        <v>0.6037083333333334</v>
      </c>
      <c r="CY89" s="48">
        <v>0.60779166666666662</v>
      </c>
      <c r="CZ89" s="48">
        <v>0.58941666666666648</v>
      </c>
      <c r="DA89" s="48">
        <v>0.56108333333333327</v>
      </c>
      <c r="DB89" s="48">
        <v>0.58716666666666661</v>
      </c>
      <c r="DC89" s="48">
        <v>0.55120833333333319</v>
      </c>
      <c r="DD89" s="48">
        <v>0.4085833333333333</v>
      </c>
      <c r="DE89" s="48">
        <v>0.26712499999999995</v>
      </c>
      <c r="DF89" s="48">
        <v>0.18737499999999996</v>
      </c>
    </row>
    <row r="90" spans="1:110" x14ac:dyDescent="0.2">
      <c r="A90" s="46" t="s">
        <v>66</v>
      </c>
      <c r="B90" s="47">
        <f t="shared" si="56"/>
        <v>42.250000000000007</v>
      </c>
      <c r="C90" s="47">
        <f t="shared" si="57"/>
        <v>1.4000000000000123</v>
      </c>
      <c r="D90" s="49" t="e">
        <f t="shared" ref="D90:D122" ca="1" si="77">_xludf.STDEV.P(W90:DF90)*100</f>
        <v>#NAME?</v>
      </c>
      <c r="E90" s="47"/>
      <c r="F90" s="48">
        <v>0.47900000000000009</v>
      </c>
      <c r="G90" s="48">
        <v>0.49099999999999999</v>
      </c>
      <c r="H90" s="48">
        <v>0.50600000000000001</v>
      </c>
      <c r="I90" s="48">
        <v>0.46499999999999997</v>
      </c>
      <c r="J90" s="48">
        <v>0.34349999999999997</v>
      </c>
      <c r="K90" s="48">
        <v>0.28750000000000003</v>
      </c>
      <c r="L90" s="48">
        <v>0.26100000000000001</v>
      </c>
      <c r="M90" s="48">
        <v>0.28699999999999998</v>
      </c>
      <c r="N90" s="48">
        <v>0.23450000000000001</v>
      </c>
      <c r="O90" s="48">
        <v>0.18799999999999994</v>
      </c>
      <c r="P90" s="48">
        <v>0.1195</v>
      </c>
      <c r="Q90" s="48">
        <v>5.6500000000000015E-2</v>
      </c>
      <c r="R90" s="48">
        <v>4.9500000000000009E-2</v>
      </c>
      <c r="S90" s="48">
        <v>7.1999999999999995E-2</v>
      </c>
      <c r="T90" s="48">
        <v>8.7500000000000008E-2</v>
      </c>
      <c r="U90" s="48">
        <v>9.4000000000000014E-2</v>
      </c>
      <c r="V90" s="48">
        <v>0.11249999999999998</v>
      </c>
      <c r="W90" s="48">
        <v>0.16549999999999998</v>
      </c>
      <c r="X90" s="48">
        <v>0.16200000000000001</v>
      </c>
      <c r="Y90" s="48">
        <v>0.12300000000000001</v>
      </c>
      <c r="Z90" s="48">
        <v>5.8999999999999983E-2</v>
      </c>
      <c r="AA90" s="48">
        <v>3.3000000000000029E-2</v>
      </c>
      <c r="AB90" s="48">
        <v>3.4499999999999975E-2</v>
      </c>
      <c r="AC90" s="48">
        <v>8.6500000000000007E-2</v>
      </c>
      <c r="AD90" s="48">
        <v>0.17450000000000002</v>
      </c>
      <c r="AE90" s="48">
        <v>0.32550000000000001</v>
      </c>
      <c r="AF90" s="48">
        <v>0.36649999999999999</v>
      </c>
      <c r="AG90" s="48">
        <v>0.35899999999999999</v>
      </c>
      <c r="AH90" s="48">
        <v>0.41750000000000004</v>
      </c>
      <c r="AI90" s="48">
        <v>0.53799999999999992</v>
      </c>
      <c r="AJ90" s="48">
        <v>0.62</v>
      </c>
      <c r="AK90" s="48">
        <v>0.70650000000000002</v>
      </c>
      <c r="AL90" s="48">
        <v>0.66550000000000009</v>
      </c>
      <c r="AM90" s="48">
        <v>0.65800000000000014</v>
      </c>
      <c r="AN90" s="48">
        <v>0.78949999999999998</v>
      </c>
      <c r="AO90" s="48">
        <v>0.91299999999999992</v>
      </c>
      <c r="AP90" s="48">
        <v>0.83799999999999997</v>
      </c>
      <c r="AQ90" s="48">
        <v>0.64749999999999996</v>
      </c>
      <c r="AR90" s="48">
        <v>0.54</v>
      </c>
      <c r="AS90" s="48">
        <v>0.65500000000000003</v>
      </c>
      <c r="AT90" s="48">
        <v>0.77599999999999991</v>
      </c>
      <c r="AU90" s="48">
        <v>0.6974999999999999</v>
      </c>
      <c r="AV90" s="48">
        <v>0.57500000000000007</v>
      </c>
      <c r="AW90" s="48">
        <v>0.41399999999999998</v>
      </c>
      <c r="AX90" s="48">
        <v>0.42149999999999999</v>
      </c>
      <c r="AY90" s="48">
        <v>0.4945</v>
      </c>
      <c r="AZ90" s="48">
        <v>0.502</v>
      </c>
      <c r="BA90" s="48">
        <v>0.55649999999999999</v>
      </c>
      <c r="BB90" s="48">
        <v>0.48899999999999999</v>
      </c>
      <c r="BC90" s="48">
        <v>0.39500000000000002</v>
      </c>
      <c r="BD90" s="48">
        <v>0.37649999999999995</v>
      </c>
      <c r="BE90" s="48">
        <v>0.43049999999999999</v>
      </c>
      <c r="BF90" s="48">
        <v>0.44100000000000006</v>
      </c>
      <c r="BG90" s="48">
        <v>0.38650000000000001</v>
      </c>
      <c r="BH90" s="48">
        <v>0.30899999999999994</v>
      </c>
      <c r="BI90" s="48">
        <v>0.39400000000000002</v>
      </c>
      <c r="BJ90" s="48">
        <v>0.50850000000000006</v>
      </c>
      <c r="BK90" s="48">
        <v>0.67149999999999987</v>
      </c>
      <c r="BL90" s="48">
        <v>0.65949999999999998</v>
      </c>
      <c r="BM90" s="48">
        <v>0.67</v>
      </c>
      <c r="BN90" s="48">
        <v>0.622</v>
      </c>
      <c r="BO90" s="48">
        <v>0.48999999999999994</v>
      </c>
      <c r="BP90" s="48">
        <v>0.436</v>
      </c>
      <c r="BQ90" s="48">
        <v>0.45350000000000001</v>
      </c>
      <c r="BR90" s="48">
        <v>0.56049999999999989</v>
      </c>
      <c r="BS90" s="48">
        <v>0.58350000000000002</v>
      </c>
      <c r="BT90" s="48">
        <v>0.59499999999999997</v>
      </c>
      <c r="BU90" s="48">
        <v>0.57399999999999995</v>
      </c>
      <c r="BV90" s="48">
        <v>0.71749999999999992</v>
      </c>
      <c r="BW90" s="48">
        <v>0.81099999999999994</v>
      </c>
      <c r="BX90" s="48">
        <v>0.84599999999999997</v>
      </c>
      <c r="BY90" s="48">
        <v>0.88349999999999995</v>
      </c>
      <c r="BZ90" s="48">
        <v>0.83550000000000002</v>
      </c>
      <c r="CA90" s="48">
        <v>0.77049999999999996</v>
      </c>
      <c r="CB90" s="48">
        <v>0.7639999999999999</v>
      </c>
      <c r="CC90" s="48">
        <v>0.8224999999999999</v>
      </c>
      <c r="CD90" s="48">
        <v>0.82200000000000006</v>
      </c>
      <c r="CE90" s="48">
        <v>0.78549999999999998</v>
      </c>
      <c r="CF90" s="48">
        <v>0.75</v>
      </c>
      <c r="CG90" s="48">
        <v>0.81199999999999994</v>
      </c>
      <c r="CH90" s="48">
        <v>0.88250000000000006</v>
      </c>
      <c r="CI90" s="48">
        <v>0.84000000000000008</v>
      </c>
      <c r="CJ90" s="48">
        <v>0.68800000000000006</v>
      </c>
      <c r="CK90" s="48">
        <v>0.57750000000000001</v>
      </c>
      <c r="CL90" s="48">
        <v>0.59100000000000008</v>
      </c>
      <c r="CM90" s="48">
        <v>0.58750000000000013</v>
      </c>
      <c r="CN90" s="48">
        <v>0.59799999999999998</v>
      </c>
      <c r="CO90" s="48">
        <v>0.62849999999999995</v>
      </c>
      <c r="CP90" s="48">
        <v>0.69499999999999995</v>
      </c>
      <c r="CQ90" s="48">
        <v>0.75</v>
      </c>
      <c r="CR90" s="48">
        <v>0.745</v>
      </c>
      <c r="CS90" s="48">
        <v>0.73550000000000004</v>
      </c>
      <c r="CT90" s="48">
        <v>0.72550000000000003</v>
      </c>
      <c r="CU90" s="48">
        <v>0.71600000000000008</v>
      </c>
      <c r="CV90" s="48">
        <v>0.70150000000000001</v>
      </c>
      <c r="CW90" s="48">
        <v>0.64900000000000002</v>
      </c>
      <c r="CX90" s="48">
        <v>0.56699999999999995</v>
      </c>
      <c r="CY90" s="48">
        <v>0.45150000000000001</v>
      </c>
      <c r="CZ90" s="48">
        <v>0.42749999999999994</v>
      </c>
      <c r="DA90" s="48">
        <v>0.38450000000000006</v>
      </c>
      <c r="DB90" s="48">
        <v>0.33649999999999997</v>
      </c>
      <c r="DC90" s="48">
        <v>0.30249999999999999</v>
      </c>
      <c r="DD90" s="48">
        <v>0.27850000000000003</v>
      </c>
      <c r="DE90" s="48">
        <v>0.26400000000000001</v>
      </c>
      <c r="DF90" s="48">
        <v>0.25950000000000001</v>
      </c>
    </row>
    <row r="91" spans="1:110" x14ac:dyDescent="0.2">
      <c r="A91" s="46" t="s">
        <v>69</v>
      </c>
      <c r="B91" s="47">
        <f t="shared" si="56"/>
        <v>9.6000000000000032</v>
      </c>
      <c r="C91" s="47">
        <f t="shared" si="57"/>
        <v>-5.75</v>
      </c>
      <c r="D91" s="49" t="e">
        <f t="shared" ref="D91:D123" ca="1" si="78">_xludf.STDEV.P(W91:DF91)*100</f>
        <v>#NAME?</v>
      </c>
      <c r="E91" s="47"/>
      <c r="F91" s="48">
        <v>0.45650000000000002</v>
      </c>
      <c r="G91" s="48">
        <v>0.45650000000000002</v>
      </c>
      <c r="H91" s="48">
        <v>0.48000000000000004</v>
      </c>
      <c r="I91" s="48">
        <v>0.51400000000000001</v>
      </c>
      <c r="J91" s="48">
        <v>0.42249999999999999</v>
      </c>
      <c r="K91" s="48">
        <v>0.17249999999999999</v>
      </c>
      <c r="L91" s="48">
        <v>0.17749999999999996</v>
      </c>
      <c r="M91" s="48">
        <v>0.24</v>
      </c>
      <c r="N91" s="48">
        <v>0.32650000000000007</v>
      </c>
      <c r="O91" s="48">
        <v>0.35549999999999993</v>
      </c>
      <c r="P91" s="48">
        <v>0.3695</v>
      </c>
      <c r="Q91" s="48">
        <v>0.36049999999999999</v>
      </c>
      <c r="R91" s="48">
        <v>0.33599999999999997</v>
      </c>
      <c r="S91" s="48">
        <v>0.36049999999999999</v>
      </c>
      <c r="T91" s="48">
        <v>0.42299999999999999</v>
      </c>
      <c r="U91" s="48">
        <v>0.43699999999999994</v>
      </c>
      <c r="V91" s="48">
        <v>0.37949999999999995</v>
      </c>
      <c r="W91" s="48">
        <v>0.3745</v>
      </c>
      <c r="X91" s="48">
        <v>0.29750000000000004</v>
      </c>
      <c r="Y91" s="48">
        <v>0.28800000000000003</v>
      </c>
      <c r="Z91" s="48">
        <v>0.29300000000000004</v>
      </c>
      <c r="AA91" s="48">
        <v>0.40799999999999992</v>
      </c>
      <c r="AB91" s="48">
        <v>0.38849999999999996</v>
      </c>
      <c r="AC91" s="48">
        <v>0.28300000000000003</v>
      </c>
      <c r="AD91" s="48">
        <v>5.2499999999999998E-2</v>
      </c>
      <c r="AE91" s="48">
        <v>3.3500000000000002E-2</v>
      </c>
      <c r="AF91" s="48">
        <v>4.2499999999999996E-2</v>
      </c>
      <c r="AG91" s="48">
        <v>0.28300000000000003</v>
      </c>
      <c r="AH91" s="48">
        <v>0.44649999999999995</v>
      </c>
      <c r="AI91" s="48">
        <v>0.50449999999999995</v>
      </c>
      <c r="AJ91" s="48">
        <v>0.61449999999999994</v>
      </c>
      <c r="AK91" s="48">
        <v>0.71150000000000002</v>
      </c>
      <c r="AL91" s="48">
        <v>0.72050000000000003</v>
      </c>
      <c r="AM91" s="48">
        <v>0.66300000000000003</v>
      </c>
      <c r="AN91" s="48">
        <v>0.70100000000000007</v>
      </c>
      <c r="AO91" s="48">
        <v>0.8650000000000001</v>
      </c>
      <c r="AP91" s="48">
        <v>0.9415</v>
      </c>
      <c r="AQ91" s="48">
        <v>0.97550000000000003</v>
      </c>
      <c r="AR91" s="48">
        <v>0.98549999999999993</v>
      </c>
      <c r="AS91" s="48">
        <v>0.98549999999999993</v>
      </c>
      <c r="AT91" s="48">
        <v>0.95150000000000001</v>
      </c>
      <c r="AU91" s="48">
        <v>0.93700000000000006</v>
      </c>
      <c r="AV91" s="48">
        <v>0.91300000000000003</v>
      </c>
      <c r="AW91" s="48">
        <v>0.8650000000000001</v>
      </c>
      <c r="AX91" s="48">
        <v>0.8214999999999999</v>
      </c>
      <c r="AY91" s="48">
        <v>0.80750000000000011</v>
      </c>
      <c r="AZ91" s="48">
        <v>0.7975000000000001</v>
      </c>
      <c r="BA91" s="48">
        <v>0.7639999999999999</v>
      </c>
      <c r="BB91" s="48">
        <v>0.75000000000000011</v>
      </c>
      <c r="BC91" s="48">
        <v>0.64349999999999985</v>
      </c>
      <c r="BD91" s="48">
        <v>0.46099999999999991</v>
      </c>
      <c r="BE91" s="48">
        <v>0.3165</v>
      </c>
      <c r="BF91" s="48">
        <v>0.24950000000000003</v>
      </c>
      <c r="BG91" s="48">
        <v>0.26850000000000002</v>
      </c>
      <c r="BH91" s="48">
        <v>0.29750000000000004</v>
      </c>
      <c r="BI91" s="48">
        <v>0.36</v>
      </c>
      <c r="BJ91" s="48">
        <v>0.39350000000000002</v>
      </c>
      <c r="BK91" s="48">
        <v>0.41299999999999998</v>
      </c>
      <c r="BL91" s="48">
        <v>0.3745</v>
      </c>
      <c r="BM91" s="48">
        <v>0.32650000000000007</v>
      </c>
      <c r="BN91" s="48">
        <v>0.26900000000000002</v>
      </c>
      <c r="BO91" s="48">
        <v>0.2545</v>
      </c>
      <c r="BP91" s="48">
        <v>0.27350000000000002</v>
      </c>
      <c r="BQ91" s="48">
        <v>0.32150000000000001</v>
      </c>
      <c r="BR91" s="48">
        <v>0.29300000000000004</v>
      </c>
      <c r="BS91" s="48">
        <v>0.25900000000000001</v>
      </c>
      <c r="BT91" s="48">
        <v>0.24949999999999997</v>
      </c>
      <c r="BU91" s="48">
        <v>0.24949999999999997</v>
      </c>
      <c r="BV91" s="48">
        <v>0.25900000000000001</v>
      </c>
      <c r="BW91" s="48">
        <v>0.27349999999999997</v>
      </c>
      <c r="BX91" s="48">
        <v>0.38399999999999995</v>
      </c>
      <c r="BY91" s="48">
        <v>0.45150000000000001</v>
      </c>
      <c r="BZ91" s="48">
        <v>0.50949999999999995</v>
      </c>
      <c r="CA91" s="48">
        <v>0.50449999999999995</v>
      </c>
      <c r="CB91" s="48">
        <v>0.43699999999999994</v>
      </c>
      <c r="CC91" s="48">
        <v>0.442</v>
      </c>
      <c r="CD91" s="48">
        <v>0.45600000000000007</v>
      </c>
      <c r="CE91" s="48">
        <v>0.57650000000000001</v>
      </c>
      <c r="CF91" s="48">
        <v>0.64399999999999991</v>
      </c>
      <c r="CG91" s="48">
        <v>0.71099999999999997</v>
      </c>
      <c r="CH91" s="48">
        <v>0.70650000000000002</v>
      </c>
      <c r="CI91" s="48">
        <v>0.71099999999999997</v>
      </c>
      <c r="CJ91" s="48">
        <v>0.70599999999999996</v>
      </c>
      <c r="CK91" s="48">
        <v>0.69200000000000006</v>
      </c>
      <c r="CL91" s="48">
        <v>0.64399999999999991</v>
      </c>
      <c r="CM91" s="48">
        <v>0.66750000000000009</v>
      </c>
      <c r="CN91" s="48">
        <v>0.72550000000000003</v>
      </c>
      <c r="CO91" s="48">
        <v>0.7589999999999999</v>
      </c>
      <c r="CP91" s="48">
        <v>0.754</v>
      </c>
      <c r="CQ91" s="48">
        <v>0.68700000000000006</v>
      </c>
      <c r="CR91" s="48">
        <v>0.61499999999999999</v>
      </c>
      <c r="CS91" s="48">
        <v>0.53800000000000003</v>
      </c>
      <c r="CT91" s="48">
        <v>0.54749999999999999</v>
      </c>
      <c r="CU91" s="48">
        <v>0.54249999999999998</v>
      </c>
      <c r="CV91" s="48">
        <v>0.53300000000000003</v>
      </c>
      <c r="CW91" s="48">
        <v>0.53800000000000003</v>
      </c>
      <c r="CX91" s="48">
        <v>0.54300000000000004</v>
      </c>
      <c r="CY91" s="48">
        <v>0.60549999999999993</v>
      </c>
      <c r="CZ91" s="48">
        <v>0.58100000000000007</v>
      </c>
      <c r="DA91" s="48">
        <v>0.5089999999999999</v>
      </c>
      <c r="DB91" s="48">
        <v>0.45599999999999996</v>
      </c>
      <c r="DC91" s="48">
        <v>0.432</v>
      </c>
      <c r="DD91" s="48">
        <v>0.41299999999999998</v>
      </c>
      <c r="DE91" s="48">
        <v>0.32649999999999996</v>
      </c>
      <c r="DF91" s="48">
        <v>0.3165</v>
      </c>
    </row>
    <row r="92" spans="1:110" x14ac:dyDescent="0.2">
      <c r="A92" s="46" t="s">
        <v>72</v>
      </c>
      <c r="B92" s="47">
        <f t="shared" si="56"/>
        <v>-41.733454049274478</v>
      </c>
      <c r="C92" s="47">
        <f t="shared" si="57"/>
        <v>-11.854877386805839</v>
      </c>
      <c r="D92" s="49" t="e">
        <f t="shared" ref="D92:D124" ca="1" si="79">_xludf.STDEV.P(W92:DF92)*100</f>
        <v>#NAME?</v>
      </c>
      <c r="E92" s="47"/>
      <c r="F92" s="48">
        <v>0.218801032161549</v>
      </c>
      <c r="G92" s="48">
        <v>0.24909877521605719</v>
      </c>
      <c r="H92" s="48">
        <v>0.28771761744555258</v>
      </c>
      <c r="I92" s="48">
        <v>0.3373498060296074</v>
      </c>
      <c r="J92" s="48">
        <v>0.3130720825069383</v>
      </c>
      <c r="K92" s="48">
        <v>0.2826546630757748</v>
      </c>
      <c r="L92" s="48">
        <v>0.25568469237353347</v>
      </c>
      <c r="M92" s="48">
        <v>0.30226727294237005</v>
      </c>
      <c r="N92" s="48">
        <v>0.48841619195122316</v>
      </c>
      <c r="O92" s="48">
        <v>0.5848457302570057</v>
      </c>
      <c r="P92" s="48">
        <v>0.63127860515142797</v>
      </c>
      <c r="Q92" s="48">
        <v>0.63613557265429377</v>
      </c>
      <c r="R92" s="48">
        <v>0.62669980198561093</v>
      </c>
      <c r="S92" s="48">
        <v>0.58183827041416503</v>
      </c>
      <c r="T92" s="48">
        <v>0.51458557130629501</v>
      </c>
      <c r="U92" s="48">
        <v>0.48764729819613234</v>
      </c>
      <c r="V92" s="48">
        <v>0.45680034045918622</v>
      </c>
      <c r="W92" s="48">
        <v>0.42924945748242838</v>
      </c>
      <c r="X92" s="48">
        <v>0.42319607206419063</v>
      </c>
      <c r="Y92" s="48">
        <v>0.40682492405960563</v>
      </c>
      <c r="Z92" s="48">
        <v>0.31066476780489249</v>
      </c>
      <c r="AA92" s="48">
        <v>0.11188699680062435</v>
      </c>
      <c r="AB92" s="48">
        <v>8.9407850479623477E-2</v>
      </c>
      <c r="AC92" s="48">
        <v>8.7878655329024738E-2</v>
      </c>
      <c r="AD92" s="48">
        <v>9.5833611382386663E-2</v>
      </c>
      <c r="AE92" s="48">
        <v>0.10522100151579147</v>
      </c>
      <c r="AF92" s="48">
        <v>0.15611923556227583</v>
      </c>
      <c r="AG92" s="48">
        <v>0.24756334770255825</v>
      </c>
      <c r="AH92" s="48">
        <v>0.31639362249630504</v>
      </c>
      <c r="AI92" s="48">
        <v>0.35005250378947866</v>
      </c>
      <c r="AJ92" s="48">
        <v>0.46738361273038553</v>
      </c>
      <c r="AK92" s="48">
        <v>0.51375142414633068</v>
      </c>
      <c r="AL92" s="48">
        <v>0.63207296413569736</v>
      </c>
      <c r="AM92" s="48">
        <v>0.73996830240792144</v>
      </c>
      <c r="AN92" s="48">
        <v>0.82653876410213878</v>
      </c>
      <c r="AO92" s="48">
        <v>0.86473685031183078</v>
      </c>
      <c r="AP92" s="48">
        <v>0.93216638861761347</v>
      </c>
      <c r="AQ92" s="48">
        <v>0.91159926351203591</v>
      </c>
      <c r="AR92" s="48">
        <v>0.89863596598707429</v>
      </c>
      <c r="AS92" s="48">
        <v>0.89043454318874238</v>
      </c>
      <c r="AT92" s="48">
        <v>0.90980691867326791</v>
      </c>
      <c r="AU92" s="48">
        <v>0.88057546657717711</v>
      </c>
      <c r="AV92" s="48">
        <v>0.92910176595351557</v>
      </c>
      <c r="AW92" s="48">
        <v>0.8590688408814966</v>
      </c>
      <c r="AX92" s="48">
        <v>0.72077899848420857</v>
      </c>
      <c r="AY92" s="48">
        <v>0.55890157063512425</v>
      </c>
      <c r="AZ92" s="48">
        <v>0.508951619464722</v>
      </c>
      <c r="BA92" s="48">
        <v>0.42071727159437122</v>
      </c>
      <c r="BB92" s="48">
        <v>0.34588199191766461</v>
      </c>
      <c r="BC92" s="48">
        <v>0.28132777235226691</v>
      </c>
      <c r="BD92" s="48">
        <v>0.31989200168358417</v>
      </c>
      <c r="BE92" s="48">
        <v>0.2908920016835842</v>
      </c>
      <c r="BF92" s="48">
        <v>0.18702335612047902</v>
      </c>
      <c r="BG92" s="48">
        <v>0.15835780165002564</v>
      </c>
      <c r="BH92" s="48">
        <v>0.16476687960958952</v>
      </c>
      <c r="BI92" s="48">
        <v>0.23478312173840929</v>
      </c>
      <c r="BJ92" s="48">
        <v>0.3955291951505987</v>
      </c>
      <c r="BK92" s="48">
        <v>0.45483738878540603</v>
      </c>
      <c r="BL92" s="48">
        <v>0.41618684896383207</v>
      </c>
      <c r="BM92" s="48">
        <v>0.38434322781552577</v>
      </c>
      <c r="BN92" s="48">
        <v>0.34936992052464461</v>
      </c>
      <c r="BO92" s="48">
        <v>0.32800711399165922</v>
      </c>
      <c r="BP92" s="48">
        <v>0.24018307156081259</v>
      </c>
      <c r="BQ92" s="48">
        <v>0.23842242431412333</v>
      </c>
      <c r="BR92" s="48">
        <v>0.27326104057946976</v>
      </c>
      <c r="BS92" s="48">
        <v>0.30209465196185642</v>
      </c>
      <c r="BT92" s="48">
        <v>0.32796496581928153</v>
      </c>
      <c r="BU92" s="48">
        <v>0.28791992187264343</v>
      </c>
      <c r="BV92" s="48">
        <v>0.40672561306597083</v>
      </c>
      <c r="BW92" s="48">
        <v>0.42133611382386654</v>
      </c>
      <c r="BX92" s="48">
        <v>0.4178798828089651</v>
      </c>
      <c r="BY92" s="48">
        <v>0.37272973632017159</v>
      </c>
      <c r="BZ92" s="48">
        <v>0.38422723387869168</v>
      </c>
      <c r="CA92" s="48">
        <v>0.43021388752413225</v>
      </c>
      <c r="CB92" s="48">
        <v>0.4942188924070921</v>
      </c>
      <c r="CC92" s="48">
        <v>0.51529730224012871</v>
      </c>
      <c r="CD92" s="48">
        <v>0.50097119818218172</v>
      </c>
      <c r="CE92" s="48">
        <v>0.50083650715664707</v>
      </c>
      <c r="CF92" s="48">
        <v>0.45626727294237002</v>
      </c>
      <c r="CG92" s="48">
        <v>0.42708420138155739</v>
      </c>
      <c r="CH92" s="48">
        <v>0.52173184542887108</v>
      </c>
      <c r="CI92" s="48">
        <v>0.55094661458176231</v>
      </c>
      <c r="CJ92" s="48">
        <v>0.5684491170232423</v>
      </c>
      <c r="CK92" s="48">
        <v>0.62623434787035093</v>
      </c>
      <c r="CL92" s="48">
        <v>0.67252208115893952</v>
      </c>
      <c r="CM92" s="48">
        <v>0.67253876410213886</v>
      </c>
      <c r="CN92" s="48">
        <v>0.67238739013340487</v>
      </c>
      <c r="CO92" s="48">
        <v>0.69653042263053921</v>
      </c>
      <c r="CP92" s="48">
        <v>0.72869180636519271</v>
      </c>
      <c r="CQ92" s="48">
        <v>0.77514592827139484</v>
      </c>
      <c r="CR92" s="48">
        <v>0.83565677218447421</v>
      </c>
      <c r="CS92" s="48">
        <v>0.85350873480438005</v>
      </c>
      <c r="CT92" s="48">
        <v>0.80710922579635636</v>
      </c>
      <c r="CU92" s="48">
        <v>0.77524892170485071</v>
      </c>
      <c r="CV92" s="48">
        <v>0.77176977538384983</v>
      </c>
      <c r="CW92" s="48">
        <v>0.77313258191683532</v>
      </c>
      <c r="CX92" s="48">
        <v>0.78637404377884546</v>
      </c>
      <c r="CY92" s="48">
        <v>0.77698665364544051</v>
      </c>
      <c r="CZ92" s="48">
        <v>0.75108719211901565</v>
      </c>
      <c r="DA92" s="48">
        <v>0.65711098905387433</v>
      </c>
      <c r="DB92" s="48">
        <v>0.59935745579884414</v>
      </c>
      <c r="DC92" s="48">
        <v>0.57995961508514038</v>
      </c>
      <c r="DD92" s="48">
        <v>0.66346545411526003</v>
      </c>
      <c r="DE92" s="48">
        <v>0.67630907526356632</v>
      </c>
      <c r="DF92" s="48">
        <v>0.48050338407023896</v>
      </c>
    </row>
    <row r="93" spans="1:110" x14ac:dyDescent="0.2">
      <c r="A93" s="46" t="s">
        <v>75</v>
      </c>
      <c r="B93" s="47">
        <f t="shared" si="56"/>
        <v>14.440924159306112</v>
      </c>
      <c r="C93" s="47">
        <f t="shared" si="57"/>
        <v>11.289907221710028</v>
      </c>
      <c r="D93" s="49" t="e">
        <f t="shared" ref="D93:D125" ca="1" si="80">_xludf.STDEV.P(W93:DF93)*100</f>
        <v>#NAME?</v>
      </c>
      <c r="E93" s="47"/>
      <c r="F93" s="48">
        <v>0.85818020729814104</v>
      </c>
      <c r="G93" s="48">
        <v>0.89161549928426265</v>
      </c>
      <c r="H93" s="48">
        <v>0.81892137524262676</v>
      </c>
      <c r="I93" s="48">
        <v>0.74528113508104077</v>
      </c>
      <c r="J93" s="48">
        <v>0.66469168618983854</v>
      </c>
      <c r="K93" s="48">
        <v>0.49492203000049523</v>
      </c>
      <c r="L93" s="48">
        <v>0.49295051824535263</v>
      </c>
      <c r="M93" s="48">
        <v>0.43159075840693883</v>
      </c>
      <c r="N93" s="48">
        <v>0.69051147889169739</v>
      </c>
      <c r="O93" s="48">
        <v>0.78674491531201962</v>
      </c>
      <c r="P93" s="48">
        <v>0.76074182270235402</v>
      </c>
      <c r="Q93" s="48">
        <v>0.71377096570507992</v>
      </c>
      <c r="R93" s="48">
        <v>0.55510223729863628</v>
      </c>
      <c r="S93" s="48">
        <v>0.4411777694463439</v>
      </c>
      <c r="T93" s="48">
        <v>0.36225639420371714</v>
      </c>
      <c r="U93" s="48">
        <v>0.16725573944584871</v>
      </c>
      <c r="V93" s="48">
        <v>0.17658944889120218</v>
      </c>
      <c r="W93" s="48">
        <v>0.23153865762081821</v>
      </c>
      <c r="X93" s="48">
        <v>0.35582223055365603</v>
      </c>
      <c r="Y93" s="48">
        <v>0.43115415690508074</v>
      </c>
      <c r="Z93" s="48">
        <v>0.30938450071573742</v>
      </c>
      <c r="AA93" s="48">
        <v>0.20284584309491926</v>
      </c>
      <c r="AB93" s="48">
        <v>0.27805013651251564</v>
      </c>
      <c r="AC93" s="48">
        <v>0.29943463722825309</v>
      </c>
      <c r="AD93" s="48">
        <v>0.41233370944535347</v>
      </c>
      <c r="AE93" s="48">
        <v>0.37092381309442402</v>
      </c>
      <c r="AF93" s="48">
        <v>0.35276965618934325</v>
      </c>
      <c r="AG93" s="48">
        <v>0.48053687452688942</v>
      </c>
      <c r="AH93" s="48">
        <v>0.58559075840693897</v>
      </c>
      <c r="AI93" s="48">
        <v>0.66953996713655473</v>
      </c>
      <c r="AJ93" s="48">
        <v>0.61499999999999988</v>
      </c>
      <c r="AK93" s="48">
        <v>0.57605013651251558</v>
      </c>
      <c r="AL93" s="48">
        <v>0.59187367658190837</v>
      </c>
      <c r="AM93" s="48">
        <v>0.53525639420371707</v>
      </c>
      <c r="AN93" s="48">
        <v>0.582230998568525</v>
      </c>
      <c r="AO93" s="48">
        <v>0.68146134237918188</v>
      </c>
      <c r="AP93" s="48">
        <v>0.78679505182453524</v>
      </c>
      <c r="AQ93" s="48">
        <v>0.82317711468847565</v>
      </c>
      <c r="AR93" s="48">
        <v>0.86925573944584866</v>
      </c>
      <c r="AS93" s="48">
        <v>0.91725573944584871</v>
      </c>
      <c r="AT93" s="48">
        <v>0.9506910314319702</v>
      </c>
      <c r="AU93" s="48">
        <v>0.97323034381065665</v>
      </c>
      <c r="AV93" s="48">
        <v>0.9675901036490705</v>
      </c>
      <c r="AW93" s="48">
        <v>0.99323034381065667</v>
      </c>
      <c r="AX93" s="48">
        <v>0.9474606876213133</v>
      </c>
      <c r="AY93" s="48">
        <v>0.9624383845957869</v>
      </c>
      <c r="AZ93" s="48">
        <v>0.93864024016158631</v>
      </c>
      <c r="BA93" s="48">
        <v>0.82515415690508065</v>
      </c>
      <c r="BB93" s="48">
        <v>0.6733089685680298</v>
      </c>
      <c r="BC93" s="48">
        <v>0.63548852110830256</v>
      </c>
      <c r="BD93" s="48">
        <v>0.55494920872961606</v>
      </c>
      <c r="BE93" s="48">
        <v>0.47794920872961605</v>
      </c>
      <c r="BF93" s="48">
        <v>0.45100000000000001</v>
      </c>
      <c r="BG93" s="48">
        <v>0.25282288531152436</v>
      </c>
      <c r="BH93" s="48">
        <v>0.2514346372282531</v>
      </c>
      <c r="BI93" s="48">
        <v>0.11428357293283782</v>
      </c>
      <c r="BJ93" s="48">
        <v>0.43266629055464656</v>
      </c>
      <c r="BK93" s="48">
        <v>0.37153996713655485</v>
      </c>
      <c r="BL93" s="48">
        <v>0.35702539563519192</v>
      </c>
      <c r="BM93" s="48">
        <v>0.30359010364907052</v>
      </c>
      <c r="BN93" s="48">
        <v>0.22982044745972724</v>
      </c>
      <c r="BO93" s="48">
        <v>0.22641055110879782</v>
      </c>
      <c r="BP93" s="48">
        <v>0.30784584309491919</v>
      </c>
      <c r="BQ93" s="48">
        <v>0.28015481166294909</v>
      </c>
      <c r="BR93" s="48">
        <v>0.13969412404163561</v>
      </c>
      <c r="BS93" s="48">
        <v>0.10715481166294909</v>
      </c>
      <c r="BT93" s="48">
        <v>0.12705079127038399</v>
      </c>
      <c r="BU93" s="48">
        <v>0.30202605039306035</v>
      </c>
      <c r="BV93" s="48">
        <v>5.2435291986121457E-2</v>
      </c>
      <c r="BW93" s="48">
        <v>4.5974604364808005E-2</v>
      </c>
      <c r="BX93" s="48">
        <v>7.8564053256010208E-2</v>
      </c>
      <c r="BY93" s="48">
        <v>8.9639585403717845E-2</v>
      </c>
      <c r="BZ93" s="48">
        <v>8.1794397066666927E-2</v>
      </c>
      <c r="CA93" s="48">
        <v>7.6050136512515645E-2</v>
      </c>
      <c r="CB93" s="48">
        <v>7.7308968568029823E-2</v>
      </c>
      <c r="CC93" s="48">
        <v>0.17694855397174766</v>
      </c>
      <c r="CD93" s="48">
        <v>0.22512810651202039</v>
      </c>
      <c r="CE93" s="48">
        <v>0.27107731524163642</v>
      </c>
      <c r="CF93" s="48">
        <v>0.2809732948490713</v>
      </c>
      <c r="CG93" s="48">
        <v>0.29805191960644445</v>
      </c>
      <c r="CH93" s="48">
        <v>0.36600178309392878</v>
      </c>
      <c r="CI93" s="48">
        <v>0.44510271087682834</v>
      </c>
      <c r="CJ93" s="48">
        <v>0.42269281452589896</v>
      </c>
      <c r="CK93" s="48">
        <v>0.47938384595786909</v>
      </c>
      <c r="CL93" s="48">
        <v>0.5243869385675346</v>
      </c>
      <c r="CM93" s="48">
        <v>0.59640924159306119</v>
      </c>
      <c r="CN93" s="48">
        <v>0.64687302182404005</v>
      </c>
      <c r="CO93" s="48">
        <v>0.72117955254027277</v>
      </c>
      <c r="CP93" s="48">
        <v>0.73340989635092935</v>
      </c>
      <c r="CQ93" s="48">
        <v>0.72099999999999986</v>
      </c>
      <c r="CR93" s="48">
        <v>0.67528048032317234</v>
      </c>
      <c r="CS93" s="48">
        <v>0.62710092778289972</v>
      </c>
      <c r="CT93" s="48">
        <v>0.73646068762131334</v>
      </c>
      <c r="CU93" s="48">
        <v>0.79543594674398976</v>
      </c>
      <c r="CV93" s="48">
        <v>0.74989972697496865</v>
      </c>
      <c r="CW93" s="48">
        <v>0.81425639420371709</v>
      </c>
      <c r="CX93" s="48">
        <v>0.77848673801437374</v>
      </c>
      <c r="CY93" s="48">
        <v>0.71502605039306033</v>
      </c>
      <c r="CZ93" s="48">
        <v>0.56748673801437377</v>
      </c>
      <c r="DA93" s="48">
        <v>0.44051147889169745</v>
      </c>
      <c r="DB93" s="48">
        <v>0.40269103143197016</v>
      </c>
      <c r="DC93" s="48">
        <v>0.42864024016158619</v>
      </c>
      <c r="DD93" s="48">
        <v>0.44625573944584873</v>
      </c>
      <c r="DE93" s="48">
        <v>0.47556470801387851</v>
      </c>
      <c r="DF93" s="48">
        <v>0.21561484452639418</v>
      </c>
    </row>
    <row r="94" spans="1:110" x14ac:dyDescent="0.2">
      <c r="A94" s="46" t="s">
        <v>78</v>
      </c>
      <c r="B94" s="47">
        <f t="shared" si="56"/>
        <v>22.237500000000001</v>
      </c>
      <c r="C94" s="47">
        <f t="shared" si="57"/>
        <v>4.7499999999999929</v>
      </c>
      <c r="D94" s="49" t="e">
        <f t="shared" ref="D94:D126" ca="1" si="81">_xludf.STDEV.P(W94:DF94)*100</f>
        <v>#NAME?</v>
      </c>
      <c r="E94" s="47"/>
      <c r="F94" s="48">
        <v>0.42512500000000003</v>
      </c>
      <c r="G94" s="48">
        <v>0.41387500000000005</v>
      </c>
      <c r="H94" s="48">
        <v>0.40187499999999998</v>
      </c>
      <c r="I94" s="48">
        <v>0.3776250000000001</v>
      </c>
      <c r="J94" s="48">
        <v>0.36900000000000011</v>
      </c>
      <c r="K94" s="48">
        <v>0.33362500000000006</v>
      </c>
      <c r="L94" s="48">
        <v>0.29587500000000005</v>
      </c>
      <c r="M94" s="48">
        <v>0.260125</v>
      </c>
      <c r="N94" s="48">
        <v>0.30712500000000004</v>
      </c>
      <c r="O94" s="48">
        <v>0.317</v>
      </c>
      <c r="P94" s="48">
        <v>0.28937500000000005</v>
      </c>
      <c r="Q94" s="48">
        <v>0.20275000000000001</v>
      </c>
      <c r="R94" s="48">
        <v>0.19125000000000006</v>
      </c>
      <c r="S94" s="48">
        <v>0.16800000000000004</v>
      </c>
      <c r="T94" s="48">
        <v>0.19562500000000002</v>
      </c>
      <c r="U94" s="48">
        <v>0.270125</v>
      </c>
      <c r="V94" s="48">
        <v>0.33150000000000002</v>
      </c>
      <c r="W94" s="48">
        <v>0.31662500000000005</v>
      </c>
      <c r="X94" s="48">
        <v>0.35950000000000004</v>
      </c>
      <c r="Y94" s="48">
        <v>0.27700000000000008</v>
      </c>
      <c r="Z94" s="48">
        <v>0.31075000000000003</v>
      </c>
      <c r="AA94" s="48">
        <v>0.24875</v>
      </c>
      <c r="AB94" s="48">
        <v>0.36287500000000006</v>
      </c>
      <c r="AC94" s="48">
        <v>0.46925000000000006</v>
      </c>
      <c r="AD94" s="48">
        <v>0.46775000000000011</v>
      </c>
      <c r="AE94" s="48">
        <v>0.46812500000000007</v>
      </c>
      <c r="AF94" s="48">
        <v>0.39650000000000007</v>
      </c>
      <c r="AG94" s="48">
        <v>0.36412500000000009</v>
      </c>
      <c r="AH94" s="48">
        <v>0.24737500000000001</v>
      </c>
      <c r="AI94" s="48">
        <v>0.22550000000000003</v>
      </c>
      <c r="AJ94" s="48">
        <v>0.32062500000000005</v>
      </c>
      <c r="AK94" s="48">
        <v>0.37050000000000011</v>
      </c>
      <c r="AL94" s="48">
        <v>0.44162500000000005</v>
      </c>
      <c r="AM94" s="48">
        <v>0.32337500000000002</v>
      </c>
      <c r="AN94" s="48">
        <v>0.28962500000000008</v>
      </c>
      <c r="AO94" s="48">
        <v>0.28100000000000003</v>
      </c>
      <c r="AP94" s="48">
        <v>0.36250000000000004</v>
      </c>
      <c r="AQ94" s="48">
        <v>0.42275000000000007</v>
      </c>
      <c r="AR94" s="48">
        <v>0.47812500000000008</v>
      </c>
      <c r="AS94" s="48">
        <v>0.48375000000000007</v>
      </c>
      <c r="AT94" s="48">
        <v>0.50700000000000001</v>
      </c>
      <c r="AU94" s="48">
        <v>0.64612500000000017</v>
      </c>
      <c r="AV94" s="48">
        <v>0.89650000000000019</v>
      </c>
      <c r="AW94" s="48">
        <v>0.93725000000000025</v>
      </c>
      <c r="AX94" s="48">
        <v>0.92000000000000015</v>
      </c>
      <c r="AY94" s="48">
        <v>0.75525000000000009</v>
      </c>
      <c r="AZ94" s="48">
        <v>0.67337500000000017</v>
      </c>
      <c r="BA94" s="48">
        <v>0.69275000000000009</v>
      </c>
      <c r="BB94" s="48">
        <v>0.64762500000000001</v>
      </c>
      <c r="BC94" s="48">
        <v>0.60125000000000017</v>
      </c>
      <c r="BD94" s="48">
        <v>0.64250000000000007</v>
      </c>
      <c r="BE94" s="48">
        <v>0.66462500000000013</v>
      </c>
      <c r="BF94" s="48">
        <v>0.67325000000000002</v>
      </c>
      <c r="BG94" s="48">
        <v>0.55937500000000018</v>
      </c>
      <c r="BH94" s="48">
        <v>0.3493750000000001</v>
      </c>
      <c r="BI94" s="48">
        <v>0.21575000000000008</v>
      </c>
      <c r="BJ94" s="48">
        <v>0.25437500000000002</v>
      </c>
      <c r="BK94" s="48">
        <v>0.41475000000000001</v>
      </c>
      <c r="BL94" s="48">
        <v>0.51837500000000003</v>
      </c>
      <c r="BM94" s="48">
        <v>0.48037500000000005</v>
      </c>
      <c r="BN94" s="48">
        <v>0.46300000000000008</v>
      </c>
      <c r="BO94" s="48">
        <v>0.48300000000000015</v>
      </c>
      <c r="BP94" s="48">
        <v>0.44975000000000009</v>
      </c>
      <c r="BQ94" s="48">
        <v>0.38337500000000013</v>
      </c>
      <c r="BR94" s="48">
        <v>0.37075000000000008</v>
      </c>
      <c r="BS94" s="48">
        <v>0.42925000000000008</v>
      </c>
      <c r="BT94" s="48">
        <v>0.5475000000000001</v>
      </c>
      <c r="BU94" s="48">
        <v>0.55175000000000007</v>
      </c>
      <c r="BV94" s="48">
        <v>0.48675000000000007</v>
      </c>
      <c r="BW94" s="48">
        <v>0.44175000000000009</v>
      </c>
      <c r="BX94" s="48">
        <v>0.53475000000000006</v>
      </c>
      <c r="BY94" s="48">
        <v>0.58125000000000016</v>
      </c>
      <c r="BZ94" s="48">
        <v>0.64574999999999994</v>
      </c>
      <c r="CA94" s="48">
        <v>0.64037500000000014</v>
      </c>
      <c r="CB94" s="48">
        <v>0.67087500000000011</v>
      </c>
      <c r="CC94" s="48">
        <v>0.701125</v>
      </c>
      <c r="CD94" s="48">
        <v>0.75887499999999997</v>
      </c>
      <c r="CE94" s="48">
        <v>0.735375</v>
      </c>
      <c r="CF94" s="48">
        <v>0.6110000000000001</v>
      </c>
      <c r="CG94" s="48">
        <v>0.71650000000000014</v>
      </c>
      <c r="CH94" s="48">
        <v>0.73125000000000018</v>
      </c>
      <c r="CI94" s="48">
        <v>0.83150000000000013</v>
      </c>
      <c r="CJ94" s="48">
        <v>0.7808750000000001</v>
      </c>
      <c r="CK94" s="48">
        <v>0.78225000000000011</v>
      </c>
      <c r="CL94" s="48">
        <v>0.7512500000000002</v>
      </c>
      <c r="CM94" s="48">
        <v>0.75687500000000008</v>
      </c>
      <c r="CN94" s="48">
        <v>0.73925000000000007</v>
      </c>
      <c r="CO94" s="48">
        <v>0.73250000000000004</v>
      </c>
      <c r="CP94" s="48">
        <v>0.70700000000000007</v>
      </c>
      <c r="CQ94" s="48">
        <v>0.69050000000000011</v>
      </c>
      <c r="CR94" s="48">
        <v>0.74375000000000002</v>
      </c>
      <c r="CS94" s="48">
        <v>0.73512499999999992</v>
      </c>
      <c r="CT94" s="48">
        <v>0.75087500000000018</v>
      </c>
      <c r="CU94" s="48">
        <v>0.6140000000000001</v>
      </c>
      <c r="CV94" s="48">
        <v>0.64024999999999999</v>
      </c>
      <c r="CW94" s="48">
        <v>0.61712500000000003</v>
      </c>
      <c r="CX94" s="48">
        <v>0.57175000000000009</v>
      </c>
      <c r="CY94" s="48">
        <v>0.50075000000000003</v>
      </c>
      <c r="CZ94" s="48">
        <v>0.45025000000000009</v>
      </c>
      <c r="DA94" s="48">
        <v>0.36500000000000005</v>
      </c>
      <c r="DB94" s="48">
        <v>0.3277500000000001</v>
      </c>
      <c r="DC94" s="48">
        <v>0.35525000000000007</v>
      </c>
      <c r="DD94" s="48">
        <v>0.43450000000000005</v>
      </c>
      <c r="DE94" s="48">
        <v>0.40962500000000007</v>
      </c>
      <c r="DF94" s="48">
        <v>0.2808750000000001</v>
      </c>
    </row>
    <row r="95" spans="1:110" x14ac:dyDescent="0.2">
      <c r="A95" s="46" t="s">
        <v>81</v>
      </c>
      <c r="B95" s="47">
        <f t="shared" si="56"/>
        <v>25.550000000000022</v>
      </c>
      <c r="C95" s="47">
        <f t="shared" si="57"/>
        <v>0.38333333333334108</v>
      </c>
      <c r="D95" s="49" t="e">
        <f t="shared" ref="D95:D127" ca="1" si="82">_xludf.STDEV.P(W95:DF95)*100</f>
        <v>#NAME?</v>
      </c>
      <c r="E95" s="47"/>
      <c r="F95" s="48">
        <v>0.41166666666666679</v>
      </c>
      <c r="G95" s="48">
        <v>0.40716666666666684</v>
      </c>
      <c r="H95" s="48">
        <v>0.44633333333333342</v>
      </c>
      <c r="I95" s="48">
        <v>0.40783333333333338</v>
      </c>
      <c r="J95" s="48">
        <v>0.42816666666666675</v>
      </c>
      <c r="K95" s="48">
        <v>0.35483333333333344</v>
      </c>
      <c r="L95" s="48">
        <v>0.28316666666666684</v>
      </c>
      <c r="M95" s="48">
        <v>0.31383333333333335</v>
      </c>
      <c r="N95" s="48">
        <v>0.3183333333333333</v>
      </c>
      <c r="O95" s="48">
        <v>0.32716666666666661</v>
      </c>
      <c r="P95" s="48">
        <v>0.25833333333333325</v>
      </c>
      <c r="Q95" s="48">
        <v>0.15616666666666656</v>
      </c>
      <c r="R95" s="48">
        <v>0.17066666666666658</v>
      </c>
      <c r="S95" s="48">
        <v>0.18999999999999989</v>
      </c>
      <c r="T95" s="48">
        <v>0.16766666666666655</v>
      </c>
      <c r="U95" s="48">
        <v>0.22316666666666665</v>
      </c>
      <c r="V95" s="48">
        <v>0.39883333333333332</v>
      </c>
      <c r="W95" s="48">
        <v>0.50266666666666648</v>
      </c>
      <c r="X95" s="48">
        <v>0.43033333333333312</v>
      </c>
      <c r="Y95" s="48">
        <v>0.35549999999999982</v>
      </c>
      <c r="Z95" s="48">
        <v>0.23349999999999987</v>
      </c>
      <c r="AA95" s="48">
        <v>0.26616666666666661</v>
      </c>
      <c r="AB95" s="48">
        <v>0.36699999999999999</v>
      </c>
      <c r="AC95" s="48">
        <v>0.42416666666666669</v>
      </c>
      <c r="AD95" s="48">
        <v>0.44999999999999996</v>
      </c>
      <c r="AE95" s="48">
        <v>0.3793333333333333</v>
      </c>
      <c r="AF95" s="48">
        <v>0.40433333333333327</v>
      </c>
      <c r="AG95" s="48">
        <v>0.29533333333333328</v>
      </c>
      <c r="AH95" s="48">
        <v>0.17700000000000005</v>
      </c>
      <c r="AI95" s="48">
        <v>0.24500000000000005</v>
      </c>
      <c r="AJ95" s="48">
        <v>0.39883333333333332</v>
      </c>
      <c r="AK95" s="48">
        <v>0.54400000000000004</v>
      </c>
      <c r="AL95" s="48">
        <v>0.52833333333333332</v>
      </c>
      <c r="AM95" s="48">
        <v>0.52583333333333349</v>
      </c>
      <c r="AN95" s="48">
        <v>0.44500000000000012</v>
      </c>
      <c r="AO95" s="48">
        <v>0.45583333333333342</v>
      </c>
      <c r="AP95" s="48">
        <v>0.54266666666666685</v>
      </c>
      <c r="AQ95" s="48">
        <v>0.68850000000000011</v>
      </c>
      <c r="AR95" s="48">
        <v>0.68883333333333352</v>
      </c>
      <c r="AS95" s="48">
        <v>0.72516666666666674</v>
      </c>
      <c r="AT95" s="48">
        <v>0.7958333333333335</v>
      </c>
      <c r="AU95" s="48">
        <v>0.91550000000000009</v>
      </c>
      <c r="AV95" s="48">
        <v>0.95200000000000007</v>
      </c>
      <c r="AW95" s="48">
        <v>0.99199999999999999</v>
      </c>
      <c r="AX95" s="48">
        <v>0.8194999999999999</v>
      </c>
      <c r="AY95" s="48">
        <v>0.7679999999999999</v>
      </c>
      <c r="AZ95" s="48">
        <v>0.73050000000000004</v>
      </c>
      <c r="BA95" s="48">
        <v>0.73483333333333345</v>
      </c>
      <c r="BB95" s="48">
        <v>0.7400000000000001</v>
      </c>
      <c r="BC95" s="48">
        <v>0.7054999999999999</v>
      </c>
      <c r="BD95" s="48">
        <v>0.65683333333333327</v>
      </c>
      <c r="BE95" s="48">
        <v>0.70650000000000002</v>
      </c>
      <c r="BF95" s="48">
        <v>0.72599999999999998</v>
      </c>
      <c r="BG95" s="48">
        <v>0.54733333333333345</v>
      </c>
      <c r="BH95" s="48">
        <v>0.41083333333333349</v>
      </c>
      <c r="BI95" s="48">
        <v>0.30183333333333345</v>
      </c>
      <c r="BJ95" s="48">
        <v>0.30850000000000011</v>
      </c>
      <c r="BK95" s="48">
        <v>0.39033333333333337</v>
      </c>
      <c r="BL95" s="48">
        <v>0.42949999999999994</v>
      </c>
      <c r="BM95" s="48">
        <v>0.3904999999999999</v>
      </c>
      <c r="BN95" s="48">
        <v>0.30299999999999983</v>
      </c>
      <c r="BO95" s="48">
        <v>0.27899999999999986</v>
      </c>
      <c r="BP95" s="48">
        <v>0.28349999999999986</v>
      </c>
      <c r="BQ95" s="48">
        <v>0.3274999999999999</v>
      </c>
      <c r="BR95" s="48">
        <v>0.3224999999999999</v>
      </c>
      <c r="BS95" s="48">
        <v>0.31299999999999989</v>
      </c>
      <c r="BT95" s="48">
        <v>0.30799999999999988</v>
      </c>
      <c r="BU95" s="48">
        <v>0.27399999999999985</v>
      </c>
      <c r="BV95" s="48">
        <v>0.29349999999999982</v>
      </c>
      <c r="BW95" s="48">
        <v>0.31749999999999989</v>
      </c>
      <c r="BX95" s="48">
        <v>0.34199999999999986</v>
      </c>
      <c r="BY95" s="48">
        <v>0.33699999999999986</v>
      </c>
      <c r="BZ95" s="48">
        <v>0.37599999999999989</v>
      </c>
      <c r="CA95" s="48">
        <v>0.41</v>
      </c>
      <c r="CB95" s="48">
        <v>0.43399999999999994</v>
      </c>
      <c r="CC95" s="48">
        <v>0.48300000000000004</v>
      </c>
      <c r="CD95" s="48">
        <v>0.56050000000000011</v>
      </c>
      <c r="CE95" s="48">
        <v>0.61400000000000021</v>
      </c>
      <c r="CF95" s="48">
        <v>0.60900000000000021</v>
      </c>
      <c r="CG95" s="48">
        <v>0.59450000000000014</v>
      </c>
      <c r="CH95" s="48">
        <v>0.69650000000000034</v>
      </c>
      <c r="CI95" s="48">
        <v>0.6625000000000002</v>
      </c>
      <c r="CJ95" s="48">
        <v>0.68650000000000022</v>
      </c>
      <c r="CK95" s="48">
        <v>0.72550000000000037</v>
      </c>
      <c r="CL95" s="48">
        <v>0.73500000000000032</v>
      </c>
      <c r="CM95" s="48">
        <v>0.75000000000000033</v>
      </c>
      <c r="CN95" s="48">
        <v>0.73050000000000037</v>
      </c>
      <c r="CO95" s="48">
        <v>0.71600000000000041</v>
      </c>
      <c r="CP95" s="48">
        <v>0.68200000000000027</v>
      </c>
      <c r="CQ95" s="48">
        <v>0.70600000000000041</v>
      </c>
      <c r="CR95" s="48">
        <v>0.72050000000000036</v>
      </c>
      <c r="CS95" s="48">
        <v>0.74000000000000032</v>
      </c>
      <c r="CT95" s="48">
        <v>0.6525000000000003</v>
      </c>
      <c r="CU95" s="48">
        <v>0.66700000000000026</v>
      </c>
      <c r="CV95" s="48">
        <v>0.62350000000000017</v>
      </c>
      <c r="CW95" s="48">
        <v>0.6040000000000002</v>
      </c>
      <c r="CX95" s="48">
        <v>0.61850000000000016</v>
      </c>
      <c r="CY95" s="48">
        <v>0.64800000000000024</v>
      </c>
      <c r="CZ95" s="48">
        <v>0.69150000000000034</v>
      </c>
      <c r="DA95" s="48">
        <v>0.62850000000000028</v>
      </c>
      <c r="DB95" s="48">
        <v>0.57500000000000018</v>
      </c>
      <c r="DC95" s="48">
        <v>0.49249999999999999</v>
      </c>
      <c r="DD95" s="48">
        <v>0.51200000000000012</v>
      </c>
      <c r="DE95" s="48">
        <v>0.54100000000000004</v>
      </c>
      <c r="DF95" s="48">
        <v>0.5</v>
      </c>
    </row>
    <row r="96" spans="1:110" x14ac:dyDescent="0.2">
      <c r="A96" s="46" t="s">
        <v>261</v>
      </c>
      <c r="B96" s="47">
        <f t="shared" si="56"/>
        <v>-12.499999999999989</v>
      </c>
      <c r="C96" s="47">
        <f t="shared" si="57"/>
        <v>-6.800000000000006</v>
      </c>
      <c r="D96" s="49"/>
      <c r="E96" s="47"/>
      <c r="F96" s="48">
        <v>0.77800000000000002</v>
      </c>
      <c r="G96" s="48">
        <v>0.79800000000000004</v>
      </c>
      <c r="H96" s="48">
        <v>0.82599999999999996</v>
      </c>
      <c r="I96" s="48">
        <v>0.84600000000000009</v>
      </c>
      <c r="J96" s="48">
        <v>0.86499999999999999</v>
      </c>
      <c r="K96" s="48">
        <v>0.85499999999999998</v>
      </c>
      <c r="L96" s="48">
        <v>0.88400000000000001</v>
      </c>
      <c r="M96" s="48">
        <v>0.89400000000000002</v>
      </c>
      <c r="N96" s="48">
        <v>0.97099999999999997</v>
      </c>
      <c r="O96" s="48">
        <v>0.92300000000000004</v>
      </c>
      <c r="P96" s="48">
        <v>0.95099999999999996</v>
      </c>
      <c r="Q96" s="48">
        <v>0.90299999999999991</v>
      </c>
      <c r="R96" s="48">
        <v>0.93200000000000005</v>
      </c>
      <c r="S96" s="48">
        <v>0.94199999999999995</v>
      </c>
      <c r="T96" s="48">
        <v>0.91300000000000003</v>
      </c>
      <c r="U96" s="48">
        <v>0.87500000000000011</v>
      </c>
      <c r="V96" s="48">
        <v>0.81699999999999995</v>
      </c>
      <c r="W96" s="48">
        <v>0.76900000000000002</v>
      </c>
      <c r="X96" s="48">
        <v>0.78799999999999992</v>
      </c>
      <c r="Y96" s="48">
        <v>0.83599999999999997</v>
      </c>
      <c r="Z96" s="48">
        <v>0.67300000000000004</v>
      </c>
      <c r="AA96" s="48">
        <v>0.442</v>
      </c>
      <c r="AB96" s="48">
        <v>0.39399999999999996</v>
      </c>
      <c r="AC96" s="48">
        <v>0.32600000000000001</v>
      </c>
      <c r="AD96" s="48">
        <v>0.29799999999999999</v>
      </c>
      <c r="AE96" s="48">
        <v>0.25</v>
      </c>
      <c r="AF96" s="48">
        <v>0.22999999999999998</v>
      </c>
      <c r="AG96" s="48">
        <v>0.221</v>
      </c>
      <c r="AH96" s="48">
        <v>0.17299999999999999</v>
      </c>
      <c r="AI96" s="48">
        <v>0.20100000000000001</v>
      </c>
      <c r="AJ96" s="48">
        <v>0.125</v>
      </c>
      <c r="AK96" s="48">
        <v>0.14399999999999999</v>
      </c>
      <c r="AL96" s="48">
        <v>0.16300000000000001</v>
      </c>
      <c r="AM96" s="48">
        <v>0.307</v>
      </c>
      <c r="AN96" s="48">
        <v>0.27800000000000002</v>
      </c>
      <c r="AO96" s="48">
        <v>0.25900000000000001</v>
      </c>
      <c r="AP96" s="48">
        <v>0.21099999999999999</v>
      </c>
      <c r="AQ96" s="48">
        <v>0.192</v>
      </c>
      <c r="AR96" s="48">
        <v>0.26900000000000002</v>
      </c>
      <c r="AS96" s="48">
        <v>0.41299999999999998</v>
      </c>
      <c r="AT96" s="48">
        <v>0.71099999999999997</v>
      </c>
      <c r="AU96" s="48">
        <v>0.98</v>
      </c>
      <c r="AV96" s="48">
        <v>0.9900000000000001</v>
      </c>
      <c r="AW96" s="48">
        <v>1</v>
      </c>
      <c r="AX96" s="48">
        <v>0.96100000000000008</v>
      </c>
      <c r="AY96" s="48">
        <v>0.34599999999999997</v>
      </c>
      <c r="AZ96" s="48">
        <v>0.40300000000000002</v>
      </c>
      <c r="BA96" s="48">
        <v>0.50900000000000001</v>
      </c>
      <c r="BB96" s="48">
        <v>0.51900000000000002</v>
      </c>
      <c r="BC96" s="48">
        <v>0.54800000000000004</v>
      </c>
      <c r="BD96" s="48">
        <v>0.53800000000000003</v>
      </c>
      <c r="BE96" s="48">
        <v>0.33600000000000002</v>
      </c>
      <c r="BF96" s="48">
        <v>9.6000000000000002E-2</v>
      </c>
      <c r="BG96" s="48">
        <v>1.9E-2</v>
      </c>
      <c r="BH96" s="48">
        <v>8.9999999999999993E-3</v>
      </c>
      <c r="BI96" s="48">
        <v>0</v>
      </c>
      <c r="BJ96" s="48">
        <v>2.8000000000000004E-2</v>
      </c>
      <c r="BK96" s="48">
        <v>0.38400000000000001</v>
      </c>
      <c r="BL96" s="48">
        <v>0.46100000000000002</v>
      </c>
      <c r="BM96" s="48">
        <v>0.55700000000000005</v>
      </c>
      <c r="BN96" s="48">
        <v>0.63400000000000001</v>
      </c>
      <c r="BO96" s="48">
        <v>0.69199999999999995</v>
      </c>
      <c r="BP96" s="48">
        <v>0.72099999999999997</v>
      </c>
      <c r="BQ96" s="48">
        <v>0.75</v>
      </c>
      <c r="BR96" s="48">
        <v>0.74</v>
      </c>
      <c r="BS96" s="48">
        <v>0.73</v>
      </c>
      <c r="BT96" s="48">
        <v>0.75900000000000001</v>
      </c>
      <c r="BU96" s="48">
        <v>0.80700000000000005</v>
      </c>
      <c r="BV96" s="48">
        <v>0.61499999999999999</v>
      </c>
      <c r="BW96" s="48">
        <v>0.17299999999999999</v>
      </c>
      <c r="BX96" s="48">
        <v>0.13400000000000001</v>
      </c>
      <c r="BY96" s="48">
        <v>0.105</v>
      </c>
      <c r="BZ96" s="48">
        <v>7.5999999999999998E-2</v>
      </c>
      <c r="CA96" s="48">
        <v>5.7000000000000009E-2</v>
      </c>
      <c r="CB96" s="48">
        <v>6.7000000000000004E-2</v>
      </c>
      <c r="CC96" s="48">
        <v>4.8000000000000001E-2</v>
      </c>
      <c r="CD96" s="48">
        <v>3.7999999999999999E-2</v>
      </c>
      <c r="CE96" s="48">
        <v>8.5999999999999993E-2</v>
      </c>
      <c r="CF96" s="48">
        <v>0.23999999999999996</v>
      </c>
      <c r="CG96" s="48">
        <v>0.317</v>
      </c>
      <c r="CH96" s="48">
        <v>0.42300000000000004</v>
      </c>
      <c r="CI96" s="48">
        <v>0.35499999999999998</v>
      </c>
      <c r="CJ96" s="48">
        <v>0.36499999999999999</v>
      </c>
      <c r="CK96" s="48">
        <v>0.375</v>
      </c>
      <c r="CL96" s="48">
        <v>0.432</v>
      </c>
      <c r="CM96" s="48">
        <v>0.47099999999999997</v>
      </c>
      <c r="CN96" s="48">
        <v>0.5</v>
      </c>
      <c r="CO96" s="48">
        <v>0.47999999999999993</v>
      </c>
      <c r="CP96" s="48">
        <v>0.49</v>
      </c>
      <c r="CQ96" s="48">
        <v>0.56699999999999995</v>
      </c>
      <c r="CR96" s="48">
        <v>0.625</v>
      </c>
      <c r="CS96" s="48">
        <v>0.70099999999999996</v>
      </c>
      <c r="CT96" s="48">
        <v>0.57599999999999996</v>
      </c>
      <c r="CU96" s="48">
        <v>0.45100000000000001</v>
      </c>
      <c r="CV96" s="48">
        <v>0.51900000000000002</v>
      </c>
      <c r="CW96" s="48">
        <v>0.59599999999999997</v>
      </c>
      <c r="CX96" s="48">
        <v>0.65300000000000002</v>
      </c>
      <c r="CY96" s="48">
        <v>0.66300000000000003</v>
      </c>
      <c r="CZ96" s="48">
        <v>0.64400000000000002</v>
      </c>
      <c r="DA96" s="48">
        <v>0.68200000000000005</v>
      </c>
      <c r="DB96" s="48">
        <v>0.60499999999999998</v>
      </c>
      <c r="DC96" s="48">
        <v>0.58599999999999997</v>
      </c>
      <c r="DD96" s="48">
        <v>0.27800000000000002</v>
      </c>
      <c r="DE96" s="48">
        <v>0.14399999999999999</v>
      </c>
      <c r="DF96" s="48">
        <v>0.11499999999999999</v>
      </c>
    </row>
    <row r="97" spans="1:110" x14ac:dyDescent="0.2">
      <c r="A97" s="46" t="s">
        <v>84</v>
      </c>
      <c r="B97" s="47">
        <f t="shared" si="56"/>
        <v>-39.193333333333342</v>
      </c>
      <c r="C97" s="47">
        <f t="shared" si="57"/>
        <v>-5.5400000000000009</v>
      </c>
      <c r="D97" s="49" t="e">
        <f t="shared" ref="D97:D129" ca="1" si="83">_xludf.STDEV.P(W97:DF97)*100</f>
        <v>#NAME?</v>
      </c>
      <c r="E97" s="47"/>
      <c r="F97" s="48">
        <v>0.21893333333333337</v>
      </c>
      <c r="G97" s="48">
        <v>0.24360000000000007</v>
      </c>
      <c r="H97" s="48">
        <v>0.24913333333333337</v>
      </c>
      <c r="I97" s="48">
        <v>0.27433333333333337</v>
      </c>
      <c r="J97" s="48">
        <v>0.2626</v>
      </c>
      <c r="K97" s="48">
        <v>0.28466666666666673</v>
      </c>
      <c r="L97" s="48">
        <v>0.33533333333333343</v>
      </c>
      <c r="M97" s="48">
        <v>0.38693333333333341</v>
      </c>
      <c r="N97" s="48">
        <v>0.50653333333333339</v>
      </c>
      <c r="O97" s="48">
        <v>0.59380000000000011</v>
      </c>
      <c r="P97" s="48">
        <v>0.58826666666666672</v>
      </c>
      <c r="Q97" s="48">
        <v>0.61086666666666678</v>
      </c>
      <c r="R97" s="48">
        <v>0.61060000000000014</v>
      </c>
      <c r="S97" s="48">
        <v>0.6278666666666668</v>
      </c>
      <c r="T97" s="48">
        <v>0.61</v>
      </c>
      <c r="U97" s="48">
        <v>0.68713333333333348</v>
      </c>
      <c r="V97" s="48">
        <v>0.77366666666666684</v>
      </c>
      <c r="W97" s="48">
        <v>0.83540000000000003</v>
      </c>
      <c r="X97" s="48">
        <v>0.80313333333333337</v>
      </c>
      <c r="Y97" s="48">
        <v>0.73306666666666676</v>
      </c>
      <c r="Z97" s="48">
        <v>0.63046666666666684</v>
      </c>
      <c r="AA97" s="48">
        <v>0.61686666666666667</v>
      </c>
      <c r="AB97" s="48">
        <v>0.66033333333333344</v>
      </c>
      <c r="AC97" s="48">
        <v>0.71153333333333346</v>
      </c>
      <c r="AD97" s="48">
        <v>0.73513333333333353</v>
      </c>
      <c r="AE97" s="48">
        <v>0.78573333333333339</v>
      </c>
      <c r="AF97" s="48">
        <v>0.79920000000000002</v>
      </c>
      <c r="AG97" s="48">
        <v>0.83006666666666673</v>
      </c>
      <c r="AH97" s="48">
        <v>0.83266666666666678</v>
      </c>
      <c r="AI97" s="48">
        <v>0.83520000000000016</v>
      </c>
      <c r="AJ97" s="48">
        <v>0.89040000000000008</v>
      </c>
      <c r="AK97" s="48">
        <v>0.89440000000000019</v>
      </c>
      <c r="AL97" s="48">
        <v>0.7718666666666667</v>
      </c>
      <c r="AM97" s="48">
        <v>0.53346666666666676</v>
      </c>
      <c r="AN97" s="48">
        <v>0.54226666666666679</v>
      </c>
      <c r="AO97" s="48">
        <v>0.56513333333333327</v>
      </c>
      <c r="AP97" s="48">
        <v>0.59133333333333327</v>
      </c>
      <c r="AQ97" s="48">
        <v>0.57366666666666677</v>
      </c>
      <c r="AR97" s="48">
        <v>0.54886666666666661</v>
      </c>
      <c r="AS97" s="48">
        <v>0.53333333333333355</v>
      </c>
      <c r="AT97" s="48">
        <v>0.54020000000000012</v>
      </c>
      <c r="AU97" s="48">
        <v>0.53539999999999999</v>
      </c>
      <c r="AV97" s="48">
        <v>0.65133333333333332</v>
      </c>
      <c r="AW97" s="48">
        <v>0.69366666666666676</v>
      </c>
      <c r="AX97" s="48">
        <v>0.72220000000000018</v>
      </c>
      <c r="AY97" s="48">
        <v>0.56846666666666668</v>
      </c>
      <c r="AZ97" s="48">
        <v>0.53026666666666677</v>
      </c>
      <c r="BA97" s="48">
        <v>0.41006666666666669</v>
      </c>
      <c r="BB97" s="48">
        <v>0.32480000000000003</v>
      </c>
      <c r="BC97" s="48">
        <v>0.24226666666666669</v>
      </c>
      <c r="BD97" s="48">
        <v>0.20506666666666673</v>
      </c>
      <c r="BE97" s="48">
        <v>0.16760000000000003</v>
      </c>
      <c r="BF97" s="48">
        <v>0.15600000000000003</v>
      </c>
      <c r="BG97" s="48">
        <v>0.14626666666666668</v>
      </c>
      <c r="BH97" s="48">
        <v>0.1668</v>
      </c>
      <c r="BI97" s="48">
        <v>0.16406666666666669</v>
      </c>
      <c r="BJ97" s="48">
        <v>0.1302666666666667</v>
      </c>
      <c r="BK97" s="48">
        <v>0.22673333333333337</v>
      </c>
      <c r="BL97" s="48">
        <v>0.23700000000000002</v>
      </c>
      <c r="BM97" s="48">
        <v>0.2344</v>
      </c>
      <c r="BN97" s="48">
        <v>0.22033333333333335</v>
      </c>
      <c r="BO97" s="48">
        <v>0.20713333333333336</v>
      </c>
      <c r="BP97" s="48">
        <v>0.20766666666666667</v>
      </c>
      <c r="BQ97" s="48">
        <v>0.26713333333333339</v>
      </c>
      <c r="BR97" s="48">
        <v>0.2748666666666667</v>
      </c>
      <c r="BS97" s="48">
        <v>0.2772</v>
      </c>
      <c r="BT97" s="48">
        <v>0.25600000000000001</v>
      </c>
      <c r="BU97" s="48">
        <v>0.24953333333333336</v>
      </c>
      <c r="BV97" s="48">
        <v>0.30560000000000004</v>
      </c>
      <c r="BW97" s="48">
        <v>0.31753333333333333</v>
      </c>
      <c r="BX97" s="48">
        <v>0.29006666666666664</v>
      </c>
      <c r="BY97" s="48">
        <v>0.27873333333333333</v>
      </c>
      <c r="BZ97" s="48">
        <v>0.29973333333333335</v>
      </c>
      <c r="CA97" s="48">
        <v>0.30213333333333348</v>
      </c>
      <c r="CB97" s="48">
        <v>0.32053333333333339</v>
      </c>
      <c r="CC97" s="48">
        <v>0.34340000000000004</v>
      </c>
      <c r="CD97" s="48">
        <v>0.4074666666666667</v>
      </c>
      <c r="CE97" s="48">
        <v>0.56533333333333347</v>
      </c>
      <c r="CF97" s="48">
        <v>0.69186666666666696</v>
      </c>
      <c r="CG97" s="48">
        <v>0.75193333333333334</v>
      </c>
      <c r="CH97" s="48">
        <v>0.65940000000000021</v>
      </c>
      <c r="CI97" s="48">
        <v>0.56333333333333335</v>
      </c>
      <c r="CJ97" s="48">
        <v>0.59713333333333352</v>
      </c>
      <c r="CK97" s="48">
        <v>0.61606666666666687</v>
      </c>
      <c r="CL97" s="48">
        <v>0.59893333333333354</v>
      </c>
      <c r="CM97" s="48">
        <v>0.55913333333333337</v>
      </c>
      <c r="CN97" s="48">
        <v>0.50846666666666662</v>
      </c>
      <c r="CO97" s="48">
        <v>0.47320000000000001</v>
      </c>
      <c r="CP97" s="48">
        <v>0.45293333333333341</v>
      </c>
      <c r="CQ97" s="48">
        <v>0.4294</v>
      </c>
      <c r="CR97" s="48">
        <v>0.38053333333333339</v>
      </c>
      <c r="CS97" s="48">
        <v>0.36000000000000004</v>
      </c>
      <c r="CT97" s="48">
        <v>0.57226666666666681</v>
      </c>
      <c r="CU97" s="48">
        <v>0.7196666666666669</v>
      </c>
      <c r="CV97" s="48">
        <v>0.71060000000000023</v>
      </c>
      <c r="CW97" s="48">
        <v>0.70426666666666693</v>
      </c>
      <c r="CX97" s="48">
        <v>0.70400000000000018</v>
      </c>
      <c r="CY97" s="48">
        <v>0.71373333333333344</v>
      </c>
      <c r="CZ97" s="48">
        <v>0.7370000000000001</v>
      </c>
      <c r="DA97" s="48">
        <v>0.72046666666666681</v>
      </c>
      <c r="DB97" s="48">
        <v>0.61446666666666683</v>
      </c>
      <c r="DC97" s="48">
        <v>0.48993333333333339</v>
      </c>
      <c r="DD97" s="48">
        <v>0.5028666666666668</v>
      </c>
      <c r="DE97" s="48">
        <v>0.4864</v>
      </c>
      <c r="DF97" s="48">
        <v>0.52673333333333339</v>
      </c>
    </row>
    <row r="98" spans="1:110" x14ac:dyDescent="0.2">
      <c r="A98" s="46" t="s">
        <v>87</v>
      </c>
      <c r="B98" s="47">
        <f t="shared" si="56"/>
        <v>-5.7750000000000306</v>
      </c>
      <c r="C98" s="47">
        <f t="shared" si="57"/>
        <v>9.8749999999999893</v>
      </c>
      <c r="D98" s="49" t="e">
        <f t="shared" ref="D98:D130" ca="1" si="84">_xludf.STDEV.P(W98:DF98)*100</f>
        <v>#NAME?</v>
      </c>
      <c r="E98" s="47"/>
      <c r="F98" s="48">
        <v>0.54299999999999993</v>
      </c>
      <c r="G98" s="48">
        <v>0.48049999999999998</v>
      </c>
      <c r="H98" s="48">
        <v>0.47349999999999992</v>
      </c>
      <c r="I98" s="48">
        <v>0.44425000000000003</v>
      </c>
      <c r="J98" s="48">
        <v>0.46150000000000002</v>
      </c>
      <c r="K98" s="48">
        <v>0.49025000000000013</v>
      </c>
      <c r="L98" s="48">
        <v>0.5505000000000001</v>
      </c>
      <c r="M98" s="48">
        <v>0.55750000000000022</v>
      </c>
      <c r="N98" s="48">
        <v>0.57925000000000026</v>
      </c>
      <c r="O98" s="48">
        <v>0.59100000000000041</v>
      </c>
      <c r="P98" s="48">
        <v>0.60325000000000029</v>
      </c>
      <c r="Q98" s="48">
        <v>0.60075000000000023</v>
      </c>
      <c r="R98" s="48">
        <v>0.59125000000000028</v>
      </c>
      <c r="S98" s="48">
        <v>0.58625000000000027</v>
      </c>
      <c r="T98" s="48">
        <v>0.60075000000000034</v>
      </c>
      <c r="U98" s="48">
        <v>0.58625000000000027</v>
      </c>
      <c r="V98" s="48">
        <v>0.55500000000000027</v>
      </c>
      <c r="W98" s="48">
        <v>0.4785000000000002</v>
      </c>
      <c r="X98" s="48">
        <v>0.43225000000000008</v>
      </c>
      <c r="Y98" s="48">
        <v>0.40125000000000005</v>
      </c>
      <c r="Z98" s="48">
        <v>0.32674999999999976</v>
      </c>
      <c r="AA98" s="48">
        <v>0.36999999999999977</v>
      </c>
      <c r="AB98" s="48">
        <v>0.39874999999999977</v>
      </c>
      <c r="AC98" s="48">
        <v>0.46849999999999975</v>
      </c>
      <c r="AD98" s="48">
        <v>0.50974999999999993</v>
      </c>
      <c r="AE98" s="48">
        <v>0.54549999999999987</v>
      </c>
      <c r="AF98" s="48">
        <v>0.52624999999999988</v>
      </c>
      <c r="AG98" s="48">
        <v>0.5645</v>
      </c>
      <c r="AH98" s="48">
        <v>0.58850000000000002</v>
      </c>
      <c r="AI98" s="48">
        <v>0.62475000000000003</v>
      </c>
      <c r="AJ98" s="48">
        <v>0.65600000000000003</v>
      </c>
      <c r="AK98" s="48">
        <v>0.68</v>
      </c>
      <c r="AL98" s="48">
        <v>0.47099999999999986</v>
      </c>
      <c r="AM98" s="48">
        <v>0.31949999999999984</v>
      </c>
      <c r="AN98" s="48">
        <v>0.32424999999999982</v>
      </c>
      <c r="AO98" s="48">
        <v>0.40624999999999989</v>
      </c>
      <c r="AP98" s="48">
        <v>0.50475000000000003</v>
      </c>
      <c r="AQ98" s="48">
        <v>0.54525000000000012</v>
      </c>
      <c r="AR98" s="48">
        <v>0.63700000000000012</v>
      </c>
      <c r="AS98" s="48">
        <v>0.62000000000000011</v>
      </c>
      <c r="AT98" s="48">
        <v>0.6585000000000002</v>
      </c>
      <c r="AU98" s="48">
        <v>0.67500000000000016</v>
      </c>
      <c r="AV98" s="48">
        <v>0.71850000000000025</v>
      </c>
      <c r="AW98" s="48">
        <v>0.75000000000000022</v>
      </c>
      <c r="AX98" s="48">
        <v>0.74750000000000016</v>
      </c>
      <c r="AY98" s="48">
        <v>0.75475000000000014</v>
      </c>
      <c r="AZ98" s="48">
        <v>0.71600000000000019</v>
      </c>
      <c r="BA98" s="48">
        <v>0.56449999999999989</v>
      </c>
      <c r="BB98" s="48">
        <v>0.40824999999999989</v>
      </c>
      <c r="BC98" s="48">
        <v>0.37474999999999981</v>
      </c>
      <c r="BD98" s="48">
        <v>0.32424999999999982</v>
      </c>
      <c r="BE98" s="48">
        <v>0.3364999999999998</v>
      </c>
      <c r="BF98" s="48">
        <v>0.28599999999999975</v>
      </c>
      <c r="BG98" s="48">
        <v>0.29274999999999968</v>
      </c>
      <c r="BH98" s="48">
        <v>0.28124999999999972</v>
      </c>
      <c r="BI98" s="48">
        <v>0.23749999999999974</v>
      </c>
      <c r="BJ98" s="48">
        <v>0.34099999999999986</v>
      </c>
      <c r="BK98" s="48">
        <v>0.35299999999999992</v>
      </c>
      <c r="BL98" s="48">
        <v>0.35549999999999987</v>
      </c>
      <c r="BM98" s="48">
        <v>0.33399999999999991</v>
      </c>
      <c r="BN98" s="48">
        <v>0.3532499999999999</v>
      </c>
      <c r="BO98" s="48">
        <v>0.37249999999999994</v>
      </c>
      <c r="BP98" s="48">
        <v>0.44224999999999987</v>
      </c>
      <c r="BQ98" s="48">
        <v>0.43724999999999992</v>
      </c>
      <c r="BR98" s="48">
        <v>0.4202499999999999</v>
      </c>
      <c r="BS98" s="48">
        <v>0.35299999999999981</v>
      </c>
      <c r="BT98" s="48">
        <v>0.29799999999999977</v>
      </c>
      <c r="BU98" s="48">
        <v>0.26424999999999971</v>
      </c>
      <c r="BV98" s="48">
        <v>0.33399999999999969</v>
      </c>
      <c r="BW98" s="48">
        <v>0.55774999999999997</v>
      </c>
      <c r="BX98" s="48">
        <v>0.52400000000000002</v>
      </c>
      <c r="BY98" s="48">
        <v>0.45400000000000013</v>
      </c>
      <c r="BZ98" s="48">
        <v>0.38700000000000018</v>
      </c>
      <c r="CA98" s="48">
        <v>0.44700000000000023</v>
      </c>
      <c r="CB98" s="48">
        <v>0.4492500000000002</v>
      </c>
      <c r="CC98" s="48">
        <v>0.50675000000000026</v>
      </c>
      <c r="CD98" s="48">
        <v>0.46125000000000005</v>
      </c>
      <c r="CE98" s="48">
        <v>0.51675000000000004</v>
      </c>
      <c r="CF98" s="48">
        <v>0.5717500000000002</v>
      </c>
      <c r="CG98" s="48">
        <v>0.60550000000000015</v>
      </c>
      <c r="CH98" s="48">
        <v>0.48550000000000021</v>
      </c>
      <c r="CI98" s="48">
        <v>0.27624999999999994</v>
      </c>
      <c r="CJ98" s="48">
        <v>0.28599999999999992</v>
      </c>
      <c r="CK98" s="48">
        <v>0.38674999999999993</v>
      </c>
      <c r="CL98" s="48">
        <v>0.4395</v>
      </c>
      <c r="CM98" s="48">
        <v>0.49724999999999986</v>
      </c>
      <c r="CN98" s="48">
        <v>0.51924999999999988</v>
      </c>
      <c r="CO98" s="48">
        <v>0.51874999999999982</v>
      </c>
      <c r="CP98" s="48">
        <v>0.57399999999999995</v>
      </c>
      <c r="CQ98" s="48">
        <v>0.59849999999999992</v>
      </c>
      <c r="CR98" s="48">
        <v>0.68700000000000006</v>
      </c>
      <c r="CS98" s="48">
        <v>0.75924999999999987</v>
      </c>
      <c r="CT98" s="48">
        <v>0.65349999999999986</v>
      </c>
      <c r="CU98" s="48">
        <v>0.4562499999999996</v>
      </c>
      <c r="CV98" s="48">
        <v>0.45174999999999965</v>
      </c>
      <c r="CW98" s="48">
        <v>0.41074999999999967</v>
      </c>
      <c r="CX98" s="48">
        <v>0.40599999999999969</v>
      </c>
      <c r="CY98" s="48">
        <v>0.41074999999999967</v>
      </c>
      <c r="CZ98" s="48">
        <v>0.45199999999999957</v>
      </c>
      <c r="DA98" s="48">
        <v>0.5067499999999997</v>
      </c>
      <c r="DB98" s="48">
        <v>0.66074999999999984</v>
      </c>
      <c r="DC98" s="48">
        <v>0.72799999999999976</v>
      </c>
      <c r="DD98" s="48">
        <v>0.80474999999999985</v>
      </c>
      <c r="DE98" s="48">
        <v>0.77849999999999986</v>
      </c>
      <c r="DF98" s="48">
        <v>0.76899999999999991</v>
      </c>
    </row>
    <row r="99" spans="1:110" x14ac:dyDescent="0.2">
      <c r="A99" s="46" t="s">
        <v>90</v>
      </c>
      <c r="B99" s="47">
        <f t="shared" si="56"/>
        <v>1.8333333333333313</v>
      </c>
      <c r="C99" s="47">
        <f t="shared" si="57"/>
        <v>3.9333333333333274</v>
      </c>
      <c r="D99" s="49" t="e">
        <f t="shared" ref="D99:D131" ca="1" si="85">_xludf.STDEV.P(W99:DF99)*100</f>
        <v>#NAME?</v>
      </c>
      <c r="E99" s="47"/>
      <c r="F99" s="48">
        <v>0.30541666666666661</v>
      </c>
      <c r="G99" s="48">
        <v>0.27333333333333332</v>
      </c>
      <c r="H99" s="48">
        <v>0.25808333333333333</v>
      </c>
      <c r="I99" s="48">
        <v>0.26608333333333334</v>
      </c>
      <c r="J99" s="48">
        <v>0.27383333333333337</v>
      </c>
      <c r="K99" s="48">
        <v>0.29362499999999997</v>
      </c>
      <c r="L99" s="48">
        <v>0.31712499999999993</v>
      </c>
      <c r="M99" s="48">
        <v>0.33129166666666671</v>
      </c>
      <c r="N99" s="48">
        <v>0.34258333333333341</v>
      </c>
      <c r="O99" s="48">
        <v>0.330125</v>
      </c>
      <c r="P99" s="48">
        <v>0.32658333333333334</v>
      </c>
      <c r="Q99" s="48">
        <v>0.2870833333333333</v>
      </c>
      <c r="R99" s="48">
        <v>0.29041666666666666</v>
      </c>
      <c r="S99" s="48">
        <v>0.28295833333333331</v>
      </c>
      <c r="T99" s="48">
        <v>0.31741666666666668</v>
      </c>
      <c r="U99" s="48">
        <v>0.36741666666666667</v>
      </c>
      <c r="V99" s="48">
        <v>0.44562499999999994</v>
      </c>
      <c r="W99" s="48">
        <v>0.42474999999999991</v>
      </c>
      <c r="X99" s="48">
        <v>0.44291666666666663</v>
      </c>
      <c r="Y99" s="48">
        <v>0.29537499999999994</v>
      </c>
      <c r="Z99" s="48">
        <v>0.31920833333333332</v>
      </c>
      <c r="AA99" s="48">
        <v>0.32254166666666673</v>
      </c>
      <c r="AB99" s="48">
        <v>0.49391666666666673</v>
      </c>
      <c r="AC99" s="48">
        <v>0.5750416666666669</v>
      </c>
      <c r="AD99" s="48">
        <v>0.61008333333333342</v>
      </c>
      <c r="AE99" s="48">
        <v>0.66162500000000002</v>
      </c>
      <c r="AF99" s="48">
        <v>0.70716666666666661</v>
      </c>
      <c r="AG99" s="48">
        <v>0.70262500000000006</v>
      </c>
      <c r="AH99" s="48">
        <v>0.66708333333333347</v>
      </c>
      <c r="AI99" s="48">
        <v>0.69816666666666671</v>
      </c>
      <c r="AJ99" s="48">
        <v>0.79925000000000002</v>
      </c>
      <c r="AK99" s="48">
        <v>0.83158333333333312</v>
      </c>
      <c r="AL99" s="48">
        <v>0.82245833333333329</v>
      </c>
      <c r="AM99" s="48">
        <v>0.77583333333333337</v>
      </c>
      <c r="AN99" s="48">
        <v>0.78245833333333337</v>
      </c>
      <c r="AO99" s="48">
        <v>0.8284583333333333</v>
      </c>
      <c r="AP99" s="48">
        <v>0.84804166666666658</v>
      </c>
      <c r="AQ99" s="48">
        <v>0.86775000000000002</v>
      </c>
      <c r="AR99" s="48">
        <v>0.85391666666666666</v>
      </c>
      <c r="AS99" s="48">
        <v>0.85741666666666683</v>
      </c>
      <c r="AT99" s="48">
        <v>0.84416666666666673</v>
      </c>
      <c r="AU99" s="48">
        <v>0.87024999999999986</v>
      </c>
      <c r="AV99" s="48">
        <v>0.87654166666666655</v>
      </c>
      <c r="AW99" s="48">
        <v>0.8474166666666666</v>
      </c>
      <c r="AX99" s="48">
        <v>0.81625000000000014</v>
      </c>
      <c r="AY99" s="48">
        <v>0.72591666666666665</v>
      </c>
      <c r="AZ99" s="48">
        <v>0.55679166666666668</v>
      </c>
      <c r="BA99" s="48">
        <v>0.53774999999999995</v>
      </c>
      <c r="BB99" s="48">
        <v>0.47170833333333329</v>
      </c>
      <c r="BC99" s="48">
        <v>0.39070833333333332</v>
      </c>
      <c r="BD99" s="48">
        <v>0.22599999999999995</v>
      </c>
      <c r="BE99" s="48">
        <v>0.18220833333333331</v>
      </c>
      <c r="BF99" s="48">
        <v>0.14991666666666664</v>
      </c>
      <c r="BG99" s="48">
        <v>0.10854166666666668</v>
      </c>
      <c r="BH99" s="48">
        <v>9.2374999999999999E-2</v>
      </c>
      <c r="BI99" s="48">
        <v>9.7416666666666651E-2</v>
      </c>
      <c r="BJ99" s="48">
        <v>0.11841666666666666</v>
      </c>
      <c r="BK99" s="48">
        <v>0.1605833333333333</v>
      </c>
      <c r="BL99" s="48">
        <v>0.18783333333333332</v>
      </c>
      <c r="BM99" s="48">
        <v>0.19070833333333331</v>
      </c>
      <c r="BN99" s="48">
        <v>0.21483333333333338</v>
      </c>
      <c r="BO99" s="48">
        <v>0.20979166666666671</v>
      </c>
      <c r="BP99" s="48">
        <v>0.223</v>
      </c>
      <c r="BQ99" s="48">
        <v>0.29158333333333331</v>
      </c>
      <c r="BR99" s="48">
        <v>0.38933333333333336</v>
      </c>
      <c r="BS99" s="48">
        <v>0.39570833333333333</v>
      </c>
      <c r="BT99" s="48">
        <v>0.44008333333333322</v>
      </c>
      <c r="BU99" s="48">
        <v>0.56933333333333325</v>
      </c>
      <c r="BV99" s="48">
        <v>0.54091666666666671</v>
      </c>
      <c r="BW99" s="48">
        <v>0.56812499999999999</v>
      </c>
      <c r="BX99" s="48">
        <v>0.52349999999999997</v>
      </c>
      <c r="BY99" s="48">
        <v>0.53433333333333333</v>
      </c>
      <c r="BZ99" s="48">
        <v>0.52433333333333332</v>
      </c>
      <c r="CA99" s="48">
        <v>0.50375000000000003</v>
      </c>
      <c r="CB99" s="48">
        <v>0.51445833333333335</v>
      </c>
      <c r="CC99" s="48">
        <v>0.58474999999999988</v>
      </c>
      <c r="CD99" s="48">
        <v>0.65570833333333345</v>
      </c>
      <c r="CE99" s="48">
        <v>0.69495833333333334</v>
      </c>
      <c r="CF99" s="48">
        <v>0.61279166666666662</v>
      </c>
      <c r="CG99" s="48">
        <v>0.755</v>
      </c>
      <c r="CH99" s="48">
        <v>0.75362499999999999</v>
      </c>
      <c r="CI99" s="48">
        <v>0.75783333333333325</v>
      </c>
      <c r="CJ99" s="48">
        <v>0.61662500000000009</v>
      </c>
      <c r="CK99" s="48">
        <v>0.59845833333333343</v>
      </c>
      <c r="CL99" s="48">
        <v>0.60370833333333329</v>
      </c>
      <c r="CM99" s="48">
        <v>0.56425000000000003</v>
      </c>
      <c r="CN99" s="48">
        <v>0.45120833333333338</v>
      </c>
      <c r="CO99" s="48">
        <v>0.40475</v>
      </c>
      <c r="CP99" s="48">
        <v>0.39870833333333333</v>
      </c>
      <c r="CQ99" s="48">
        <v>0.48129166666666667</v>
      </c>
      <c r="CR99" s="48">
        <v>0.48004166666666664</v>
      </c>
      <c r="CS99" s="48">
        <v>0.30079166666666662</v>
      </c>
      <c r="CT99" s="48">
        <v>0.27520833333333333</v>
      </c>
      <c r="CU99" s="48">
        <v>0.2588333333333333</v>
      </c>
      <c r="CV99" s="48">
        <v>0.37308333333333332</v>
      </c>
      <c r="CW99" s="48">
        <v>0.45358333333333317</v>
      </c>
      <c r="CX99" s="48">
        <v>0.50783333333333336</v>
      </c>
      <c r="CY99" s="48">
        <v>0.59804166666666658</v>
      </c>
      <c r="CZ99" s="48">
        <v>0.62474999999999992</v>
      </c>
      <c r="DA99" s="48">
        <v>0.67441666666666655</v>
      </c>
      <c r="DB99" s="48">
        <v>0.66570833333333335</v>
      </c>
      <c r="DC99" s="48">
        <v>0.63712500000000005</v>
      </c>
      <c r="DD99" s="48">
        <v>0.62262499999999998</v>
      </c>
      <c r="DE99" s="48">
        <v>0.66299999999999992</v>
      </c>
      <c r="DF99" s="48">
        <v>0.72549999999999992</v>
      </c>
    </row>
    <row r="100" spans="1:110" x14ac:dyDescent="0.2">
      <c r="A100" s="46" t="s">
        <v>92</v>
      </c>
      <c r="B100" s="47">
        <f t="shared" si="56"/>
        <v>26.949999999999996</v>
      </c>
      <c r="C100" s="47">
        <f t="shared" si="57"/>
        <v>2.4250000000000105</v>
      </c>
      <c r="D100" s="49" t="e">
        <f t="shared" ref="D100:D132" ca="1" si="86">_xludf.STDEV.P(W100:DF100)*100</f>
        <v>#NAME?</v>
      </c>
      <c r="E100" s="47"/>
      <c r="F100" s="48">
        <v>0.78825000000000001</v>
      </c>
      <c r="G100" s="48">
        <v>0.78075000000000017</v>
      </c>
      <c r="H100" s="48">
        <v>0.78300000000000003</v>
      </c>
      <c r="I100" s="48">
        <v>0.7639999999999999</v>
      </c>
      <c r="J100" s="48">
        <v>0.78300000000000003</v>
      </c>
      <c r="K100" s="48">
        <v>0.72575000000000001</v>
      </c>
      <c r="L100" s="48">
        <v>0.75674999999999992</v>
      </c>
      <c r="M100" s="48">
        <v>0.69425000000000014</v>
      </c>
      <c r="N100" s="48">
        <v>0.63675000000000004</v>
      </c>
      <c r="O100" s="48">
        <v>0.61249999999999993</v>
      </c>
      <c r="P100" s="48">
        <v>0.57399999999999995</v>
      </c>
      <c r="Q100" s="48">
        <v>0.51875000000000004</v>
      </c>
      <c r="R100" s="48">
        <v>0.46374999999999994</v>
      </c>
      <c r="S100" s="48">
        <v>0.48275000000000001</v>
      </c>
      <c r="T100" s="48">
        <v>0.52124999999999999</v>
      </c>
      <c r="U100" s="48">
        <v>0.57174999999999998</v>
      </c>
      <c r="V100" s="48">
        <v>0.55925000000000002</v>
      </c>
      <c r="W100" s="48">
        <v>0.54525000000000001</v>
      </c>
      <c r="X100" s="48">
        <v>0.48499999999999999</v>
      </c>
      <c r="Y100" s="48">
        <v>0.43475000000000003</v>
      </c>
      <c r="Z100" s="48">
        <v>0.42025000000000001</v>
      </c>
      <c r="AA100" s="48">
        <v>0.58350000000000002</v>
      </c>
      <c r="AB100" s="48">
        <v>0.59799999999999998</v>
      </c>
      <c r="AC100" s="48">
        <v>0.65075000000000005</v>
      </c>
      <c r="AD100" s="48">
        <v>0.70174999999999998</v>
      </c>
      <c r="AE100" s="48">
        <v>0.75424999999999998</v>
      </c>
      <c r="AF100" s="48">
        <v>0.73999999999999988</v>
      </c>
      <c r="AG100" s="48">
        <v>0.6825</v>
      </c>
      <c r="AH100" s="48">
        <v>0.64124999999999999</v>
      </c>
      <c r="AI100" s="48">
        <v>0.6845</v>
      </c>
      <c r="AJ100" s="48">
        <v>0.8264999999999999</v>
      </c>
      <c r="AK100" s="48">
        <v>0.91074999999999984</v>
      </c>
      <c r="AL100" s="48">
        <v>0.85750000000000004</v>
      </c>
      <c r="AM100" s="48">
        <v>0.63675000000000004</v>
      </c>
      <c r="AN100" s="48">
        <v>0.59099999999999997</v>
      </c>
      <c r="AO100" s="48">
        <v>0.57174999999999998</v>
      </c>
      <c r="AP100" s="48">
        <v>0.5475000000000001</v>
      </c>
      <c r="AQ100" s="48">
        <v>0.51875000000000004</v>
      </c>
      <c r="AR100" s="48">
        <v>0.55700000000000005</v>
      </c>
      <c r="AS100" s="48">
        <v>0.61699999999999999</v>
      </c>
      <c r="AT100" s="48">
        <v>0.74750000000000005</v>
      </c>
      <c r="AU100" s="48">
        <v>0.82175000000000009</v>
      </c>
      <c r="AV100" s="48">
        <v>0.86024999999999996</v>
      </c>
      <c r="AW100" s="48">
        <v>0.82424999999999993</v>
      </c>
      <c r="AX100" s="48">
        <v>0.66750000000000009</v>
      </c>
      <c r="AY100" s="48">
        <v>0.317</v>
      </c>
      <c r="AZ100" s="48">
        <v>0.3</v>
      </c>
      <c r="BA100" s="48">
        <v>0.29499999999999998</v>
      </c>
      <c r="BB100" s="48">
        <v>0.26850000000000002</v>
      </c>
      <c r="BC100" s="48">
        <v>0.26875000000000004</v>
      </c>
      <c r="BD100" s="48">
        <v>0.28100000000000003</v>
      </c>
      <c r="BE100" s="48">
        <v>0.27099999999999996</v>
      </c>
      <c r="BF100" s="48">
        <v>0.2135</v>
      </c>
      <c r="BG100" s="48">
        <v>0.13200000000000001</v>
      </c>
      <c r="BH100" s="48">
        <v>5.7250000000000002E-2</v>
      </c>
      <c r="BI100" s="48">
        <v>0.10075000000000001</v>
      </c>
      <c r="BJ100" s="48">
        <v>0.151</v>
      </c>
      <c r="BK100" s="48">
        <v>0.37725000000000003</v>
      </c>
      <c r="BL100" s="48">
        <v>0.33124999999999999</v>
      </c>
      <c r="BM100" s="48">
        <v>0.28799999999999998</v>
      </c>
      <c r="BN100" s="48">
        <v>0.26149999999999995</v>
      </c>
      <c r="BO100" s="48">
        <v>0.18225000000000002</v>
      </c>
      <c r="BP100" s="48">
        <v>0.158</v>
      </c>
      <c r="BQ100" s="48">
        <v>0.13900000000000001</v>
      </c>
      <c r="BR100" s="48">
        <v>0.15325</v>
      </c>
      <c r="BS100" s="48">
        <v>0.17024999999999998</v>
      </c>
      <c r="BT100" s="48">
        <v>0.23249999999999998</v>
      </c>
      <c r="BU100" s="48">
        <v>0.22825000000000001</v>
      </c>
      <c r="BV100" s="48">
        <v>0.27124999999999999</v>
      </c>
      <c r="BW100" s="48">
        <v>0.29749999999999999</v>
      </c>
      <c r="BX100" s="48">
        <v>0.32125000000000004</v>
      </c>
      <c r="BY100" s="48">
        <v>0.312</v>
      </c>
      <c r="BZ100" s="48">
        <v>0.31174999999999997</v>
      </c>
      <c r="CA100" s="48">
        <v>0.317</v>
      </c>
      <c r="CB100" s="48">
        <v>0.33124999999999999</v>
      </c>
      <c r="CC100" s="48">
        <v>0.35075000000000001</v>
      </c>
      <c r="CD100" s="48">
        <v>0.29725000000000001</v>
      </c>
      <c r="CE100" s="48">
        <v>0.25700000000000001</v>
      </c>
      <c r="CF100" s="48">
        <v>0.312</v>
      </c>
      <c r="CG100" s="48">
        <v>0.33349999999999996</v>
      </c>
      <c r="CH100" s="48">
        <v>0.36974999999999997</v>
      </c>
      <c r="CI100" s="48">
        <v>0.41324999999999995</v>
      </c>
      <c r="CJ100" s="48">
        <v>0.44424999999999998</v>
      </c>
      <c r="CK100" s="48">
        <v>0.50924999999999998</v>
      </c>
      <c r="CL100" s="48">
        <v>0.55474999999999997</v>
      </c>
      <c r="CM100" s="48">
        <v>0.61499999999999999</v>
      </c>
      <c r="CN100" s="48">
        <v>0.64600000000000002</v>
      </c>
      <c r="CO100" s="48">
        <v>0.64874999999999994</v>
      </c>
      <c r="CP100" s="48">
        <v>0.62925000000000009</v>
      </c>
      <c r="CQ100" s="48">
        <v>0.56474999999999997</v>
      </c>
      <c r="CR100" s="48">
        <v>0.52124999999999999</v>
      </c>
      <c r="CS100" s="48">
        <v>0.51624999999999999</v>
      </c>
      <c r="CT100" s="48">
        <v>0.63175000000000003</v>
      </c>
      <c r="CU100" s="48">
        <v>0.65100000000000002</v>
      </c>
      <c r="CV100" s="48">
        <v>0.65574999999999994</v>
      </c>
      <c r="CW100" s="48">
        <v>0.64624999999999999</v>
      </c>
      <c r="CX100" s="48">
        <v>0.62925000000000009</v>
      </c>
      <c r="CY100" s="48">
        <v>0.58400000000000007</v>
      </c>
      <c r="CZ100" s="48">
        <v>0.53549999999999998</v>
      </c>
      <c r="DA100" s="48">
        <v>0.52375000000000005</v>
      </c>
      <c r="DB100" s="48">
        <v>0.55474999999999997</v>
      </c>
      <c r="DC100" s="48">
        <v>0.66025</v>
      </c>
      <c r="DD100" s="48">
        <v>0.56950000000000001</v>
      </c>
      <c r="DE100" s="48">
        <v>0.52575000000000005</v>
      </c>
      <c r="DF100" s="48">
        <v>0.45874999999999999</v>
      </c>
    </row>
    <row r="101" spans="1:110" x14ac:dyDescent="0.2">
      <c r="A101" s="46" t="s">
        <v>94</v>
      </c>
      <c r="B101" s="47">
        <f t="shared" si="56"/>
        <v>5.2749999999999968</v>
      </c>
      <c r="C101" s="47">
        <f t="shared" si="57"/>
        <v>-8.6500000000000021</v>
      </c>
      <c r="D101" s="49" t="e">
        <f t="shared" ref="D101:D133" ca="1" si="87">_xludf.STDEV.P(W101:DF101)*100</f>
        <v>#NAME?</v>
      </c>
      <c r="E101" s="47"/>
      <c r="F101" s="48">
        <v>0.67749999999999999</v>
      </c>
      <c r="G101" s="48">
        <v>0.71574999999999989</v>
      </c>
      <c r="H101" s="48">
        <v>0.73775000000000002</v>
      </c>
      <c r="I101" s="48">
        <v>0.76400000000000001</v>
      </c>
      <c r="J101" s="48">
        <v>0.75200000000000011</v>
      </c>
      <c r="K101" s="48">
        <v>0.76649999999999996</v>
      </c>
      <c r="L101" s="48">
        <v>0.76649999999999996</v>
      </c>
      <c r="M101" s="48">
        <v>0.747</v>
      </c>
      <c r="N101" s="48">
        <v>0.72800000000000009</v>
      </c>
      <c r="O101" s="48">
        <v>0.65100000000000002</v>
      </c>
      <c r="P101" s="48">
        <v>0.63200000000000001</v>
      </c>
      <c r="Q101" s="48">
        <v>0.62475000000000003</v>
      </c>
      <c r="R101" s="48">
        <v>0.65574999999999994</v>
      </c>
      <c r="S101" s="48">
        <v>0.61</v>
      </c>
      <c r="T101" s="48">
        <v>0.58850000000000002</v>
      </c>
      <c r="U101" s="48">
        <v>0.58599999999999997</v>
      </c>
      <c r="V101" s="48">
        <v>0.63425000000000009</v>
      </c>
      <c r="W101" s="48">
        <v>0.66075000000000017</v>
      </c>
      <c r="X101" s="48">
        <v>0.61725000000000008</v>
      </c>
      <c r="Y101" s="48">
        <v>0.59075000000000011</v>
      </c>
      <c r="Z101" s="48">
        <v>0.59550000000000014</v>
      </c>
      <c r="AA101" s="48">
        <v>0.69200000000000017</v>
      </c>
      <c r="AB101" s="48">
        <v>0.70150000000000012</v>
      </c>
      <c r="AC101" s="48">
        <v>0.71125000000000016</v>
      </c>
      <c r="AD101" s="48">
        <v>0.72825000000000017</v>
      </c>
      <c r="AE101" s="48">
        <v>0.73025000000000018</v>
      </c>
      <c r="AF101" s="48">
        <v>0.73525000000000018</v>
      </c>
      <c r="AG101" s="48">
        <v>0.73275000000000012</v>
      </c>
      <c r="AH101" s="48">
        <v>0.74950000000000017</v>
      </c>
      <c r="AI101" s="48">
        <v>0.79050000000000009</v>
      </c>
      <c r="AJ101" s="48">
        <v>0.81225000000000014</v>
      </c>
      <c r="AK101" s="48">
        <v>0.8167500000000002</v>
      </c>
      <c r="AL101" s="48">
        <v>0.82900000000000007</v>
      </c>
      <c r="AM101" s="48">
        <v>0.85500000000000009</v>
      </c>
      <c r="AN101" s="48">
        <v>0.84075</v>
      </c>
      <c r="AO101" s="48">
        <v>0.81174999999999997</v>
      </c>
      <c r="AP101" s="48">
        <v>0.78800000000000014</v>
      </c>
      <c r="AQ101" s="48">
        <v>0.75900000000000012</v>
      </c>
      <c r="AR101" s="48">
        <v>0.71850000000000014</v>
      </c>
      <c r="AS101" s="48">
        <v>0.69650000000000012</v>
      </c>
      <c r="AT101" s="48">
        <v>0.55499999999999994</v>
      </c>
      <c r="AU101" s="48">
        <v>0.47524999999999989</v>
      </c>
      <c r="AV101" s="48">
        <v>0.43699999999999994</v>
      </c>
      <c r="AW101" s="48">
        <v>0.41274999999999989</v>
      </c>
      <c r="AX101" s="48">
        <v>0.39624999999999988</v>
      </c>
      <c r="AY101" s="48">
        <v>0.30224999999999996</v>
      </c>
      <c r="AZ101" s="48">
        <v>0.29249999999999993</v>
      </c>
      <c r="BA101" s="48">
        <v>0.30274999999999996</v>
      </c>
      <c r="BB101" s="48">
        <v>0.3075</v>
      </c>
      <c r="BC101" s="48">
        <v>0.30475000000000008</v>
      </c>
      <c r="BD101" s="48">
        <v>0.28799999999999998</v>
      </c>
      <c r="BE101" s="48">
        <v>0.27375000000000005</v>
      </c>
      <c r="BF101" s="48">
        <v>0.27375000000000005</v>
      </c>
      <c r="BG101" s="48">
        <v>0.25925000000000009</v>
      </c>
      <c r="BH101" s="48">
        <v>0.2637500000000001</v>
      </c>
      <c r="BI101" s="48">
        <v>0.2712500000000001</v>
      </c>
      <c r="BJ101" s="48">
        <v>0.34825000000000006</v>
      </c>
      <c r="BK101" s="48">
        <v>0.41049999999999998</v>
      </c>
      <c r="BL101" s="48">
        <v>0.42025000000000001</v>
      </c>
      <c r="BM101" s="48">
        <v>0.43924999999999997</v>
      </c>
      <c r="BN101" s="48">
        <v>0.45875000000000005</v>
      </c>
      <c r="BO101" s="48">
        <v>0.46350000000000002</v>
      </c>
      <c r="BP101" s="48">
        <v>0.47550000000000003</v>
      </c>
      <c r="BQ101" s="48">
        <v>0.52375000000000005</v>
      </c>
      <c r="BR101" s="48">
        <v>0.58850000000000002</v>
      </c>
      <c r="BS101" s="48">
        <v>0.63425000000000009</v>
      </c>
      <c r="BT101" s="48">
        <v>0.64350000000000007</v>
      </c>
      <c r="BU101" s="48">
        <v>0.61725000000000008</v>
      </c>
      <c r="BV101" s="48">
        <v>0.58625000000000016</v>
      </c>
      <c r="BW101" s="48">
        <v>0.57150000000000023</v>
      </c>
      <c r="BX101" s="48">
        <v>0.5980000000000002</v>
      </c>
      <c r="BY101" s="48">
        <v>0.58350000000000024</v>
      </c>
      <c r="BZ101" s="48">
        <v>0.58150000000000013</v>
      </c>
      <c r="CA101" s="48">
        <v>0.56925000000000026</v>
      </c>
      <c r="CB101" s="48">
        <v>0.55950000000000022</v>
      </c>
      <c r="CC101" s="48">
        <v>0.52350000000000008</v>
      </c>
      <c r="CD101" s="48">
        <v>0.49250000000000016</v>
      </c>
      <c r="CE101" s="48">
        <v>0.46600000000000014</v>
      </c>
      <c r="CF101" s="48">
        <v>0.43225000000000013</v>
      </c>
      <c r="CG101" s="48">
        <v>0.36475000000000013</v>
      </c>
      <c r="CH101" s="48">
        <v>0.41075000000000006</v>
      </c>
      <c r="CI101" s="48">
        <v>0.42249999999999999</v>
      </c>
      <c r="CJ101" s="48">
        <v>0.39149999999999996</v>
      </c>
      <c r="CK101" s="48">
        <v>0.36724999999999997</v>
      </c>
      <c r="CL101" s="48">
        <v>0.35525000000000001</v>
      </c>
      <c r="CM101" s="48">
        <v>0.31449999999999995</v>
      </c>
      <c r="CN101" s="48">
        <v>0.29049999999999992</v>
      </c>
      <c r="CO101" s="48">
        <v>0.28349999999999986</v>
      </c>
      <c r="CP101" s="48">
        <v>0.28299999999999992</v>
      </c>
      <c r="CQ101" s="48">
        <v>0.27599999999999986</v>
      </c>
      <c r="CR101" s="48">
        <v>0.26899999999999991</v>
      </c>
      <c r="CS101" s="48">
        <v>0.27124999999999988</v>
      </c>
      <c r="CT101" s="48">
        <v>0.25449999999999989</v>
      </c>
      <c r="CU101" s="48">
        <v>9.3249999999999972E-2</v>
      </c>
      <c r="CV101" s="48">
        <v>9.5499999999999974E-2</v>
      </c>
      <c r="CW101" s="48">
        <v>0.11974999999999997</v>
      </c>
      <c r="CX101" s="48">
        <v>0.11949999999999998</v>
      </c>
      <c r="CY101" s="48">
        <v>0.12925</v>
      </c>
      <c r="CZ101" s="48">
        <v>0.16999999999999996</v>
      </c>
      <c r="DA101" s="48">
        <v>0.17749999999999999</v>
      </c>
      <c r="DB101" s="48">
        <v>0.19424999999999995</v>
      </c>
      <c r="DC101" s="48">
        <v>0.16799999999999998</v>
      </c>
      <c r="DD101" s="48">
        <v>0.1605</v>
      </c>
      <c r="DE101" s="48">
        <v>0.15825000000000003</v>
      </c>
      <c r="DF101" s="48">
        <v>0.24950000000000006</v>
      </c>
    </row>
    <row r="102" spans="1:110" x14ac:dyDescent="0.2">
      <c r="A102" s="46" t="s">
        <v>96</v>
      </c>
      <c r="B102" s="47">
        <f t="shared" si="56"/>
        <v>21.65</v>
      </c>
      <c r="C102" s="47">
        <f t="shared" si="57"/>
        <v>13</v>
      </c>
      <c r="D102" s="49" t="e">
        <f t="shared" ref="D102:D134" ca="1" si="88">_xludf.STDEV.P(W102:DF102)*100</f>
        <v>#NAME?</v>
      </c>
      <c r="E102" s="47"/>
      <c r="F102" s="48">
        <v>0.2545</v>
      </c>
      <c r="G102" s="48">
        <v>0.18699999999999997</v>
      </c>
      <c r="H102" s="48">
        <v>0.20149999999999998</v>
      </c>
      <c r="I102" s="48">
        <v>0.12449999999999999</v>
      </c>
      <c r="J102" s="48">
        <v>0.12449999999999999</v>
      </c>
      <c r="K102" s="48">
        <v>8.1000000000000003E-2</v>
      </c>
      <c r="L102" s="48">
        <v>8.1500000000000003E-2</v>
      </c>
      <c r="M102" s="48">
        <v>5.7000000000000002E-2</v>
      </c>
      <c r="N102" s="48">
        <v>3.3500000000000002E-2</v>
      </c>
      <c r="O102" s="48">
        <v>1.8500000000000003E-2</v>
      </c>
      <c r="P102" s="48">
        <v>3.7999999999999999E-2</v>
      </c>
      <c r="Q102" s="48">
        <v>3.7999999999999999E-2</v>
      </c>
      <c r="R102" s="48">
        <v>1.4E-2</v>
      </c>
      <c r="S102" s="48">
        <v>2.8500000000000001E-2</v>
      </c>
      <c r="T102" s="48">
        <v>7.2000000000000008E-2</v>
      </c>
      <c r="U102" s="48">
        <v>0.115</v>
      </c>
      <c r="V102" s="48">
        <v>0.16300000000000001</v>
      </c>
      <c r="W102" s="48">
        <v>0.1875</v>
      </c>
      <c r="X102" s="48">
        <v>0.29249999999999998</v>
      </c>
      <c r="Y102" s="48">
        <v>0.37</v>
      </c>
      <c r="Z102" s="48">
        <v>0.54749999999999999</v>
      </c>
      <c r="AA102" s="48">
        <v>0.60050000000000003</v>
      </c>
      <c r="AB102" s="48">
        <v>0.57150000000000001</v>
      </c>
      <c r="AC102" s="48">
        <v>0.64849999999999997</v>
      </c>
      <c r="AD102" s="48">
        <v>0.71599999999999997</v>
      </c>
      <c r="AE102" s="48">
        <v>0.77349999999999997</v>
      </c>
      <c r="AF102" s="48">
        <v>0.80249999999999999</v>
      </c>
      <c r="AG102" s="48">
        <v>0.82150000000000001</v>
      </c>
      <c r="AH102" s="48">
        <v>0.8165</v>
      </c>
      <c r="AI102" s="48">
        <v>0.8165</v>
      </c>
      <c r="AJ102" s="48">
        <v>0.85049999999999992</v>
      </c>
      <c r="AK102" s="48">
        <v>0.87949999999999995</v>
      </c>
      <c r="AL102" s="48">
        <v>0.90349999999999997</v>
      </c>
      <c r="AM102" s="48">
        <v>0.89850000000000008</v>
      </c>
      <c r="AN102" s="48">
        <v>0.95150000000000001</v>
      </c>
      <c r="AO102" s="48">
        <v>0.93700000000000006</v>
      </c>
      <c r="AP102" s="48">
        <v>0.93700000000000006</v>
      </c>
      <c r="AQ102" s="48">
        <v>0.84550000000000014</v>
      </c>
      <c r="AR102" s="48">
        <v>0.86949999999999994</v>
      </c>
      <c r="AS102" s="48">
        <v>0.71599999999999997</v>
      </c>
      <c r="AT102" s="48">
        <v>0.6915</v>
      </c>
      <c r="AU102" s="48">
        <v>0.57150000000000001</v>
      </c>
      <c r="AV102" s="48">
        <v>0.52849999999999997</v>
      </c>
      <c r="AW102" s="48">
        <v>0.54800000000000004</v>
      </c>
      <c r="AX102" s="48">
        <v>0.51849999999999996</v>
      </c>
      <c r="AY102" s="48">
        <v>0.50449999999999995</v>
      </c>
      <c r="AZ102" s="48">
        <v>0.3745</v>
      </c>
      <c r="BA102" s="48">
        <v>0.34549999999999997</v>
      </c>
      <c r="BB102" s="48">
        <v>0.27350000000000002</v>
      </c>
      <c r="BC102" s="48">
        <v>0.27399999999999997</v>
      </c>
      <c r="BD102" s="48">
        <v>0.22049999999999997</v>
      </c>
      <c r="BE102" s="48">
        <v>0.29299999999999998</v>
      </c>
      <c r="BF102" s="48">
        <v>0.29749999999999999</v>
      </c>
      <c r="BG102" s="48">
        <v>0.40800000000000008</v>
      </c>
      <c r="BH102" s="48">
        <v>0.50950000000000006</v>
      </c>
      <c r="BI102" s="48">
        <v>0.52350000000000008</v>
      </c>
      <c r="BJ102" s="48">
        <v>0.53299999999999992</v>
      </c>
      <c r="BK102" s="48">
        <v>0.46100000000000002</v>
      </c>
      <c r="BL102" s="48">
        <v>0.45649999999999996</v>
      </c>
      <c r="BM102" s="48">
        <v>0.47049999999999997</v>
      </c>
      <c r="BN102" s="48">
        <v>0.51850000000000007</v>
      </c>
      <c r="BO102" s="48">
        <v>0.57150000000000001</v>
      </c>
      <c r="BP102" s="48">
        <v>0.65850000000000009</v>
      </c>
      <c r="BQ102" s="48">
        <v>0.66299999999999992</v>
      </c>
      <c r="BR102" s="48">
        <v>0.59600000000000009</v>
      </c>
      <c r="BS102" s="48">
        <v>0.56200000000000006</v>
      </c>
      <c r="BT102" s="48">
        <v>0.59099999999999997</v>
      </c>
      <c r="BU102" s="48">
        <v>0.59099999999999997</v>
      </c>
      <c r="BV102" s="48">
        <v>0.70150000000000001</v>
      </c>
      <c r="BW102" s="48">
        <v>0.6825</v>
      </c>
      <c r="BX102" s="48">
        <v>0.63900000000000001</v>
      </c>
      <c r="BY102" s="48">
        <v>0.45600000000000002</v>
      </c>
      <c r="BZ102" s="48">
        <v>0.36499999999999999</v>
      </c>
      <c r="CA102" s="48">
        <v>0.3795</v>
      </c>
      <c r="CB102" s="48">
        <v>0.27350000000000002</v>
      </c>
      <c r="CC102" s="48">
        <v>0.30249999999999999</v>
      </c>
      <c r="CD102" s="48">
        <v>0.29299999999999998</v>
      </c>
      <c r="CE102" s="48">
        <v>0.437</v>
      </c>
      <c r="CF102" s="48">
        <v>0.4325</v>
      </c>
      <c r="CG102" s="48">
        <v>0.49950000000000006</v>
      </c>
      <c r="CH102" s="48">
        <v>0.46549999999999997</v>
      </c>
      <c r="CI102" s="48">
        <v>0.53800000000000003</v>
      </c>
      <c r="CJ102" s="48">
        <v>0.59099999999999997</v>
      </c>
      <c r="CK102" s="48">
        <v>0.74950000000000006</v>
      </c>
      <c r="CL102" s="48">
        <v>0.78300000000000014</v>
      </c>
      <c r="CM102" s="48">
        <v>0.83599999999999997</v>
      </c>
      <c r="CN102" s="48">
        <v>0.84599999999999997</v>
      </c>
      <c r="CO102" s="48">
        <v>0.79249999999999998</v>
      </c>
      <c r="CP102" s="48">
        <v>0.74449999999999994</v>
      </c>
      <c r="CQ102" s="48">
        <v>0.64900000000000002</v>
      </c>
      <c r="CR102" s="48">
        <v>0.6100000000000001</v>
      </c>
      <c r="CS102" s="48">
        <v>0.58149999999999991</v>
      </c>
      <c r="CT102" s="48">
        <v>0.66299999999999992</v>
      </c>
      <c r="CU102" s="48">
        <v>0.67249999999999999</v>
      </c>
      <c r="CV102" s="48">
        <v>0.63450000000000006</v>
      </c>
      <c r="CW102" s="48">
        <v>0.49950000000000006</v>
      </c>
      <c r="CX102" s="48">
        <v>0.45650000000000002</v>
      </c>
      <c r="CY102" s="48">
        <v>0.41300000000000003</v>
      </c>
      <c r="CZ102" s="48">
        <v>0.45600000000000002</v>
      </c>
      <c r="DA102" s="48">
        <v>0.48499999999999999</v>
      </c>
      <c r="DB102" s="48">
        <v>0.49950000000000006</v>
      </c>
      <c r="DC102" s="48">
        <v>0.51899999999999991</v>
      </c>
      <c r="DD102" s="48">
        <v>0.59549999999999992</v>
      </c>
      <c r="DE102" s="48">
        <v>0.54749999999999999</v>
      </c>
      <c r="DF102" s="48">
        <v>0.41799999999999998</v>
      </c>
    </row>
    <row r="103" spans="1:110" x14ac:dyDescent="0.2">
      <c r="A103" s="46" t="s">
        <v>98</v>
      </c>
      <c r="B103" s="47">
        <f t="shared" si="56"/>
        <v>36.5</v>
      </c>
      <c r="C103" s="47">
        <f t="shared" si="57"/>
        <v>-6.7000000000000064</v>
      </c>
      <c r="D103" s="49" t="e">
        <f t="shared" ref="D103:D134" ca="1" si="89">_xludf.STDEV.P(W103:DF103)*100</f>
        <v>#NAME?</v>
      </c>
      <c r="E103" s="47"/>
      <c r="F103" s="48">
        <v>0.58599999999999997</v>
      </c>
      <c r="G103" s="48">
        <v>0.67300000000000004</v>
      </c>
      <c r="H103" s="48">
        <v>0.64400000000000002</v>
      </c>
      <c r="I103" s="48">
        <v>0.65300000000000002</v>
      </c>
      <c r="J103" s="48">
        <v>0.63400000000000001</v>
      </c>
      <c r="K103" s="48">
        <v>0.60499999999999998</v>
      </c>
      <c r="L103" s="48">
        <v>0.36500000000000005</v>
      </c>
      <c r="M103" s="48">
        <v>0.38400000000000001</v>
      </c>
      <c r="N103" s="48">
        <v>0.307</v>
      </c>
      <c r="O103" s="48">
        <v>0.35499999999999998</v>
      </c>
      <c r="P103" s="48">
        <v>0.24000000000000002</v>
      </c>
      <c r="Q103" s="48">
        <v>0.22099999999999997</v>
      </c>
      <c r="R103" s="48">
        <v>0.21099999999999999</v>
      </c>
      <c r="S103" s="48">
        <v>0.192</v>
      </c>
      <c r="T103" s="48">
        <v>0.153</v>
      </c>
      <c r="U103" s="48">
        <v>0.125</v>
      </c>
      <c r="V103" s="48">
        <v>0.115</v>
      </c>
      <c r="W103" s="48">
        <v>0.105</v>
      </c>
      <c r="X103" s="48">
        <v>0.13400000000000001</v>
      </c>
      <c r="Y103" s="48">
        <v>9.6000000000000002E-2</v>
      </c>
      <c r="Z103" s="48">
        <v>0.16299999999999998</v>
      </c>
      <c r="AA103" s="48">
        <v>0.18199999999999997</v>
      </c>
      <c r="AB103" s="48">
        <v>0.27800000000000002</v>
      </c>
      <c r="AC103" s="48">
        <v>0.26900000000000002</v>
      </c>
      <c r="AD103" s="48">
        <v>0.25</v>
      </c>
      <c r="AE103" s="48">
        <v>0.20100000000000001</v>
      </c>
      <c r="AF103" s="48">
        <v>0.23</v>
      </c>
      <c r="AG103" s="48">
        <v>0.25900000000000001</v>
      </c>
      <c r="AH103" s="48">
        <v>0.29799999999999999</v>
      </c>
      <c r="AI103" s="48">
        <v>0.375</v>
      </c>
      <c r="AJ103" s="48">
        <v>0.57599999999999996</v>
      </c>
      <c r="AK103" s="48">
        <v>0.69199999999999995</v>
      </c>
      <c r="AL103" s="48">
        <v>0.625</v>
      </c>
      <c r="AM103" s="48">
        <v>0.5</v>
      </c>
      <c r="AN103" s="48">
        <v>0.40300000000000002</v>
      </c>
      <c r="AO103" s="48">
        <v>0.53800000000000003</v>
      </c>
      <c r="AP103" s="48">
        <v>0.68200000000000005</v>
      </c>
      <c r="AQ103" s="48">
        <v>0.73000000000000009</v>
      </c>
      <c r="AR103" s="48">
        <v>0.77800000000000002</v>
      </c>
      <c r="AS103" s="48">
        <v>0.80700000000000005</v>
      </c>
      <c r="AT103" s="48">
        <v>0.85499999999999998</v>
      </c>
      <c r="AU103" s="48">
        <v>0.8839999999999999</v>
      </c>
      <c r="AV103" s="48">
        <v>0.90300000000000002</v>
      </c>
      <c r="AW103" s="48">
        <v>0.93200000000000005</v>
      </c>
      <c r="AX103" s="48">
        <v>0.94199999999999995</v>
      </c>
      <c r="AY103" s="48">
        <v>0.92299999999999993</v>
      </c>
      <c r="AZ103" s="48">
        <v>0.89400000000000002</v>
      </c>
      <c r="BA103" s="48">
        <v>0.875</v>
      </c>
      <c r="BB103" s="48">
        <v>0.86499999999999999</v>
      </c>
      <c r="BC103" s="48">
        <v>0.84599999999999997</v>
      </c>
      <c r="BD103" s="48">
        <v>0.81699999999999995</v>
      </c>
      <c r="BE103" s="48">
        <v>0.76899999999999991</v>
      </c>
      <c r="BF103" s="48">
        <v>0.71099999999999997</v>
      </c>
      <c r="BG103" s="48">
        <v>0.6150000000000001</v>
      </c>
      <c r="BH103" s="48">
        <v>0.32599999999999996</v>
      </c>
      <c r="BI103" s="48">
        <v>0.14399999999999999</v>
      </c>
      <c r="BJ103" s="48">
        <v>8.5999999999999993E-2</v>
      </c>
      <c r="BK103" s="48">
        <v>6.7000000000000004E-2</v>
      </c>
      <c r="BL103" s="48">
        <v>5.7000000000000002E-2</v>
      </c>
      <c r="BM103" s="48">
        <v>3.7999999999999999E-2</v>
      </c>
      <c r="BN103" s="48">
        <v>1.9E-2</v>
      </c>
      <c r="BO103" s="48">
        <v>0</v>
      </c>
      <c r="BP103" s="48">
        <v>8.9999999999999993E-3</v>
      </c>
      <c r="BQ103" s="48">
        <v>2.8000000000000001E-2</v>
      </c>
      <c r="BR103" s="48">
        <v>4.8000000000000001E-2</v>
      </c>
      <c r="BS103" s="48">
        <v>7.5999999999999998E-2</v>
      </c>
      <c r="BT103" s="48">
        <v>0.17299999999999999</v>
      </c>
      <c r="BU103" s="48">
        <v>0.52800000000000002</v>
      </c>
      <c r="BV103" s="48">
        <v>0.74</v>
      </c>
      <c r="BW103" s="48">
        <v>0.78800000000000003</v>
      </c>
      <c r="BX103" s="48">
        <v>0.83599999999999997</v>
      </c>
      <c r="BY103" s="48">
        <v>0.95099999999999996</v>
      </c>
      <c r="BZ103" s="48">
        <v>0.98</v>
      </c>
      <c r="CA103" s="48">
        <v>1</v>
      </c>
      <c r="CB103" s="48">
        <v>0.99</v>
      </c>
      <c r="CC103" s="48">
        <v>0.97099999999999997</v>
      </c>
      <c r="CD103" s="48">
        <v>0.96099999999999997</v>
      </c>
      <c r="CE103" s="48">
        <v>0.91300000000000003</v>
      </c>
      <c r="CF103" s="48">
        <v>0.82599999999999996</v>
      </c>
      <c r="CG103" s="48">
        <v>0.79800000000000004</v>
      </c>
      <c r="CH103" s="48">
        <v>0.75900000000000001</v>
      </c>
      <c r="CI103" s="48">
        <v>0.75</v>
      </c>
      <c r="CJ103" s="48">
        <v>0.72099999999999997</v>
      </c>
      <c r="CK103" s="48">
        <v>0.70099999999999996</v>
      </c>
      <c r="CL103" s="48">
        <v>0.66300000000000003</v>
      </c>
      <c r="CM103" s="48">
        <v>0.59599999999999997</v>
      </c>
      <c r="CN103" s="48">
        <v>0.54800000000000004</v>
      </c>
      <c r="CO103" s="48">
        <v>0.50900000000000001</v>
      </c>
      <c r="CP103" s="48">
        <v>0.42299999999999999</v>
      </c>
      <c r="CQ103" s="48">
        <v>0.34599999999999997</v>
      </c>
      <c r="CR103" s="48">
        <v>0.48000000000000004</v>
      </c>
      <c r="CS103" s="48">
        <v>0.41299999999999998</v>
      </c>
      <c r="CT103" s="48">
        <v>0.55700000000000005</v>
      </c>
      <c r="CU103" s="48">
        <v>0.49</v>
      </c>
      <c r="CV103" s="48">
        <v>0.56699999999999995</v>
      </c>
      <c r="CW103" s="48">
        <v>0.432</v>
      </c>
      <c r="CX103" s="48">
        <v>0.47099999999999997</v>
      </c>
      <c r="CY103" s="48">
        <v>0.45100000000000001</v>
      </c>
      <c r="CZ103" s="48">
        <v>0.51900000000000002</v>
      </c>
      <c r="DA103" s="48">
        <v>0.46100000000000002</v>
      </c>
      <c r="DB103" s="48">
        <v>0.44199999999999995</v>
      </c>
      <c r="DC103" s="48">
        <v>0.39400000000000002</v>
      </c>
      <c r="DD103" s="48">
        <v>0.33600000000000002</v>
      </c>
      <c r="DE103" s="48">
        <v>0.317</v>
      </c>
      <c r="DF103" s="48">
        <v>0.28799999999999998</v>
      </c>
    </row>
    <row r="104" spans="1:110" x14ac:dyDescent="0.2">
      <c r="A104" s="46" t="s">
        <v>100</v>
      </c>
      <c r="B104" s="47">
        <f t="shared" si="56"/>
        <v>27.414285714285707</v>
      </c>
      <c r="C104" s="47">
        <f t="shared" si="57"/>
        <v>-3.3571428571428585</v>
      </c>
      <c r="D104" s="49" t="e">
        <f t="shared" ref="D104:D135" ca="1" si="90">_xludf.STDEV.P(W104:DF104)*100</f>
        <v>#NAME?</v>
      </c>
      <c r="E104" s="47"/>
      <c r="F104" s="48">
        <v>0.5774999999999999</v>
      </c>
      <c r="G104" s="48">
        <v>0.61814285714285711</v>
      </c>
      <c r="H104" s="48">
        <v>0.59892857142857148</v>
      </c>
      <c r="I104" s="48">
        <v>0.61107142857142849</v>
      </c>
      <c r="J104" s="48">
        <v>0.59264285714285703</v>
      </c>
      <c r="K104" s="48">
        <v>0.57421428571428568</v>
      </c>
      <c r="L104" s="48">
        <v>0.5377142857142857</v>
      </c>
      <c r="M104" s="48">
        <v>0.52400000000000013</v>
      </c>
      <c r="N104" s="48">
        <v>0.46835714285714286</v>
      </c>
      <c r="O104" s="48">
        <v>0.40957142857142859</v>
      </c>
      <c r="P104" s="48">
        <v>0.36942857142857138</v>
      </c>
      <c r="Q104" s="48">
        <v>0.30335714285714283</v>
      </c>
      <c r="R104" s="48">
        <v>0.26192857142857146</v>
      </c>
      <c r="S104" s="48">
        <v>0.22228571428571431</v>
      </c>
      <c r="T104" s="48">
        <v>0.20171428571428571</v>
      </c>
      <c r="U104" s="48">
        <v>0.1825</v>
      </c>
      <c r="V104" s="48">
        <v>0.21299999999999999</v>
      </c>
      <c r="W104" s="48">
        <v>0.22414285714285714</v>
      </c>
      <c r="X104" s="48">
        <v>0.2472857142857143</v>
      </c>
      <c r="Y104" s="48">
        <v>0.23928571428571427</v>
      </c>
      <c r="Z104" s="48">
        <v>0.24614285714285714</v>
      </c>
      <c r="AA104" s="48">
        <v>0.26628571428571429</v>
      </c>
      <c r="AB104" s="48">
        <v>0.34742857142857136</v>
      </c>
      <c r="AC104" s="48">
        <v>0.39207142857142868</v>
      </c>
      <c r="AD104" s="48">
        <v>0.44107142857142867</v>
      </c>
      <c r="AE104" s="48">
        <v>0.43664285714285717</v>
      </c>
      <c r="AF104" s="48">
        <v>0.45107142857142851</v>
      </c>
      <c r="AG104" s="48">
        <v>0.46835714285714286</v>
      </c>
      <c r="AH104" s="48">
        <v>0.48192857142857154</v>
      </c>
      <c r="AI104" s="48">
        <v>0.49778571428571433</v>
      </c>
      <c r="AJ104" s="48">
        <v>0.53571428571428581</v>
      </c>
      <c r="AK104" s="48">
        <v>0.62678571428571428</v>
      </c>
      <c r="AL104" s="48">
        <v>0.64592857142857152</v>
      </c>
      <c r="AM104" s="48">
        <v>0.64978571428571441</v>
      </c>
      <c r="AN104" s="48">
        <v>0.66292857142857142</v>
      </c>
      <c r="AO104" s="48">
        <v>0.66221428571428587</v>
      </c>
      <c r="AP104" s="48">
        <v>0.67400000000000004</v>
      </c>
      <c r="AQ104" s="48">
        <v>0.70714285714285707</v>
      </c>
      <c r="AR104" s="48">
        <v>0.73557142857142854</v>
      </c>
      <c r="AS104" s="48">
        <v>0.77364285714285719</v>
      </c>
      <c r="AT104" s="48">
        <v>0.81914285714285717</v>
      </c>
      <c r="AU104" s="48">
        <v>0.80507142857142855</v>
      </c>
      <c r="AV104" s="48">
        <v>0.74250000000000016</v>
      </c>
      <c r="AW104" s="48">
        <v>0.72800000000000009</v>
      </c>
      <c r="AX104" s="48">
        <v>0.68621428571428578</v>
      </c>
      <c r="AY104" s="48">
        <v>0.66828571428571437</v>
      </c>
      <c r="AZ104" s="48">
        <v>0.59185714285714297</v>
      </c>
      <c r="BA104" s="48">
        <v>0.57300000000000006</v>
      </c>
      <c r="BB104" s="48">
        <v>0.52199999999999991</v>
      </c>
      <c r="BC104" s="48">
        <v>0.53214285714285714</v>
      </c>
      <c r="BD104" s="48">
        <v>0.51714285714285713</v>
      </c>
      <c r="BE104" s="48">
        <v>0.51135714285714295</v>
      </c>
      <c r="BF104" s="48">
        <v>0.5246428571428573</v>
      </c>
      <c r="BG104" s="48">
        <v>0.5387142857142857</v>
      </c>
      <c r="BH104" s="48">
        <v>0.62471428571428567</v>
      </c>
      <c r="BI104" s="48">
        <v>0.59907142857142859</v>
      </c>
      <c r="BJ104" s="48">
        <v>0.55964285714285711</v>
      </c>
      <c r="BK104" s="48">
        <v>0.4464285714285714</v>
      </c>
      <c r="BL104" s="48">
        <v>0.42064285714285721</v>
      </c>
      <c r="BM104" s="48">
        <v>0.35750000000000004</v>
      </c>
      <c r="BN104" s="48">
        <v>0.32728571428571429</v>
      </c>
      <c r="BO104" s="48">
        <v>0.28578571428571431</v>
      </c>
      <c r="BP104" s="48">
        <v>0.2588571428571429</v>
      </c>
      <c r="BQ104" s="48">
        <v>0.2387857142857143</v>
      </c>
      <c r="BR104" s="48">
        <v>0.24107142857142858</v>
      </c>
      <c r="BS104" s="48">
        <v>0.23778571428571427</v>
      </c>
      <c r="BT104" s="48">
        <v>0.24535714285714288</v>
      </c>
      <c r="BU104" s="48">
        <v>0.25657142857142862</v>
      </c>
      <c r="BV104" s="48">
        <v>0.27549999999999997</v>
      </c>
      <c r="BW104" s="48">
        <v>0.31814285714285717</v>
      </c>
      <c r="BX104" s="48">
        <v>0.38878571428571429</v>
      </c>
      <c r="BY104" s="48">
        <v>0.44414285714285717</v>
      </c>
      <c r="BZ104" s="48">
        <v>0.5207857142857143</v>
      </c>
      <c r="CA104" s="48">
        <v>0.59264285714285703</v>
      </c>
      <c r="CB104" s="48">
        <v>0.58985714285714286</v>
      </c>
      <c r="CC104" s="48">
        <v>0.61785714285714288</v>
      </c>
      <c r="CD104" s="48">
        <v>0.62571428571428578</v>
      </c>
      <c r="CE104" s="48">
        <v>0.63792857142857151</v>
      </c>
      <c r="CF104" s="48">
        <v>0.56500000000000006</v>
      </c>
      <c r="CG104" s="48">
        <v>0.54535714285714287</v>
      </c>
      <c r="CH104" s="48">
        <v>0.53585714285714303</v>
      </c>
      <c r="CI104" s="48">
        <v>0.59135714285714291</v>
      </c>
      <c r="CJ104" s="48">
        <v>0.57257142857142862</v>
      </c>
      <c r="CK104" s="48">
        <v>0.59014285714285719</v>
      </c>
      <c r="CL104" s="48">
        <v>0.63092857142857139</v>
      </c>
      <c r="CM104" s="48">
        <v>0.63707142857142862</v>
      </c>
      <c r="CN104" s="48">
        <v>0.63835714285714285</v>
      </c>
      <c r="CO104" s="48">
        <v>0.62828571428571423</v>
      </c>
      <c r="CP104" s="48">
        <v>0.60492857142857148</v>
      </c>
      <c r="CQ104" s="48">
        <v>0.60157142857142865</v>
      </c>
      <c r="CR104" s="48">
        <v>0.64792857142857141</v>
      </c>
      <c r="CS104" s="48">
        <v>0.65921428571428575</v>
      </c>
      <c r="CT104" s="48">
        <v>0.70150000000000012</v>
      </c>
      <c r="CU104" s="48">
        <v>0.66150000000000009</v>
      </c>
      <c r="CV104" s="48">
        <v>0.64721428571428563</v>
      </c>
      <c r="CW104" s="48">
        <v>0.55585714285714294</v>
      </c>
      <c r="CX104" s="48">
        <v>0.51885714285714279</v>
      </c>
      <c r="CY104" s="48">
        <v>0.51128571428571434</v>
      </c>
      <c r="CZ104" s="48">
        <v>0.48450000000000015</v>
      </c>
      <c r="DA104" s="48">
        <v>0.45078571428571423</v>
      </c>
      <c r="DB104" s="48">
        <v>0.39864285714285719</v>
      </c>
      <c r="DC104" s="48">
        <v>0.36842857142857144</v>
      </c>
      <c r="DD104" s="48">
        <v>0.36071428571428577</v>
      </c>
      <c r="DE104" s="48">
        <v>0.37035714285714288</v>
      </c>
      <c r="DF104" s="48">
        <v>0.36971428571428572</v>
      </c>
    </row>
    <row r="105" spans="1:110" x14ac:dyDescent="0.2">
      <c r="A105" s="46" t="s">
        <v>102</v>
      </c>
      <c r="B105" s="47">
        <f t="shared" si="56"/>
        <v>52.400000000000006</v>
      </c>
      <c r="C105" s="47">
        <f t="shared" si="57"/>
        <v>5.7499999999999885</v>
      </c>
      <c r="D105" s="49" t="e">
        <f t="shared" ref="D105:D136" ca="1" si="91">_xludf.STDEV.P(W105:DF105)*100</f>
        <v>#NAME?</v>
      </c>
      <c r="E105" s="47"/>
      <c r="F105" s="48">
        <v>0.64849999999999997</v>
      </c>
      <c r="G105" s="48">
        <v>0.68475000000000008</v>
      </c>
      <c r="H105" s="48">
        <v>0.62</v>
      </c>
      <c r="I105" s="48">
        <v>0.59100000000000008</v>
      </c>
      <c r="J105" s="48">
        <v>0.59324999999999994</v>
      </c>
      <c r="K105" s="48">
        <v>0.53325</v>
      </c>
      <c r="L105" s="48">
        <v>0.43725000000000003</v>
      </c>
      <c r="M105" s="48">
        <v>0.28825000000000001</v>
      </c>
      <c r="N105" s="48">
        <v>0.18199999999999997</v>
      </c>
      <c r="O105" s="48">
        <v>0.14125000000000001</v>
      </c>
      <c r="P105" s="48">
        <v>0.127</v>
      </c>
      <c r="Q105" s="48">
        <v>0.1245</v>
      </c>
      <c r="R105" s="48">
        <v>0.10525000000000001</v>
      </c>
      <c r="S105" s="48">
        <v>8.6249999999999993E-2</v>
      </c>
      <c r="T105" s="48">
        <v>6.4500000000000002E-2</v>
      </c>
      <c r="U105" s="48">
        <v>5.2749999999999998E-2</v>
      </c>
      <c r="V105" s="48">
        <v>5.025000000000001E-2</v>
      </c>
      <c r="W105" s="48">
        <v>4.9750000000000003E-2</v>
      </c>
      <c r="X105" s="48">
        <v>9.0749999999999997E-2</v>
      </c>
      <c r="Y105" s="48">
        <v>8.6250000000000007E-2</v>
      </c>
      <c r="Z105" s="48">
        <v>0.12924999999999998</v>
      </c>
      <c r="AA105" s="48">
        <v>0.13175000000000003</v>
      </c>
      <c r="AB105" s="48">
        <v>0.24925000000000003</v>
      </c>
      <c r="AC105" s="48">
        <v>0.41750000000000004</v>
      </c>
      <c r="AD105" s="48">
        <v>0.54049999999999998</v>
      </c>
      <c r="AE105" s="48">
        <v>0.52849999999999997</v>
      </c>
      <c r="AF105" s="48">
        <v>0.60024999999999995</v>
      </c>
      <c r="AG105" s="48">
        <v>0.66525000000000001</v>
      </c>
      <c r="AH105" s="48">
        <v>0.63649999999999995</v>
      </c>
      <c r="AI105" s="48">
        <v>0.69675000000000009</v>
      </c>
      <c r="AJ105" s="48">
        <v>0.73975000000000013</v>
      </c>
      <c r="AK105" s="48">
        <v>0.79025000000000001</v>
      </c>
      <c r="AL105" s="48">
        <v>0.78600000000000014</v>
      </c>
      <c r="AM105" s="48">
        <v>0.76424999999999998</v>
      </c>
      <c r="AN105" s="48">
        <v>0.76624999999999999</v>
      </c>
      <c r="AO105" s="48">
        <v>0.82174999999999998</v>
      </c>
      <c r="AP105" s="48">
        <v>0.87924999999999998</v>
      </c>
      <c r="AQ105" s="48">
        <v>0.9152499999999999</v>
      </c>
      <c r="AR105" s="48">
        <v>0.92025000000000001</v>
      </c>
      <c r="AS105" s="48">
        <v>0.89875000000000005</v>
      </c>
      <c r="AT105" s="48">
        <v>0.88400000000000012</v>
      </c>
      <c r="AU105" s="48">
        <v>0.85300000000000009</v>
      </c>
      <c r="AV105" s="48">
        <v>0.91775000000000007</v>
      </c>
      <c r="AW105" s="48">
        <v>0.95400000000000007</v>
      </c>
      <c r="AX105" s="48">
        <v>0.95399999999999996</v>
      </c>
      <c r="AY105" s="48">
        <v>0.94650000000000001</v>
      </c>
      <c r="AZ105" s="48">
        <v>0.83099999999999996</v>
      </c>
      <c r="BA105" s="48">
        <v>0.69674999999999998</v>
      </c>
      <c r="BB105" s="48">
        <v>0.54050000000000009</v>
      </c>
      <c r="BC105" s="48">
        <v>0.502</v>
      </c>
      <c r="BD105" s="48">
        <v>0.51424999999999998</v>
      </c>
      <c r="BE105" s="48">
        <v>0.54774999999999996</v>
      </c>
      <c r="BF105" s="48">
        <v>0.62675000000000014</v>
      </c>
      <c r="BG105" s="48">
        <v>0.66774999999999995</v>
      </c>
      <c r="BH105" s="48">
        <v>0.62224999999999997</v>
      </c>
      <c r="BI105" s="48">
        <v>0.40599999999999997</v>
      </c>
      <c r="BJ105" s="48">
        <v>0.35025000000000001</v>
      </c>
      <c r="BK105" s="48">
        <v>0.26600000000000001</v>
      </c>
      <c r="BL105" s="48">
        <v>0.32175000000000004</v>
      </c>
      <c r="BM105" s="48">
        <v>0.27600000000000002</v>
      </c>
      <c r="BN105" s="48">
        <v>0.28775000000000001</v>
      </c>
      <c r="BO105" s="48">
        <v>0.27124999999999999</v>
      </c>
      <c r="BP105" s="48">
        <v>0.27100000000000002</v>
      </c>
      <c r="BQ105" s="48">
        <v>0.33100000000000007</v>
      </c>
      <c r="BR105" s="48">
        <v>0.34600000000000003</v>
      </c>
      <c r="BS105" s="48">
        <v>0.37224999999999997</v>
      </c>
      <c r="BT105" s="48">
        <v>0.35749999999999998</v>
      </c>
      <c r="BU105" s="48">
        <v>0.29049999999999998</v>
      </c>
      <c r="BV105" s="48">
        <v>0.32675000000000004</v>
      </c>
      <c r="BW105" s="48">
        <v>0.3745</v>
      </c>
      <c r="BX105" s="48">
        <v>0.46599999999999997</v>
      </c>
      <c r="BY105" s="48">
        <v>0.62700000000000011</v>
      </c>
      <c r="BZ105" s="48">
        <v>0.69875000000000009</v>
      </c>
      <c r="CA105" s="48">
        <v>0.752</v>
      </c>
      <c r="CB105" s="48">
        <v>0.78325000000000011</v>
      </c>
      <c r="CC105" s="48">
        <v>0.83374999999999999</v>
      </c>
      <c r="CD105" s="48">
        <v>0.78349999999999986</v>
      </c>
      <c r="CE105" s="48">
        <v>0.7277499999999999</v>
      </c>
      <c r="CF105" s="48">
        <v>0.57674999999999998</v>
      </c>
      <c r="CG105" s="48">
        <v>0.66300000000000003</v>
      </c>
      <c r="CH105" s="48">
        <v>0.75675000000000003</v>
      </c>
      <c r="CI105" s="48">
        <v>0.84824999999999995</v>
      </c>
      <c r="CJ105" s="48">
        <v>0.80725000000000002</v>
      </c>
      <c r="CK105" s="48">
        <v>0.74199999999999999</v>
      </c>
      <c r="CL105" s="48">
        <v>0.66799999999999993</v>
      </c>
      <c r="CM105" s="48">
        <v>0.58850000000000002</v>
      </c>
      <c r="CN105" s="48">
        <v>0.54749999999999999</v>
      </c>
      <c r="CO105" s="48">
        <v>0.48499999999999993</v>
      </c>
      <c r="CP105" s="48">
        <v>0.42225000000000001</v>
      </c>
      <c r="CQ105" s="48">
        <v>0.36500000000000005</v>
      </c>
      <c r="CR105" s="48">
        <v>0.50449999999999995</v>
      </c>
      <c r="CS105" s="48">
        <v>0.46349999999999997</v>
      </c>
      <c r="CT105" s="48">
        <v>0.51849999999999996</v>
      </c>
      <c r="CU105" s="48">
        <v>0.36525000000000002</v>
      </c>
      <c r="CV105" s="48">
        <v>0.3745</v>
      </c>
      <c r="CW105" s="48">
        <v>0.2495</v>
      </c>
      <c r="CX105" s="48">
        <v>0.27575000000000005</v>
      </c>
      <c r="CY105" s="48">
        <v>0.32874999999999999</v>
      </c>
      <c r="CZ105" s="48">
        <v>0.35749999999999998</v>
      </c>
      <c r="DA105" s="48">
        <v>0.30250000000000005</v>
      </c>
      <c r="DB105" s="48">
        <v>0.2495</v>
      </c>
      <c r="DC105" s="48">
        <v>0.24250000000000005</v>
      </c>
      <c r="DD105" s="48">
        <v>0.23525000000000001</v>
      </c>
      <c r="DE105" s="48">
        <v>0.2495</v>
      </c>
      <c r="DF105" s="48">
        <v>0.24725</v>
      </c>
    </row>
    <row r="106" spans="1:110" x14ac:dyDescent="0.2">
      <c r="A106" s="46" t="s">
        <v>104</v>
      </c>
      <c r="B106" s="47">
        <f t="shared" si="56"/>
        <v>7.1199999999999761</v>
      </c>
      <c r="C106" s="47">
        <f t="shared" si="57"/>
        <v>-7.5400000000000134</v>
      </c>
      <c r="D106" s="49" t="e">
        <f t="shared" ref="D106:D137" ca="1" si="92">_xludf.STDEV.P(W106:DF106)*100</f>
        <v>#NAME?</v>
      </c>
      <c r="E106" s="47"/>
      <c r="F106" s="48">
        <v>0.54069999999999974</v>
      </c>
      <c r="G106" s="48">
        <v>0.56659999999999977</v>
      </c>
      <c r="H106" s="48">
        <v>0.5915999999999999</v>
      </c>
      <c r="I106" s="48">
        <v>0.61609999999999987</v>
      </c>
      <c r="J106" s="48">
        <v>0.6066999999999998</v>
      </c>
      <c r="K106" s="48">
        <v>0.59369999999999978</v>
      </c>
      <c r="L106" s="48">
        <v>0.51069999999999982</v>
      </c>
      <c r="M106" s="48">
        <v>0.46889999999999982</v>
      </c>
      <c r="N106" s="48">
        <v>0.43099999999999994</v>
      </c>
      <c r="O106" s="48">
        <v>0.42149999999999987</v>
      </c>
      <c r="P106" s="48">
        <v>0.43129999999999991</v>
      </c>
      <c r="Q106" s="48">
        <v>0.46949999999999997</v>
      </c>
      <c r="R106" s="48">
        <v>0.49399999999999999</v>
      </c>
      <c r="S106" s="48">
        <v>0.49559999999999987</v>
      </c>
      <c r="T106" s="48">
        <v>0.42289999999999989</v>
      </c>
      <c r="U106" s="48">
        <v>0.3155</v>
      </c>
      <c r="V106" s="48">
        <v>0.25170000000000003</v>
      </c>
      <c r="W106" s="48">
        <v>0.17269999999999999</v>
      </c>
      <c r="X106" s="48">
        <v>0.12789999999999993</v>
      </c>
      <c r="Y106" s="48">
        <v>7.959999999999999E-2</v>
      </c>
      <c r="Z106" s="48">
        <v>5.8199999999999995E-2</v>
      </c>
      <c r="AA106" s="48">
        <v>4.4899999999999995E-2</v>
      </c>
      <c r="AB106" s="48">
        <v>7.8199999999999936E-2</v>
      </c>
      <c r="AC106" s="48">
        <v>9.909999999999991E-2</v>
      </c>
      <c r="AD106" s="48">
        <v>8.819999999999989E-2</v>
      </c>
      <c r="AE106" s="48">
        <v>9.0399999999999897E-2</v>
      </c>
      <c r="AF106" s="48">
        <v>0.11589999999999991</v>
      </c>
      <c r="AG106" s="48">
        <v>0.14289999999999994</v>
      </c>
      <c r="AH106" s="48">
        <v>0.19429999999999989</v>
      </c>
      <c r="AI106" s="48">
        <v>0.28309999999999985</v>
      </c>
      <c r="AJ106" s="48">
        <v>0.31539999999999985</v>
      </c>
      <c r="AK106" s="48">
        <v>0.36139999999999978</v>
      </c>
      <c r="AL106" s="48">
        <v>0.41209999999999986</v>
      </c>
      <c r="AM106" s="48">
        <v>0.46619999999999978</v>
      </c>
      <c r="AN106" s="48">
        <v>0.55559999999999987</v>
      </c>
      <c r="AO106" s="48">
        <v>0.61649999999999994</v>
      </c>
      <c r="AP106" s="48">
        <v>0.68149999999999999</v>
      </c>
      <c r="AQ106" s="48">
        <v>0.78400000000000025</v>
      </c>
      <c r="AR106" s="48">
        <v>0.85360000000000025</v>
      </c>
      <c r="AS106" s="48">
        <v>0.88630000000000009</v>
      </c>
      <c r="AT106" s="48">
        <v>0.89430000000000032</v>
      </c>
      <c r="AU106" s="48">
        <v>0.86670000000000014</v>
      </c>
      <c r="AV106" s="48">
        <v>0.85460000000000003</v>
      </c>
      <c r="AW106" s="48">
        <v>0.85599999999999998</v>
      </c>
      <c r="AX106" s="48">
        <v>0.83040000000000003</v>
      </c>
      <c r="AY106" s="48">
        <v>0.78800000000000003</v>
      </c>
      <c r="AZ106" s="48">
        <v>0.69790000000000008</v>
      </c>
      <c r="BA106" s="48">
        <v>0.66760000000000008</v>
      </c>
      <c r="BB106" s="48">
        <v>0.60910000000000009</v>
      </c>
      <c r="BC106" s="48">
        <v>0.51649999999999985</v>
      </c>
      <c r="BD106" s="48">
        <v>0.42389999999999983</v>
      </c>
      <c r="BE106" s="48">
        <v>0.3601999999999998</v>
      </c>
      <c r="BF106" s="48">
        <v>0.34929999999999989</v>
      </c>
      <c r="BG106" s="48">
        <v>0.38319999999999982</v>
      </c>
      <c r="BH106" s="48">
        <v>0.3627999999999999</v>
      </c>
      <c r="BI106" s="48">
        <v>0.29319999999999985</v>
      </c>
      <c r="BJ106" s="48">
        <v>0.29759999999999981</v>
      </c>
      <c r="BK106" s="48">
        <v>0.3494999999999997</v>
      </c>
      <c r="BL106" s="48">
        <v>0.36829999999999968</v>
      </c>
      <c r="BM106" s="48">
        <v>0.34149999999999975</v>
      </c>
      <c r="BN106" s="48">
        <v>0.31499999999999978</v>
      </c>
      <c r="BO106" s="48">
        <v>0.31269999999999987</v>
      </c>
      <c r="BP106" s="48">
        <v>0.31249999999999994</v>
      </c>
      <c r="BQ106" s="48">
        <v>0.35970000000000002</v>
      </c>
      <c r="BR106" s="48">
        <v>0.46930000000000011</v>
      </c>
      <c r="BS106" s="48">
        <v>0.52799999999999991</v>
      </c>
      <c r="BT106" s="48">
        <v>0.49370000000000008</v>
      </c>
      <c r="BU106" s="48">
        <v>0.4245000000000001</v>
      </c>
      <c r="BV106" s="48">
        <v>0.3657000000000003</v>
      </c>
      <c r="BW106" s="48">
        <v>0.35930000000000023</v>
      </c>
      <c r="BX106" s="48">
        <v>0.41330000000000017</v>
      </c>
      <c r="BY106" s="48">
        <v>0.46150000000000024</v>
      </c>
      <c r="BZ106" s="48">
        <v>0.56210000000000004</v>
      </c>
      <c r="CA106" s="48">
        <v>0.60109999999999997</v>
      </c>
      <c r="CB106" s="48">
        <v>0.61519999999999997</v>
      </c>
      <c r="CC106" s="48">
        <v>0.63870000000000005</v>
      </c>
      <c r="CD106" s="48">
        <v>0.62160000000000004</v>
      </c>
      <c r="CE106" s="48">
        <v>0.6019000000000001</v>
      </c>
      <c r="CF106" s="48">
        <v>0.52890000000000026</v>
      </c>
      <c r="CG106" s="48">
        <v>0.59810000000000019</v>
      </c>
      <c r="CH106" s="48">
        <v>0.60980000000000012</v>
      </c>
      <c r="CI106" s="48">
        <v>0.67449999999999999</v>
      </c>
      <c r="CJ106" s="48">
        <v>0.64450000000000007</v>
      </c>
      <c r="CK106" s="48">
        <v>0.68330000000000002</v>
      </c>
      <c r="CL106" s="48">
        <v>0.70000000000000007</v>
      </c>
      <c r="CM106" s="48">
        <v>0.72820000000000007</v>
      </c>
      <c r="CN106" s="48">
        <v>0.76410000000000011</v>
      </c>
      <c r="CO106" s="48">
        <v>0.79440000000000022</v>
      </c>
      <c r="CP106" s="48">
        <v>0.82330000000000003</v>
      </c>
      <c r="CQ106" s="48">
        <v>0.86770000000000025</v>
      </c>
      <c r="CR106" s="48">
        <v>0.90710000000000013</v>
      </c>
      <c r="CS106" s="48">
        <v>0.87580000000000002</v>
      </c>
      <c r="CT106" s="48">
        <v>0.81840000000000024</v>
      </c>
      <c r="CU106" s="48">
        <v>0.7221000000000003</v>
      </c>
      <c r="CV106" s="48">
        <v>0.70100000000000029</v>
      </c>
      <c r="CW106" s="48">
        <v>0.64780000000000015</v>
      </c>
      <c r="CX106" s="48">
        <v>0.66270000000000018</v>
      </c>
      <c r="CY106" s="48">
        <v>0.6595000000000002</v>
      </c>
      <c r="CZ106" s="48">
        <v>0.61460000000000026</v>
      </c>
      <c r="DA106" s="48">
        <v>0.40160000000000012</v>
      </c>
      <c r="DB106" s="48">
        <v>0.35460000000000019</v>
      </c>
      <c r="DC106" s="48">
        <v>0.34400000000000019</v>
      </c>
      <c r="DD106" s="48">
        <v>0.3228000000000002</v>
      </c>
      <c r="DE106" s="48">
        <v>0.31720000000000026</v>
      </c>
      <c r="DF106" s="48">
        <v>0.31530000000000019</v>
      </c>
    </row>
    <row r="107" spans="1:110" x14ac:dyDescent="0.2">
      <c r="A107" s="46" t="s">
        <v>106</v>
      </c>
      <c r="B107" s="47">
        <f t="shared" si="56"/>
        <v>46.209090909090932</v>
      </c>
      <c r="C107" s="47">
        <f t="shared" si="57"/>
        <v>6.4272727272727153</v>
      </c>
      <c r="D107" s="49" t="e">
        <f t="shared" ref="D107:D138" ca="1" si="93">_xludf.STDEV.P(W107:DF107)*100</f>
        <v>#NAME?</v>
      </c>
      <c r="E107" s="47"/>
      <c r="F107" s="48">
        <v>0.78509090909090917</v>
      </c>
      <c r="G107" s="48">
        <v>0.80527272727272747</v>
      </c>
      <c r="H107" s="48">
        <v>0.77154545454545465</v>
      </c>
      <c r="I107" s="48">
        <v>0.72081818181818202</v>
      </c>
      <c r="J107" s="48">
        <v>0.6783636363636365</v>
      </c>
      <c r="K107" s="48">
        <v>0.64036363636363647</v>
      </c>
      <c r="L107" s="48">
        <v>0.58536363636363642</v>
      </c>
      <c r="M107" s="48">
        <v>0.53427272727272734</v>
      </c>
      <c r="N107" s="48">
        <v>0.50845454545454549</v>
      </c>
      <c r="O107" s="48">
        <v>0.47945454545454536</v>
      </c>
      <c r="P107" s="48">
        <v>0.38709090909090904</v>
      </c>
      <c r="Q107" s="48">
        <v>0.32299999999999984</v>
      </c>
      <c r="R107" s="48">
        <v>0.28136363636363615</v>
      </c>
      <c r="S107" s="48">
        <v>0.26999999999999974</v>
      </c>
      <c r="T107" s="48">
        <v>0.17127272727272716</v>
      </c>
      <c r="U107" s="48">
        <v>0.20781818181818165</v>
      </c>
      <c r="V107" s="48">
        <v>0.23518181818181802</v>
      </c>
      <c r="W107" s="48">
        <v>0.25063636363636349</v>
      </c>
      <c r="X107" s="48">
        <v>0.25781818181818167</v>
      </c>
      <c r="Y107" s="48">
        <v>0.25445454545454527</v>
      </c>
      <c r="Z107" s="48">
        <v>0.23445454545454539</v>
      </c>
      <c r="AA107" s="48">
        <v>0.25518181818181812</v>
      </c>
      <c r="AB107" s="48">
        <v>0.30236363636363639</v>
      </c>
      <c r="AC107" s="48">
        <v>0.35245454545454541</v>
      </c>
      <c r="AD107" s="48">
        <v>0.40818181818181815</v>
      </c>
      <c r="AE107" s="48">
        <v>0.44245454545454549</v>
      </c>
      <c r="AF107" s="48">
        <v>0.46363636363636368</v>
      </c>
      <c r="AG107" s="48">
        <v>0.53827272727272735</v>
      </c>
      <c r="AH107" s="48">
        <v>0.52736363636363637</v>
      </c>
      <c r="AI107" s="48">
        <v>0.49163636363636365</v>
      </c>
      <c r="AJ107" s="48">
        <v>0.52445454545454551</v>
      </c>
      <c r="AK107" s="48">
        <v>0.57800000000000018</v>
      </c>
      <c r="AL107" s="48">
        <v>0.64045454545454561</v>
      </c>
      <c r="AM107" s="48">
        <v>0.6334545454545456</v>
      </c>
      <c r="AN107" s="48">
        <v>0.69709090909090921</v>
      </c>
      <c r="AO107" s="48">
        <v>0.68390909090909113</v>
      </c>
      <c r="AP107" s="48">
        <v>0.65800000000000014</v>
      </c>
      <c r="AQ107" s="48">
        <v>0.71681818181818202</v>
      </c>
      <c r="AR107" s="48">
        <v>0.72581818181818203</v>
      </c>
      <c r="AS107" s="48">
        <v>0.74090909090909118</v>
      </c>
      <c r="AT107" s="48">
        <v>0.69818181818181857</v>
      </c>
      <c r="AU107" s="48">
        <v>0.77018181818181819</v>
      </c>
      <c r="AV107" s="48">
        <v>0.77672727272727271</v>
      </c>
      <c r="AW107" s="48">
        <v>0.75572727272727269</v>
      </c>
      <c r="AX107" s="48">
        <v>0.70572727272727265</v>
      </c>
      <c r="AY107" s="48">
        <v>0.69563636363636361</v>
      </c>
      <c r="AZ107" s="48">
        <v>0.55081818181818187</v>
      </c>
      <c r="BA107" s="48">
        <v>0.46054545454545459</v>
      </c>
      <c r="BB107" s="48">
        <v>0.37318181818181828</v>
      </c>
      <c r="BC107" s="48">
        <v>0.36827272727272725</v>
      </c>
      <c r="BD107" s="48">
        <v>0.38763636363636367</v>
      </c>
      <c r="BE107" s="48">
        <v>0.44181818181818178</v>
      </c>
      <c r="BF107" s="48">
        <v>0.47700000000000009</v>
      </c>
      <c r="BG107" s="48">
        <v>0.38572727272727286</v>
      </c>
      <c r="BH107" s="48">
        <v>0.2997272727272729</v>
      </c>
      <c r="BI107" s="48">
        <v>0.21790909090909102</v>
      </c>
      <c r="BJ107" s="48">
        <v>0.18309090909090917</v>
      </c>
      <c r="BK107" s="48">
        <v>0.15818181818181823</v>
      </c>
      <c r="BL107" s="48">
        <v>0.18790909090909086</v>
      </c>
      <c r="BM107" s="48">
        <v>0.22672727272727264</v>
      </c>
      <c r="BN107" s="48">
        <v>0.27281818181818174</v>
      </c>
      <c r="BO107" s="48">
        <v>0.27581818181818174</v>
      </c>
      <c r="BP107" s="48">
        <v>0.24836363636363629</v>
      </c>
      <c r="BQ107" s="48">
        <v>0.25172727272727263</v>
      </c>
      <c r="BR107" s="48">
        <v>0.27654545454545448</v>
      </c>
      <c r="BS107" s="48">
        <v>0.31045454545454548</v>
      </c>
      <c r="BT107" s="48">
        <v>0.29772727272727273</v>
      </c>
      <c r="BU107" s="48">
        <v>0.28772727272727272</v>
      </c>
      <c r="BV107" s="48">
        <v>0.27972727272727282</v>
      </c>
      <c r="BW107" s="48">
        <v>0.32600000000000007</v>
      </c>
      <c r="BX107" s="48">
        <v>0.3760909090909092</v>
      </c>
      <c r="BY107" s="48">
        <v>0.43900000000000017</v>
      </c>
      <c r="BZ107" s="48">
        <v>0.45772727272727298</v>
      </c>
      <c r="CA107" s="48">
        <v>0.46854545454545476</v>
      </c>
      <c r="CB107" s="48">
        <v>0.50281818181818205</v>
      </c>
      <c r="CC107" s="48">
        <v>0.57163636363636383</v>
      </c>
      <c r="CD107" s="48">
        <v>0.60663636363636386</v>
      </c>
      <c r="CE107" s="48">
        <v>0.59727272727272751</v>
      </c>
      <c r="CF107" s="48">
        <v>0.59427272727272751</v>
      </c>
      <c r="CG107" s="48">
        <v>0.6209090909090913</v>
      </c>
      <c r="CH107" s="48">
        <v>0.66727272727272757</v>
      </c>
      <c r="CI107" s="48">
        <v>0.70445454545454578</v>
      </c>
      <c r="CJ107" s="48">
        <v>0.70745454545454567</v>
      </c>
      <c r="CK107" s="48">
        <v>0.73672727272727312</v>
      </c>
      <c r="CL107" s="48">
        <v>0.73227272727272752</v>
      </c>
      <c r="CM107" s="48">
        <v>0.73972727272727301</v>
      </c>
      <c r="CN107" s="48">
        <v>0.76272727272727303</v>
      </c>
      <c r="CO107" s="48">
        <v>0.77081818181818218</v>
      </c>
      <c r="CP107" s="48">
        <v>0.78727272727272768</v>
      </c>
      <c r="CQ107" s="48">
        <v>0.79800000000000038</v>
      </c>
      <c r="CR107" s="48">
        <v>0.83945454545454568</v>
      </c>
      <c r="CS107" s="48">
        <v>0.79490909090909123</v>
      </c>
      <c r="CT107" s="48">
        <v>0.78900000000000048</v>
      </c>
      <c r="CU107" s="48">
        <v>0.728727272727273</v>
      </c>
      <c r="CV107" s="48">
        <v>0.69618181818181857</v>
      </c>
      <c r="CW107" s="48">
        <v>0.62627272727272743</v>
      </c>
      <c r="CX107" s="48">
        <v>0.59509090909090911</v>
      </c>
      <c r="CY107" s="48">
        <v>0.56954545454545458</v>
      </c>
      <c r="CZ107" s="48">
        <v>0.502</v>
      </c>
      <c r="DA107" s="48">
        <v>0.41799999999999998</v>
      </c>
      <c r="DB107" s="48">
        <v>0.33899999999999997</v>
      </c>
      <c r="DC107" s="48">
        <v>0.29399999999999993</v>
      </c>
      <c r="DD107" s="48">
        <v>0.28736363636363638</v>
      </c>
      <c r="DE107" s="48">
        <v>0.28872727272727272</v>
      </c>
      <c r="DF107" s="48">
        <v>0.30581818181818182</v>
      </c>
    </row>
    <row r="108" spans="1:110" x14ac:dyDescent="0.2">
      <c r="A108" s="46" t="s">
        <v>108</v>
      </c>
      <c r="B108" s="47">
        <f t="shared" si="56"/>
        <v>-11.075000000000003</v>
      </c>
      <c r="C108" s="47">
        <f t="shared" si="57"/>
        <v>2.1500000000000026</v>
      </c>
      <c r="D108" s="49" t="e">
        <f t="shared" ref="D108:D139" ca="1" si="94">_xludf.STDEV.P(W108:DF108)*100</f>
        <v>#NAME?</v>
      </c>
      <c r="E108" s="47"/>
      <c r="F108" s="48">
        <v>4.2750000000000024E-2</v>
      </c>
      <c r="G108" s="48">
        <v>4.2750000000000024E-2</v>
      </c>
      <c r="H108" s="48">
        <v>6.7500000000000034E-3</v>
      </c>
      <c r="I108" s="48">
        <v>2.1249999999999998E-2</v>
      </c>
      <c r="J108" s="48">
        <v>9.4999999999999876E-3</v>
      </c>
      <c r="K108" s="48">
        <v>3.7749999999999992E-2</v>
      </c>
      <c r="L108" s="48">
        <v>5.7249999999999981E-2</v>
      </c>
      <c r="M108" s="48">
        <v>8.1499999999999947E-2</v>
      </c>
      <c r="N108" s="48">
        <v>0.12674999999999997</v>
      </c>
      <c r="O108" s="48">
        <v>0.17725000000000002</v>
      </c>
      <c r="P108" s="48">
        <v>0.16800000000000001</v>
      </c>
      <c r="Q108" s="48">
        <v>0.15350000000000005</v>
      </c>
      <c r="R108" s="48">
        <v>0.14400000000000002</v>
      </c>
      <c r="S108" s="48">
        <v>0.11749999999999999</v>
      </c>
      <c r="T108" s="48">
        <v>0.12000000000000002</v>
      </c>
      <c r="U108" s="48">
        <v>0.12450000000000004</v>
      </c>
      <c r="V108" s="48">
        <v>0.13625000000000004</v>
      </c>
      <c r="W108" s="48">
        <v>8.3500000000000005E-2</v>
      </c>
      <c r="X108" s="48">
        <v>8.6250000000000021E-2</v>
      </c>
      <c r="Y108" s="48">
        <v>6.900000000000002E-2</v>
      </c>
      <c r="Z108" s="48">
        <v>0.19400000000000001</v>
      </c>
      <c r="AA108" s="48">
        <v>0.24700000000000005</v>
      </c>
      <c r="AB108" s="48">
        <v>0.22275000000000003</v>
      </c>
      <c r="AC108" s="48">
        <v>0.24275000000000002</v>
      </c>
      <c r="AD108" s="48">
        <v>0.2135</v>
      </c>
      <c r="AE108" s="48">
        <v>0.22575000000000003</v>
      </c>
      <c r="AF108" s="48">
        <v>0.20649999999999999</v>
      </c>
      <c r="AG108" s="48">
        <v>0.24475</v>
      </c>
      <c r="AH108" s="48">
        <v>0.26900000000000007</v>
      </c>
      <c r="AI108" s="48">
        <v>0.29800000000000004</v>
      </c>
      <c r="AJ108" s="48">
        <v>0.30225000000000007</v>
      </c>
      <c r="AK108" s="48">
        <v>0.30725000000000002</v>
      </c>
      <c r="AL108" s="48">
        <v>0.33625000000000005</v>
      </c>
      <c r="AM108" s="48">
        <v>0.37675000000000003</v>
      </c>
      <c r="AN108" s="48">
        <v>0.39824999999999999</v>
      </c>
      <c r="AO108" s="48">
        <v>0.43725000000000003</v>
      </c>
      <c r="AP108" s="48">
        <v>0.45100000000000012</v>
      </c>
      <c r="AQ108" s="48">
        <v>0.42500000000000004</v>
      </c>
      <c r="AR108" s="48">
        <v>0.41799999999999998</v>
      </c>
      <c r="AS108" s="48">
        <v>0.44450000000000006</v>
      </c>
      <c r="AT108" s="48">
        <v>0.4850000000000001</v>
      </c>
      <c r="AU108" s="48">
        <v>0.48750000000000004</v>
      </c>
      <c r="AV108" s="48">
        <v>0.44650000000000006</v>
      </c>
      <c r="AW108" s="48">
        <v>0.43250000000000011</v>
      </c>
      <c r="AX108" s="48">
        <v>0.48750000000000016</v>
      </c>
      <c r="AY108" s="48">
        <v>0.52575000000000016</v>
      </c>
      <c r="AZ108" s="48">
        <v>0.51425000000000021</v>
      </c>
      <c r="BA108" s="48">
        <v>0.36</v>
      </c>
      <c r="BB108" s="48">
        <v>0.29000000000000004</v>
      </c>
      <c r="BC108" s="48">
        <v>0.30249999999999999</v>
      </c>
      <c r="BD108" s="48">
        <v>0.36499999999999999</v>
      </c>
      <c r="BE108" s="48">
        <v>0.37225000000000003</v>
      </c>
      <c r="BF108" s="48">
        <v>0.36250000000000004</v>
      </c>
      <c r="BG108" s="48">
        <v>0.36225000000000002</v>
      </c>
      <c r="BH108" s="48">
        <v>0.45375000000000004</v>
      </c>
      <c r="BI108" s="48">
        <v>0.52800000000000002</v>
      </c>
      <c r="BJ108" s="48">
        <v>0.52375000000000005</v>
      </c>
      <c r="BK108" s="48">
        <v>0.51200000000000001</v>
      </c>
      <c r="BL108" s="48">
        <v>0.52100000000000013</v>
      </c>
      <c r="BM108" s="48">
        <v>0.56700000000000006</v>
      </c>
      <c r="BN108" s="48">
        <v>0.63375000000000004</v>
      </c>
      <c r="BO108" s="48">
        <v>0.67975000000000008</v>
      </c>
      <c r="BP108" s="48">
        <v>0.72575000000000012</v>
      </c>
      <c r="BQ108" s="48">
        <v>0.74225000000000008</v>
      </c>
      <c r="BR108" s="48">
        <v>0.75900000000000012</v>
      </c>
      <c r="BS108" s="48">
        <v>0.7712500000000001</v>
      </c>
      <c r="BT108" s="48">
        <v>0.82400000000000007</v>
      </c>
      <c r="BU108" s="48">
        <v>0.84300000000000008</v>
      </c>
      <c r="BV108" s="48">
        <v>0.88675000000000004</v>
      </c>
      <c r="BW108" s="48">
        <v>0.90825000000000011</v>
      </c>
      <c r="BX108" s="48">
        <v>0.93450000000000011</v>
      </c>
      <c r="BY108" s="48">
        <v>0.9534999999999999</v>
      </c>
      <c r="BZ108" s="48">
        <v>0.97324999999999995</v>
      </c>
      <c r="CA108" s="48">
        <v>0.99249999999999994</v>
      </c>
      <c r="CB108" s="48">
        <v>0.99750000000000005</v>
      </c>
      <c r="CC108" s="48">
        <v>0.97775000000000001</v>
      </c>
      <c r="CD108" s="48">
        <v>0.95850000000000002</v>
      </c>
      <c r="CE108" s="48">
        <v>0.93950000000000011</v>
      </c>
      <c r="CF108" s="48">
        <v>0.92300000000000015</v>
      </c>
      <c r="CG108" s="48">
        <v>0.90549999999999997</v>
      </c>
      <c r="CH108" s="48">
        <v>0.88875000000000015</v>
      </c>
      <c r="CI108" s="48">
        <v>0.87724999999999997</v>
      </c>
      <c r="CJ108" s="48">
        <v>0.86750000000000005</v>
      </c>
      <c r="CK108" s="48">
        <v>0.84825000000000006</v>
      </c>
      <c r="CL108" s="48">
        <v>0.83100000000000007</v>
      </c>
      <c r="CM108" s="48">
        <v>0.8075</v>
      </c>
      <c r="CN108" s="48">
        <v>0.79</v>
      </c>
      <c r="CO108" s="48">
        <v>0.77349999999999997</v>
      </c>
      <c r="CP108" s="48">
        <v>0.747</v>
      </c>
      <c r="CQ108" s="48">
        <v>0.70600000000000007</v>
      </c>
      <c r="CR108" s="48">
        <v>0.62449999999999994</v>
      </c>
      <c r="CS108" s="48">
        <v>0.64400000000000013</v>
      </c>
      <c r="CT108" s="48">
        <v>0.68475000000000008</v>
      </c>
      <c r="CU108" s="48">
        <v>0.75225000000000009</v>
      </c>
      <c r="CV108" s="48">
        <v>0.73275000000000012</v>
      </c>
      <c r="CW108" s="48">
        <v>0.71375000000000011</v>
      </c>
      <c r="CX108" s="48">
        <v>0.69400000000000006</v>
      </c>
      <c r="CY108" s="48">
        <v>0.67525000000000002</v>
      </c>
      <c r="CZ108" s="48">
        <v>0.6725000000000001</v>
      </c>
      <c r="DA108" s="48">
        <v>0.65574999999999994</v>
      </c>
      <c r="DB108" s="48">
        <v>0.65125</v>
      </c>
      <c r="DC108" s="48">
        <v>0.64124999999999999</v>
      </c>
      <c r="DD108" s="48">
        <v>0.63924999999999998</v>
      </c>
      <c r="DE108" s="48">
        <v>0.62449999999999994</v>
      </c>
      <c r="DF108" s="48">
        <v>0.58825000000000005</v>
      </c>
    </row>
    <row r="109" spans="1:110" x14ac:dyDescent="0.2">
      <c r="A109" s="46" t="s">
        <v>110</v>
      </c>
      <c r="B109" s="47">
        <f t="shared" si="56"/>
        <v>10.271428571428586</v>
      </c>
      <c r="C109" s="47">
        <f t="shared" si="57"/>
        <v>-0.99285714285713977</v>
      </c>
      <c r="D109" s="49" t="e">
        <f t="shared" ref="D109:D140" ca="1" si="95">_xludf.STDEV.P(W109:DF109)*100</f>
        <v>#NAME?</v>
      </c>
      <c r="E109" s="47"/>
      <c r="F109" s="48">
        <v>0.38728571428571451</v>
      </c>
      <c r="G109" s="48">
        <v>0.35978571428571449</v>
      </c>
      <c r="H109" s="48">
        <v>0.41542857142857159</v>
      </c>
      <c r="I109" s="48">
        <v>0.39721428571428591</v>
      </c>
      <c r="J109" s="48">
        <v>0.49950000000000011</v>
      </c>
      <c r="K109" s="48">
        <v>0.44714285714285729</v>
      </c>
      <c r="L109" s="48">
        <v>0.44328571428571439</v>
      </c>
      <c r="M109" s="48">
        <v>0.33821428571428586</v>
      </c>
      <c r="N109" s="48">
        <v>0.4712142857142857</v>
      </c>
      <c r="O109" s="48">
        <v>0.5457857142857141</v>
      </c>
      <c r="P109" s="48">
        <v>0.44764285714285712</v>
      </c>
      <c r="Q109" s="48">
        <v>0.28457142857142864</v>
      </c>
      <c r="R109" s="48">
        <v>0.18435714285714302</v>
      </c>
      <c r="S109" s="48">
        <v>0.18714285714285725</v>
      </c>
      <c r="T109" s="48">
        <v>0.2872142857142857</v>
      </c>
      <c r="U109" s="48">
        <v>0.39271428571428563</v>
      </c>
      <c r="V109" s="48">
        <v>0.41378571428571426</v>
      </c>
      <c r="W109" s="48">
        <v>0.38228571428571434</v>
      </c>
      <c r="X109" s="48">
        <v>0.30557142857142872</v>
      </c>
      <c r="Y109" s="48">
        <v>0.218857142857143</v>
      </c>
      <c r="Z109" s="48">
        <v>0.24671428571428583</v>
      </c>
      <c r="AA109" s="48">
        <v>0.46949999999999981</v>
      </c>
      <c r="AB109" s="48">
        <v>0.56921428571428556</v>
      </c>
      <c r="AC109" s="48">
        <v>0.61635714285714249</v>
      </c>
      <c r="AD109" s="48">
        <v>0.6459285714285713</v>
      </c>
      <c r="AE109" s="48">
        <v>0.60499999999999976</v>
      </c>
      <c r="AF109" s="48">
        <v>0.58171428571428563</v>
      </c>
      <c r="AG109" s="48">
        <v>0.57164285714285701</v>
      </c>
      <c r="AH109" s="48">
        <v>0.55399999999999994</v>
      </c>
      <c r="AI109" s="48">
        <v>0.58278571428571402</v>
      </c>
      <c r="AJ109" s="48">
        <v>0.6071428571428571</v>
      </c>
      <c r="AK109" s="48">
        <v>0.64528571428571413</v>
      </c>
      <c r="AL109" s="48">
        <v>0.73049999999999982</v>
      </c>
      <c r="AM109" s="48">
        <v>0.6957142857142854</v>
      </c>
      <c r="AN109" s="48">
        <v>0.70692857142857146</v>
      </c>
      <c r="AO109" s="48">
        <v>0.61542857142857155</v>
      </c>
      <c r="AP109" s="48">
        <v>0.63457142857142868</v>
      </c>
      <c r="AQ109" s="48">
        <v>0.53628571428571459</v>
      </c>
      <c r="AR109" s="48">
        <v>0.40328571428571469</v>
      </c>
      <c r="AS109" s="48">
        <v>0.35485714285714326</v>
      </c>
      <c r="AT109" s="48">
        <v>0.33707142857142902</v>
      </c>
      <c r="AU109" s="48">
        <v>0.36050000000000043</v>
      </c>
      <c r="AV109" s="48">
        <v>0.38435714285714329</v>
      </c>
      <c r="AW109" s="48">
        <v>0.39292857142857185</v>
      </c>
      <c r="AX109" s="48">
        <v>0.32207142857142884</v>
      </c>
      <c r="AY109" s="48">
        <v>0.30392857142857166</v>
      </c>
      <c r="AZ109" s="48">
        <v>0.23792857142857163</v>
      </c>
      <c r="BA109" s="48">
        <v>0.26664285714285735</v>
      </c>
      <c r="BB109" s="48">
        <v>0.28314285714285731</v>
      </c>
      <c r="BC109" s="48">
        <v>0.40657142857142864</v>
      </c>
      <c r="BD109" s="48">
        <v>0.56264285714285711</v>
      </c>
      <c r="BE109" s="48">
        <v>0.6282142857142855</v>
      </c>
      <c r="BF109" s="48">
        <v>0.61407142857142849</v>
      </c>
      <c r="BG109" s="48">
        <v>0.55792857142857133</v>
      </c>
      <c r="BH109" s="48">
        <v>0.4787857142857142</v>
      </c>
      <c r="BI109" s="48">
        <v>0.39714285714285696</v>
      </c>
      <c r="BJ109" s="48">
        <v>0.34042857142857136</v>
      </c>
      <c r="BK109" s="48">
        <v>0.375</v>
      </c>
      <c r="BL109" s="48">
        <v>0.39478571428571418</v>
      </c>
      <c r="BM109" s="48">
        <v>0.43392857142857127</v>
      </c>
      <c r="BN109" s="48">
        <v>0.39649999999999985</v>
      </c>
      <c r="BO109" s="48">
        <v>0.33428571428571419</v>
      </c>
      <c r="BP109" s="48">
        <v>0.47364285714285698</v>
      </c>
      <c r="BQ109" s="48">
        <v>0.58214285714285674</v>
      </c>
      <c r="BR109" s="48">
        <v>0.61685714285714255</v>
      </c>
      <c r="BS109" s="48">
        <v>0.64392857142857118</v>
      </c>
      <c r="BT109" s="48">
        <v>0.69999999999999973</v>
      </c>
      <c r="BU109" s="48">
        <v>0.71449999999999969</v>
      </c>
      <c r="BV109" s="48">
        <v>0.73292857142857093</v>
      </c>
      <c r="BW109" s="48">
        <v>0.72142857142857109</v>
      </c>
      <c r="BX109" s="48">
        <v>0.7156428571428568</v>
      </c>
      <c r="BY109" s="48">
        <v>0.71942857142857131</v>
      </c>
      <c r="BZ109" s="48">
        <v>0.71728571428571408</v>
      </c>
      <c r="CA109" s="48">
        <v>0.71199999999999986</v>
      </c>
      <c r="CB109" s="48">
        <v>0.71535714285714269</v>
      </c>
      <c r="CC109" s="48">
        <v>0.68178571428571422</v>
      </c>
      <c r="CD109" s="48">
        <v>0.53885714285714281</v>
      </c>
      <c r="CE109" s="48">
        <v>0.5099285714285714</v>
      </c>
      <c r="CF109" s="48">
        <v>0.50449999999999995</v>
      </c>
      <c r="CG109" s="48">
        <v>0.5506428571428571</v>
      </c>
      <c r="CH109" s="48">
        <v>0.44914285714285729</v>
      </c>
      <c r="CI109" s="48">
        <v>0.42192857142857165</v>
      </c>
      <c r="CJ109" s="48">
        <v>0.43871428571428589</v>
      </c>
      <c r="CK109" s="48">
        <v>0.40957142857142875</v>
      </c>
      <c r="CL109" s="48">
        <v>0.48821428571428588</v>
      </c>
      <c r="CM109" s="48">
        <v>0.53414285714285725</v>
      </c>
      <c r="CN109" s="48">
        <v>0.61971428571428577</v>
      </c>
      <c r="CO109" s="48">
        <v>0.51871428571428579</v>
      </c>
      <c r="CP109" s="48">
        <v>0.44935714285714301</v>
      </c>
      <c r="CQ109" s="48">
        <v>0.38557142857142879</v>
      </c>
      <c r="CR109" s="48">
        <v>0.41242857142857176</v>
      </c>
      <c r="CS109" s="48">
        <v>0.39314285714285746</v>
      </c>
      <c r="CT109" s="48">
        <v>0.4362857142857145</v>
      </c>
      <c r="CU109" s="48">
        <v>0.43107142857142877</v>
      </c>
      <c r="CV109" s="48">
        <v>0.41664285714285731</v>
      </c>
      <c r="CW109" s="48">
        <v>0.45750000000000018</v>
      </c>
      <c r="CX109" s="48">
        <v>0.47971428571428582</v>
      </c>
      <c r="CY109" s="48">
        <v>0.59607142857142859</v>
      </c>
      <c r="CZ109" s="48">
        <v>0.6736428571428571</v>
      </c>
      <c r="DA109" s="48">
        <v>0.71857142857142853</v>
      </c>
      <c r="DB109" s="48">
        <v>0.73114285714285709</v>
      </c>
      <c r="DC109" s="48">
        <v>0.74492857142857116</v>
      </c>
      <c r="DD109" s="48">
        <v>0.72092857142857136</v>
      </c>
      <c r="DE109" s="48">
        <v>0.73171428571428543</v>
      </c>
      <c r="DF109" s="48">
        <v>0.51064285714285707</v>
      </c>
    </row>
    <row r="110" spans="1:110" x14ac:dyDescent="0.2">
      <c r="A110" s="46" t="s">
        <v>112</v>
      </c>
      <c r="B110" s="47">
        <f t="shared" si="56"/>
        <v>24.490000000000038</v>
      </c>
      <c r="C110" s="47">
        <f t="shared" si="57"/>
        <v>-17.080000000000016</v>
      </c>
      <c r="D110" s="49" t="e">
        <f t="shared" ref="D110:D141" ca="1" si="96">_xludf.STDEV.P(W110:DF110)*100</f>
        <v>#NAME?</v>
      </c>
      <c r="E110" s="47"/>
      <c r="F110" s="48">
        <v>0.4910000000000001</v>
      </c>
      <c r="G110" s="48">
        <v>0.61700000000000033</v>
      </c>
      <c r="H110" s="48">
        <v>0.56960000000000022</v>
      </c>
      <c r="I110" s="48">
        <v>0.66180000000000028</v>
      </c>
      <c r="J110" s="48">
        <v>0.7080000000000003</v>
      </c>
      <c r="K110" s="48">
        <v>0.66870000000000041</v>
      </c>
      <c r="L110" s="48">
        <v>0.70190000000000041</v>
      </c>
      <c r="M110" s="48">
        <v>0.60040000000000027</v>
      </c>
      <c r="N110" s="48">
        <v>0.56340000000000012</v>
      </c>
      <c r="O110" s="48">
        <v>0.35670000000000002</v>
      </c>
      <c r="P110" s="48">
        <v>0.28159999999999985</v>
      </c>
      <c r="Q110" s="48">
        <v>0.24609999999999974</v>
      </c>
      <c r="R110" s="48">
        <v>0.21689999999999976</v>
      </c>
      <c r="S110" s="48">
        <v>0.1817999999999998</v>
      </c>
      <c r="T110" s="48">
        <v>0.12819999999999987</v>
      </c>
      <c r="U110" s="48">
        <v>9.9099999999999883E-2</v>
      </c>
      <c r="V110" s="48">
        <v>9.8899999999999919E-2</v>
      </c>
      <c r="W110" s="48">
        <v>8.2999999999999935E-2</v>
      </c>
      <c r="X110" s="48">
        <v>6.1699999999999922E-2</v>
      </c>
      <c r="Y110" s="48">
        <v>5.059999999999993E-2</v>
      </c>
      <c r="Z110" s="48">
        <v>9.8399999999999835E-2</v>
      </c>
      <c r="AA110" s="48">
        <v>0.40730000000000016</v>
      </c>
      <c r="AB110" s="48">
        <v>0.20249999999999976</v>
      </c>
      <c r="AC110" s="48">
        <v>0.25279999999999975</v>
      </c>
      <c r="AD110" s="48">
        <v>0.33299999999999991</v>
      </c>
      <c r="AE110" s="48">
        <v>0.31199999999999978</v>
      </c>
      <c r="AF110" s="48">
        <v>0.34239999999999976</v>
      </c>
      <c r="AG110" s="48">
        <v>0.38049999999999978</v>
      </c>
      <c r="AH110" s="48">
        <v>0.29479999999999978</v>
      </c>
      <c r="AI110" s="48">
        <v>0.33189999999999981</v>
      </c>
      <c r="AJ110" s="48">
        <v>0.34909999999999991</v>
      </c>
      <c r="AK110" s="48">
        <v>0.61350000000000016</v>
      </c>
      <c r="AL110" s="48">
        <v>0.55470000000000008</v>
      </c>
      <c r="AM110" s="48">
        <v>0.67800000000000016</v>
      </c>
      <c r="AN110" s="48">
        <v>0.70450000000000024</v>
      </c>
      <c r="AO110" s="48">
        <v>0.63730000000000009</v>
      </c>
      <c r="AP110" s="48">
        <v>0.63480000000000014</v>
      </c>
      <c r="AQ110" s="48">
        <v>0.61039999999999994</v>
      </c>
      <c r="AR110" s="48">
        <v>0.74370000000000025</v>
      </c>
      <c r="AS110" s="48">
        <v>0.71980000000000022</v>
      </c>
      <c r="AT110" s="48">
        <v>0.68759999999999977</v>
      </c>
      <c r="AU110" s="48">
        <v>0.72839999999999971</v>
      </c>
      <c r="AV110" s="48">
        <v>0.72519999999999962</v>
      </c>
      <c r="AW110" s="48">
        <v>0.80679999999999974</v>
      </c>
      <c r="AX110" s="48">
        <v>0.74699999999999966</v>
      </c>
      <c r="AY110" s="48">
        <v>0.57039999999999969</v>
      </c>
      <c r="AZ110" s="48">
        <v>0.4447999999999997</v>
      </c>
      <c r="BA110" s="48">
        <v>0.34399999999999964</v>
      </c>
      <c r="BB110" s="48">
        <v>0.35049999999999965</v>
      </c>
      <c r="BC110" s="48">
        <v>0.4453999999999998</v>
      </c>
      <c r="BD110" s="48">
        <v>0.54899999999999982</v>
      </c>
      <c r="BE110" s="48">
        <v>0.58719999999999994</v>
      </c>
      <c r="BF110" s="48">
        <v>0.52490000000000014</v>
      </c>
      <c r="BG110" s="48">
        <v>0.38310000000000005</v>
      </c>
      <c r="BH110" s="48">
        <v>0.35480000000000017</v>
      </c>
      <c r="BI110" s="48">
        <v>0.26250000000000012</v>
      </c>
      <c r="BJ110" s="48">
        <v>0.40570000000000028</v>
      </c>
      <c r="BK110" s="48">
        <v>0.40789999999999998</v>
      </c>
      <c r="BL110" s="48">
        <v>0.3909999999999999</v>
      </c>
      <c r="BM110" s="48">
        <v>0.40149999999999997</v>
      </c>
      <c r="BN110" s="48">
        <v>0.25279999999999991</v>
      </c>
      <c r="BO110" s="48">
        <v>0.22369999999999979</v>
      </c>
      <c r="BP110" s="48">
        <v>0.18899999999999986</v>
      </c>
      <c r="BQ110" s="48">
        <v>0.3698999999999999</v>
      </c>
      <c r="BR110" s="48">
        <v>0.47689999999999999</v>
      </c>
      <c r="BS110" s="48">
        <v>0.47789999999999999</v>
      </c>
      <c r="BT110" s="48">
        <v>0.43650000000000017</v>
      </c>
      <c r="BU110" s="48">
        <v>0.34939999999999999</v>
      </c>
      <c r="BV110" s="48">
        <v>0.42210000000000003</v>
      </c>
      <c r="BW110" s="48">
        <v>0.51380000000000003</v>
      </c>
      <c r="BX110" s="48">
        <v>0.66130000000000011</v>
      </c>
      <c r="BY110" s="48">
        <v>0.6868000000000003</v>
      </c>
      <c r="BZ110" s="48">
        <v>0.80040000000000022</v>
      </c>
      <c r="CA110" s="48">
        <v>0.7291000000000003</v>
      </c>
      <c r="CB110" s="48">
        <v>0.70440000000000036</v>
      </c>
      <c r="CC110" s="48">
        <v>0.54960000000000031</v>
      </c>
      <c r="CD110" s="48">
        <v>0.51380000000000026</v>
      </c>
      <c r="CE110" s="48">
        <v>0.58590000000000042</v>
      </c>
      <c r="CF110" s="48">
        <v>0.58000000000000018</v>
      </c>
      <c r="CG110" s="48">
        <v>0.64580000000000015</v>
      </c>
      <c r="CH110" s="48">
        <v>0.65260000000000007</v>
      </c>
      <c r="CI110" s="48">
        <v>0.8148000000000003</v>
      </c>
      <c r="CJ110" s="48">
        <v>0.77880000000000005</v>
      </c>
      <c r="CK110" s="48">
        <v>0.83190000000000031</v>
      </c>
      <c r="CL110" s="48">
        <v>0.81040000000000023</v>
      </c>
      <c r="CM110" s="48">
        <v>0.79340000000000022</v>
      </c>
      <c r="CN110" s="48">
        <v>0.73380000000000012</v>
      </c>
      <c r="CO110" s="48">
        <v>0.67220000000000002</v>
      </c>
      <c r="CP110" s="48">
        <v>0.7209000000000001</v>
      </c>
      <c r="CQ110" s="48">
        <v>0.76040000000000019</v>
      </c>
      <c r="CR110" s="48">
        <v>0.81850000000000012</v>
      </c>
      <c r="CS110" s="48">
        <v>0.82940000000000025</v>
      </c>
      <c r="CT110" s="48">
        <v>0.79500000000000015</v>
      </c>
      <c r="CU110" s="48">
        <v>0.55759999999999987</v>
      </c>
      <c r="CV110" s="48">
        <v>0.51019999999999976</v>
      </c>
      <c r="CW110" s="48">
        <v>0.43719999999999981</v>
      </c>
      <c r="CX110" s="48">
        <v>0.4493999999999998</v>
      </c>
      <c r="CY110" s="48">
        <v>0.50359999999999983</v>
      </c>
      <c r="CZ110" s="48">
        <v>0.50979999999999992</v>
      </c>
      <c r="DA110" s="48">
        <v>0.48559999999999992</v>
      </c>
      <c r="DB110" s="48">
        <v>0.43129999999999985</v>
      </c>
      <c r="DC110" s="48">
        <v>0.41739999999999977</v>
      </c>
      <c r="DD110" s="48">
        <v>0.38649999999999968</v>
      </c>
      <c r="DE110" s="48">
        <v>0.39049999999999968</v>
      </c>
      <c r="DF110" s="48">
        <v>0.32459999999999972</v>
      </c>
    </row>
    <row r="111" spans="1:110" x14ac:dyDescent="0.2">
      <c r="A111" s="46" t="s">
        <v>114</v>
      </c>
      <c r="B111" s="47">
        <f t="shared" si="56"/>
        <v>-10.625000000000007</v>
      </c>
      <c r="C111" s="47">
        <f t="shared" si="57"/>
        <v>-2.2125000000000004</v>
      </c>
      <c r="D111" s="49" t="e">
        <f t="shared" ref="D111:D142" ca="1" si="97">_xludf.STDEV.P(W111:DF111)*100</f>
        <v>#NAME?</v>
      </c>
      <c r="E111" s="47"/>
      <c r="F111" s="48">
        <v>0.26874999999999993</v>
      </c>
      <c r="G111" s="48">
        <v>0.26874999999999993</v>
      </c>
      <c r="H111" s="48">
        <v>0.28199999999999992</v>
      </c>
      <c r="I111" s="48">
        <v>0.29087499999999994</v>
      </c>
      <c r="J111" s="48">
        <v>0.2987499999999999</v>
      </c>
      <c r="K111" s="48">
        <v>0.31574999999999998</v>
      </c>
      <c r="L111" s="48">
        <v>0.22850000000000001</v>
      </c>
      <c r="M111" s="48">
        <v>0.26737500000000003</v>
      </c>
      <c r="N111" s="48">
        <v>0.29612499999999997</v>
      </c>
      <c r="O111" s="48">
        <v>0.38125000000000003</v>
      </c>
      <c r="P111" s="48">
        <v>0.38124999999999998</v>
      </c>
      <c r="Q111" s="48">
        <v>0.375</v>
      </c>
      <c r="R111" s="48">
        <v>0.34812500000000007</v>
      </c>
      <c r="S111" s="48">
        <v>0.35724999999999996</v>
      </c>
      <c r="T111" s="48">
        <v>0.41712500000000002</v>
      </c>
      <c r="U111" s="48">
        <v>0.39937499999999998</v>
      </c>
      <c r="V111" s="48">
        <v>0.34262500000000001</v>
      </c>
      <c r="W111" s="48">
        <v>0.33287499999999992</v>
      </c>
      <c r="X111" s="48">
        <v>0.33074999999999999</v>
      </c>
      <c r="Y111" s="48">
        <v>0.33737499999999998</v>
      </c>
      <c r="Z111" s="48">
        <v>0.28412499999999996</v>
      </c>
      <c r="AA111" s="48">
        <v>0.23312499999999994</v>
      </c>
      <c r="AB111" s="48">
        <v>0.20424999999999993</v>
      </c>
      <c r="AC111" s="48">
        <v>0.16612499999999994</v>
      </c>
      <c r="AD111" s="48">
        <v>0.13324999999999992</v>
      </c>
      <c r="AE111" s="48">
        <v>0.12324999999999996</v>
      </c>
      <c r="AF111" s="48">
        <v>0.15149999999999994</v>
      </c>
      <c r="AG111" s="48">
        <v>0.16699999999999998</v>
      </c>
      <c r="AH111" s="48">
        <v>0.18224999999999997</v>
      </c>
      <c r="AI111" s="48">
        <v>0.19612499999999997</v>
      </c>
      <c r="AJ111" s="48">
        <v>0.22624999999999998</v>
      </c>
      <c r="AK111" s="48">
        <v>0.23875000000000002</v>
      </c>
      <c r="AL111" s="48">
        <v>0.53512499999999996</v>
      </c>
      <c r="AM111" s="48">
        <v>0.79625000000000001</v>
      </c>
      <c r="AN111" s="48">
        <v>0.81612499999999988</v>
      </c>
      <c r="AO111" s="48">
        <v>0.83774999999999999</v>
      </c>
      <c r="AP111" s="48">
        <v>0.82137500000000008</v>
      </c>
      <c r="AQ111" s="48">
        <v>0.80037499999999995</v>
      </c>
      <c r="AR111" s="48">
        <v>0.80574999999999974</v>
      </c>
      <c r="AS111" s="48">
        <v>0.82850000000000001</v>
      </c>
      <c r="AT111" s="48">
        <v>0.84137499999999998</v>
      </c>
      <c r="AU111" s="48">
        <v>0.86224999999999996</v>
      </c>
      <c r="AV111" s="48">
        <v>0.84962499999999996</v>
      </c>
      <c r="AW111" s="48">
        <v>0.89487499999999998</v>
      </c>
      <c r="AX111" s="48">
        <v>0.77899999999999991</v>
      </c>
      <c r="AY111" s="48">
        <v>0.38187499999999991</v>
      </c>
      <c r="AZ111" s="48">
        <v>0.33737499999999992</v>
      </c>
      <c r="BA111" s="48">
        <v>0.29274999999999995</v>
      </c>
      <c r="BB111" s="48">
        <v>0.21362499999999995</v>
      </c>
      <c r="BC111" s="48">
        <v>0.15637499999999999</v>
      </c>
      <c r="BD111" s="48">
        <v>0.13824999999999996</v>
      </c>
      <c r="BE111" s="48">
        <v>0.12849999999999998</v>
      </c>
      <c r="BF111" s="48">
        <v>0.12299999999999994</v>
      </c>
      <c r="BG111" s="48">
        <v>0.11412499999999995</v>
      </c>
      <c r="BH111" s="48">
        <v>0.10737499999999993</v>
      </c>
      <c r="BI111" s="48">
        <v>0.68425000000000002</v>
      </c>
      <c r="BJ111" s="48">
        <v>0.66812499999999997</v>
      </c>
      <c r="BK111" s="48">
        <v>0.73524999999999996</v>
      </c>
      <c r="BL111" s="48">
        <v>0.69125000000000003</v>
      </c>
      <c r="BM111" s="48">
        <v>0.68474999999999997</v>
      </c>
      <c r="BN111" s="48">
        <v>0.65300000000000002</v>
      </c>
      <c r="BO111" s="48">
        <v>0.66849999999999998</v>
      </c>
      <c r="BP111" s="48">
        <v>0.6775000000000001</v>
      </c>
      <c r="BQ111" s="48">
        <v>0.66387499999999999</v>
      </c>
      <c r="BR111" s="48">
        <v>0.63975000000000004</v>
      </c>
      <c r="BS111" s="48">
        <v>0.60612499999999991</v>
      </c>
      <c r="BT111" s="48">
        <v>0.59475</v>
      </c>
      <c r="BU111" s="48">
        <v>0.56174999999999986</v>
      </c>
      <c r="BV111" s="48">
        <v>0.49074999999999991</v>
      </c>
      <c r="BW111" s="48">
        <v>0.64087499999999997</v>
      </c>
      <c r="BX111" s="48">
        <v>0.68324999999999991</v>
      </c>
      <c r="BY111" s="48">
        <v>0.69262499999999994</v>
      </c>
      <c r="BZ111" s="48">
        <v>0.71750000000000003</v>
      </c>
      <c r="CA111" s="48">
        <v>0.69325000000000003</v>
      </c>
      <c r="CB111" s="48">
        <v>0.64312499999999995</v>
      </c>
      <c r="CC111" s="48">
        <v>0.62124999999999986</v>
      </c>
      <c r="CD111" s="48">
        <v>0.59575</v>
      </c>
      <c r="CE111" s="48">
        <v>0.59099999999999997</v>
      </c>
      <c r="CF111" s="48">
        <v>0.65212499999999984</v>
      </c>
      <c r="CG111" s="48">
        <v>0.62424999999999997</v>
      </c>
      <c r="CH111" s="48">
        <v>0.60949999999999982</v>
      </c>
      <c r="CI111" s="48">
        <v>0.67374999999999996</v>
      </c>
      <c r="CJ111" s="48">
        <v>0.66224999999999989</v>
      </c>
      <c r="CK111" s="48">
        <v>0.66349999999999987</v>
      </c>
      <c r="CL111" s="48">
        <v>0.64612499999999995</v>
      </c>
      <c r="CM111" s="48">
        <v>0.63024999999999987</v>
      </c>
      <c r="CN111" s="48">
        <v>0.59612500000000002</v>
      </c>
      <c r="CO111" s="48">
        <v>0.56399999999999983</v>
      </c>
      <c r="CP111" s="48">
        <v>0.54974999999999985</v>
      </c>
      <c r="CQ111" s="48">
        <v>0.50599999999999989</v>
      </c>
      <c r="CR111" s="48">
        <v>0.47487499999999988</v>
      </c>
      <c r="CS111" s="48">
        <v>0.44049999999999995</v>
      </c>
      <c r="CT111" s="48">
        <v>0.499</v>
      </c>
      <c r="CU111" s="48">
        <v>0.64324999999999999</v>
      </c>
      <c r="CV111" s="48">
        <v>0.55625000000000002</v>
      </c>
      <c r="CW111" s="48">
        <v>0.52012500000000006</v>
      </c>
      <c r="CX111" s="48">
        <v>0.50812500000000005</v>
      </c>
      <c r="CY111" s="48">
        <v>0.51762500000000011</v>
      </c>
      <c r="CZ111" s="48">
        <v>0.55262500000000003</v>
      </c>
      <c r="DA111" s="48">
        <v>0.55725000000000002</v>
      </c>
      <c r="DB111" s="48">
        <v>0.59699999999999998</v>
      </c>
      <c r="DC111" s="48">
        <v>0.69425000000000003</v>
      </c>
      <c r="DD111" s="48">
        <v>0.72062500000000007</v>
      </c>
      <c r="DE111" s="48">
        <v>0.72949999999999993</v>
      </c>
      <c r="DF111" s="48">
        <v>0.75562499999999999</v>
      </c>
    </row>
    <row r="112" spans="1:110" x14ac:dyDescent="0.2">
      <c r="A112" s="46" t="s">
        <v>116</v>
      </c>
      <c r="B112" s="47">
        <f t="shared" si="56"/>
        <v>24.049999999999986</v>
      </c>
      <c r="C112" s="47">
        <f t="shared" si="57"/>
        <v>2.4999999999991696E-2</v>
      </c>
      <c r="D112" s="49" t="e">
        <f t="shared" ref="D112:D143" ca="1" si="98">_xludf.STDEV.P(W112:DF112)*100</f>
        <v>#NAME?</v>
      </c>
      <c r="E112" s="47"/>
      <c r="F112" s="48">
        <v>0.31474999999999992</v>
      </c>
      <c r="G112" s="48">
        <v>0.31474999999999992</v>
      </c>
      <c r="H112" s="48">
        <v>0.32424999999999993</v>
      </c>
      <c r="I112" s="48">
        <v>0.3145</v>
      </c>
      <c r="J112" s="48">
        <v>0.29049999999999998</v>
      </c>
      <c r="K112" s="48">
        <v>0.26900000000000007</v>
      </c>
      <c r="L112" s="48">
        <v>0.21850000000000003</v>
      </c>
      <c r="M112" s="48">
        <v>0.16025000000000006</v>
      </c>
      <c r="N112" s="48">
        <v>0.10775000000000005</v>
      </c>
      <c r="O112" s="48">
        <v>7.2000000000000064E-2</v>
      </c>
      <c r="P112" s="48">
        <v>7.6250000000000068E-2</v>
      </c>
      <c r="Q112" s="48">
        <v>7.4250000000000038E-2</v>
      </c>
      <c r="R112" s="48">
        <v>8.6250000000000049E-2</v>
      </c>
      <c r="S112" s="48">
        <v>9.3000000000000013E-2</v>
      </c>
      <c r="T112" s="48">
        <v>9.5750000000000002E-2</v>
      </c>
      <c r="U112" s="48">
        <v>0.15575</v>
      </c>
      <c r="V112" s="48">
        <v>0.18899999999999997</v>
      </c>
      <c r="W112" s="48">
        <v>0.22299999999999998</v>
      </c>
      <c r="X112" s="48">
        <v>0.24249999999999991</v>
      </c>
      <c r="Y112" s="48">
        <v>0.18974999999999995</v>
      </c>
      <c r="Z112" s="48">
        <v>0.16574999999999995</v>
      </c>
      <c r="AA112" s="48">
        <v>5.4999999999999993E-2</v>
      </c>
      <c r="AB112" s="48">
        <v>9.3249999999999986E-2</v>
      </c>
      <c r="AC112" s="48">
        <v>0.10574999999999998</v>
      </c>
      <c r="AD112" s="48">
        <v>0.13924999999999993</v>
      </c>
      <c r="AE112" s="48">
        <v>0.12899999999999998</v>
      </c>
      <c r="AF112" s="48">
        <v>0.11724999999999999</v>
      </c>
      <c r="AG112" s="48">
        <v>9.35E-2</v>
      </c>
      <c r="AH112" s="48">
        <v>6.6750000000000004E-2</v>
      </c>
      <c r="AI112" s="48">
        <v>4.7250000000000021E-2</v>
      </c>
      <c r="AJ112" s="48">
        <v>0.15125</v>
      </c>
      <c r="AK112" s="48">
        <v>0.182</v>
      </c>
      <c r="AL112" s="48">
        <v>0.26625000000000004</v>
      </c>
      <c r="AM112" s="48">
        <v>0.34575000000000011</v>
      </c>
      <c r="AN112" s="48">
        <v>0.42025000000000012</v>
      </c>
      <c r="AO112" s="48">
        <v>0.49500000000000011</v>
      </c>
      <c r="AP112" s="48">
        <v>0.52375000000000016</v>
      </c>
      <c r="AQ112" s="48">
        <v>0.54</v>
      </c>
      <c r="AR112" s="48">
        <v>0.55000000000000016</v>
      </c>
      <c r="AS112" s="48">
        <v>0.55275000000000007</v>
      </c>
      <c r="AT112" s="48">
        <v>0.48725000000000018</v>
      </c>
      <c r="AU112" s="48">
        <v>0.53300000000000014</v>
      </c>
      <c r="AV112" s="48">
        <v>0.62925000000000009</v>
      </c>
      <c r="AW112" s="48">
        <v>0.8125</v>
      </c>
      <c r="AX112" s="48">
        <v>0.79474999999999985</v>
      </c>
      <c r="AY112" s="48">
        <v>0.69924999999999982</v>
      </c>
      <c r="AZ112" s="48">
        <v>0.49974999999999997</v>
      </c>
      <c r="BA112" s="48">
        <v>0.48525000000000001</v>
      </c>
      <c r="BB112" s="48">
        <v>0.43</v>
      </c>
      <c r="BC112" s="48">
        <v>0.44900000000000001</v>
      </c>
      <c r="BD112" s="48">
        <v>0.50175000000000003</v>
      </c>
      <c r="BE112" s="48">
        <v>0.53324999999999989</v>
      </c>
      <c r="BF112" s="48">
        <v>0.55949999999999989</v>
      </c>
      <c r="BG112" s="48">
        <v>0.52374999999999994</v>
      </c>
      <c r="BH112" s="48">
        <v>0.38624999999999998</v>
      </c>
      <c r="BI112" s="48">
        <v>0.24925</v>
      </c>
      <c r="BJ112" s="48">
        <v>0.27124999999999999</v>
      </c>
      <c r="BK112" s="48">
        <v>0.4200000000000001</v>
      </c>
      <c r="BL112" s="48">
        <v>0.53575000000000006</v>
      </c>
      <c r="BM112" s="48">
        <v>0.55274999999999996</v>
      </c>
      <c r="BN112" s="48">
        <v>0.53050000000000008</v>
      </c>
      <c r="BO112" s="48">
        <v>0.48975000000000002</v>
      </c>
      <c r="BP112" s="48">
        <v>0.52599999999999991</v>
      </c>
      <c r="BQ112" s="48">
        <v>0.56900000000000006</v>
      </c>
      <c r="BR112" s="48">
        <v>0.66799999999999993</v>
      </c>
      <c r="BS112" s="48">
        <v>0.59299999999999997</v>
      </c>
      <c r="BT112" s="48">
        <v>0.74724999999999997</v>
      </c>
      <c r="BU112" s="48">
        <v>0.70599999999999985</v>
      </c>
      <c r="BV112" s="48">
        <v>0.84549999999999981</v>
      </c>
      <c r="BW112" s="48">
        <v>0.74450000000000005</v>
      </c>
      <c r="BX112" s="48">
        <v>0.81424999999999992</v>
      </c>
      <c r="BY112" s="48">
        <v>0.78774999999999995</v>
      </c>
      <c r="BZ112" s="48">
        <v>0.84849999999999992</v>
      </c>
      <c r="CA112" s="48">
        <v>0.9202499999999999</v>
      </c>
      <c r="CB112" s="48">
        <v>0.91799999999999993</v>
      </c>
      <c r="CC112" s="48">
        <v>0.93899999999999995</v>
      </c>
      <c r="CD112" s="48">
        <v>0.86974999999999991</v>
      </c>
      <c r="CE112" s="48">
        <v>0.89400000000000002</v>
      </c>
      <c r="CF112" s="48">
        <v>0.61250000000000016</v>
      </c>
      <c r="CG112" s="48">
        <v>0.8287500000000001</v>
      </c>
      <c r="CH112" s="48">
        <v>0.69874999999999987</v>
      </c>
      <c r="CI112" s="48">
        <v>0.91074999999999995</v>
      </c>
      <c r="CJ112" s="48">
        <v>0.65374999999999994</v>
      </c>
      <c r="CK112" s="48">
        <v>0.69699999999999995</v>
      </c>
      <c r="CL112" s="48">
        <v>0.76374999999999993</v>
      </c>
      <c r="CM112" s="48">
        <v>0.90100000000000002</v>
      </c>
      <c r="CN112" s="48">
        <v>0.96125000000000005</v>
      </c>
      <c r="CO112" s="48">
        <v>0.88700000000000001</v>
      </c>
      <c r="CP112" s="48">
        <v>0.75700000000000001</v>
      </c>
      <c r="CQ112" s="48">
        <v>0.70400000000000007</v>
      </c>
      <c r="CR112" s="48">
        <v>0.95650000000000002</v>
      </c>
      <c r="CS112" s="48">
        <v>0.89600000000000002</v>
      </c>
      <c r="CT112" s="48">
        <v>0.89600000000000002</v>
      </c>
      <c r="CU112" s="48">
        <v>0.5472499999999999</v>
      </c>
      <c r="CV112" s="48">
        <v>0.70874999999999999</v>
      </c>
      <c r="CW112" s="48">
        <v>0.72099999999999997</v>
      </c>
      <c r="CX112" s="48">
        <v>0.66299999999999992</v>
      </c>
      <c r="CY112" s="48">
        <v>0.63650000000000007</v>
      </c>
      <c r="CZ112" s="48">
        <v>0.60975000000000001</v>
      </c>
      <c r="DA112" s="48">
        <v>0.58624999999999994</v>
      </c>
      <c r="DB112" s="48">
        <v>0.61499999999999999</v>
      </c>
      <c r="DC112" s="48">
        <v>0.5764999999999999</v>
      </c>
      <c r="DD112" s="48">
        <v>0.6915</v>
      </c>
      <c r="DE112" s="48">
        <v>0.63175000000000003</v>
      </c>
      <c r="DF112" s="48">
        <v>0.69674999999999998</v>
      </c>
    </row>
    <row r="113" spans="1:110" x14ac:dyDescent="0.2">
      <c r="A113" s="46" t="s">
        <v>118</v>
      </c>
      <c r="B113" s="47">
        <f t="shared" si="56"/>
        <v>-28.593749999999996</v>
      </c>
      <c r="C113" s="47">
        <f t="shared" si="57"/>
        <v>8.6249999999999929</v>
      </c>
      <c r="D113" s="49" t="e">
        <f t="shared" ref="D113:D144" ca="1" si="99">_xludf.STDEV.P(W113:DF113)*100</f>
        <v>#NAME?</v>
      </c>
      <c r="E113" s="47"/>
      <c r="F113" s="48">
        <v>0.5414374999999999</v>
      </c>
      <c r="G113" s="48">
        <v>0.52237499999999992</v>
      </c>
      <c r="H113" s="48">
        <v>0.53337499999999993</v>
      </c>
      <c r="I113" s="48">
        <v>0.45518749999999997</v>
      </c>
      <c r="J113" s="48">
        <v>0.46937499999999999</v>
      </c>
      <c r="K113" s="48">
        <v>0.58968749999999992</v>
      </c>
      <c r="L113" s="48">
        <v>0.66212499999999985</v>
      </c>
      <c r="M113" s="48">
        <v>0.63756249999999992</v>
      </c>
      <c r="N113" s="48">
        <v>0.70518749999999986</v>
      </c>
      <c r="O113" s="48">
        <v>0.70262500000000006</v>
      </c>
      <c r="P113" s="48">
        <v>0.70906250000000004</v>
      </c>
      <c r="Q113" s="48">
        <v>0.82737499999999986</v>
      </c>
      <c r="R113" s="48">
        <v>0.86037499999999989</v>
      </c>
      <c r="S113" s="48">
        <v>0.91468749999999988</v>
      </c>
      <c r="T113" s="48">
        <v>0.80574999999999986</v>
      </c>
      <c r="U113" s="48">
        <v>0.79181250000000003</v>
      </c>
      <c r="V113" s="48">
        <v>0.61368749999999994</v>
      </c>
      <c r="W113" s="48">
        <v>0.29062499999999997</v>
      </c>
      <c r="X113" s="48">
        <v>0.15649999999999997</v>
      </c>
      <c r="Y113" s="48">
        <v>0.114125</v>
      </c>
      <c r="Z113" s="48">
        <v>0.112125</v>
      </c>
      <c r="AA113" s="48">
        <v>0.13906249999999998</v>
      </c>
      <c r="AB113" s="48">
        <v>0.10793749999999999</v>
      </c>
      <c r="AC113" s="48">
        <v>7.2374999999999981E-2</v>
      </c>
      <c r="AD113" s="48">
        <v>2.8124999999999997E-2</v>
      </c>
      <c r="AE113" s="48">
        <v>6.7562499999999998E-2</v>
      </c>
      <c r="AF113" s="48">
        <v>0.14481249999999996</v>
      </c>
      <c r="AG113" s="48">
        <v>0.21562499999999998</v>
      </c>
      <c r="AH113" s="48">
        <v>0.30549999999999994</v>
      </c>
      <c r="AI113" s="48">
        <v>0.3969375</v>
      </c>
      <c r="AJ113" s="48">
        <v>0.48681249999999998</v>
      </c>
      <c r="AK113" s="48">
        <v>0.59224999999999994</v>
      </c>
      <c r="AL113" s="48">
        <v>0.67662499999999992</v>
      </c>
      <c r="AM113" s="48">
        <v>0.71187499999999992</v>
      </c>
      <c r="AN113" s="48">
        <v>0.46699999999999997</v>
      </c>
      <c r="AO113" s="48">
        <v>0.51581250000000001</v>
      </c>
      <c r="AP113" s="48">
        <v>0.53231250000000008</v>
      </c>
      <c r="AQ113" s="48">
        <v>0.63062499999999988</v>
      </c>
      <c r="AR113" s="48">
        <v>0.6959375000000001</v>
      </c>
      <c r="AS113" s="48">
        <v>0.66362499999999991</v>
      </c>
      <c r="AT113" s="48">
        <v>0.71243750000000006</v>
      </c>
      <c r="AU113" s="48">
        <v>0.59762499999999996</v>
      </c>
      <c r="AV113" s="48">
        <v>0.67943749999999992</v>
      </c>
      <c r="AW113" s="48">
        <v>0.5</v>
      </c>
      <c r="AX113" s="48">
        <v>0.5</v>
      </c>
      <c r="AY113" s="48">
        <v>0.5</v>
      </c>
      <c r="AZ113" s="48">
        <v>0.5</v>
      </c>
      <c r="BA113" s="48">
        <v>0.5</v>
      </c>
      <c r="BB113" s="48">
        <v>0.5</v>
      </c>
      <c r="BC113" s="48">
        <v>0.5</v>
      </c>
      <c r="BD113" s="48">
        <v>0.5</v>
      </c>
      <c r="BE113" s="48">
        <v>0.5</v>
      </c>
      <c r="BF113" s="48">
        <v>0.5</v>
      </c>
      <c r="BG113" s="48">
        <v>0.5</v>
      </c>
      <c r="BH113" s="48">
        <v>0.5</v>
      </c>
      <c r="BI113" s="48">
        <v>0.5</v>
      </c>
      <c r="BJ113" s="48">
        <v>0.5</v>
      </c>
      <c r="BK113" s="48">
        <v>0.5</v>
      </c>
      <c r="BL113" s="48">
        <v>0.5</v>
      </c>
      <c r="BM113" s="48">
        <v>0.5</v>
      </c>
      <c r="BN113" s="48">
        <v>0.5</v>
      </c>
      <c r="BO113" s="48">
        <v>0.5</v>
      </c>
      <c r="BP113" s="48">
        <v>0.5</v>
      </c>
      <c r="BQ113" s="48">
        <v>0.5</v>
      </c>
      <c r="BR113" s="48">
        <v>0.5</v>
      </c>
      <c r="BS113" s="48">
        <v>0.5</v>
      </c>
      <c r="BT113" s="48">
        <v>0.5</v>
      </c>
      <c r="BU113" s="48">
        <v>0.5</v>
      </c>
      <c r="BV113" s="48">
        <v>0.5</v>
      </c>
      <c r="BW113" s="48">
        <v>0.5</v>
      </c>
      <c r="BX113" s="48">
        <v>0.5</v>
      </c>
      <c r="BY113" s="48">
        <v>0.5</v>
      </c>
      <c r="BZ113" s="48">
        <v>0.5</v>
      </c>
      <c r="CA113" s="48">
        <v>0.5</v>
      </c>
      <c r="CB113" s="48">
        <v>0.5</v>
      </c>
      <c r="CC113" s="48">
        <v>0.5</v>
      </c>
      <c r="CD113" s="48">
        <v>0.5</v>
      </c>
      <c r="CE113" s="48">
        <v>0.5</v>
      </c>
      <c r="CF113" s="48">
        <v>0.5</v>
      </c>
      <c r="CG113" s="48">
        <v>0.5</v>
      </c>
      <c r="CH113" s="48">
        <v>0.5</v>
      </c>
      <c r="CI113" s="48">
        <v>0.5</v>
      </c>
      <c r="CJ113" s="48">
        <v>0.5</v>
      </c>
      <c r="CK113" s="48">
        <v>0.5</v>
      </c>
      <c r="CL113" s="48">
        <v>0.5</v>
      </c>
      <c r="CM113" s="48">
        <v>0.5</v>
      </c>
      <c r="CN113" s="48">
        <v>0.5</v>
      </c>
      <c r="CO113" s="48">
        <v>0.5</v>
      </c>
      <c r="CP113" s="48">
        <v>0.5</v>
      </c>
      <c r="CQ113" s="48">
        <v>0.5</v>
      </c>
      <c r="CR113" s="48">
        <v>0.5</v>
      </c>
      <c r="CS113" s="48">
        <v>0.5</v>
      </c>
      <c r="CT113" s="48">
        <v>0.5</v>
      </c>
      <c r="CU113" s="48">
        <v>0.5</v>
      </c>
      <c r="CV113" s="48">
        <v>0.5</v>
      </c>
      <c r="CW113" s="48">
        <v>0.5</v>
      </c>
      <c r="CX113" s="48">
        <v>0.5</v>
      </c>
      <c r="CY113" s="48">
        <v>0.5</v>
      </c>
      <c r="CZ113" s="48">
        <v>0.5</v>
      </c>
      <c r="DA113" s="48">
        <v>0.5</v>
      </c>
      <c r="DB113" s="48">
        <v>0.5</v>
      </c>
      <c r="DC113" s="48">
        <v>0.5</v>
      </c>
      <c r="DD113" s="48">
        <v>0.5</v>
      </c>
      <c r="DE113" s="48">
        <v>0.5</v>
      </c>
      <c r="DF113" s="48">
        <v>0.5</v>
      </c>
    </row>
    <row r="114" spans="1:110" x14ac:dyDescent="0.2">
      <c r="A114" s="46" t="s">
        <v>120</v>
      </c>
      <c r="B114" s="47">
        <f t="shared" si="56"/>
        <v>-90.399999999999991</v>
      </c>
      <c r="C114" s="47">
        <f t="shared" si="57"/>
        <v>-1.899999999999999</v>
      </c>
      <c r="D114" s="49" t="e">
        <f t="shared" ref="D114:D145" ca="1" si="100">_xludf.STDEV.P(W114:DF114)*100</f>
        <v>#NAME?</v>
      </c>
      <c r="E114" s="47"/>
      <c r="F114" s="48">
        <v>6.7000000000000004E-2</v>
      </c>
      <c r="G114" s="48">
        <v>7.5999999999999998E-2</v>
      </c>
      <c r="H114" s="48">
        <v>4.8000000000000001E-2</v>
      </c>
      <c r="I114" s="48">
        <v>8.5999999999999993E-2</v>
      </c>
      <c r="J114" s="48">
        <v>0.14399999999999999</v>
      </c>
      <c r="K114" s="48">
        <v>0.57599999999999996</v>
      </c>
      <c r="L114" s="48">
        <v>0.875</v>
      </c>
      <c r="M114" s="48">
        <v>0.80700000000000005</v>
      </c>
      <c r="N114" s="48">
        <v>0.89400000000000002</v>
      </c>
      <c r="O114" s="48">
        <v>0.92300000000000004</v>
      </c>
      <c r="P114" s="48">
        <v>0.99</v>
      </c>
      <c r="Q114" s="48">
        <v>0.97099999999999997</v>
      </c>
      <c r="R114" s="48">
        <v>0.93200000000000005</v>
      </c>
      <c r="S114" s="48">
        <v>0.96099999999999997</v>
      </c>
      <c r="T114" s="48">
        <v>0.95099999999999996</v>
      </c>
      <c r="U114" s="48">
        <v>1</v>
      </c>
      <c r="V114" s="48">
        <v>0.98</v>
      </c>
      <c r="W114" s="48">
        <v>0.94200000000000006</v>
      </c>
      <c r="X114" s="48">
        <v>0.64399999999999991</v>
      </c>
      <c r="Y114" s="48">
        <v>0.72099999999999997</v>
      </c>
      <c r="Z114" s="48">
        <v>0.47100000000000003</v>
      </c>
      <c r="AA114" s="48">
        <v>0.115</v>
      </c>
      <c r="AB114" s="48">
        <v>8.9999999999999993E-3</v>
      </c>
      <c r="AC114" s="48">
        <v>9.6000000000000002E-2</v>
      </c>
      <c r="AD114" s="48">
        <v>0.56699999999999995</v>
      </c>
      <c r="AE114" s="48">
        <v>0.61499999999999999</v>
      </c>
      <c r="AF114" s="48">
        <v>0.125</v>
      </c>
      <c r="AG114" s="48">
        <v>0</v>
      </c>
      <c r="AH114" s="48">
        <v>0.105</v>
      </c>
      <c r="AI114" s="48">
        <v>0.67300000000000004</v>
      </c>
      <c r="AJ114" s="48">
        <v>0.88400000000000001</v>
      </c>
      <c r="AK114" s="48">
        <v>0.68200000000000005</v>
      </c>
      <c r="AL114" s="48">
        <v>0.23</v>
      </c>
      <c r="AM114" s="48">
        <v>0.34599999999999997</v>
      </c>
      <c r="AN114" s="48">
        <v>0.442</v>
      </c>
      <c r="AO114" s="48">
        <v>0.5</v>
      </c>
      <c r="AP114" s="48">
        <v>0.29799999999999999</v>
      </c>
      <c r="AQ114" s="48">
        <v>0.45100000000000001</v>
      </c>
      <c r="AR114" s="48">
        <v>0.40300000000000002</v>
      </c>
      <c r="AS114" s="48">
        <v>0.59599999999999997</v>
      </c>
      <c r="AT114" s="48">
        <v>0.35499999999999993</v>
      </c>
      <c r="AU114" s="48">
        <v>0.35499999999999993</v>
      </c>
      <c r="AV114" s="48">
        <v>0.35499999999999993</v>
      </c>
      <c r="AW114" s="48">
        <v>0.35499999999999993</v>
      </c>
      <c r="AX114" s="48">
        <v>0.35499999999999993</v>
      </c>
      <c r="AY114" s="48">
        <v>0.20100000000000001</v>
      </c>
      <c r="AZ114" s="48">
        <v>0.13400000000000001</v>
      </c>
      <c r="BA114" s="48">
        <v>5.7000000000000002E-2</v>
      </c>
      <c r="BB114" s="48">
        <v>3.7999999999999999E-2</v>
      </c>
      <c r="BC114" s="48">
        <v>1.9E-2</v>
      </c>
      <c r="BD114" s="48">
        <v>2.8000000000000004E-2</v>
      </c>
      <c r="BE114" s="48">
        <v>0.153</v>
      </c>
      <c r="BF114" s="48">
        <v>0.153</v>
      </c>
      <c r="BG114" s="48">
        <v>0.153</v>
      </c>
      <c r="BH114" s="48">
        <v>0.153</v>
      </c>
      <c r="BI114" s="48">
        <v>0.153</v>
      </c>
      <c r="BJ114" s="48">
        <v>0.50900000000000001</v>
      </c>
      <c r="BK114" s="48">
        <v>0.69199999999999995</v>
      </c>
      <c r="BL114" s="48">
        <v>0.79800000000000004</v>
      </c>
      <c r="BM114" s="48">
        <v>0.75900000000000001</v>
      </c>
      <c r="BN114" s="48">
        <v>0.6339999999999999</v>
      </c>
      <c r="BO114" s="48">
        <v>0.46100000000000002</v>
      </c>
      <c r="BP114" s="48">
        <v>0.53800000000000003</v>
      </c>
      <c r="BQ114" s="48">
        <v>0.52800000000000002</v>
      </c>
      <c r="BR114" s="48">
        <v>0.54800000000000004</v>
      </c>
      <c r="BS114" s="48">
        <v>0.49</v>
      </c>
      <c r="BT114" s="48">
        <v>0.48</v>
      </c>
      <c r="BU114" s="48">
        <v>0.33600000000000002</v>
      </c>
      <c r="BV114" s="48">
        <v>0.27800000000000002</v>
      </c>
      <c r="BW114" s="48">
        <v>0.25900000000000001</v>
      </c>
      <c r="BX114" s="48">
        <v>0.28799999999999998</v>
      </c>
      <c r="BY114" s="48">
        <v>0.432</v>
      </c>
      <c r="BZ114" s="48">
        <v>0.51900000000000002</v>
      </c>
      <c r="CA114" s="48">
        <v>0.625</v>
      </c>
      <c r="CB114" s="48">
        <v>0.58599999999999997</v>
      </c>
      <c r="CC114" s="48">
        <v>0.60499999999999998</v>
      </c>
      <c r="CD114" s="48">
        <v>0.70099999999999996</v>
      </c>
      <c r="CE114" s="48">
        <v>0.78800000000000003</v>
      </c>
      <c r="CF114" s="48">
        <v>0.83600000000000008</v>
      </c>
      <c r="CG114" s="48">
        <v>0.77800000000000002</v>
      </c>
      <c r="CH114" s="48">
        <v>0.73999999999999988</v>
      </c>
      <c r="CI114" s="48">
        <v>0.75000000000000011</v>
      </c>
      <c r="CJ114" s="48">
        <v>0.81699999999999995</v>
      </c>
      <c r="CK114" s="48">
        <v>0.84600000000000009</v>
      </c>
      <c r="CL114" s="48">
        <v>0.82600000000000007</v>
      </c>
      <c r="CM114" s="48">
        <v>0.76900000000000002</v>
      </c>
      <c r="CN114" s="48">
        <v>0.72999999999999987</v>
      </c>
      <c r="CO114" s="48">
        <v>0.71099999999999997</v>
      </c>
      <c r="CP114" s="48">
        <v>0.65300000000000002</v>
      </c>
      <c r="CQ114" s="48">
        <v>0.55700000000000005</v>
      </c>
      <c r="CR114" s="48">
        <v>0.41300000000000003</v>
      </c>
      <c r="CS114" s="48">
        <v>0.42300000000000004</v>
      </c>
      <c r="CT114" s="48">
        <v>0.307</v>
      </c>
      <c r="CU114" s="48">
        <v>0.24</v>
      </c>
      <c r="CV114" s="48">
        <v>0.221</v>
      </c>
      <c r="CW114" s="48">
        <v>0.21099999999999999</v>
      </c>
      <c r="CX114" s="48">
        <v>0.25</v>
      </c>
      <c r="CY114" s="48">
        <v>0.26900000000000002</v>
      </c>
      <c r="CZ114" s="48">
        <v>0.32600000000000001</v>
      </c>
      <c r="DA114" s="48">
        <v>0.31699999999999995</v>
      </c>
      <c r="DB114" s="48">
        <v>0.66300000000000003</v>
      </c>
      <c r="DC114" s="48">
        <v>0.85499999999999998</v>
      </c>
      <c r="DD114" s="48">
        <v>0.90300000000000002</v>
      </c>
      <c r="DE114" s="48">
        <v>0.91300000000000003</v>
      </c>
      <c r="DF114" s="48">
        <v>0.86499999999999999</v>
      </c>
    </row>
    <row r="115" spans="1:110" x14ac:dyDescent="0.2">
      <c r="A115" s="46" t="s">
        <v>122</v>
      </c>
      <c r="B115" s="47">
        <f t="shared" si="56"/>
        <v>0</v>
      </c>
      <c r="C115" s="47">
        <f t="shared" si="57"/>
        <v>0</v>
      </c>
      <c r="D115" s="49" t="e">
        <f t="shared" ref="D115:D146" ca="1" si="101">_xludf.STDEV.P(W115:DF115)*100</f>
        <v>#NAME?</v>
      </c>
      <c r="E115" s="47"/>
      <c r="F115" s="48">
        <v>0.56699999999999995</v>
      </c>
      <c r="G115" s="48">
        <v>0.56699999999999995</v>
      </c>
      <c r="H115" s="48">
        <v>0.56699999999999995</v>
      </c>
      <c r="I115" s="48">
        <v>0.56699999999999995</v>
      </c>
      <c r="J115" s="48">
        <v>0.56699999999999995</v>
      </c>
      <c r="K115" s="48">
        <v>0.56699999999999995</v>
      </c>
      <c r="L115" s="48">
        <v>0.56699999999999995</v>
      </c>
      <c r="M115" s="48">
        <v>0.56699999999999995</v>
      </c>
      <c r="N115" s="48">
        <v>0.56699999999999995</v>
      </c>
      <c r="O115" s="48">
        <v>0.56699999999999995</v>
      </c>
      <c r="P115" s="48">
        <v>0.56699999999999995</v>
      </c>
      <c r="Q115" s="48">
        <v>0.56699999999999995</v>
      </c>
      <c r="R115" s="48">
        <v>0.56699999999999995</v>
      </c>
      <c r="S115" s="48">
        <v>0.56699999999999995</v>
      </c>
      <c r="T115" s="48">
        <v>0.56699999999999995</v>
      </c>
      <c r="U115" s="48">
        <v>0.56699999999999995</v>
      </c>
      <c r="V115" s="48">
        <v>0.56699999999999995</v>
      </c>
      <c r="W115" s="48">
        <v>0.56699999999999995</v>
      </c>
      <c r="X115" s="48">
        <v>0.56699999999999995</v>
      </c>
      <c r="Y115" s="48">
        <v>0.56699999999999995</v>
      </c>
      <c r="Z115" s="48">
        <v>0.56699999999999995</v>
      </c>
      <c r="AA115" s="48">
        <v>0.54800000000000004</v>
      </c>
      <c r="AB115" s="48">
        <v>0.53800000000000003</v>
      </c>
      <c r="AC115" s="48">
        <v>0.52800000000000002</v>
      </c>
      <c r="AD115" s="48">
        <v>0.51900000000000002</v>
      </c>
      <c r="AE115" s="48">
        <v>0.50900000000000001</v>
      </c>
      <c r="AF115" s="48">
        <v>0.48</v>
      </c>
      <c r="AG115" s="48">
        <v>0.47099999999999997</v>
      </c>
      <c r="AH115" s="48">
        <v>0.40300000000000002</v>
      </c>
      <c r="AI115" s="48">
        <v>0.35499999999999998</v>
      </c>
      <c r="AJ115" s="48">
        <v>0.32600000000000001</v>
      </c>
      <c r="AK115" s="48">
        <v>0.26900000000000002</v>
      </c>
      <c r="AL115" s="48">
        <v>0.115</v>
      </c>
      <c r="AM115" s="48">
        <v>9.6000000000000002E-2</v>
      </c>
      <c r="AN115" s="48">
        <v>5.7000000000000002E-2</v>
      </c>
      <c r="AO115" s="48">
        <v>2.8000000000000001E-2</v>
      </c>
      <c r="AP115" s="48">
        <v>0</v>
      </c>
      <c r="AQ115" s="48">
        <v>0</v>
      </c>
      <c r="AR115" s="48">
        <v>0</v>
      </c>
      <c r="AS115" s="48">
        <v>2.8000000000000001E-2</v>
      </c>
      <c r="AT115" s="48">
        <v>7.5999999999999998E-2</v>
      </c>
      <c r="AU115" s="48">
        <v>8.5999999999999993E-2</v>
      </c>
      <c r="AV115" s="48">
        <v>5.7000000000000002E-2</v>
      </c>
      <c r="AW115" s="48">
        <v>2.8000000000000001E-2</v>
      </c>
      <c r="AX115" s="48">
        <v>0.105</v>
      </c>
      <c r="AY115" s="48">
        <v>0.153</v>
      </c>
      <c r="AZ115" s="48">
        <v>0.32600000000000001</v>
      </c>
      <c r="BA115" s="48">
        <v>0.36499999999999999</v>
      </c>
      <c r="BB115" s="48">
        <v>0.432</v>
      </c>
      <c r="BC115" s="48">
        <v>0.45100000000000001</v>
      </c>
      <c r="BD115" s="48">
        <v>0.46100000000000002</v>
      </c>
      <c r="BE115" s="48">
        <v>0.41299999999999998</v>
      </c>
      <c r="BF115" s="48">
        <v>0.38400000000000001</v>
      </c>
      <c r="BG115" s="48">
        <v>0.39400000000000002</v>
      </c>
      <c r="BH115" s="48">
        <v>0.442</v>
      </c>
      <c r="BI115" s="48">
        <v>0.49000000000000005</v>
      </c>
      <c r="BJ115" s="48">
        <v>0.83599999999999997</v>
      </c>
      <c r="BK115" s="48">
        <v>0.88400000000000001</v>
      </c>
      <c r="BL115" s="48">
        <v>0.90300000000000002</v>
      </c>
      <c r="BM115" s="48">
        <v>0.91300000000000003</v>
      </c>
      <c r="BN115" s="48">
        <v>0.93200000000000005</v>
      </c>
      <c r="BO115" s="48">
        <v>0.94199999999999995</v>
      </c>
      <c r="BP115" s="48">
        <v>0.95099999999999996</v>
      </c>
      <c r="BQ115" s="48">
        <v>0.96099999999999997</v>
      </c>
      <c r="BR115" s="48">
        <v>0.99</v>
      </c>
      <c r="BS115" s="48">
        <v>1</v>
      </c>
      <c r="BT115" s="48">
        <v>0.98000000000000009</v>
      </c>
      <c r="BU115" s="48">
        <v>0.97100000000000009</v>
      </c>
      <c r="BV115" s="48">
        <v>0.92300000000000004</v>
      </c>
      <c r="BW115" s="48">
        <v>0.89400000000000002</v>
      </c>
      <c r="BX115" s="48">
        <v>0.875</v>
      </c>
      <c r="BY115" s="48">
        <v>0.86499999999999999</v>
      </c>
      <c r="BZ115" s="48">
        <v>0.85499999999999998</v>
      </c>
      <c r="CA115" s="48">
        <v>0.84599999999999997</v>
      </c>
      <c r="CB115" s="48">
        <v>0.82599999999999996</v>
      </c>
      <c r="CC115" s="48">
        <v>0.81699999999999995</v>
      </c>
      <c r="CD115" s="48">
        <v>0.80700000000000005</v>
      </c>
      <c r="CE115" s="48">
        <v>0.79800000000000004</v>
      </c>
      <c r="CF115" s="48">
        <v>0.78800000000000003</v>
      </c>
      <c r="CG115" s="48">
        <v>0.77800000000000002</v>
      </c>
      <c r="CH115" s="48">
        <v>0.76900000000000002</v>
      </c>
      <c r="CI115" s="48">
        <v>0.55700000000000005</v>
      </c>
      <c r="CJ115" s="48">
        <v>0.42299999999999999</v>
      </c>
      <c r="CK115" s="48">
        <v>0.375</v>
      </c>
      <c r="CL115" s="48">
        <v>0.34599999999999997</v>
      </c>
      <c r="CM115" s="48">
        <v>0.317</v>
      </c>
      <c r="CN115" s="48">
        <v>0.307</v>
      </c>
      <c r="CO115" s="48">
        <v>0.29799999999999999</v>
      </c>
      <c r="CP115" s="48">
        <v>0.28799999999999998</v>
      </c>
      <c r="CQ115" s="48">
        <v>0.27800000000000002</v>
      </c>
      <c r="CR115" s="48">
        <v>0.25900000000000001</v>
      </c>
      <c r="CS115" s="48">
        <v>0.25</v>
      </c>
      <c r="CT115" s="48">
        <v>0.24</v>
      </c>
      <c r="CU115" s="48">
        <v>0.23</v>
      </c>
      <c r="CV115" s="48">
        <v>0.21099999999999999</v>
      </c>
      <c r="CW115" s="48">
        <v>0.192</v>
      </c>
      <c r="CX115" s="48">
        <v>0.17299999999999999</v>
      </c>
      <c r="CY115" s="48">
        <v>0.14399999999999999</v>
      </c>
      <c r="CZ115" s="48">
        <v>0.125</v>
      </c>
      <c r="DA115" s="48">
        <v>0.13400000000000001</v>
      </c>
      <c r="DB115" s="48">
        <v>0.16300000000000001</v>
      </c>
      <c r="DC115" s="48">
        <v>0.182</v>
      </c>
      <c r="DD115" s="48">
        <v>0.20100000000000001</v>
      </c>
      <c r="DE115" s="48">
        <v>0.221</v>
      </c>
      <c r="DF115" s="48">
        <v>0.5</v>
      </c>
    </row>
    <row r="116" spans="1:110" x14ac:dyDescent="0.2">
      <c r="A116" s="46" t="s">
        <v>124</v>
      </c>
      <c r="B116" s="47">
        <f t="shared" si="56"/>
        <v>0</v>
      </c>
      <c r="C116" s="47">
        <f t="shared" si="57"/>
        <v>0</v>
      </c>
      <c r="D116" s="49" t="e">
        <f t="shared" ref="D116:D147" ca="1" si="102">_xludf.STDEV.P(W116:DF116)*100</f>
        <v>#NAME?</v>
      </c>
      <c r="E116" s="47"/>
      <c r="F116" s="48">
        <v>0.64100000000000001</v>
      </c>
      <c r="G116" s="48">
        <v>0.64100000000000001</v>
      </c>
      <c r="H116" s="48">
        <v>0.64100000000000001</v>
      </c>
      <c r="I116" s="48">
        <v>0.64100000000000001</v>
      </c>
      <c r="J116" s="48">
        <v>0.64100000000000001</v>
      </c>
      <c r="K116" s="48">
        <v>0.64100000000000001</v>
      </c>
      <c r="L116" s="48">
        <v>0.64100000000000001</v>
      </c>
      <c r="M116" s="48">
        <v>0.64100000000000001</v>
      </c>
      <c r="N116" s="48">
        <v>0.64100000000000001</v>
      </c>
      <c r="O116" s="48">
        <v>0.64100000000000001</v>
      </c>
      <c r="P116" s="48">
        <v>0.64100000000000001</v>
      </c>
      <c r="Q116" s="48">
        <v>0.64100000000000001</v>
      </c>
      <c r="R116" s="48">
        <v>0.64100000000000001</v>
      </c>
      <c r="S116" s="48">
        <v>0.64100000000000001</v>
      </c>
      <c r="T116" s="48">
        <v>0.81399999999999995</v>
      </c>
      <c r="U116" s="48">
        <v>0.876</v>
      </c>
      <c r="V116" s="48">
        <v>0.91300000000000003</v>
      </c>
      <c r="W116" s="48">
        <v>0.86399999999999999</v>
      </c>
      <c r="X116" s="48">
        <v>0.50600000000000001</v>
      </c>
      <c r="Y116" s="48">
        <v>0.37</v>
      </c>
      <c r="Z116" s="48">
        <v>0.17199999999999999</v>
      </c>
      <c r="AA116" s="48">
        <v>0.19700000000000001</v>
      </c>
      <c r="AB116" s="48">
        <v>7.3999999999999996E-2</v>
      </c>
      <c r="AC116" s="48">
        <v>0.123</v>
      </c>
      <c r="AD116" s="48">
        <v>0.16</v>
      </c>
      <c r="AE116" s="48">
        <v>0.222</v>
      </c>
      <c r="AF116" s="48">
        <v>0.23400000000000004</v>
      </c>
      <c r="AG116" s="48">
        <v>9.8000000000000004E-2</v>
      </c>
      <c r="AH116" s="48">
        <v>6.1000000000000006E-2</v>
      </c>
      <c r="AI116" s="48">
        <v>4.9000000000000002E-2</v>
      </c>
      <c r="AJ116" s="48">
        <v>0.111</v>
      </c>
      <c r="AK116" s="48">
        <v>0.25900000000000001</v>
      </c>
      <c r="AL116" s="48">
        <v>0.44400000000000001</v>
      </c>
      <c r="AM116" s="48">
        <v>0.53</v>
      </c>
      <c r="AN116" s="48">
        <v>0.46899999999999992</v>
      </c>
      <c r="AO116" s="48">
        <v>0.51800000000000002</v>
      </c>
      <c r="AP116" s="48">
        <v>0.57999999999999996</v>
      </c>
      <c r="AQ116" s="48">
        <v>0.82699999999999996</v>
      </c>
      <c r="AR116" s="48">
        <v>0.88800000000000001</v>
      </c>
      <c r="AS116" s="48">
        <v>0.93799999999999983</v>
      </c>
      <c r="AT116" s="48">
        <v>0.96200000000000008</v>
      </c>
      <c r="AU116" s="48">
        <v>0.98699999999999999</v>
      </c>
      <c r="AV116" s="48">
        <v>1</v>
      </c>
      <c r="AW116" s="48">
        <v>0.97499999999999987</v>
      </c>
      <c r="AX116" s="48">
        <v>0.95</v>
      </c>
      <c r="AY116" s="48">
        <v>0.49299999999999999</v>
      </c>
      <c r="AZ116" s="48">
        <v>0.59199999999999997</v>
      </c>
      <c r="BA116" s="48">
        <v>0.61699999999999999</v>
      </c>
      <c r="BB116" s="48">
        <v>0.55500000000000005</v>
      </c>
      <c r="BC116" s="48">
        <v>0.40699999999999997</v>
      </c>
      <c r="BD116" s="48">
        <v>0.23400000000000004</v>
      </c>
      <c r="BE116" s="48">
        <v>0.13500000000000001</v>
      </c>
      <c r="BF116" s="48">
        <v>3.6999999999999998E-2</v>
      </c>
      <c r="BG116" s="48">
        <v>1.2E-2</v>
      </c>
      <c r="BH116" s="48">
        <v>0</v>
      </c>
      <c r="BI116" s="48">
        <v>2.4E-2</v>
      </c>
      <c r="BJ116" s="48">
        <v>8.5999999999999993E-2</v>
      </c>
      <c r="BK116" s="48">
        <v>0.32</v>
      </c>
      <c r="BL116" s="48">
        <v>0.33300000000000002</v>
      </c>
      <c r="BM116" s="48">
        <v>0.28299999999999997</v>
      </c>
      <c r="BN116" s="48">
        <v>0.34499999999999997</v>
      </c>
      <c r="BO116" s="48">
        <v>0.29599999999999999</v>
      </c>
      <c r="BP116" s="48">
        <v>0.20899999999999999</v>
      </c>
      <c r="BQ116" s="48">
        <v>0.185</v>
      </c>
      <c r="BR116" s="48">
        <v>0.14799999999999999</v>
      </c>
      <c r="BS116" s="48">
        <v>0.27100000000000002</v>
      </c>
      <c r="BT116" s="48">
        <v>0.35799999999999998</v>
      </c>
      <c r="BU116" s="48">
        <v>0.432</v>
      </c>
      <c r="BV116" s="48">
        <v>0.45600000000000002</v>
      </c>
      <c r="BW116" s="48">
        <v>0.56699999999999995</v>
      </c>
      <c r="BX116" s="48">
        <v>0.85099999999999998</v>
      </c>
      <c r="BY116" s="48">
        <v>0.90100000000000002</v>
      </c>
      <c r="BZ116" s="48">
        <v>0.92500000000000004</v>
      </c>
      <c r="CA116" s="48">
        <v>0.83899999999999997</v>
      </c>
      <c r="CB116" s="48">
        <v>0.629</v>
      </c>
      <c r="CC116" s="48">
        <v>0.60399999999999998</v>
      </c>
      <c r="CD116" s="48">
        <v>0.54300000000000004</v>
      </c>
      <c r="CE116" s="48">
        <v>0.48100000000000004</v>
      </c>
      <c r="CF116" s="48">
        <v>0.39500000000000002</v>
      </c>
      <c r="CG116" s="48">
        <v>0.38200000000000001</v>
      </c>
      <c r="CH116" s="48">
        <v>0.308</v>
      </c>
      <c r="CI116" s="48">
        <v>0.41899999999999998</v>
      </c>
      <c r="CJ116" s="48">
        <v>0.5</v>
      </c>
      <c r="CK116" s="48">
        <v>0.5</v>
      </c>
      <c r="CL116" s="48">
        <v>0.5</v>
      </c>
      <c r="CM116" s="48">
        <v>0.5</v>
      </c>
      <c r="CN116" s="48">
        <v>0.5</v>
      </c>
      <c r="CO116" s="48">
        <v>0.5</v>
      </c>
      <c r="CP116" s="48">
        <v>0.5</v>
      </c>
      <c r="CQ116" s="48">
        <v>0.5</v>
      </c>
      <c r="CR116" s="48">
        <v>0.5</v>
      </c>
      <c r="CS116" s="48">
        <v>0.5</v>
      </c>
      <c r="CT116" s="48">
        <v>0.5</v>
      </c>
      <c r="CU116" s="48">
        <v>0.5</v>
      </c>
      <c r="CV116" s="48">
        <v>0.5</v>
      </c>
      <c r="CW116" s="48">
        <v>0.5</v>
      </c>
      <c r="CX116" s="48">
        <v>0.5</v>
      </c>
      <c r="CY116" s="48">
        <v>0.5</v>
      </c>
      <c r="CZ116" s="48">
        <v>0.5</v>
      </c>
      <c r="DA116" s="48">
        <v>0.5</v>
      </c>
      <c r="DB116" s="48">
        <v>0.5</v>
      </c>
      <c r="DC116" s="48">
        <v>0.5</v>
      </c>
      <c r="DD116" s="48">
        <v>0.5</v>
      </c>
      <c r="DE116" s="48">
        <v>0.5</v>
      </c>
      <c r="DF116" s="48">
        <v>0.5</v>
      </c>
    </row>
    <row r="117" spans="1:110" x14ac:dyDescent="0.2">
      <c r="A117" s="46" t="s">
        <v>126</v>
      </c>
      <c r="B117" s="47">
        <f t="shared" si="56"/>
        <v>-38.5</v>
      </c>
      <c r="C117" s="47">
        <f t="shared" si="57"/>
        <v>0</v>
      </c>
      <c r="D117" s="49" t="e">
        <f t="shared" ref="D117:D148" ca="1" si="103">_xludf.STDEV.P(W117:DF117)*100</f>
        <v>#NAME?</v>
      </c>
      <c r="E117" s="47"/>
      <c r="F117" s="48">
        <v>0.115</v>
      </c>
      <c r="G117" s="48">
        <v>0.115</v>
      </c>
      <c r="H117" s="48">
        <v>0.115</v>
      </c>
      <c r="I117" s="48">
        <v>0.115</v>
      </c>
      <c r="J117" s="48">
        <v>0.115</v>
      </c>
      <c r="K117" s="48">
        <v>0.115</v>
      </c>
      <c r="L117" s="48">
        <v>0.192</v>
      </c>
      <c r="M117" s="48">
        <v>0.221</v>
      </c>
      <c r="N117" s="48">
        <v>0.25900000000000001</v>
      </c>
      <c r="O117" s="48">
        <v>0.42300000000000004</v>
      </c>
      <c r="P117" s="48">
        <v>0.45100000000000001</v>
      </c>
      <c r="Q117" s="48">
        <v>0.5</v>
      </c>
      <c r="R117" s="48">
        <v>0.53800000000000003</v>
      </c>
      <c r="S117" s="48">
        <v>0.60499999999999998</v>
      </c>
      <c r="T117" s="48">
        <v>0.68200000000000005</v>
      </c>
      <c r="U117" s="48">
        <v>0.72999999999999987</v>
      </c>
      <c r="V117" s="48">
        <v>0.72099999999999997</v>
      </c>
      <c r="W117" s="48">
        <v>0.69199999999999995</v>
      </c>
      <c r="X117" s="48">
        <v>0.65300000000000002</v>
      </c>
      <c r="Y117" s="48">
        <v>0.6339999999999999</v>
      </c>
      <c r="Z117" s="48">
        <v>0.57599999999999996</v>
      </c>
      <c r="AA117" s="48">
        <v>0.49</v>
      </c>
      <c r="AB117" s="48">
        <v>0.41300000000000003</v>
      </c>
      <c r="AC117" s="48">
        <v>0.20100000000000001</v>
      </c>
      <c r="AD117" s="48">
        <v>9.6000000000000002E-2</v>
      </c>
      <c r="AE117" s="48">
        <v>7.5999999999999998E-2</v>
      </c>
      <c r="AF117" s="48">
        <v>6.7000000000000004E-2</v>
      </c>
      <c r="AG117" s="48">
        <v>4.8000000000000001E-2</v>
      </c>
      <c r="AH117" s="48">
        <v>3.7999999999999999E-2</v>
      </c>
      <c r="AI117" s="48">
        <v>2.8000000000000004E-2</v>
      </c>
      <c r="AJ117" s="48">
        <v>8.9999999999999993E-3</v>
      </c>
      <c r="AK117" s="48">
        <v>0</v>
      </c>
      <c r="AL117" s="48">
        <v>1.9E-2</v>
      </c>
      <c r="AM117" s="48">
        <v>5.7000000000000002E-2</v>
      </c>
      <c r="AN117" s="48">
        <v>8.5999999999999993E-2</v>
      </c>
      <c r="AO117" s="48">
        <v>0.105</v>
      </c>
      <c r="AP117" s="48">
        <v>0.17299999999999999</v>
      </c>
      <c r="AQ117" s="48">
        <v>0.182</v>
      </c>
      <c r="AR117" s="48">
        <v>0.21099999999999999</v>
      </c>
      <c r="AS117" s="48">
        <v>0.23</v>
      </c>
      <c r="AT117" s="48">
        <v>0.26900000000000002</v>
      </c>
      <c r="AU117" s="48">
        <v>0.27800000000000002</v>
      </c>
      <c r="AV117" s="48">
        <v>0.25</v>
      </c>
      <c r="AW117" s="48">
        <v>0.28799999999999998</v>
      </c>
      <c r="AX117" s="48">
        <v>0.32600000000000001</v>
      </c>
      <c r="AY117" s="48">
        <v>0.35499999999999993</v>
      </c>
      <c r="AZ117" s="48">
        <v>0.36499999999999994</v>
      </c>
      <c r="BA117" s="48">
        <v>0.37500000000000006</v>
      </c>
      <c r="BB117" s="48">
        <v>0.48</v>
      </c>
      <c r="BC117" s="48">
        <v>0.52800000000000002</v>
      </c>
      <c r="BD117" s="48">
        <v>0.58599999999999997</v>
      </c>
      <c r="BE117" s="48">
        <v>0.55700000000000005</v>
      </c>
      <c r="BF117" s="48">
        <v>0.54800000000000004</v>
      </c>
      <c r="BG117" s="48">
        <v>0.56699999999999995</v>
      </c>
      <c r="BH117" s="48">
        <v>0.64399999999999991</v>
      </c>
      <c r="BI117" s="48">
        <v>0.67300000000000004</v>
      </c>
      <c r="BJ117" s="48">
        <v>0.59599999999999997</v>
      </c>
      <c r="BK117" s="48">
        <v>0.50900000000000001</v>
      </c>
      <c r="BL117" s="48">
        <v>0.47100000000000003</v>
      </c>
      <c r="BM117" s="48">
        <v>0.442</v>
      </c>
      <c r="BN117" s="48">
        <v>0.40300000000000002</v>
      </c>
      <c r="BO117" s="48">
        <v>0.29799999999999999</v>
      </c>
      <c r="BP117" s="48">
        <v>0.24</v>
      </c>
      <c r="BQ117" s="48">
        <v>0.33600000000000002</v>
      </c>
      <c r="BR117" s="48">
        <v>0.39400000000000002</v>
      </c>
      <c r="BS117" s="48">
        <v>0.38400000000000001</v>
      </c>
      <c r="BT117" s="48">
        <v>0.34599999999999997</v>
      </c>
      <c r="BU117" s="48">
        <v>0.307</v>
      </c>
      <c r="BV117" s="48">
        <v>0.31699999999999995</v>
      </c>
      <c r="BW117" s="48">
        <v>0.432</v>
      </c>
      <c r="BX117" s="48">
        <v>0.46100000000000002</v>
      </c>
      <c r="BY117" s="48">
        <v>0.51900000000000002</v>
      </c>
      <c r="BZ117" s="48">
        <v>0.61499999999999999</v>
      </c>
      <c r="CA117" s="48">
        <v>0.71099999999999997</v>
      </c>
      <c r="CB117" s="48">
        <v>0.73999999999999988</v>
      </c>
      <c r="CC117" s="48">
        <v>0.70099999999999996</v>
      </c>
      <c r="CD117" s="48">
        <v>0.625</v>
      </c>
      <c r="CE117" s="48">
        <v>0.66300000000000003</v>
      </c>
      <c r="CF117" s="48">
        <v>0.75000000000000011</v>
      </c>
      <c r="CG117" s="48">
        <v>0.78800000000000003</v>
      </c>
      <c r="CH117" s="48">
        <v>0.82600000000000007</v>
      </c>
      <c r="CI117" s="48">
        <v>0.86499999999999999</v>
      </c>
      <c r="CJ117" s="48">
        <v>0.93200000000000005</v>
      </c>
      <c r="CK117" s="48">
        <v>0.91300000000000003</v>
      </c>
      <c r="CL117" s="48">
        <v>0.875</v>
      </c>
      <c r="CM117" s="48">
        <v>0.90300000000000002</v>
      </c>
      <c r="CN117" s="48">
        <v>0.92300000000000004</v>
      </c>
      <c r="CO117" s="48">
        <v>0.94200000000000006</v>
      </c>
      <c r="CP117" s="48">
        <v>0.88400000000000001</v>
      </c>
      <c r="CQ117" s="48">
        <v>0.85499999999999998</v>
      </c>
      <c r="CR117" s="48">
        <v>0.81699999999999995</v>
      </c>
      <c r="CS117" s="48">
        <v>0.84600000000000009</v>
      </c>
      <c r="CT117" s="48">
        <v>0.83600000000000008</v>
      </c>
      <c r="CU117" s="48">
        <v>0.79800000000000004</v>
      </c>
      <c r="CV117" s="48">
        <v>0.76900000000000002</v>
      </c>
      <c r="CW117" s="48">
        <v>0.75900000000000001</v>
      </c>
      <c r="CX117" s="48">
        <v>0.77800000000000002</v>
      </c>
      <c r="CY117" s="48">
        <v>0.80700000000000005</v>
      </c>
      <c r="CZ117" s="48">
        <v>0.89400000000000002</v>
      </c>
      <c r="DA117" s="48">
        <v>0.95099999999999996</v>
      </c>
      <c r="DB117" s="48">
        <v>0.96099999999999997</v>
      </c>
      <c r="DC117" s="48">
        <v>0.97099999999999997</v>
      </c>
      <c r="DD117" s="48">
        <v>0.98</v>
      </c>
      <c r="DE117" s="48">
        <v>0.99</v>
      </c>
      <c r="DF117" s="48">
        <v>1</v>
      </c>
    </row>
    <row r="118" spans="1:110" x14ac:dyDescent="0.2">
      <c r="A118" s="46" t="s">
        <v>128</v>
      </c>
      <c r="B118" s="47">
        <f t="shared" si="56"/>
        <v>6.1206147259015573</v>
      </c>
      <c r="C118" s="47">
        <f t="shared" si="57"/>
        <v>-0.93337400029070983</v>
      </c>
      <c r="D118" s="49" t="e">
        <f t="shared" ref="D118:D149" ca="1" si="104">_xludf.STDEV.P(W118:DF118)*100</f>
        <v>#NAME?</v>
      </c>
      <c r="E118" s="47"/>
      <c r="F118" s="48">
        <v>0.54224366118000222</v>
      </c>
      <c r="G118" s="48">
        <v>0.53736413570395958</v>
      </c>
      <c r="H118" s="48">
        <v>0.55273416961913235</v>
      </c>
      <c r="I118" s="48">
        <v>0.55157740118290932</v>
      </c>
      <c r="J118" s="48">
        <v>0.58331609042122978</v>
      </c>
      <c r="K118" s="48">
        <v>0.53616183048182875</v>
      </c>
      <c r="L118" s="48">
        <v>0.59183934447493025</v>
      </c>
      <c r="M118" s="48">
        <v>0.6004170393970294</v>
      </c>
      <c r="N118" s="48">
        <v>0.58875102808716406</v>
      </c>
      <c r="O118" s="48">
        <v>0.52489353665610106</v>
      </c>
      <c r="P118" s="48">
        <v>0.48803722018179679</v>
      </c>
      <c r="Q118" s="48">
        <v>0.48103751392098665</v>
      </c>
      <c r="R118" s="48">
        <v>0.440356406578228</v>
      </c>
      <c r="S118" s="48">
        <v>0.42716049694176578</v>
      </c>
      <c r="T118" s="48">
        <v>0.40908924265729735</v>
      </c>
      <c r="U118" s="48">
        <v>0.46295175108200426</v>
      </c>
      <c r="V118" s="48">
        <v>0.46120775111085022</v>
      </c>
      <c r="W118" s="48">
        <v>0.42848302800062615</v>
      </c>
      <c r="X118" s="48">
        <v>0.30338291519043392</v>
      </c>
      <c r="Y118" s="48">
        <v>0.24378451976341819</v>
      </c>
      <c r="Z118" s="48">
        <v>0.18517240689553388</v>
      </c>
      <c r="AA118" s="48">
        <v>0.16218440695322589</v>
      </c>
      <c r="AB118" s="48">
        <v>0.18296470083664554</v>
      </c>
      <c r="AC118" s="48">
        <v>0.21639035057697575</v>
      </c>
      <c r="AD118" s="48">
        <v>0.21033527717823575</v>
      </c>
      <c r="AE118" s="48">
        <v>0.20358513030864089</v>
      </c>
      <c r="AF118" s="48">
        <v>0.20280395520765199</v>
      </c>
      <c r="AG118" s="48">
        <v>0.19269134496531209</v>
      </c>
      <c r="AH118" s="48">
        <v>0.15674248622324335</v>
      </c>
      <c r="AI118" s="48">
        <v>0.13180626006920801</v>
      </c>
      <c r="AJ118" s="48">
        <v>0.2052352995239293</v>
      </c>
      <c r="AK118" s="48">
        <v>0.2762730621321437</v>
      </c>
      <c r="AL118" s="48">
        <v>0.39801509603289337</v>
      </c>
      <c r="AM118" s="48">
        <v>0.4353353672821596</v>
      </c>
      <c r="AN118" s="48">
        <v>0.47636639551355375</v>
      </c>
      <c r="AO118" s="48">
        <v>0.51031387566359765</v>
      </c>
      <c r="AP118" s="48">
        <v>0.48093351402194756</v>
      </c>
      <c r="AQ118" s="48">
        <v>0.4645391862522012</v>
      </c>
      <c r="AR118" s="48">
        <v>0.51425889236878142</v>
      </c>
      <c r="AS118" s="48">
        <v>0.5779204291114205</v>
      </c>
      <c r="AT118" s="48">
        <v>0.69164707324008701</v>
      </c>
      <c r="AU118" s="48">
        <v>0.72997127663016181</v>
      </c>
      <c r="AV118" s="48">
        <v>0.79521778509813779</v>
      </c>
      <c r="AW118" s="48">
        <v>0.68654056484422621</v>
      </c>
      <c r="AX118" s="48">
        <v>0.60911654238314861</v>
      </c>
      <c r="AY118" s="48">
        <v>0.43175005676567102</v>
      </c>
      <c r="AZ118" s="48">
        <v>0.36559805663586409</v>
      </c>
      <c r="BA118" s="48">
        <v>0.33797536735427464</v>
      </c>
      <c r="BB118" s="48">
        <v>0.43608413555972969</v>
      </c>
      <c r="BC118" s="48">
        <v>0.447003638401619</v>
      </c>
      <c r="BD118" s="48">
        <v>0.42528117510098901</v>
      </c>
      <c r="BE118" s="48">
        <v>0.30013665540968582</v>
      </c>
      <c r="BF118" s="48">
        <v>0.22484682491343408</v>
      </c>
      <c r="BG118" s="48">
        <v>0.15976411299769122</v>
      </c>
      <c r="BH118" s="48">
        <v>7.9215480236581856E-2</v>
      </c>
      <c r="BI118" s="48">
        <v>0.15201538977208312</v>
      </c>
      <c r="BJ118" s="48">
        <v>0.24204085858341579</v>
      </c>
      <c r="BK118" s="48">
        <v>0.50049783029432982</v>
      </c>
      <c r="BL118" s="48">
        <v>0.49226583038086774</v>
      </c>
      <c r="BM118" s="48">
        <v>0.50011796602713543</v>
      </c>
      <c r="BN118" s="48">
        <v>0.46964422595211347</v>
      </c>
      <c r="BO118" s="48">
        <v>0.47323618074149854</v>
      </c>
      <c r="BP118" s="48">
        <v>0.4968703276543624</v>
      </c>
      <c r="BQ118" s="48">
        <v>0.50063581924407852</v>
      </c>
      <c r="BR118" s="48">
        <v>0.51067520913154552</v>
      </c>
      <c r="BS118" s="48">
        <v>0.47808659900458961</v>
      </c>
      <c r="BT118" s="48">
        <v>0.44810558212632984</v>
      </c>
      <c r="BU118" s="48">
        <v>0.45729396627232627</v>
      </c>
      <c r="BV118" s="48">
        <v>0.48098903974318125</v>
      </c>
      <c r="BW118" s="48">
        <v>0.48918189845640403</v>
      </c>
      <c r="BX118" s="48">
        <v>0.48662097189841286</v>
      </c>
      <c r="BY118" s="48">
        <v>0.53609633925268751</v>
      </c>
      <c r="BZ118" s="48">
        <v>0.57325536749850459</v>
      </c>
      <c r="CA118" s="48">
        <v>0.5906179209751734</v>
      </c>
      <c r="CB118" s="48">
        <v>0.57370485877091471</v>
      </c>
      <c r="CC118" s="48">
        <v>0.62624621472878617</v>
      </c>
      <c r="CD118" s="48">
        <v>0.67077331081937164</v>
      </c>
      <c r="CE118" s="48">
        <v>0.72922442937103427</v>
      </c>
      <c r="CF118" s="48">
        <v>0.73598298294866404</v>
      </c>
      <c r="CG118" s="48">
        <v>0.71038045174557396</v>
      </c>
      <c r="CH118" s="48">
        <v>0.73629941216104566</v>
      </c>
      <c r="CI118" s="48">
        <v>0.7209491975332204</v>
      </c>
      <c r="CJ118" s="48">
        <v>0.74648524275825823</v>
      </c>
      <c r="CK118" s="48">
        <v>0.75362386423834826</v>
      </c>
      <c r="CL118" s="48">
        <v>0.76578009024815374</v>
      </c>
      <c r="CM118" s="48">
        <v>0.74941645191864992</v>
      </c>
      <c r="CN118" s="48">
        <v>0.72559893785343332</v>
      </c>
      <c r="CO118" s="48">
        <v>0.70353383046740581</v>
      </c>
      <c r="CP118" s="48">
        <v>0.65440558176575492</v>
      </c>
      <c r="CQ118" s="48">
        <v>0.61428431612815215</v>
      </c>
      <c r="CR118" s="48">
        <v>0.6697864858338225</v>
      </c>
      <c r="CS118" s="48">
        <v>0.67146842934218842</v>
      </c>
      <c r="CT118" s="48">
        <v>0.63252684740335752</v>
      </c>
      <c r="CU118" s="48">
        <v>0.59852291526254886</v>
      </c>
      <c r="CV118" s="48">
        <v>0.61860533343910196</v>
      </c>
      <c r="CW118" s="48">
        <v>0.63784510753025747</v>
      </c>
      <c r="CX118" s="48">
        <v>0.63641247472587936</v>
      </c>
      <c r="CY118" s="48">
        <v>0.65001839564336072</v>
      </c>
      <c r="CZ118" s="48">
        <v>0.59412411292557621</v>
      </c>
      <c r="DA118" s="48">
        <v>0.63158133332371802</v>
      </c>
      <c r="DB118" s="48">
        <v>0.66205419218117079</v>
      </c>
      <c r="DC118" s="48">
        <v>0.66239683626656831</v>
      </c>
      <c r="DD118" s="48">
        <v>0.63662155937679243</v>
      </c>
      <c r="DE118" s="48">
        <v>0.64611959330638802</v>
      </c>
      <c r="DF118" s="48">
        <v>0.70084736733985165</v>
      </c>
    </row>
    <row r="119" spans="1:110" x14ac:dyDescent="0.2">
      <c r="A119" s="46" t="s">
        <v>132</v>
      </c>
      <c r="B119" s="47">
        <f t="shared" si="56"/>
        <v>-50.966666666666669</v>
      </c>
      <c r="C119" s="47">
        <f t="shared" si="57"/>
        <v>-0.96666666666666567</v>
      </c>
      <c r="D119" s="49" t="e">
        <f t="shared" ref="D119:D150" ca="1" si="105">_xludf.STDEV.P(W119:DF119)*100</f>
        <v>#NAME?</v>
      </c>
      <c r="E119" s="47"/>
      <c r="F119" s="48">
        <v>0.29766666666666663</v>
      </c>
      <c r="G119" s="48">
        <v>0.27833333333333332</v>
      </c>
      <c r="H119" s="48">
        <v>0.307</v>
      </c>
      <c r="I119" s="48">
        <v>0.30733333333333329</v>
      </c>
      <c r="J119" s="48">
        <v>0.4383333333333333</v>
      </c>
      <c r="K119" s="48">
        <v>0.6243333333333333</v>
      </c>
      <c r="L119" s="48">
        <v>0.67866666666666653</v>
      </c>
      <c r="M119" s="48">
        <v>0.67566666666666664</v>
      </c>
      <c r="N119" s="48">
        <v>0.80066666666666664</v>
      </c>
      <c r="O119" s="48">
        <v>0.86499999999999988</v>
      </c>
      <c r="P119" s="48">
        <v>0.85566666666666669</v>
      </c>
      <c r="Q119" s="48">
        <v>0.80733333333333335</v>
      </c>
      <c r="R119" s="48">
        <v>0.69499999999999995</v>
      </c>
      <c r="S119" s="48">
        <v>0.51866666666666661</v>
      </c>
      <c r="T119" s="48">
        <v>0.55433333333333323</v>
      </c>
      <c r="U119" s="48">
        <v>0.64399999999999979</v>
      </c>
      <c r="V119" s="48">
        <v>0.78833333333333322</v>
      </c>
      <c r="W119" s="48">
        <v>0.63100000000000001</v>
      </c>
      <c r="X119" s="48">
        <v>0.48699999999999993</v>
      </c>
      <c r="Y119" s="48">
        <v>0.38733333333333331</v>
      </c>
      <c r="Z119" s="48">
        <v>0.40333333333333338</v>
      </c>
      <c r="AA119" s="48">
        <v>0.45499999999999996</v>
      </c>
      <c r="AB119" s="48">
        <v>0.77833333333333321</v>
      </c>
      <c r="AC119" s="48">
        <v>0.82666666666666666</v>
      </c>
      <c r="AD119" s="48">
        <v>0.83899999999999997</v>
      </c>
      <c r="AE119" s="48">
        <v>0.82</v>
      </c>
      <c r="AF119" s="48">
        <v>0.73366666666666658</v>
      </c>
      <c r="AG119" s="48">
        <v>0.56333333333333324</v>
      </c>
      <c r="AH119" s="48">
        <v>0.39999999999999991</v>
      </c>
      <c r="AI119" s="48">
        <v>0.33266666666666661</v>
      </c>
      <c r="AJ119" s="48">
        <v>0.53499999999999992</v>
      </c>
      <c r="AK119" s="48">
        <v>0.77866666666666662</v>
      </c>
      <c r="AL119" s="48">
        <v>0.77833333333333321</v>
      </c>
      <c r="AM119" s="48">
        <v>0.69533333333333325</v>
      </c>
      <c r="AN119" s="48">
        <v>0.74333333333333329</v>
      </c>
      <c r="AO119" s="48">
        <v>0.79099999999999993</v>
      </c>
      <c r="AP119" s="48">
        <v>0.86466666666666658</v>
      </c>
      <c r="AQ119" s="48">
        <v>0.92566666666666653</v>
      </c>
      <c r="AR119" s="48">
        <v>0.95133333333333314</v>
      </c>
      <c r="AS119" s="48">
        <v>0.96733333333333327</v>
      </c>
      <c r="AT119" s="48">
        <v>0.97399999999999987</v>
      </c>
      <c r="AU119" s="48">
        <v>0.96399999999999986</v>
      </c>
      <c r="AV119" s="48">
        <v>0.96766666666666656</v>
      </c>
      <c r="AW119" s="48">
        <v>0.94833333333333325</v>
      </c>
      <c r="AX119" s="48">
        <v>0.93233333333333324</v>
      </c>
      <c r="AY119" s="48">
        <v>0.61799999999999999</v>
      </c>
      <c r="AZ119" s="48">
        <v>0.37766666666666665</v>
      </c>
      <c r="BA119" s="48">
        <v>0.32333333333333331</v>
      </c>
      <c r="BB119" s="48">
        <v>0.18866666666666665</v>
      </c>
      <c r="BC119" s="48">
        <v>0.10199999999999999</v>
      </c>
      <c r="BD119" s="48">
        <v>4.4333333333333329E-2</v>
      </c>
      <c r="BE119" s="48">
        <v>3.2000000000000001E-2</v>
      </c>
      <c r="BF119" s="48">
        <v>2.8000000000000001E-2</v>
      </c>
      <c r="BG119" s="48">
        <v>6.3666666666666663E-2</v>
      </c>
      <c r="BH119" s="48">
        <v>7.0333333333333331E-2</v>
      </c>
      <c r="BI119" s="48">
        <v>7.9666666666666663E-2</v>
      </c>
      <c r="BJ119" s="48">
        <v>0.10866666666666666</v>
      </c>
      <c r="BK119" s="48">
        <v>0.17933333333333332</v>
      </c>
      <c r="BL119" s="48">
        <v>0.27799999999999997</v>
      </c>
      <c r="BM119" s="48">
        <v>0.23033333333333333</v>
      </c>
      <c r="BN119" s="48">
        <v>0.214</v>
      </c>
      <c r="BO119" s="48">
        <v>0.18233333333333329</v>
      </c>
      <c r="BP119" s="48">
        <v>0.15633333333333332</v>
      </c>
      <c r="BQ119" s="48">
        <v>0.11833333333333333</v>
      </c>
      <c r="BR119" s="48">
        <v>0.10233333333333333</v>
      </c>
      <c r="BS119" s="48">
        <v>9.2333333333333323E-2</v>
      </c>
      <c r="BT119" s="48">
        <v>8.2666666666666666E-2</v>
      </c>
      <c r="BU119" s="48">
        <v>7.9666666666666663E-2</v>
      </c>
      <c r="BV119" s="48">
        <v>0.12466666666666666</v>
      </c>
      <c r="BW119" s="48">
        <v>0.1633333333333333</v>
      </c>
      <c r="BX119" s="48">
        <v>0.20466666666666664</v>
      </c>
      <c r="BY119" s="48">
        <v>0.23666666666666661</v>
      </c>
      <c r="BZ119" s="48">
        <v>0.28799999999999998</v>
      </c>
      <c r="CA119" s="48">
        <v>0.35533333333333328</v>
      </c>
      <c r="CB119" s="48">
        <v>0.49333333333333335</v>
      </c>
      <c r="CC119" s="48">
        <v>0.55700000000000005</v>
      </c>
      <c r="CD119" s="48">
        <v>0.57299999999999995</v>
      </c>
      <c r="CE119" s="48">
        <v>0.55399999999999994</v>
      </c>
      <c r="CF119" s="48">
        <v>0.44833333333333331</v>
      </c>
      <c r="CG119" s="48">
        <v>0.53166666666666662</v>
      </c>
      <c r="CH119" s="48">
        <v>0.50933333333333319</v>
      </c>
      <c r="CI119" s="48">
        <v>0.52233333333333332</v>
      </c>
      <c r="CJ119" s="48">
        <v>0.39999999999999991</v>
      </c>
      <c r="CK119" s="48">
        <v>0.43566666666666665</v>
      </c>
      <c r="CL119" s="48">
        <v>0.46433333333333326</v>
      </c>
      <c r="CM119" s="48">
        <v>0.46133333333333332</v>
      </c>
      <c r="CN119" s="48">
        <v>0.39666666666666661</v>
      </c>
      <c r="CO119" s="48">
        <v>0.3776666666666666</v>
      </c>
      <c r="CP119" s="48">
        <v>0.41</v>
      </c>
      <c r="CQ119" s="48">
        <v>0.48033333333333328</v>
      </c>
      <c r="CR119" s="48">
        <v>0.59533333333333316</v>
      </c>
      <c r="CS119" s="48">
        <v>0.56066666666666665</v>
      </c>
      <c r="CT119" s="48">
        <v>0.67899999999999983</v>
      </c>
      <c r="CU119" s="48">
        <v>0.7589999999999999</v>
      </c>
      <c r="CV119" s="48">
        <v>0.83933333333333326</v>
      </c>
      <c r="CW119" s="48">
        <v>0.76533333333333331</v>
      </c>
      <c r="CX119" s="48">
        <v>0.69533333333333325</v>
      </c>
      <c r="CY119" s="48">
        <v>0.64700000000000002</v>
      </c>
      <c r="CZ119" s="48">
        <v>0.61833333333333329</v>
      </c>
      <c r="DA119" s="48">
        <v>0.56066666666666665</v>
      </c>
      <c r="DB119" s="48">
        <v>0.54399999999999982</v>
      </c>
      <c r="DC119" s="48">
        <v>0.49300000000000005</v>
      </c>
      <c r="DD119" s="48">
        <v>0.45133333333333325</v>
      </c>
      <c r="DE119" s="48">
        <v>0.44833333333333331</v>
      </c>
      <c r="DF119" s="48">
        <v>0.44500000000000006</v>
      </c>
    </row>
    <row r="120" spans="1:110" x14ac:dyDescent="0.2">
      <c r="A120" s="46" t="s">
        <v>134</v>
      </c>
      <c r="B120" s="47">
        <f t="shared" si="56"/>
        <v>-62.20000000000001</v>
      </c>
      <c r="C120" s="47">
        <f t="shared" si="57"/>
        <v>-22.400000000000002</v>
      </c>
      <c r="D120" s="49" t="e">
        <f t="shared" ref="D120:D151" ca="1" si="106">_xludf.STDEV.P(W120:DF120)*100</f>
        <v>#NAME?</v>
      </c>
      <c r="E120" s="47"/>
      <c r="F120" s="48">
        <v>0.17399999999999999</v>
      </c>
      <c r="G120" s="48">
        <v>0.5</v>
      </c>
      <c r="H120" s="48">
        <v>0.33</v>
      </c>
      <c r="I120" s="48">
        <v>0.39800000000000002</v>
      </c>
      <c r="J120" s="48">
        <v>0.436</v>
      </c>
      <c r="K120" s="48">
        <v>0.54300000000000004</v>
      </c>
      <c r="L120" s="48">
        <v>0.70799999999999996</v>
      </c>
      <c r="M120" s="48">
        <v>0.52400000000000002</v>
      </c>
      <c r="N120" s="48">
        <v>0.96100000000000008</v>
      </c>
      <c r="O120" s="48">
        <v>0.95100000000000007</v>
      </c>
      <c r="P120" s="48">
        <v>0.90200000000000002</v>
      </c>
      <c r="Q120" s="48">
        <v>0.79600000000000004</v>
      </c>
      <c r="R120" s="48">
        <v>0.61099999999999999</v>
      </c>
      <c r="S120" s="48">
        <v>0.36799999999999999</v>
      </c>
      <c r="T120" s="48">
        <v>0.40699999999999997</v>
      </c>
      <c r="U120" s="48">
        <v>0.46600000000000003</v>
      </c>
      <c r="V120" s="48">
        <v>0.65</v>
      </c>
      <c r="W120" s="48">
        <v>0.45600000000000002</v>
      </c>
      <c r="X120" s="48">
        <v>0.184</v>
      </c>
      <c r="Y120" s="48">
        <v>0.11599999999999999</v>
      </c>
      <c r="Z120" s="48">
        <v>6.7000000000000004E-2</v>
      </c>
      <c r="AA120" s="48">
        <v>9.7000000000000003E-2</v>
      </c>
      <c r="AB120" s="48">
        <v>0.126</v>
      </c>
      <c r="AC120" s="48">
        <v>0.13500000000000001</v>
      </c>
      <c r="AD120" s="48">
        <v>0.10599999999999998</v>
      </c>
      <c r="AE120" s="48">
        <v>8.6999999999999994E-2</v>
      </c>
      <c r="AF120" s="48">
        <v>7.6999999999999999E-2</v>
      </c>
      <c r="AG120" s="48">
        <v>3.7999999999999999E-2</v>
      </c>
      <c r="AH120" s="48">
        <v>1.9E-2</v>
      </c>
      <c r="AI120" s="48">
        <v>5.7999999999999996E-2</v>
      </c>
      <c r="AJ120" s="48">
        <v>0.14499999999999999</v>
      </c>
      <c r="AK120" s="48">
        <v>0.21299999999999999</v>
      </c>
      <c r="AL120" s="48">
        <v>0.42699999999999999</v>
      </c>
      <c r="AM120" s="48">
        <v>0.51400000000000001</v>
      </c>
      <c r="AN120" s="48">
        <v>0.57199999999999995</v>
      </c>
      <c r="AO120" s="48">
        <v>0.66</v>
      </c>
      <c r="AP120" s="48">
        <v>0.75700000000000001</v>
      </c>
      <c r="AQ120" s="48">
        <v>0.77600000000000002</v>
      </c>
      <c r="AR120" s="48">
        <v>0.78600000000000003</v>
      </c>
      <c r="AS120" s="48">
        <v>0.80500000000000005</v>
      </c>
      <c r="AT120" s="48">
        <v>0.86399999999999999</v>
      </c>
      <c r="AU120" s="48">
        <v>0.97</v>
      </c>
      <c r="AV120" s="48">
        <v>0.99</v>
      </c>
      <c r="AW120" s="48">
        <v>1</v>
      </c>
      <c r="AX120" s="48">
        <v>0.98</v>
      </c>
      <c r="AY120" s="48">
        <v>0.378</v>
      </c>
      <c r="AZ120" s="48">
        <v>0.35899999999999999</v>
      </c>
      <c r="BA120" s="48">
        <v>0.31</v>
      </c>
      <c r="BB120" s="48">
        <v>0.28100000000000003</v>
      </c>
      <c r="BC120" s="48">
        <v>0.19400000000000001</v>
      </c>
      <c r="BD120" s="48">
        <v>0.20300000000000001</v>
      </c>
      <c r="BE120" s="48">
        <v>0.16500000000000001</v>
      </c>
      <c r="BF120" s="48">
        <v>0.155</v>
      </c>
      <c r="BG120" s="48">
        <v>2.8999999999999998E-2</v>
      </c>
      <c r="BH120" s="48">
        <v>8.9999999999999993E-3</v>
      </c>
      <c r="BI120" s="48">
        <v>0</v>
      </c>
      <c r="BJ120" s="48">
        <v>4.8000000000000001E-2</v>
      </c>
      <c r="BK120" s="48">
        <v>0.38800000000000001</v>
      </c>
      <c r="BL120" s="48">
        <v>0.33900000000000002</v>
      </c>
      <c r="BM120" s="48">
        <v>0.27100000000000002</v>
      </c>
      <c r="BN120" s="48">
        <v>0.223</v>
      </c>
      <c r="BO120" s="48">
        <v>0.23300000000000001</v>
      </c>
      <c r="BP120" s="48">
        <v>0.24199999999999999</v>
      </c>
      <c r="BQ120" s="48">
        <v>0.26200000000000001</v>
      </c>
      <c r="BR120" s="48">
        <v>0.252</v>
      </c>
      <c r="BS120" s="48">
        <v>0.29099999999999998</v>
      </c>
      <c r="BT120" s="48">
        <v>0.32</v>
      </c>
      <c r="BU120" s="48">
        <v>0.34899999999999998</v>
      </c>
      <c r="BV120" s="48">
        <v>0.41699999999999998</v>
      </c>
      <c r="BW120" s="48">
        <v>0.495</v>
      </c>
      <c r="BX120" s="48">
        <v>0.504</v>
      </c>
      <c r="BY120" s="48">
        <v>0.56299999999999994</v>
      </c>
      <c r="BZ120" s="48">
        <v>0.60099999999999998</v>
      </c>
      <c r="CA120" s="48">
        <v>0.64</v>
      </c>
      <c r="CB120" s="48">
        <v>0.69899999999999995</v>
      </c>
      <c r="CC120" s="48">
        <v>0.71799999999999997</v>
      </c>
      <c r="CD120" s="48">
        <v>0.68899999999999995</v>
      </c>
      <c r="CE120" s="48">
        <v>0.63100000000000001</v>
      </c>
      <c r="CF120" s="48">
        <v>0.53300000000000003</v>
      </c>
      <c r="CG120" s="48">
        <v>0.48499999999999999</v>
      </c>
      <c r="CH120" s="48">
        <v>0.73699999999999999</v>
      </c>
      <c r="CI120" s="48">
        <v>0.82499999999999996</v>
      </c>
      <c r="CJ120" s="48">
        <v>0.8929999999999999</v>
      </c>
      <c r="CK120" s="48">
        <v>0.91200000000000003</v>
      </c>
      <c r="CL120" s="48">
        <v>0.92200000000000004</v>
      </c>
      <c r="CM120" s="48">
        <v>0.8829999999999999</v>
      </c>
      <c r="CN120" s="48">
        <v>0.83399999999999996</v>
      </c>
      <c r="CO120" s="48">
        <v>0.84399999999999997</v>
      </c>
      <c r="CP120" s="48">
        <v>0.81499999999999995</v>
      </c>
      <c r="CQ120" s="48">
        <v>0.85399999999999998</v>
      </c>
      <c r="CR120" s="48">
        <v>0.93200000000000005</v>
      </c>
      <c r="CS120" s="48">
        <v>0.94100000000000006</v>
      </c>
      <c r="CT120" s="48">
        <v>0.87299999999999989</v>
      </c>
      <c r="CU120" s="48">
        <v>0.76600000000000001</v>
      </c>
      <c r="CV120" s="48">
        <v>0.747</v>
      </c>
      <c r="CW120" s="48">
        <v>0.72799999999999998</v>
      </c>
      <c r="CX120" s="48">
        <v>0.66900000000000004</v>
      </c>
      <c r="CY120" s="48">
        <v>0.67900000000000005</v>
      </c>
      <c r="CZ120" s="48">
        <v>0.621</v>
      </c>
      <c r="DA120" s="48">
        <v>0.59199999999999997</v>
      </c>
      <c r="DB120" s="48">
        <v>0.58199999999999996</v>
      </c>
      <c r="DC120" s="48">
        <v>0.55300000000000005</v>
      </c>
      <c r="DD120" s="48">
        <v>0.47499999999999998</v>
      </c>
      <c r="DE120" s="48">
        <v>0.44600000000000001</v>
      </c>
      <c r="DF120" s="48">
        <v>0.3</v>
      </c>
    </row>
    <row r="121" spans="1:110" x14ac:dyDescent="0.2">
      <c r="A121" s="46" t="s">
        <v>136</v>
      </c>
      <c r="B121" s="47">
        <f t="shared" si="56"/>
        <v>20.199999999999996</v>
      </c>
      <c r="C121" s="47">
        <f t="shared" si="57"/>
        <v>-13.400000000000013</v>
      </c>
      <c r="D121" s="49" t="e">
        <f t="shared" ref="D121:D152" ca="1" si="107">_xludf.STDEV.P(W121:DF121)*100</f>
        <v>#NAME?</v>
      </c>
      <c r="E121" s="47"/>
      <c r="F121" s="48">
        <v>0.69199999999999995</v>
      </c>
      <c r="G121" s="48">
        <v>0.79800000000000004</v>
      </c>
      <c r="H121" s="48">
        <v>0.86499999999999999</v>
      </c>
      <c r="I121" s="48">
        <v>0.82600000000000007</v>
      </c>
      <c r="J121" s="48">
        <v>0.70099999999999996</v>
      </c>
      <c r="K121" s="48">
        <v>0.55700000000000005</v>
      </c>
      <c r="L121" s="48">
        <v>0.75900000000000001</v>
      </c>
      <c r="M121" s="48">
        <v>0.77800000000000002</v>
      </c>
      <c r="N121" s="48">
        <v>0.89400000000000002</v>
      </c>
      <c r="O121" s="48">
        <v>0.65300000000000002</v>
      </c>
      <c r="P121" s="48">
        <v>0.56699999999999995</v>
      </c>
      <c r="Q121" s="48">
        <v>0.49</v>
      </c>
      <c r="R121" s="48">
        <v>0.47100000000000003</v>
      </c>
      <c r="S121" s="48">
        <v>0.32600000000000001</v>
      </c>
      <c r="T121" s="48">
        <v>0.33600000000000002</v>
      </c>
      <c r="U121" s="48">
        <v>0.31699999999999995</v>
      </c>
      <c r="V121" s="48">
        <v>0.432</v>
      </c>
      <c r="W121" s="48">
        <v>0.41300000000000003</v>
      </c>
      <c r="X121" s="48">
        <v>0.26900000000000002</v>
      </c>
      <c r="Y121" s="48">
        <v>0.153</v>
      </c>
      <c r="Z121" s="48">
        <v>2.8000000000000004E-2</v>
      </c>
      <c r="AA121" s="48">
        <v>1.9E-2</v>
      </c>
      <c r="AB121" s="48">
        <v>0</v>
      </c>
      <c r="AC121" s="48">
        <v>8.9999999999999993E-3</v>
      </c>
      <c r="AD121" s="48">
        <v>3.7999999999999999E-2</v>
      </c>
      <c r="AE121" s="48">
        <v>0.13400000000000001</v>
      </c>
      <c r="AF121" s="48">
        <v>0.14399999999999999</v>
      </c>
      <c r="AG121" s="48">
        <v>0.125</v>
      </c>
      <c r="AH121" s="48">
        <v>6.7000000000000004E-2</v>
      </c>
      <c r="AI121" s="48">
        <v>0.105</v>
      </c>
      <c r="AJ121" s="48">
        <v>9.6000000000000002E-2</v>
      </c>
      <c r="AK121" s="48">
        <v>0.17299999999999999</v>
      </c>
      <c r="AL121" s="48">
        <v>0.20100000000000001</v>
      </c>
      <c r="AM121" s="48">
        <v>0.23</v>
      </c>
      <c r="AN121" s="48">
        <v>0.25</v>
      </c>
      <c r="AO121" s="48">
        <v>0.25900000000000001</v>
      </c>
      <c r="AP121" s="48">
        <v>0.307</v>
      </c>
      <c r="AQ121" s="48">
        <v>0.36499999999999994</v>
      </c>
      <c r="AR121" s="48">
        <v>0.57599999999999996</v>
      </c>
      <c r="AS121" s="48">
        <v>0.90300000000000002</v>
      </c>
      <c r="AT121" s="48">
        <v>0.95099999999999996</v>
      </c>
      <c r="AU121" s="48">
        <v>0.97099999999999997</v>
      </c>
      <c r="AV121" s="48">
        <v>1</v>
      </c>
      <c r="AW121" s="48">
        <v>0.99</v>
      </c>
      <c r="AX121" s="48">
        <v>0.98</v>
      </c>
      <c r="AY121" s="48">
        <v>0.94200000000000006</v>
      </c>
      <c r="AZ121" s="48">
        <v>0.93200000000000005</v>
      </c>
      <c r="BA121" s="48">
        <v>0.92300000000000004</v>
      </c>
      <c r="BB121" s="48">
        <v>0.91300000000000003</v>
      </c>
      <c r="BC121" s="48">
        <v>0.875</v>
      </c>
      <c r="BD121" s="48">
        <v>0.68200000000000005</v>
      </c>
      <c r="BE121" s="48">
        <v>0.37500000000000006</v>
      </c>
      <c r="BF121" s="48">
        <v>0.24</v>
      </c>
      <c r="BG121" s="48">
        <v>0.16300000000000001</v>
      </c>
      <c r="BH121" s="48">
        <v>5.7000000000000002E-2</v>
      </c>
      <c r="BI121" s="48">
        <v>8.5999999999999993E-2</v>
      </c>
      <c r="BJ121" s="48">
        <v>0.182</v>
      </c>
      <c r="BK121" s="48">
        <v>0.34599999999999997</v>
      </c>
      <c r="BL121" s="48">
        <v>0.39400000000000002</v>
      </c>
      <c r="BM121" s="48">
        <v>0.442</v>
      </c>
      <c r="BN121" s="48">
        <v>0.50900000000000001</v>
      </c>
      <c r="BO121" s="48">
        <v>0.61499999999999999</v>
      </c>
      <c r="BP121" s="48">
        <v>0.52800000000000002</v>
      </c>
      <c r="BQ121" s="48">
        <v>0.54800000000000004</v>
      </c>
      <c r="BR121" s="48">
        <v>0.40300000000000002</v>
      </c>
      <c r="BS121" s="48">
        <v>0.5</v>
      </c>
      <c r="BT121" s="48">
        <v>0.21099999999999999</v>
      </c>
      <c r="BU121" s="48">
        <v>0.27800000000000002</v>
      </c>
      <c r="BV121" s="48">
        <v>0.192</v>
      </c>
      <c r="BW121" s="48">
        <v>0.42300000000000004</v>
      </c>
      <c r="BX121" s="48">
        <v>0.51900000000000002</v>
      </c>
      <c r="BY121" s="48">
        <v>0.625</v>
      </c>
      <c r="BZ121" s="48">
        <v>0.58599999999999997</v>
      </c>
      <c r="CA121" s="48">
        <v>0.48</v>
      </c>
      <c r="CB121" s="48">
        <v>0.38400000000000001</v>
      </c>
      <c r="CC121" s="48">
        <v>0.28799999999999998</v>
      </c>
      <c r="CD121" s="48">
        <v>0.35499999999999993</v>
      </c>
      <c r="CE121" s="48">
        <v>0.29799999999999999</v>
      </c>
      <c r="CF121" s="48">
        <v>0.72099999999999997</v>
      </c>
      <c r="CG121" s="48">
        <v>0.76900000000000002</v>
      </c>
      <c r="CH121" s="48">
        <v>0.88400000000000001</v>
      </c>
      <c r="CI121" s="48">
        <v>0.6339999999999999</v>
      </c>
      <c r="CJ121" s="48">
        <v>0.64399999999999991</v>
      </c>
      <c r="CK121" s="48">
        <v>0.66300000000000003</v>
      </c>
      <c r="CL121" s="48">
        <v>0.59599999999999997</v>
      </c>
      <c r="CM121" s="48">
        <v>0.67300000000000004</v>
      </c>
      <c r="CN121" s="48">
        <v>0.72999999999999987</v>
      </c>
      <c r="CO121" s="48">
        <v>0.85499999999999998</v>
      </c>
      <c r="CP121" s="48">
        <v>0.78800000000000003</v>
      </c>
      <c r="CQ121" s="48">
        <v>0.75000000000000011</v>
      </c>
      <c r="CR121" s="48">
        <v>0.53800000000000003</v>
      </c>
      <c r="CS121" s="48">
        <v>0.46100000000000002</v>
      </c>
      <c r="CT121" s="48">
        <v>0.115</v>
      </c>
      <c r="CU121" s="48">
        <v>7.5999999999999998E-2</v>
      </c>
      <c r="CV121" s="48">
        <v>4.8000000000000001E-2</v>
      </c>
      <c r="CW121" s="48">
        <v>0.221</v>
      </c>
      <c r="CX121" s="48">
        <v>0.45100000000000001</v>
      </c>
      <c r="CY121" s="48">
        <v>0.60499999999999998</v>
      </c>
      <c r="CZ121" s="48">
        <v>0.73999999999999988</v>
      </c>
      <c r="DA121" s="48">
        <v>0.84600000000000009</v>
      </c>
      <c r="DB121" s="48">
        <v>0.80700000000000005</v>
      </c>
      <c r="DC121" s="48">
        <v>0.83600000000000008</v>
      </c>
      <c r="DD121" s="48">
        <v>0.71099999999999997</v>
      </c>
      <c r="DE121" s="48">
        <v>0.81699999999999995</v>
      </c>
      <c r="DF121" s="48">
        <v>0.96099999999999997</v>
      </c>
    </row>
    <row r="122" spans="1:110" x14ac:dyDescent="0.2">
      <c r="A122" s="46" t="s">
        <v>138</v>
      </c>
      <c r="B122" s="47">
        <f t="shared" si="56"/>
        <v>-37.54999999999999</v>
      </c>
      <c r="C122" s="47">
        <f t="shared" si="57"/>
        <v>-3.3999999999999977</v>
      </c>
      <c r="D122" s="49" t="e">
        <f t="shared" ref="D122:D153" ca="1" si="108">_xludf.STDEV.P(W122:DF122)*100</f>
        <v>#NAME?</v>
      </c>
      <c r="E122" s="47"/>
      <c r="F122" s="48">
        <v>0.38850000000000001</v>
      </c>
      <c r="G122" s="48">
        <v>0.36500000000000005</v>
      </c>
      <c r="H122" s="48">
        <v>0.38900000000000001</v>
      </c>
      <c r="I122" s="48">
        <v>0.42249999999999999</v>
      </c>
      <c r="J122" s="48">
        <v>0.46600000000000003</v>
      </c>
      <c r="K122" s="48">
        <v>0.58100000000000007</v>
      </c>
      <c r="L122" s="48">
        <v>0.58099999999999996</v>
      </c>
      <c r="M122" s="48">
        <v>0.63450000000000006</v>
      </c>
      <c r="N122" s="48">
        <v>0.80750000000000011</v>
      </c>
      <c r="O122" s="48">
        <v>0.88400000000000001</v>
      </c>
      <c r="P122" s="48">
        <v>0.84100000000000008</v>
      </c>
      <c r="Q122" s="48">
        <v>0.7639999999999999</v>
      </c>
      <c r="R122" s="48">
        <v>0.69650000000000001</v>
      </c>
      <c r="S122" s="48">
        <v>0.72050000000000003</v>
      </c>
      <c r="T122" s="48">
        <v>0.7350000000000001</v>
      </c>
      <c r="U122" s="48">
        <v>0.78349999999999997</v>
      </c>
      <c r="V122" s="48">
        <v>0.83600000000000008</v>
      </c>
      <c r="W122" s="48">
        <v>0.79300000000000004</v>
      </c>
      <c r="X122" s="48">
        <v>0.87449999999999994</v>
      </c>
      <c r="Y122" s="48">
        <v>0.52349999999999985</v>
      </c>
      <c r="Z122" s="48">
        <v>0.48050000000000009</v>
      </c>
      <c r="AA122" s="48">
        <v>0.45600000000000002</v>
      </c>
      <c r="AB122" s="48">
        <v>0.53349999999999997</v>
      </c>
      <c r="AC122" s="48">
        <v>0.54749999999999999</v>
      </c>
      <c r="AD122" s="48">
        <v>0.57650000000000001</v>
      </c>
      <c r="AE122" s="48">
        <v>0.52350000000000008</v>
      </c>
      <c r="AF122" s="48">
        <v>0.49</v>
      </c>
      <c r="AG122" s="48">
        <v>0.40800000000000003</v>
      </c>
      <c r="AH122" s="48">
        <v>0.35049999999999998</v>
      </c>
      <c r="AI122" s="48">
        <v>0.38900000000000001</v>
      </c>
      <c r="AJ122" s="48">
        <v>0.36499999999999994</v>
      </c>
      <c r="AK122" s="48">
        <v>0.48549999999999999</v>
      </c>
      <c r="AL122" s="48">
        <v>0.46600000000000003</v>
      </c>
      <c r="AM122" s="48">
        <v>0.42249999999999993</v>
      </c>
      <c r="AN122" s="48">
        <v>0.34549999999999997</v>
      </c>
      <c r="AO122" s="48">
        <v>0.41300000000000003</v>
      </c>
      <c r="AP122" s="48">
        <v>0.47549999999999998</v>
      </c>
      <c r="AQ122" s="48">
        <v>0.49</v>
      </c>
      <c r="AR122" s="48">
        <v>0.52349999999999997</v>
      </c>
      <c r="AS122" s="48">
        <v>0.58150000000000002</v>
      </c>
      <c r="AT122" s="48">
        <v>0.63900000000000012</v>
      </c>
      <c r="AU122" s="48">
        <v>0.87449999999999994</v>
      </c>
      <c r="AV122" s="48">
        <v>0.98499999999999999</v>
      </c>
      <c r="AW122" s="48">
        <v>0.97549999999999992</v>
      </c>
      <c r="AX122" s="48">
        <v>0.95599999999999996</v>
      </c>
      <c r="AY122" s="48">
        <v>0.69700000000000006</v>
      </c>
      <c r="AZ122" s="48">
        <v>0.54799999999999993</v>
      </c>
      <c r="BA122" s="48">
        <v>0.61</v>
      </c>
      <c r="BB122" s="48">
        <v>0.58150000000000002</v>
      </c>
      <c r="BC122" s="48">
        <v>0.53799999999999992</v>
      </c>
      <c r="BD122" s="48">
        <v>0.53299999999999992</v>
      </c>
      <c r="BE122" s="48">
        <v>0.52849999999999997</v>
      </c>
      <c r="BF122" s="48">
        <v>0.4945</v>
      </c>
      <c r="BG122" s="48">
        <v>0.38900000000000001</v>
      </c>
      <c r="BH122" s="48">
        <v>7.6499999999999999E-2</v>
      </c>
      <c r="BI122" s="48">
        <v>3.2999999999999995E-2</v>
      </c>
      <c r="BJ122" s="48">
        <v>0.1105</v>
      </c>
      <c r="BK122" s="48">
        <v>0.26400000000000001</v>
      </c>
      <c r="BL122" s="48">
        <v>0.41300000000000003</v>
      </c>
      <c r="BM122" s="48">
        <v>0.3745</v>
      </c>
      <c r="BN122" s="48">
        <v>0.35500000000000004</v>
      </c>
      <c r="BO122" s="48">
        <v>0.24450000000000002</v>
      </c>
      <c r="BP122" s="48">
        <v>0.216</v>
      </c>
      <c r="BQ122" s="48">
        <v>0.192</v>
      </c>
      <c r="BR122" s="48">
        <v>0.21550000000000002</v>
      </c>
      <c r="BS122" s="48">
        <v>0.379</v>
      </c>
      <c r="BT122" s="48">
        <v>0.54749999999999999</v>
      </c>
      <c r="BU122" s="48">
        <v>0.66299999999999992</v>
      </c>
      <c r="BV122" s="48">
        <v>0.625</v>
      </c>
      <c r="BW122" s="48">
        <v>0.54800000000000004</v>
      </c>
      <c r="BX122" s="48">
        <v>0.38400000000000001</v>
      </c>
      <c r="BY122" s="48">
        <v>0.33149999999999996</v>
      </c>
      <c r="BZ122" s="48">
        <v>0.29749999999999999</v>
      </c>
      <c r="CA122" s="48">
        <v>0.42749999999999999</v>
      </c>
      <c r="CB122" s="48">
        <v>0.51400000000000001</v>
      </c>
      <c r="CC122" s="48">
        <v>0.495</v>
      </c>
      <c r="CD122" s="48">
        <v>0.57650000000000001</v>
      </c>
      <c r="CE122" s="48">
        <v>0.55249999999999999</v>
      </c>
      <c r="CF122" s="48">
        <v>0.45150000000000001</v>
      </c>
      <c r="CG122" s="48">
        <v>0.47549999999999998</v>
      </c>
      <c r="CH122" s="48">
        <v>0.3695</v>
      </c>
      <c r="CI122" s="48">
        <v>0.48049999999999993</v>
      </c>
      <c r="CJ122" s="48">
        <v>0.52849999999999997</v>
      </c>
      <c r="CK122" s="48">
        <v>0.62450000000000006</v>
      </c>
      <c r="CL122" s="48">
        <v>0.6389999999999999</v>
      </c>
      <c r="CM122" s="48">
        <v>0.57200000000000006</v>
      </c>
      <c r="CN122" s="48">
        <v>0.49949999999999994</v>
      </c>
      <c r="CO122" s="48">
        <v>0.57650000000000001</v>
      </c>
      <c r="CP122" s="48">
        <v>0.54749999999999999</v>
      </c>
      <c r="CQ122" s="48">
        <v>0.52800000000000002</v>
      </c>
      <c r="CR122" s="48">
        <v>0.57650000000000001</v>
      </c>
      <c r="CS122" s="48">
        <v>0.56199999999999994</v>
      </c>
      <c r="CT122" s="48">
        <v>0.52350000000000008</v>
      </c>
      <c r="CU122" s="48">
        <v>0.39399999999999996</v>
      </c>
      <c r="CV122" s="48">
        <v>0.37949999999999995</v>
      </c>
      <c r="CW122" s="48">
        <v>0.39400000000000002</v>
      </c>
      <c r="CX122" s="48">
        <v>0.42249999999999993</v>
      </c>
      <c r="CY122" s="48">
        <v>0.42249999999999999</v>
      </c>
      <c r="CZ122" s="48">
        <v>0.379</v>
      </c>
      <c r="DA122" s="48">
        <v>0.27850000000000003</v>
      </c>
      <c r="DB122" s="48">
        <v>0.254</v>
      </c>
      <c r="DC122" s="48">
        <v>0.27849999999999997</v>
      </c>
      <c r="DD122" s="48">
        <v>0.28799999999999998</v>
      </c>
      <c r="DE122" s="48">
        <v>0.221</v>
      </c>
      <c r="DF122" s="48">
        <v>0.1915</v>
      </c>
    </row>
    <row r="123" spans="1:110" x14ac:dyDescent="0.2">
      <c r="A123" s="46" t="s">
        <v>140</v>
      </c>
      <c r="B123" s="47">
        <f t="shared" si="56"/>
        <v>-6.9791465178436152</v>
      </c>
      <c r="C123" s="47">
        <f t="shared" si="57"/>
        <v>-8.7133233826428675</v>
      </c>
      <c r="D123" s="49" t="e">
        <f t="shared" ref="D123:D154" ca="1" si="109">_xludf.STDEV.P(W123:DF123)*100</f>
        <v>#NAME?</v>
      </c>
      <c r="E123" s="47"/>
      <c r="F123" s="48">
        <v>0.61186219751062698</v>
      </c>
      <c r="G123" s="48">
        <v>0.61453278697544433</v>
      </c>
      <c r="H123" s="48">
        <v>0.65567140945689217</v>
      </c>
      <c r="I123" s="48">
        <v>0.69899543133705566</v>
      </c>
      <c r="J123" s="48">
        <v>0.75270656630997812</v>
      </c>
      <c r="K123" s="48">
        <v>0.76087598904562959</v>
      </c>
      <c r="L123" s="48">
        <v>0.69886126921031444</v>
      </c>
      <c r="M123" s="48">
        <v>0.65062338481670301</v>
      </c>
      <c r="N123" s="48">
        <v>0.75057799124507674</v>
      </c>
      <c r="O123" s="48">
        <v>0.76667107637704235</v>
      </c>
      <c r="P123" s="48">
        <v>0.7569876145727078</v>
      </c>
      <c r="Q123" s="48">
        <v>0.68165366268906313</v>
      </c>
      <c r="R123" s="48">
        <v>0.64653356239307336</v>
      </c>
      <c r="S123" s="48">
        <v>0.64568650334378086</v>
      </c>
      <c r="T123" s="48">
        <v>0.71742026956736282</v>
      </c>
      <c r="U123" s="48">
        <v>0.71336538738034339</v>
      </c>
      <c r="V123" s="48">
        <v>0.71319810975072151</v>
      </c>
      <c r="W123" s="48">
        <v>0.60144852885158639</v>
      </c>
      <c r="X123" s="48">
        <v>0.64499453945605256</v>
      </c>
      <c r="Y123" s="48">
        <v>0.44818757542194992</v>
      </c>
      <c r="Z123" s="48">
        <v>0.36693942244290245</v>
      </c>
      <c r="AA123" s="48">
        <v>0.11120858489811485</v>
      </c>
      <c r="AB123" s="48">
        <v>0.19009561244470446</v>
      </c>
      <c r="AC123" s="48">
        <v>0.23095653491792772</v>
      </c>
      <c r="AD123" s="48">
        <v>0.31279232064012941</v>
      </c>
      <c r="AE123" s="48">
        <v>0.30449963050084039</v>
      </c>
      <c r="AF123" s="48">
        <v>0.22163087305361459</v>
      </c>
      <c r="AG123" s="48">
        <v>0.14779260914553338</v>
      </c>
      <c r="AH123" s="48">
        <v>0.14398180634197813</v>
      </c>
      <c r="AI123" s="48">
        <v>0.23328854010236394</v>
      </c>
      <c r="AJ123" s="48">
        <v>0.36812204604550719</v>
      </c>
      <c r="AK123" s="48">
        <v>0.36137440274075322</v>
      </c>
      <c r="AL123" s="48">
        <v>0.31573541986497317</v>
      </c>
      <c r="AM123" s="48">
        <v>0.18686564857126517</v>
      </c>
      <c r="AN123" s="48">
        <v>0.26621969984041699</v>
      </c>
      <c r="AO123" s="48">
        <v>0.2603915734474655</v>
      </c>
      <c r="AP123" s="48">
        <v>0.33556305934569969</v>
      </c>
      <c r="AQ123" s="48">
        <v>0.31041512389361064</v>
      </c>
      <c r="AR123" s="48">
        <v>0.3360257264693795</v>
      </c>
      <c r="AS123" s="48">
        <v>0.37392548257762981</v>
      </c>
      <c r="AT123" s="48">
        <v>0.43838265729046627</v>
      </c>
      <c r="AU123" s="48">
        <v>0.6577212952501208</v>
      </c>
      <c r="AV123" s="48">
        <v>0.8527993902510218</v>
      </c>
      <c r="AW123" s="48">
        <v>0.95660986812986337</v>
      </c>
      <c r="AX123" s="48">
        <v>0.94163845594152307</v>
      </c>
      <c r="AY123" s="48">
        <v>0.80547307038214511</v>
      </c>
      <c r="AZ123" s="48">
        <v>0.71364613803284183</v>
      </c>
      <c r="BA123" s="48">
        <v>0.73545683252815919</v>
      </c>
      <c r="BB123" s="48">
        <v>0.66480431475588475</v>
      </c>
      <c r="BC123" s="48">
        <v>0.66430147162325937</v>
      </c>
      <c r="BD123" s="48">
        <v>0.64317350903878479</v>
      </c>
      <c r="BE123" s="48">
        <v>0.5735233611441517</v>
      </c>
      <c r="BF123" s="48">
        <v>0.32062960712103816</v>
      </c>
      <c r="BG123" s="48">
        <v>0.23690869502731823</v>
      </c>
      <c r="BH123" s="48">
        <v>0.13426019622166235</v>
      </c>
      <c r="BI123" s="48">
        <v>8.7317651245558112E-2</v>
      </c>
      <c r="BJ123" s="48">
        <v>9.9027601279659774E-2</v>
      </c>
      <c r="BK123" s="48">
        <v>0.14880358030997909</v>
      </c>
      <c r="BL123" s="48">
        <v>0.36224556648493023</v>
      </c>
      <c r="BM123" s="48">
        <v>0.38607951381616135</v>
      </c>
      <c r="BN123" s="48">
        <v>0.52184684698523043</v>
      </c>
      <c r="BO123" s="48">
        <v>0.44512147908921784</v>
      </c>
      <c r="BP123" s="48">
        <v>0.38805200358477576</v>
      </c>
      <c r="BQ123" s="48">
        <v>0.33079869222442598</v>
      </c>
      <c r="BR123" s="48">
        <v>0.33966981499687965</v>
      </c>
      <c r="BS123" s="48">
        <v>0.36400861949645907</v>
      </c>
      <c r="BT123" s="48">
        <v>0.28980447219098215</v>
      </c>
      <c r="BU123" s="48">
        <v>0.36804941253824469</v>
      </c>
      <c r="BV123" s="48">
        <v>0.46792052165345732</v>
      </c>
      <c r="BW123" s="48">
        <v>0.72111427025288288</v>
      </c>
      <c r="BX123" s="48">
        <v>0.65570469700180267</v>
      </c>
      <c r="BY123" s="48">
        <v>0.63899959047880817</v>
      </c>
      <c r="BZ123" s="48">
        <v>0.33113611337836368</v>
      </c>
      <c r="CA123" s="48">
        <v>0.27444852885158638</v>
      </c>
      <c r="CB123" s="48">
        <v>0.30653033610404723</v>
      </c>
      <c r="CC123" s="48">
        <v>0.43951175473721094</v>
      </c>
      <c r="CD123" s="48">
        <v>0.51671027856153795</v>
      </c>
      <c r="CE123" s="48">
        <v>0.53080222332912852</v>
      </c>
      <c r="CF123" s="48">
        <v>0.45479868216990738</v>
      </c>
      <c r="CG123" s="48">
        <v>0.50935566393881926</v>
      </c>
      <c r="CH123" s="48">
        <v>0.47410482621193523</v>
      </c>
      <c r="CI123" s="48">
        <v>0.5675040863031332</v>
      </c>
      <c r="CJ123" s="48">
        <v>0.48999808061527378</v>
      </c>
      <c r="CK123" s="48">
        <v>0.52950018474957983</v>
      </c>
      <c r="CL123" s="48">
        <v>0.57759239526050588</v>
      </c>
      <c r="CM123" s="48">
        <v>0.64009768015970081</v>
      </c>
      <c r="CN123" s="48">
        <v>0.67741631338484509</v>
      </c>
      <c r="CO123" s="48">
        <v>0.7357585917071312</v>
      </c>
      <c r="CP123" s="48">
        <v>0.82864722376825217</v>
      </c>
      <c r="CQ123" s="48">
        <v>0.82891069085338653</v>
      </c>
      <c r="CR123" s="48">
        <v>0.87762602499009357</v>
      </c>
      <c r="CS123" s="48">
        <v>0.7286115572408729</v>
      </c>
      <c r="CT123" s="48">
        <v>0.75336928438148298</v>
      </c>
      <c r="CU123" s="48">
        <v>0.60073179771199647</v>
      </c>
      <c r="CV123" s="48">
        <v>0.66916266894464549</v>
      </c>
      <c r="CW123" s="48">
        <v>0.6630974462832615</v>
      </c>
      <c r="CX123" s="48">
        <v>0.71419475694380286</v>
      </c>
      <c r="CY123" s="48">
        <v>0.66901602123751014</v>
      </c>
      <c r="CZ123" s="48">
        <v>0.60396954648288748</v>
      </c>
      <c r="DA123" s="48">
        <v>0.42493424585194528</v>
      </c>
      <c r="DB123" s="48">
        <v>0.29411084100462204</v>
      </c>
      <c r="DC123" s="48">
        <v>0.29537898961335235</v>
      </c>
      <c r="DD123" s="48">
        <v>0.15610292503686374</v>
      </c>
      <c r="DE123" s="48">
        <v>0.2600324675528356</v>
      </c>
      <c r="DF123" s="48">
        <v>0.15304395199429727</v>
      </c>
    </row>
    <row r="124" spans="1:110" x14ac:dyDescent="0.2">
      <c r="A124" s="46" t="s">
        <v>142</v>
      </c>
      <c r="B124" s="47">
        <f t="shared" si="56"/>
        <v>66.600000000000009</v>
      </c>
      <c r="C124" s="47">
        <f t="shared" si="57"/>
        <v>11.799999999999999</v>
      </c>
      <c r="D124" s="49" t="e">
        <f t="shared" ref="D124:D155" ca="1" si="110">_xludf.STDEV.P(W124:DF124)*100</f>
        <v>#NAME?</v>
      </c>
      <c r="E124" s="47"/>
      <c r="F124" s="48">
        <v>0.92400000000000004</v>
      </c>
      <c r="G124" s="48">
        <v>0.97799999999999998</v>
      </c>
      <c r="H124" s="48">
        <v>0.91300000000000003</v>
      </c>
      <c r="I124" s="48">
        <v>0.80600000000000005</v>
      </c>
      <c r="J124" s="48">
        <v>0.505</v>
      </c>
      <c r="K124" s="48">
        <v>0.56899999999999995</v>
      </c>
      <c r="L124" s="48">
        <v>0.41899999999999998</v>
      </c>
      <c r="M124" s="48">
        <v>0.39700000000000002</v>
      </c>
      <c r="N124" s="48">
        <v>0.27900000000000003</v>
      </c>
      <c r="O124" s="48">
        <v>0.623</v>
      </c>
      <c r="P124" s="48">
        <v>0.65500000000000003</v>
      </c>
      <c r="Q124" s="48">
        <v>0.25800000000000001</v>
      </c>
      <c r="R124" s="48">
        <v>5.2999999999999999E-2</v>
      </c>
      <c r="S124" s="48">
        <v>0.01</v>
      </c>
      <c r="T124" s="48">
        <v>4.2999999999999997E-2</v>
      </c>
      <c r="U124" s="48">
        <v>8.5999999999999993E-2</v>
      </c>
      <c r="V124" s="48">
        <v>0.193</v>
      </c>
      <c r="W124" s="48">
        <v>0.247</v>
      </c>
      <c r="X124" s="48">
        <v>0.38700000000000001</v>
      </c>
      <c r="Y124" s="48">
        <v>0.33300000000000002</v>
      </c>
      <c r="Z124" s="48">
        <v>0.33300000000000002</v>
      </c>
      <c r="AA124" s="48">
        <v>0.182</v>
      </c>
      <c r="AB124" s="48">
        <v>0.35399999999999998</v>
      </c>
      <c r="AC124" s="48">
        <v>0.376</v>
      </c>
      <c r="AD124" s="48">
        <v>0.66600000000000004</v>
      </c>
      <c r="AE124" s="48">
        <v>0.77400000000000002</v>
      </c>
      <c r="AF124" s="48">
        <v>0.71999999999999986</v>
      </c>
      <c r="AG124" s="48">
        <v>0.95599999999999996</v>
      </c>
      <c r="AH124" s="48">
        <v>0.79500000000000015</v>
      </c>
      <c r="AI124" s="48">
        <v>0.73099999999999998</v>
      </c>
      <c r="AJ124" s="48">
        <v>0.15</v>
      </c>
      <c r="AK124" s="48">
        <v>0.16099999999999998</v>
      </c>
      <c r="AL124" s="48">
        <v>0.28999999999999998</v>
      </c>
      <c r="AM124" s="48">
        <v>0.311</v>
      </c>
      <c r="AN124" s="48">
        <v>0.59099999999999997</v>
      </c>
      <c r="AO124" s="48">
        <v>0.51600000000000001</v>
      </c>
      <c r="AP124" s="48">
        <v>0.43</v>
      </c>
      <c r="AQ124" s="48">
        <v>0.11799999999999999</v>
      </c>
      <c r="AR124" s="48">
        <v>6.4000000000000001E-2</v>
      </c>
      <c r="AS124" s="48">
        <v>3.2000000000000001E-2</v>
      </c>
      <c r="AT124" s="48">
        <v>0</v>
      </c>
      <c r="AU124" s="48">
        <v>2.1000000000000001E-2</v>
      </c>
      <c r="AV124" s="48">
        <v>0.22500000000000001</v>
      </c>
      <c r="AW124" s="48">
        <v>0.76300000000000001</v>
      </c>
      <c r="AX124" s="48">
        <v>0.78400000000000003</v>
      </c>
      <c r="AY124" s="48">
        <v>0.61199999999999999</v>
      </c>
      <c r="AZ124" s="48">
        <v>0.32199999999999995</v>
      </c>
      <c r="BA124" s="48">
        <v>0.45100000000000001</v>
      </c>
      <c r="BB124" s="48">
        <v>0.49399999999999999</v>
      </c>
      <c r="BC124" s="48">
        <v>0.53700000000000003</v>
      </c>
      <c r="BD124" s="48">
        <v>0.88100000000000012</v>
      </c>
      <c r="BE124" s="48">
        <v>0.86</v>
      </c>
      <c r="BF124" s="48">
        <v>0.94599999999999995</v>
      </c>
      <c r="BG124" s="48">
        <v>0.70899999999999996</v>
      </c>
      <c r="BH124" s="48">
        <v>0.68799999999999994</v>
      </c>
      <c r="BI124" s="48">
        <v>0.40800000000000003</v>
      </c>
      <c r="BJ124" s="48">
        <v>0.55900000000000005</v>
      </c>
      <c r="BK124" s="48">
        <v>0.69799999999999995</v>
      </c>
      <c r="BL124" s="48">
        <v>0.89200000000000002</v>
      </c>
      <c r="BM124" s="48">
        <v>0.84899999999999998</v>
      </c>
      <c r="BN124" s="48">
        <v>0.82699999999999996</v>
      </c>
      <c r="BO124" s="48">
        <v>0.67700000000000005</v>
      </c>
      <c r="BP124" s="48">
        <v>0.44</v>
      </c>
      <c r="BQ124" s="48">
        <v>0.46200000000000002</v>
      </c>
      <c r="BR124" s="48">
        <v>0.6339999999999999</v>
      </c>
      <c r="BS124" s="48">
        <v>0.74099999999999999</v>
      </c>
      <c r="BT124" s="48">
        <v>0.23599999999999999</v>
      </c>
      <c r="BU124" s="48">
        <v>0.57999999999999996</v>
      </c>
      <c r="BV124" s="48">
        <v>0.52600000000000002</v>
      </c>
      <c r="BW124" s="48">
        <v>0.81699999999999995</v>
      </c>
      <c r="BX124" s="48">
        <v>0.47299999999999998</v>
      </c>
      <c r="BY124" s="48">
        <v>0.48299999999999998</v>
      </c>
      <c r="BZ124" s="48">
        <v>0.60199999999999998</v>
      </c>
      <c r="CA124" s="48">
        <v>0.87</v>
      </c>
      <c r="CB124" s="48">
        <v>0.98899999999999999</v>
      </c>
      <c r="CC124" s="48">
        <v>1</v>
      </c>
      <c r="CD124" s="48">
        <v>0.90300000000000002</v>
      </c>
      <c r="CE124" s="48">
        <v>0.752</v>
      </c>
      <c r="CF124" s="48">
        <v>0.93500000000000005</v>
      </c>
      <c r="CG124" s="48">
        <v>0.96700000000000008</v>
      </c>
      <c r="CH124" s="48">
        <v>0.83799999999999997</v>
      </c>
      <c r="CI124" s="48">
        <v>0.64500000000000002</v>
      </c>
      <c r="CJ124" s="48">
        <v>0.54800000000000004</v>
      </c>
      <c r="CK124" s="48">
        <v>0.26800000000000002</v>
      </c>
      <c r="CL124" s="48">
        <v>0.215</v>
      </c>
      <c r="CM124" s="48">
        <v>0.13900000000000001</v>
      </c>
      <c r="CN124" s="48">
        <v>0.30099999999999999</v>
      </c>
      <c r="CO124" s="48">
        <v>7.4999999999999997E-2</v>
      </c>
      <c r="CP124" s="48">
        <v>9.6000000000000002E-2</v>
      </c>
      <c r="CQ124" s="48">
        <v>0.10700000000000001</v>
      </c>
      <c r="CR124" s="48">
        <v>0.129</v>
      </c>
      <c r="CS124" s="48">
        <v>0.20400000000000001</v>
      </c>
      <c r="CT124" s="48">
        <v>0.17199999999999999</v>
      </c>
      <c r="CU124" s="48">
        <v>0.36499999999999994</v>
      </c>
      <c r="CV124" s="48">
        <v>0.5</v>
      </c>
      <c r="CW124" s="48">
        <v>0.5</v>
      </c>
      <c r="CX124" s="48">
        <v>0.5</v>
      </c>
      <c r="CY124" s="48">
        <v>0.5</v>
      </c>
      <c r="CZ124" s="48">
        <v>0.5</v>
      </c>
      <c r="DA124" s="48">
        <v>0.5</v>
      </c>
      <c r="DB124" s="48">
        <v>0.5</v>
      </c>
      <c r="DC124" s="48">
        <v>0.5</v>
      </c>
      <c r="DD124" s="48">
        <v>0.5</v>
      </c>
      <c r="DE124" s="48">
        <v>0.5</v>
      </c>
      <c r="DF124" s="48">
        <v>0.5</v>
      </c>
    </row>
    <row r="125" spans="1:110" x14ac:dyDescent="0.2">
      <c r="A125" s="46" t="s">
        <v>144</v>
      </c>
      <c r="B125" s="47">
        <f t="shared" si="56"/>
        <v>-9.0999999999999979</v>
      </c>
      <c r="C125" s="47">
        <f t="shared" si="57"/>
        <v>0</v>
      </c>
      <c r="D125" s="49" t="e">
        <f t="shared" ref="D125:D156" ca="1" si="111">_xludf.STDEV.P(W125:DF125)*100</f>
        <v>#NAME?</v>
      </c>
      <c r="E125" s="47"/>
      <c r="F125" s="48">
        <v>0.28450000000000003</v>
      </c>
      <c r="G125" s="48">
        <v>0.28450000000000003</v>
      </c>
      <c r="H125" s="48">
        <v>0.28450000000000003</v>
      </c>
      <c r="I125" s="48">
        <v>0.28450000000000003</v>
      </c>
      <c r="J125" s="48">
        <v>0.20950000000000002</v>
      </c>
      <c r="K125" s="48">
        <v>0.33300000000000002</v>
      </c>
      <c r="L125" s="48">
        <v>0.32199999999999995</v>
      </c>
      <c r="M125" s="48">
        <v>0.42949999999999999</v>
      </c>
      <c r="N125" s="48">
        <v>0.38100000000000001</v>
      </c>
      <c r="O125" s="48">
        <v>0.30099999999999999</v>
      </c>
      <c r="P125" s="48">
        <v>0.41900000000000004</v>
      </c>
      <c r="Q125" s="48">
        <v>0.3755</v>
      </c>
      <c r="R125" s="48">
        <v>0.41900000000000004</v>
      </c>
      <c r="S125" s="48">
        <v>0.34900000000000003</v>
      </c>
      <c r="T125" s="48">
        <v>0.23600000000000004</v>
      </c>
      <c r="U125" s="48">
        <v>0.17150000000000001</v>
      </c>
      <c r="V125" s="48">
        <v>0.16600000000000001</v>
      </c>
      <c r="W125" s="48">
        <v>0.19849999999999998</v>
      </c>
      <c r="X125" s="48">
        <v>0.28999999999999998</v>
      </c>
      <c r="Y125" s="48">
        <v>0.24699999999999997</v>
      </c>
      <c r="Z125" s="48">
        <v>0.24699999999999997</v>
      </c>
      <c r="AA125" s="48">
        <v>0.11800000000000001</v>
      </c>
      <c r="AB125" s="48">
        <v>0.28450000000000003</v>
      </c>
      <c r="AC125" s="48">
        <v>0.27900000000000003</v>
      </c>
      <c r="AD125" s="48">
        <v>0.29499999999999998</v>
      </c>
      <c r="AE125" s="48">
        <v>0.19350000000000001</v>
      </c>
      <c r="AF125" s="48">
        <v>0.11800000000000001</v>
      </c>
      <c r="AG125" s="48">
        <v>0.30599999999999999</v>
      </c>
      <c r="AH125" s="48">
        <v>0.25750000000000001</v>
      </c>
      <c r="AI125" s="48">
        <v>0.29549999999999998</v>
      </c>
      <c r="AJ125" s="48">
        <v>0.14499999999999999</v>
      </c>
      <c r="AK125" s="48">
        <v>0.18249999999999997</v>
      </c>
      <c r="AL125" s="48">
        <v>0.15549999999999997</v>
      </c>
      <c r="AM125" s="48">
        <v>5.3500000000000006E-2</v>
      </c>
      <c r="AN125" s="48">
        <v>7.4499999999999997E-2</v>
      </c>
      <c r="AO125" s="48">
        <v>0.08</v>
      </c>
      <c r="AP125" s="48">
        <v>0.17150000000000001</v>
      </c>
      <c r="AQ125" s="48">
        <v>0.13400000000000001</v>
      </c>
      <c r="AR125" s="48">
        <v>0.30599999999999999</v>
      </c>
      <c r="AS125" s="48">
        <v>0.22000000000000003</v>
      </c>
      <c r="AT125" s="48">
        <v>0.20949999999999996</v>
      </c>
      <c r="AU125" s="48">
        <v>0.10700000000000001</v>
      </c>
      <c r="AV125" s="48">
        <v>0.17150000000000001</v>
      </c>
      <c r="AW125" s="48">
        <v>0.49399999999999994</v>
      </c>
      <c r="AX125" s="48">
        <v>0.63400000000000001</v>
      </c>
      <c r="AY125" s="48">
        <v>0.82199999999999984</v>
      </c>
      <c r="AZ125" s="48">
        <v>0.70350000000000001</v>
      </c>
      <c r="BA125" s="48">
        <v>0.65549999999999997</v>
      </c>
      <c r="BB125" s="48">
        <v>0.5804999999999999</v>
      </c>
      <c r="BC125" s="48">
        <v>0.52100000000000002</v>
      </c>
      <c r="BD125" s="48">
        <v>0.52650000000000008</v>
      </c>
      <c r="BE125" s="48">
        <v>0.56950000000000001</v>
      </c>
      <c r="BF125" s="48">
        <v>0.72499999999999998</v>
      </c>
      <c r="BG125" s="48">
        <v>0.83800000000000008</v>
      </c>
      <c r="BH125" s="48">
        <v>0.94550000000000012</v>
      </c>
      <c r="BI125" s="48">
        <v>0.86</v>
      </c>
      <c r="BJ125" s="48">
        <v>0.79499999999999993</v>
      </c>
      <c r="BK125" s="48">
        <v>0.70399999999999996</v>
      </c>
      <c r="BL125" s="48">
        <v>0.73599999999999999</v>
      </c>
      <c r="BM125" s="48">
        <v>0.75749999999999995</v>
      </c>
      <c r="BN125" s="48">
        <v>0.623</v>
      </c>
      <c r="BO125" s="48">
        <v>0.6070000000000001</v>
      </c>
      <c r="BP125" s="48">
        <v>0.60699999999999998</v>
      </c>
      <c r="BQ125" s="48">
        <v>0.61799999999999999</v>
      </c>
      <c r="BR125" s="48">
        <v>0.63400000000000001</v>
      </c>
      <c r="BS125" s="48">
        <v>0.65549999999999997</v>
      </c>
      <c r="BT125" s="48">
        <v>0.67699999999999994</v>
      </c>
      <c r="BU125" s="48">
        <v>0.72499999999999998</v>
      </c>
      <c r="BV125" s="48">
        <v>0.76850000000000007</v>
      </c>
      <c r="BW125" s="48">
        <v>0.78949999999999998</v>
      </c>
      <c r="BX125" s="48">
        <v>0.66049999999999998</v>
      </c>
      <c r="BY125" s="48">
        <v>0.65550000000000008</v>
      </c>
      <c r="BZ125" s="48">
        <v>0.61750000000000005</v>
      </c>
      <c r="CA125" s="48">
        <v>0.67649999999999999</v>
      </c>
      <c r="CB125" s="48">
        <v>0.70950000000000002</v>
      </c>
      <c r="CC125" s="48">
        <v>0.80599999999999994</v>
      </c>
      <c r="CD125" s="48">
        <v>0.75750000000000006</v>
      </c>
      <c r="CE125" s="48">
        <v>0.66050000000000009</v>
      </c>
      <c r="CF125" s="48">
        <v>0.44600000000000001</v>
      </c>
      <c r="CG125" s="48">
        <v>0.30600000000000005</v>
      </c>
      <c r="CH125" s="48">
        <v>0.30049999999999999</v>
      </c>
      <c r="CI125" s="48">
        <v>0.54249999999999987</v>
      </c>
      <c r="CJ125" s="48">
        <v>0.70350000000000001</v>
      </c>
      <c r="CK125" s="48">
        <v>0.80600000000000016</v>
      </c>
      <c r="CL125" s="48">
        <v>0.92449999999999999</v>
      </c>
      <c r="CM125" s="48">
        <v>0.90799999999999992</v>
      </c>
      <c r="CN125" s="48">
        <v>0.95650000000000013</v>
      </c>
      <c r="CO125" s="48">
        <v>0.92949999999999999</v>
      </c>
      <c r="CP125" s="48">
        <v>0.9345</v>
      </c>
      <c r="CQ125" s="48">
        <v>0.8274999999999999</v>
      </c>
      <c r="CR125" s="48">
        <v>0.92949999999999999</v>
      </c>
      <c r="CS125" s="48">
        <v>0.95100000000000007</v>
      </c>
      <c r="CT125" s="48">
        <v>0.98350000000000004</v>
      </c>
      <c r="CU125" s="48">
        <v>0.92449999999999999</v>
      </c>
      <c r="CV125" s="48">
        <v>0.5</v>
      </c>
      <c r="CW125" s="48">
        <v>0.5</v>
      </c>
      <c r="CX125" s="48">
        <v>0.5</v>
      </c>
      <c r="CY125" s="48">
        <v>0.5</v>
      </c>
      <c r="CZ125" s="48">
        <v>0.5</v>
      </c>
      <c r="DA125" s="48">
        <v>0.5</v>
      </c>
      <c r="DB125" s="48">
        <v>0.5</v>
      </c>
      <c r="DC125" s="48">
        <v>0.5</v>
      </c>
      <c r="DD125" s="48">
        <v>0.5</v>
      </c>
      <c r="DE125" s="48">
        <v>0.5</v>
      </c>
      <c r="DF125" s="48">
        <v>0.5</v>
      </c>
    </row>
    <row r="126" spans="1:110" x14ac:dyDescent="0.2">
      <c r="A126" s="46" t="s">
        <v>146</v>
      </c>
      <c r="B126" s="47">
        <f t="shared" si="56"/>
        <v>-5.0499999999999989</v>
      </c>
      <c r="C126" s="47">
        <f t="shared" si="57"/>
        <v>0</v>
      </c>
      <c r="D126" s="49" t="e">
        <f t="shared" ref="D126:D157" ca="1" si="112">_xludf.STDEV.P(W126:DF126)*100</f>
        <v>#NAME?</v>
      </c>
      <c r="E126" s="47"/>
      <c r="F126" s="48">
        <v>0.78949999999999998</v>
      </c>
      <c r="G126" s="48">
        <v>0.78949999999999998</v>
      </c>
      <c r="H126" s="48">
        <v>0.78949999999999998</v>
      </c>
      <c r="I126" s="48">
        <v>0.78949999999999998</v>
      </c>
      <c r="J126" s="48">
        <v>0.78949999999999998</v>
      </c>
      <c r="K126" s="48">
        <v>0.78949999999999998</v>
      </c>
      <c r="L126" s="48">
        <v>0.78949999999999998</v>
      </c>
      <c r="M126" s="48">
        <v>0.78949999999999998</v>
      </c>
      <c r="N126" s="48">
        <v>0.92</v>
      </c>
      <c r="O126" s="48">
        <v>0.94899999999999995</v>
      </c>
      <c r="P126" s="48">
        <v>0.84</v>
      </c>
      <c r="Q126" s="48">
        <v>0.84</v>
      </c>
      <c r="R126" s="48">
        <v>0.71700000000000008</v>
      </c>
      <c r="S126" s="48">
        <v>0.58650000000000002</v>
      </c>
      <c r="T126" s="48">
        <v>0.49249999999999999</v>
      </c>
      <c r="U126" s="48">
        <v>0.44900000000000001</v>
      </c>
      <c r="V126" s="48">
        <v>0.60099999999999998</v>
      </c>
      <c r="W126" s="48">
        <v>0.60099999999999998</v>
      </c>
      <c r="X126" s="48">
        <v>0.63749999999999996</v>
      </c>
      <c r="Y126" s="48">
        <v>0.39800000000000002</v>
      </c>
      <c r="Z126" s="48">
        <v>0.26050000000000001</v>
      </c>
      <c r="AA126" s="48">
        <v>0.05</v>
      </c>
      <c r="AB126" s="48">
        <v>4.9999999999999996E-2</v>
      </c>
      <c r="AC126" s="48">
        <v>5.7500000000000002E-2</v>
      </c>
      <c r="AD126" s="48">
        <v>7.9000000000000001E-2</v>
      </c>
      <c r="AE126" s="48">
        <v>0.11550000000000001</v>
      </c>
      <c r="AF126" s="48">
        <v>0.1225</v>
      </c>
      <c r="AG126" s="48">
        <v>0.159</v>
      </c>
      <c r="AH126" s="48">
        <v>0.17300000000000001</v>
      </c>
      <c r="AI126" s="48">
        <v>0.13699999999999998</v>
      </c>
      <c r="AJ126" s="48">
        <v>0.13699999999999998</v>
      </c>
      <c r="AK126" s="48">
        <v>0.18050000000000002</v>
      </c>
      <c r="AL126" s="48">
        <v>0.23099999999999996</v>
      </c>
      <c r="AM126" s="48">
        <v>0.27500000000000002</v>
      </c>
      <c r="AN126" s="48">
        <v>0.376</v>
      </c>
      <c r="AO126" s="48">
        <v>0.44149999999999995</v>
      </c>
      <c r="AP126" s="48">
        <v>0.4995</v>
      </c>
      <c r="AQ126" s="48">
        <v>0.52850000000000008</v>
      </c>
      <c r="AR126" s="48">
        <v>0.60099999999999998</v>
      </c>
      <c r="AS126" s="48">
        <v>0.76749999999999996</v>
      </c>
      <c r="AT126" s="48">
        <v>0.81850000000000001</v>
      </c>
      <c r="AU126" s="48">
        <v>0.86199999999999999</v>
      </c>
      <c r="AV126" s="48">
        <v>0.87649999999999995</v>
      </c>
      <c r="AW126" s="48">
        <v>0.85499999999999998</v>
      </c>
      <c r="AX126" s="48">
        <v>0.80399999999999994</v>
      </c>
      <c r="AY126" s="48">
        <v>0.67349999999999999</v>
      </c>
      <c r="AZ126" s="48">
        <v>0.73149999999999993</v>
      </c>
      <c r="BA126" s="48">
        <v>0.68049999999999999</v>
      </c>
      <c r="BB126" s="48">
        <v>0.64449999999999996</v>
      </c>
      <c r="BC126" s="48">
        <v>0.57950000000000002</v>
      </c>
      <c r="BD126" s="48">
        <v>0.4995</v>
      </c>
      <c r="BE126" s="48">
        <v>0.33250000000000002</v>
      </c>
      <c r="BF126" s="48">
        <v>0.17300000000000001</v>
      </c>
      <c r="BG126" s="48">
        <v>7.9000000000000015E-2</v>
      </c>
      <c r="BH126" s="48">
        <v>0.188</v>
      </c>
      <c r="BI126" s="48">
        <v>0.18799999999999997</v>
      </c>
      <c r="BJ126" s="48">
        <v>0.30399999999999999</v>
      </c>
      <c r="BK126" s="48">
        <v>0.40500000000000003</v>
      </c>
      <c r="BL126" s="48">
        <v>0.51400000000000001</v>
      </c>
      <c r="BM126" s="48">
        <v>0.57950000000000002</v>
      </c>
      <c r="BN126" s="48">
        <v>0.56499999999999995</v>
      </c>
      <c r="BO126" s="48">
        <v>0.51400000000000001</v>
      </c>
      <c r="BP126" s="48">
        <v>0.434</v>
      </c>
      <c r="BQ126" s="48">
        <v>0.44850000000000001</v>
      </c>
      <c r="BR126" s="48">
        <v>0.41249999999999998</v>
      </c>
      <c r="BS126" s="48">
        <v>0.47049999999999997</v>
      </c>
      <c r="BT126" s="48">
        <v>0.28900000000000003</v>
      </c>
      <c r="BU126" s="48">
        <v>0.34749999999999998</v>
      </c>
      <c r="BV126" s="48">
        <v>0.19500000000000001</v>
      </c>
      <c r="BW126" s="48">
        <v>0.50700000000000001</v>
      </c>
      <c r="BX126" s="48">
        <v>0.5</v>
      </c>
      <c r="BY126" s="48">
        <v>0.5</v>
      </c>
      <c r="BZ126" s="48">
        <v>0.5</v>
      </c>
      <c r="CA126" s="48">
        <v>0.5</v>
      </c>
      <c r="CB126" s="48">
        <v>0.5</v>
      </c>
      <c r="CC126" s="48">
        <v>0.5</v>
      </c>
      <c r="CD126" s="48">
        <v>0.5</v>
      </c>
      <c r="CE126" s="48">
        <v>0.5</v>
      </c>
      <c r="CF126" s="48">
        <v>0.5</v>
      </c>
      <c r="CG126" s="48">
        <v>0.5</v>
      </c>
      <c r="CH126" s="48">
        <v>0.5</v>
      </c>
      <c r="CI126" s="48">
        <v>0.5</v>
      </c>
      <c r="CJ126" s="48">
        <v>0.5</v>
      </c>
      <c r="CK126" s="48">
        <v>0.5</v>
      </c>
      <c r="CL126" s="48">
        <v>0.5</v>
      </c>
      <c r="CM126" s="48">
        <v>0.5</v>
      </c>
      <c r="CN126" s="48">
        <v>0.5</v>
      </c>
      <c r="CO126" s="48">
        <v>0.5</v>
      </c>
      <c r="CP126" s="48">
        <v>0.5</v>
      </c>
      <c r="CQ126" s="48">
        <v>0.5</v>
      </c>
      <c r="CR126" s="48">
        <v>0.5</v>
      </c>
      <c r="CS126" s="48">
        <v>0.5</v>
      </c>
      <c r="CT126" s="48">
        <v>0.5</v>
      </c>
      <c r="CU126" s="48">
        <v>0.5</v>
      </c>
      <c r="CV126" s="48">
        <v>0.5</v>
      </c>
      <c r="CW126" s="48">
        <v>0.5</v>
      </c>
      <c r="CX126" s="48">
        <v>0.5</v>
      </c>
      <c r="CY126" s="48">
        <v>0.5</v>
      </c>
      <c r="CZ126" s="48">
        <v>0.5</v>
      </c>
      <c r="DA126" s="48">
        <v>0.5</v>
      </c>
      <c r="DB126" s="48">
        <v>0.5</v>
      </c>
      <c r="DC126" s="48">
        <v>0.5</v>
      </c>
      <c r="DD126" s="48">
        <v>0.5</v>
      </c>
      <c r="DE126" s="48">
        <v>0.5</v>
      </c>
      <c r="DF126" s="48">
        <v>0.5</v>
      </c>
    </row>
    <row r="127" spans="1:110" x14ac:dyDescent="0.2">
      <c r="A127" s="46" t="s">
        <v>148</v>
      </c>
      <c r="B127" s="47">
        <f t="shared" si="56"/>
        <v>-29.800000000000004</v>
      </c>
      <c r="C127" s="47">
        <f t="shared" si="57"/>
        <v>-8.6</v>
      </c>
      <c r="D127" s="49" t="e">
        <f t="shared" ref="D127:D158" ca="1" si="113">_xludf.STDEV.P(W127:DF127)*100</f>
        <v>#NAME?</v>
      </c>
      <c r="E127" s="47"/>
      <c r="F127" s="48">
        <v>0.221</v>
      </c>
      <c r="G127" s="48">
        <v>0.24</v>
      </c>
      <c r="H127" s="48">
        <v>0.25900000000000001</v>
      </c>
      <c r="I127" s="48">
        <v>0.307</v>
      </c>
      <c r="J127" s="48">
        <v>0.33600000000000002</v>
      </c>
      <c r="K127" s="48">
        <v>0.375</v>
      </c>
      <c r="L127" s="48">
        <v>0.40300000000000002</v>
      </c>
      <c r="M127" s="48">
        <v>0.41299999999999998</v>
      </c>
      <c r="N127" s="48">
        <v>0.46100000000000008</v>
      </c>
      <c r="O127" s="48">
        <v>0.56699999999999995</v>
      </c>
      <c r="P127" s="48">
        <v>0.54800000000000004</v>
      </c>
      <c r="Q127" s="48">
        <v>0.51900000000000002</v>
      </c>
      <c r="R127" s="48">
        <v>0.50900000000000001</v>
      </c>
      <c r="S127" s="48">
        <v>0.52800000000000002</v>
      </c>
      <c r="T127" s="48">
        <v>0.49</v>
      </c>
      <c r="U127" s="48">
        <v>0.52800000000000002</v>
      </c>
      <c r="V127" s="48">
        <v>0.48</v>
      </c>
      <c r="W127" s="48">
        <v>0.442</v>
      </c>
      <c r="X127" s="48">
        <v>0.34599999999999997</v>
      </c>
      <c r="Y127" s="48">
        <v>0.182</v>
      </c>
      <c r="Z127" s="48">
        <v>0.13400000000000001</v>
      </c>
      <c r="AA127" s="48">
        <v>0.14399999999999999</v>
      </c>
      <c r="AB127" s="48">
        <v>0.17299999999999999</v>
      </c>
      <c r="AC127" s="48">
        <v>0.192</v>
      </c>
      <c r="AD127" s="48">
        <v>0.21100000000000002</v>
      </c>
      <c r="AE127" s="48">
        <v>0.20100000000000001</v>
      </c>
      <c r="AF127" s="48">
        <v>0.16300000000000001</v>
      </c>
      <c r="AG127" s="48">
        <v>0.125</v>
      </c>
      <c r="AH127" s="48">
        <v>0.115</v>
      </c>
      <c r="AI127" s="48">
        <v>0.153</v>
      </c>
      <c r="AJ127" s="48">
        <v>0.42299999999999999</v>
      </c>
      <c r="AK127" s="48">
        <v>0.59599999999999997</v>
      </c>
      <c r="AL127" s="48">
        <v>0.88400000000000001</v>
      </c>
      <c r="AM127" s="48">
        <v>0.89400000000000002</v>
      </c>
      <c r="AN127" s="48">
        <v>0.90300000000000002</v>
      </c>
      <c r="AO127" s="48">
        <v>0.91300000000000003</v>
      </c>
      <c r="AP127" s="48">
        <v>0.92299999999999993</v>
      </c>
      <c r="AQ127" s="48">
        <v>0.93200000000000016</v>
      </c>
      <c r="AR127" s="48">
        <v>0.95099999999999985</v>
      </c>
      <c r="AS127" s="48">
        <v>0.96100000000000008</v>
      </c>
      <c r="AT127" s="48">
        <v>0.97100000000000009</v>
      </c>
      <c r="AU127" s="48">
        <v>0.98</v>
      </c>
      <c r="AV127" s="48">
        <v>0.99</v>
      </c>
      <c r="AW127" s="48">
        <v>1</v>
      </c>
      <c r="AX127" s="48">
        <v>0.94199999999999995</v>
      </c>
      <c r="AY127" s="48">
        <v>0.105</v>
      </c>
      <c r="AZ127" s="48">
        <v>9.6000000000000002E-2</v>
      </c>
      <c r="BA127" s="48">
        <v>8.5999999999999993E-2</v>
      </c>
      <c r="BB127" s="48">
        <v>7.5999999999999998E-2</v>
      </c>
      <c r="BC127" s="48">
        <v>6.7000000000000004E-2</v>
      </c>
      <c r="BD127" s="48">
        <v>5.7000000000000009E-2</v>
      </c>
      <c r="BE127" s="48">
        <v>4.8000000000000001E-2</v>
      </c>
      <c r="BF127" s="48">
        <v>2.7999999999999997E-2</v>
      </c>
      <c r="BG127" s="48">
        <v>1.9E-2</v>
      </c>
      <c r="BH127" s="48">
        <v>8.9999999999999993E-3</v>
      </c>
      <c r="BI127" s="48">
        <v>0</v>
      </c>
      <c r="BJ127" s="48">
        <v>3.7999999999999999E-2</v>
      </c>
      <c r="BK127" s="48">
        <v>0.28799999999999998</v>
      </c>
      <c r="BL127" s="48">
        <v>0.27800000000000002</v>
      </c>
      <c r="BM127" s="48">
        <v>0.29799999999999999</v>
      </c>
      <c r="BN127" s="48">
        <v>0.317</v>
      </c>
      <c r="BO127" s="48">
        <v>0.35499999999999998</v>
      </c>
      <c r="BP127" s="48">
        <v>0.38400000000000001</v>
      </c>
      <c r="BQ127" s="48">
        <v>0.36499999999999999</v>
      </c>
      <c r="BR127" s="48">
        <v>0.32600000000000001</v>
      </c>
      <c r="BS127" s="48">
        <v>0.26900000000000002</v>
      </c>
      <c r="BT127" s="48">
        <v>0.23</v>
      </c>
      <c r="BU127" s="48">
        <v>0.25</v>
      </c>
      <c r="BV127" s="48">
        <v>0.39400000000000002</v>
      </c>
      <c r="BW127" s="48">
        <v>0.432</v>
      </c>
      <c r="BX127" s="48">
        <v>0.45100000000000007</v>
      </c>
      <c r="BY127" s="48">
        <v>0.47099999999999997</v>
      </c>
      <c r="BZ127" s="48">
        <v>0.49</v>
      </c>
      <c r="CA127" s="48">
        <v>0.54800000000000004</v>
      </c>
      <c r="CB127" s="48">
        <v>0.57599999999999996</v>
      </c>
      <c r="CC127" s="48">
        <v>0.61499999999999999</v>
      </c>
      <c r="CD127" s="48">
        <v>0.72099999999999997</v>
      </c>
      <c r="CE127" s="48">
        <v>0.77800000000000002</v>
      </c>
      <c r="CF127" s="48">
        <v>0.81699999999999995</v>
      </c>
      <c r="CG127" s="48">
        <v>0.82599999999999996</v>
      </c>
      <c r="CH127" s="48">
        <v>0.79800000000000004</v>
      </c>
      <c r="CI127" s="48">
        <v>0.76900000000000002</v>
      </c>
      <c r="CJ127" s="48">
        <v>0.78800000000000003</v>
      </c>
      <c r="CK127" s="48">
        <v>0.80700000000000005</v>
      </c>
      <c r="CL127" s="48">
        <v>0.82599999999999996</v>
      </c>
      <c r="CM127" s="48">
        <v>0.85499999999999987</v>
      </c>
      <c r="CN127" s="48">
        <v>0.87499999999999989</v>
      </c>
      <c r="CO127" s="48">
        <v>0.86499999999999988</v>
      </c>
      <c r="CP127" s="48">
        <v>0.84599999999999997</v>
      </c>
      <c r="CQ127" s="48">
        <v>0.75900000000000001</v>
      </c>
      <c r="CR127" s="48">
        <v>0.65300000000000002</v>
      </c>
      <c r="CS127" s="48">
        <v>0.58599999999999997</v>
      </c>
      <c r="CT127" s="48">
        <v>0.60499999999999998</v>
      </c>
      <c r="CU127" s="48">
        <v>0.75</v>
      </c>
      <c r="CV127" s="48">
        <v>0.74</v>
      </c>
      <c r="CW127" s="48">
        <v>0.73</v>
      </c>
      <c r="CX127" s="48">
        <v>0.70099999999999996</v>
      </c>
      <c r="CY127" s="48">
        <v>0.67300000000000004</v>
      </c>
      <c r="CZ127" s="48">
        <v>0.64400000000000002</v>
      </c>
      <c r="DA127" s="48">
        <v>0.61499999999999999</v>
      </c>
      <c r="DB127" s="48">
        <v>0.63400000000000001</v>
      </c>
      <c r="DC127" s="48">
        <v>0.66300000000000003</v>
      </c>
      <c r="DD127" s="48">
        <v>0.68200000000000005</v>
      </c>
      <c r="DE127" s="48">
        <v>0.71099999999999997</v>
      </c>
      <c r="DF127" s="48">
        <v>0.69199999999999995</v>
      </c>
    </row>
    <row r="128" spans="1:110" x14ac:dyDescent="0.2">
      <c r="A128" s="46" t="s">
        <v>150</v>
      </c>
      <c r="B128" s="47">
        <f t="shared" si="56"/>
        <v>-62.333333333333321</v>
      </c>
      <c r="C128" s="47">
        <f t="shared" si="57"/>
        <v>2.600000000000005</v>
      </c>
      <c r="D128" s="49" t="e">
        <f t="shared" ref="D128:D159" ca="1" si="114">_xludf.STDEV.P(W128:DF128)*100</f>
        <v>#NAME?</v>
      </c>
      <c r="E128" s="47"/>
      <c r="F128" s="48">
        <v>0.23633333333333331</v>
      </c>
      <c r="G128" s="48">
        <v>0.22333333333333327</v>
      </c>
      <c r="H128" s="48">
        <v>0.22999999999999998</v>
      </c>
      <c r="I128" s="48">
        <v>0.21033333333333326</v>
      </c>
      <c r="J128" s="48">
        <v>0.18199999999999994</v>
      </c>
      <c r="K128" s="48">
        <v>0.24833333333333318</v>
      </c>
      <c r="L128" s="48">
        <v>0.35399999999999993</v>
      </c>
      <c r="M128" s="48">
        <v>0.48799999999999982</v>
      </c>
      <c r="N128" s="48">
        <v>0.66933333333333311</v>
      </c>
      <c r="O128" s="48">
        <v>0.67799999999999971</v>
      </c>
      <c r="P128" s="48">
        <v>0.75466666666666637</v>
      </c>
      <c r="Q128" s="48">
        <v>0.85966666666666647</v>
      </c>
      <c r="R128" s="48">
        <v>0.92133333333333323</v>
      </c>
      <c r="S128" s="48">
        <v>0.89366666666666639</v>
      </c>
      <c r="T128" s="48">
        <v>0.82299999999999984</v>
      </c>
      <c r="U128" s="48">
        <v>0.71366666666666645</v>
      </c>
      <c r="V128" s="48">
        <v>0.85866666666666647</v>
      </c>
      <c r="W128" s="48">
        <v>0.89299999999999979</v>
      </c>
      <c r="X128" s="48">
        <v>0.85733333333333317</v>
      </c>
      <c r="Y128" s="48">
        <v>0.75799999999999979</v>
      </c>
      <c r="Z128" s="48">
        <v>0.52133333333333309</v>
      </c>
      <c r="AA128" s="48">
        <v>0.26100000000000007</v>
      </c>
      <c r="AB128" s="48">
        <v>0.14533333333333329</v>
      </c>
      <c r="AC128" s="48">
        <v>4.2333333333333327E-2</v>
      </c>
      <c r="AD128" s="48">
        <v>2.8333333333333325E-2</v>
      </c>
      <c r="AE128" s="48">
        <v>0.11133333333333337</v>
      </c>
      <c r="AF128" s="48">
        <v>0.21566666666666676</v>
      </c>
      <c r="AG128" s="48">
        <v>0.18000000000000005</v>
      </c>
      <c r="AH128" s="48">
        <v>3.4000000000000016E-2</v>
      </c>
      <c r="AI128" s="48">
        <v>0</v>
      </c>
      <c r="AJ128" s="48">
        <v>0.14566666666666672</v>
      </c>
      <c r="AK128" s="48">
        <v>0.37333333333333341</v>
      </c>
      <c r="AL128" s="48">
        <v>0.65266666666666662</v>
      </c>
      <c r="AM128" s="48">
        <v>0.31833333333333352</v>
      </c>
      <c r="AN128" s="48">
        <v>0.27233333333333354</v>
      </c>
      <c r="AO128" s="48">
        <v>0.24433333333333354</v>
      </c>
      <c r="AP128" s="48">
        <v>0.19566666666666685</v>
      </c>
      <c r="AQ128" s="48">
        <v>0.27733333333333343</v>
      </c>
      <c r="AR128" s="48">
        <v>0.4343333333333334</v>
      </c>
      <c r="AS128" s="48">
        <v>0.79499999999999982</v>
      </c>
      <c r="AT128" s="48">
        <v>0.83566666666666667</v>
      </c>
      <c r="AU128" s="48">
        <v>0.91233333333333333</v>
      </c>
      <c r="AV128" s="48">
        <v>0.95466666666666666</v>
      </c>
      <c r="AW128" s="48">
        <v>0.93333333333333335</v>
      </c>
      <c r="AX128" s="48">
        <v>0.90400000000000003</v>
      </c>
      <c r="AY128" s="48">
        <v>0.45600000000000024</v>
      </c>
      <c r="AZ128" s="48">
        <v>0.58166666666666689</v>
      </c>
      <c r="BA128" s="48">
        <v>0.745</v>
      </c>
      <c r="BB128" s="48">
        <v>0.75866666666666671</v>
      </c>
      <c r="BC128" s="48">
        <v>0.68966666666666676</v>
      </c>
      <c r="BD128" s="48">
        <v>0.49600000000000022</v>
      </c>
      <c r="BE128" s="48">
        <v>0.44166666666666704</v>
      </c>
      <c r="BF128" s="48">
        <v>0.26400000000000012</v>
      </c>
      <c r="BG128" s="48">
        <v>0.21133333333333354</v>
      </c>
      <c r="BH128" s="48">
        <v>0.17400000000000024</v>
      </c>
      <c r="BI128" s="48">
        <v>0.20400000000000024</v>
      </c>
      <c r="BJ128" s="48">
        <v>0.27866666666666684</v>
      </c>
      <c r="BK128" s="48">
        <v>0.40600000000000003</v>
      </c>
      <c r="BL128" s="48">
        <v>0.4286666666666667</v>
      </c>
      <c r="BM128" s="48">
        <v>0.45066666666666672</v>
      </c>
      <c r="BN128" s="48">
        <v>0.45866666666666672</v>
      </c>
      <c r="BO128" s="48">
        <v>0.46599999999999997</v>
      </c>
      <c r="BP128" s="48">
        <v>0.4433333333333333</v>
      </c>
      <c r="BQ128" s="48">
        <v>0.41333333333333339</v>
      </c>
      <c r="BR128" s="48">
        <v>0.39133333333333342</v>
      </c>
      <c r="BS128" s="48">
        <v>0.42133333333333339</v>
      </c>
      <c r="BT128" s="48">
        <v>0.53333333333333333</v>
      </c>
      <c r="BU128" s="48">
        <v>0.59333333333333327</v>
      </c>
      <c r="BV128" s="48">
        <v>0.61599999999999988</v>
      </c>
      <c r="BW128" s="48">
        <v>0.60066666666666657</v>
      </c>
      <c r="BX128" s="48">
        <v>0.58599999999999985</v>
      </c>
      <c r="BY128" s="48">
        <v>0.51066666666666671</v>
      </c>
      <c r="BZ128" s="48">
        <v>0.47333333333333338</v>
      </c>
      <c r="CA128" s="48">
        <v>0.48866666666666664</v>
      </c>
      <c r="CB128" s="48">
        <v>0.54866666666666652</v>
      </c>
      <c r="CC128" s="48">
        <v>0.52600000000000002</v>
      </c>
      <c r="CD128" s="48">
        <v>0.49599999999999994</v>
      </c>
      <c r="CE128" s="48">
        <v>0.5033333333333333</v>
      </c>
      <c r="CF128" s="48">
        <v>0.54066666666666663</v>
      </c>
      <c r="CG128" s="48">
        <v>0.51866666666666661</v>
      </c>
      <c r="CH128" s="48">
        <v>0.57799999999999996</v>
      </c>
      <c r="CI128" s="48">
        <v>0.60799999999999987</v>
      </c>
      <c r="CJ128" s="48">
        <v>0.6459999999999998</v>
      </c>
      <c r="CK128" s="48">
        <v>0.66066666666666651</v>
      </c>
      <c r="CL128" s="48">
        <v>0.65333333333333321</v>
      </c>
      <c r="CM128" s="48">
        <v>0.66799999999999982</v>
      </c>
      <c r="CN128" s="48">
        <v>0.67599999999999993</v>
      </c>
      <c r="CO128" s="48">
        <v>0.68333333333333313</v>
      </c>
      <c r="CP128" s="48">
        <v>0.69799999999999984</v>
      </c>
      <c r="CQ128" s="48">
        <v>0.69066666666666654</v>
      </c>
      <c r="CR128" s="48">
        <v>0.5</v>
      </c>
      <c r="CS128" s="48">
        <v>0.5</v>
      </c>
      <c r="CT128" s="48">
        <v>0.5</v>
      </c>
      <c r="CU128" s="48">
        <v>0.5</v>
      </c>
      <c r="CV128" s="48">
        <v>0.5</v>
      </c>
      <c r="CW128" s="48">
        <v>0.5</v>
      </c>
      <c r="CX128" s="48">
        <v>0.5</v>
      </c>
      <c r="CY128" s="48">
        <v>0.5</v>
      </c>
      <c r="CZ128" s="48">
        <v>0.5</v>
      </c>
      <c r="DA128" s="48">
        <v>0.5</v>
      </c>
      <c r="DB128" s="48">
        <v>0.5</v>
      </c>
      <c r="DC128" s="48">
        <v>0.5</v>
      </c>
      <c r="DD128" s="48">
        <v>0.5</v>
      </c>
      <c r="DE128" s="48">
        <v>0.5</v>
      </c>
      <c r="DF128" s="48">
        <v>0.5</v>
      </c>
    </row>
    <row r="129" spans="1:110" x14ac:dyDescent="0.2">
      <c r="A129" s="46" t="s">
        <v>152</v>
      </c>
      <c r="B129" s="47">
        <f t="shared" si="56"/>
        <v>-19.233333333333334</v>
      </c>
      <c r="C129" s="47">
        <f t="shared" si="57"/>
        <v>-0.33333333333332993</v>
      </c>
      <c r="D129" s="49" t="e">
        <f t="shared" ref="D129:D160" ca="1" si="115">_xludf.STDEV.P(W129:DF129)*100</f>
        <v>#NAME?</v>
      </c>
      <c r="E129" s="47"/>
      <c r="F129" s="48">
        <v>0.56400000000000006</v>
      </c>
      <c r="G129" s="48">
        <v>0.55766666666666664</v>
      </c>
      <c r="H129" s="48">
        <v>0.55766666666666664</v>
      </c>
      <c r="I129" s="48">
        <v>0.56733333333333336</v>
      </c>
      <c r="J129" s="48">
        <v>0.57033333333333336</v>
      </c>
      <c r="K129" s="48">
        <v>0.57366666666666677</v>
      </c>
      <c r="L129" s="48">
        <v>0.71766666666666679</v>
      </c>
      <c r="M129" s="48">
        <v>0.7370000000000001</v>
      </c>
      <c r="N129" s="48">
        <v>0.75933333333333342</v>
      </c>
      <c r="O129" s="48">
        <v>0.78200000000000014</v>
      </c>
      <c r="P129" s="48">
        <v>0.76900000000000002</v>
      </c>
      <c r="Q129" s="48">
        <v>0.75633333333333341</v>
      </c>
      <c r="R129" s="48">
        <v>0.71533333333333338</v>
      </c>
      <c r="S129" s="48">
        <v>0.70366666666666666</v>
      </c>
      <c r="T129" s="48">
        <v>0.69133333333333336</v>
      </c>
      <c r="U129" s="48">
        <v>0.7533333333333333</v>
      </c>
      <c r="V129" s="48">
        <v>0.92500000000000004</v>
      </c>
      <c r="W129" s="48">
        <v>0.93766666666666676</v>
      </c>
      <c r="X129" s="48">
        <v>0.90300000000000014</v>
      </c>
      <c r="Y129" s="48">
        <v>0.73433333333333339</v>
      </c>
      <c r="Z129" s="48">
        <v>0.48700000000000004</v>
      </c>
      <c r="AA129" s="48">
        <v>0.44933333333333336</v>
      </c>
      <c r="AB129" s="48">
        <v>0.41033333333333344</v>
      </c>
      <c r="AC129" s="48">
        <v>0.44400000000000001</v>
      </c>
      <c r="AD129" s="48">
        <v>0.50200000000000011</v>
      </c>
      <c r="AE129" s="48">
        <v>0.46166666666666667</v>
      </c>
      <c r="AF129" s="48">
        <v>0.41866666666666674</v>
      </c>
      <c r="AG129" s="48">
        <v>0.19300000000000003</v>
      </c>
      <c r="AH129" s="48">
        <v>0.16033333333333336</v>
      </c>
      <c r="AI129" s="48">
        <v>0.10300000000000001</v>
      </c>
      <c r="AJ129" s="48">
        <v>0.11566666666666667</v>
      </c>
      <c r="AK129" s="48">
        <v>0.13800000000000001</v>
      </c>
      <c r="AL129" s="48">
        <v>0.30200000000000005</v>
      </c>
      <c r="AM129" s="48">
        <v>0.36099999999999999</v>
      </c>
      <c r="AN129" s="48">
        <v>0.43133333333333335</v>
      </c>
      <c r="AO129" s="48">
        <v>0.64766666666666672</v>
      </c>
      <c r="AP129" s="48">
        <v>0.67533333333333345</v>
      </c>
      <c r="AQ129" s="48">
        <v>0.49599999999999994</v>
      </c>
      <c r="AR129" s="48">
        <v>0.46299999999999997</v>
      </c>
      <c r="AS129" s="48">
        <v>0.48433333333333334</v>
      </c>
      <c r="AT129" s="48">
        <v>0.433</v>
      </c>
      <c r="AU129" s="48">
        <v>0.59800000000000009</v>
      </c>
      <c r="AV129" s="48">
        <v>0.72266666666666668</v>
      </c>
      <c r="AW129" s="48">
        <v>0.92</v>
      </c>
      <c r="AX129" s="48">
        <v>0.92066666666666663</v>
      </c>
      <c r="AY129" s="48">
        <v>0.69233333333333336</v>
      </c>
      <c r="AZ129" s="48">
        <v>0.69866666666666666</v>
      </c>
      <c r="BA129" s="48">
        <v>0.67333333333333334</v>
      </c>
      <c r="BB129" s="48">
        <v>0.625</v>
      </c>
      <c r="BC129" s="48">
        <v>0.19233333333333336</v>
      </c>
      <c r="BD129" s="48">
        <v>0.21666666666666667</v>
      </c>
      <c r="BE129" s="48">
        <v>0.22266666666666668</v>
      </c>
      <c r="BF129" s="48">
        <v>0.20066666666666666</v>
      </c>
      <c r="BG129" s="48">
        <v>0.13366666666666668</v>
      </c>
      <c r="BH129" s="48">
        <v>0.10300000000000001</v>
      </c>
      <c r="BI129" s="48">
        <v>8.2000000000000003E-2</v>
      </c>
      <c r="BJ129" s="48">
        <v>5.6000000000000001E-2</v>
      </c>
      <c r="BK129" s="48">
        <v>0.17833333333333334</v>
      </c>
      <c r="BL129" s="48">
        <v>0.16333333333333336</v>
      </c>
      <c r="BM129" s="48">
        <v>0.19400000000000001</v>
      </c>
      <c r="BN129" s="48">
        <v>0.27</v>
      </c>
      <c r="BO129" s="48">
        <v>0.41400000000000003</v>
      </c>
      <c r="BP129" s="48">
        <v>0.50800000000000012</v>
      </c>
      <c r="BQ129" s="48">
        <v>0.46500000000000002</v>
      </c>
      <c r="BR129" s="48">
        <v>0.44600000000000006</v>
      </c>
      <c r="BS129" s="48">
        <v>0.503</v>
      </c>
      <c r="BT129" s="48">
        <v>0.54366666666666674</v>
      </c>
      <c r="BU129" s="48">
        <v>0.57433333333333336</v>
      </c>
      <c r="BV129" s="48">
        <v>0.46533333333333327</v>
      </c>
      <c r="BW129" s="48">
        <v>0.3736666666666667</v>
      </c>
      <c r="BX129" s="48">
        <v>0.36233333333333334</v>
      </c>
      <c r="BY129" s="48">
        <v>0.38366666666666666</v>
      </c>
      <c r="BZ129" s="48">
        <v>0.45733333333333342</v>
      </c>
      <c r="CA129" s="48">
        <v>0.37833333333333341</v>
      </c>
      <c r="CB129" s="48">
        <v>0.49333333333333335</v>
      </c>
      <c r="CC129" s="48">
        <v>0.48700000000000004</v>
      </c>
      <c r="CD129" s="48">
        <v>0.53200000000000003</v>
      </c>
      <c r="CE129" s="48">
        <v>0.55100000000000005</v>
      </c>
      <c r="CF129" s="48">
        <v>0.54800000000000004</v>
      </c>
      <c r="CG129" s="48">
        <v>0.54466666666666663</v>
      </c>
      <c r="CH129" s="48">
        <v>0.52233333333333332</v>
      </c>
      <c r="CI129" s="48">
        <v>0.53833333333333333</v>
      </c>
      <c r="CJ129" s="48">
        <v>0.55100000000000005</v>
      </c>
      <c r="CK129" s="48">
        <v>0.56066666666666665</v>
      </c>
      <c r="CL129" s="48">
        <v>0.57366666666666666</v>
      </c>
      <c r="CM129" s="48">
        <v>0.58000000000000007</v>
      </c>
      <c r="CN129" s="48">
        <v>0.58333333333333326</v>
      </c>
      <c r="CO129" s="48">
        <v>0.57666666666666677</v>
      </c>
      <c r="CP129" s="48">
        <v>0.56399999999999995</v>
      </c>
      <c r="CQ129" s="48">
        <v>0.54166666666666674</v>
      </c>
      <c r="CR129" s="48">
        <v>0.51900000000000002</v>
      </c>
      <c r="CS129" s="48">
        <v>0.49033333333333334</v>
      </c>
      <c r="CT129" s="48">
        <v>0.44866666666666671</v>
      </c>
      <c r="CU129" s="48">
        <v>0.42933333333333334</v>
      </c>
      <c r="CV129" s="48">
        <v>0.4326666666666667</v>
      </c>
      <c r="CW129" s="48">
        <v>0.4356666666666667</v>
      </c>
      <c r="CX129" s="48">
        <v>0.439</v>
      </c>
      <c r="CY129" s="48">
        <v>0.442</v>
      </c>
      <c r="CZ129" s="48">
        <v>0.44533333333333336</v>
      </c>
      <c r="DA129" s="48">
        <v>0.46133333333333337</v>
      </c>
      <c r="DB129" s="48">
        <v>0.47100000000000003</v>
      </c>
      <c r="DC129" s="48">
        <v>0.47733333333333333</v>
      </c>
      <c r="DD129" s="48">
        <v>0.46466666666666673</v>
      </c>
      <c r="DE129" s="48">
        <v>0.45500000000000002</v>
      </c>
      <c r="DF129" s="48">
        <v>0.46466666666666673</v>
      </c>
    </row>
    <row r="130" spans="1:110" x14ac:dyDescent="0.2">
      <c r="A130" s="46" t="s">
        <v>154</v>
      </c>
      <c r="B130" s="47">
        <f t="shared" si="56"/>
        <v>-30.299999999999994</v>
      </c>
      <c r="C130" s="47">
        <f t="shared" si="57"/>
        <v>0</v>
      </c>
      <c r="D130" s="49" t="e">
        <f t="shared" ref="D130:D161" ca="1" si="116">_xludf.STDEV.P(W130:DF130)*100</f>
        <v>#NAME?</v>
      </c>
      <c r="E130" s="47"/>
      <c r="F130" s="48">
        <v>0.63900000000000001</v>
      </c>
      <c r="G130" s="48">
        <v>0.63900000000000001</v>
      </c>
      <c r="H130" s="48">
        <v>0.63900000000000001</v>
      </c>
      <c r="I130" s="48">
        <v>0.63900000000000001</v>
      </c>
      <c r="J130" s="48">
        <v>0.63900000000000001</v>
      </c>
      <c r="K130" s="48">
        <v>0.63900000000000001</v>
      </c>
      <c r="L130" s="48">
        <v>0.79299999999999993</v>
      </c>
      <c r="M130" s="48">
        <v>0.75900000000000001</v>
      </c>
      <c r="N130" s="48">
        <v>0.84550000000000003</v>
      </c>
      <c r="O130" s="48">
        <v>0.8839999999999999</v>
      </c>
      <c r="P130" s="48">
        <v>0.92249999999999999</v>
      </c>
      <c r="Q130" s="48">
        <v>0.94199999999999995</v>
      </c>
      <c r="R130" s="48">
        <v>0.95150000000000001</v>
      </c>
      <c r="S130" s="48">
        <v>0.90800000000000003</v>
      </c>
      <c r="T130" s="48">
        <v>0.88900000000000001</v>
      </c>
      <c r="U130" s="48">
        <v>0.84099999999999997</v>
      </c>
      <c r="V130" s="48">
        <v>0.89400000000000002</v>
      </c>
      <c r="W130" s="48">
        <v>0.88450000000000006</v>
      </c>
      <c r="X130" s="48">
        <v>0.81199999999999994</v>
      </c>
      <c r="Y130" s="48">
        <v>0.76900000000000002</v>
      </c>
      <c r="Z130" s="48">
        <v>0.5139999999999999</v>
      </c>
      <c r="AA130" s="48">
        <v>0.20650000000000002</v>
      </c>
      <c r="AB130" s="48">
        <v>8.6000000000000007E-2</v>
      </c>
      <c r="AC130" s="48">
        <v>8.1000000000000003E-2</v>
      </c>
      <c r="AD130" s="48">
        <v>0.13899999999999998</v>
      </c>
      <c r="AE130" s="48">
        <v>0.16300000000000003</v>
      </c>
      <c r="AF130" s="48">
        <v>0.17749999999999999</v>
      </c>
      <c r="AG130" s="48">
        <v>9.0999999999999998E-2</v>
      </c>
      <c r="AH130" s="48">
        <v>8.1000000000000003E-2</v>
      </c>
      <c r="AI130" s="48">
        <v>9.6000000000000002E-2</v>
      </c>
      <c r="AJ130" s="48">
        <v>0.17700000000000002</v>
      </c>
      <c r="AK130" s="48">
        <v>0.30700000000000005</v>
      </c>
      <c r="AL130" s="48">
        <v>0.4945</v>
      </c>
      <c r="AM130" s="48">
        <v>0.48499999999999999</v>
      </c>
      <c r="AN130" s="48">
        <v>0.46600000000000003</v>
      </c>
      <c r="AO130" s="48">
        <v>0.48499999999999999</v>
      </c>
      <c r="AP130" s="48">
        <v>0.50450000000000006</v>
      </c>
      <c r="AQ130" s="48">
        <v>0.5575</v>
      </c>
      <c r="AR130" s="48">
        <v>0.68699999999999994</v>
      </c>
      <c r="AS130" s="48">
        <v>0.90350000000000008</v>
      </c>
      <c r="AT130" s="48">
        <v>0.94200000000000006</v>
      </c>
      <c r="AU130" s="48">
        <v>0.96149999999999991</v>
      </c>
      <c r="AV130" s="48">
        <v>0.96550000000000002</v>
      </c>
      <c r="AW130" s="48">
        <v>0.92699999999999994</v>
      </c>
      <c r="AX130" s="48">
        <v>0.86050000000000004</v>
      </c>
      <c r="AY130" s="48">
        <v>0.40349999999999997</v>
      </c>
      <c r="AZ130" s="48">
        <v>0.20149999999999998</v>
      </c>
      <c r="BA130" s="48">
        <v>0.16800000000000001</v>
      </c>
      <c r="BB130" s="48">
        <v>0.14849999999999999</v>
      </c>
      <c r="BC130" s="48">
        <v>0.115</v>
      </c>
      <c r="BD130" s="48">
        <v>9.0999999999999998E-2</v>
      </c>
      <c r="BE130" s="48">
        <v>6.7000000000000004E-2</v>
      </c>
      <c r="BF130" s="48">
        <v>4.3000000000000003E-2</v>
      </c>
      <c r="BG130" s="48">
        <v>1.8499999999999999E-2</v>
      </c>
      <c r="BH130" s="48">
        <v>0</v>
      </c>
      <c r="BI130" s="48">
        <v>3.3000000000000002E-2</v>
      </c>
      <c r="BJ130" s="48">
        <v>0.10049999999999999</v>
      </c>
      <c r="BK130" s="48">
        <v>0.22550000000000003</v>
      </c>
      <c r="BL130" s="48">
        <v>0.29299999999999998</v>
      </c>
      <c r="BM130" s="48">
        <v>0.29749999999999999</v>
      </c>
      <c r="BN130" s="48">
        <v>0.3075</v>
      </c>
      <c r="BO130" s="48">
        <v>0.34599999999999997</v>
      </c>
      <c r="BP130" s="48">
        <v>0.32649999999999996</v>
      </c>
      <c r="BQ130" s="48">
        <v>0.312</v>
      </c>
      <c r="BR130" s="48">
        <v>0.29749999999999999</v>
      </c>
      <c r="BS130" s="48">
        <v>0.29299999999999998</v>
      </c>
      <c r="BT130" s="48">
        <v>0.28300000000000003</v>
      </c>
      <c r="BU130" s="48">
        <v>0.31650000000000006</v>
      </c>
      <c r="BV130" s="48">
        <v>0.40849999999999997</v>
      </c>
      <c r="BW130" s="48">
        <v>0.3795</v>
      </c>
      <c r="BX130" s="48">
        <v>0.40350000000000003</v>
      </c>
      <c r="BY130" s="48">
        <v>0.437</v>
      </c>
      <c r="BZ130" s="48">
        <v>0.51900000000000002</v>
      </c>
      <c r="CA130" s="48">
        <v>0.58149999999999991</v>
      </c>
      <c r="CB130" s="48">
        <v>0.64350000000000007</v>
      </c>
      <c r="CC130" s="48">
        <v>0.60549999999999993</v>
      </c>
      <c r="CD130" s="48">
        <v>0.61950000000000005</v>
      </c>
      <c r="CE130" s="48">
        <v>0.60499999999999998</v>
      </c>
      <c r="CF130" s="48">
        <v>0.61999999999999988</v>
      </c>
      <c r="CG130" s="48">
        <v>0.44199999999999995</v>
      </c>
      <c r="CH130" s="48">
        <v>0.44650000000000006</v>
      </c>
      <c r="CI130" s="48">
        <v>0.4945</v>
      </c>
      <c r="CJ130" s="48">
        <v>0.63900000000000001</v>
      </c>
      <c r="CK130" s="48">
        <v>0.60499999999999998</v>
      </c>
      <c r="CL130" s="48">
        <v>0.54749999999999999</v>
      </c>
      <c r="CM130" s="48">
        <v>0.59100000000000008</v>
      </c>
      <c r="CN130" s="48">
        <v>0.65350000000000008</v>
      </c>
      <c r="CO130" s="48">
        <v>0.72049999999999992</v>
      </c>
      <c r="CP130" s="48">
        <v>0.70599999999999996</v>
      </c>
      <c r="CQ130" s="48">
        <v>0.70650000000000002</v>
      </c>
      <c r="CR130" s="48">
        <v>0.67699999999999994</v>
      </c>
      <c r="CS130" s="48">
        <v>0.75900000000000001</v>
      </c>
      <c r="CT130" s="48">
        <v>0.75900000000000001</v>
      </c>
      <c r="CU130" s="48">
        <v>0.73549999999999993</v>
      </c>
      <c r="CV130" s="48">
        <v>0.56700000000000006</v>
      </c>
      <c r="CW130" s="48">
        <v>0.58150000000000002</v>
      </c>
      <c r="CX130" s="48">
        <v>0.54749999999999999</v>
      </c>
      <c r="CY130" s="48">
        <v>0.51849999999999996</v>
      </c>
      <c r="CZ130" s="48">
        <v>0.47100000000000003</v>
      </c>
      <c r="DA130" s="48">
        <v>0.41749999999999998</v>
      </c>
      <c r="DB130" s="48">
        <v>0.42750000000000005</v>
      </c>
      <c r="DC130" s="48">
        <v>0.35549999999999998</v>
      </c>
      <c r="DD130" s="48">
        <v>0.37449999999999994</v>
      </c>
      <c r="DE130" s="48">
        <v>0.36950000000000005</v>
      </c>
      <c r="DF130" s="48">
        <v>0.36000000000000004</v>
      </c>
    </row>
    <row r="131" spans="1:110" x14ac:dyDescent="0.2">
      <c r="A131" s="46" t="s">
        <v>156</v>
      </c>
      <c r="B131" s="47">
        <f t="shared" si="56"/>
        <v>-20.099999999999994</v>
      </c>
      <c r="C131" s="47">
        <f t="shared" si="57"/>
        <v>-12.859999999999994</v>
      </c>
      <c r="D131" s="49" t="e">
        <f t="shared" ref="D131:D162" ca="1" si="117">_xludf.STDEV.P(W131:DF131)*100</f>
        <v>#NAME?</v>
      </c>
      <c r="E131" s="47"/>
      <c r="F131" s="48">
        <v>0.31240000000000001</v>
      </c>
      <c r="G131" s="48">
        <v>0.29860000000000003</v>
      </c>
      <c r="H131" s="48">
        <v>0.39480000000000004</v>
      </c>
      <c r="I131" s="48">
        <v>0.44099999999999995</v>
      </c>
      <c r="J131" s="48">
        <v>0.46399999999999997</v>
      </c>
      <c r="K131" s="48">
        <v>0.39999999999999997</v>
      </c>
      <c r="L131" s="48">
        <v>0.43659999999999999</v>
      </c>
      <c r="M131" s="48">
        <v>0.42159999999999997</v>
      </c>
      <c r="N131" s="48">
        <v>0.67999999999999994</v>
      </c>
      <c r="O131" s="48">
        <v>0.58919999999999995</v>
      </c>
      <c r="P131" s="48">
        <v>0.59060000000000001</v>
      </c>
      <c r="Q131" s="48">
        <v>0.51339999999999997</v>
      </c>
      <c r="R131" s="48">
        <v>0.42880000000000007</v>
      </c>
      <c r="S131" s="48">
        <v>0.38459999999999994</v>
      </c>
      <c r="T131" s="48">
        <v>0.31699999999999995</v>
      </c>
      <c r="U131" s="48">
        <v>0.28639999999999999</v>
      </c>
      <c r="V131" s="48">
        <v>0.2712</v>
      </c>
      <c r="W131" s="48">
        <v>0.30799999999999994</v>
      </c>
      <c r="X131" s="48">
        <v>0.30400000000000005</v>
      </c>
      <c r="Y131" s="48">
        <v>0.37879999999999997</v>
      </c>
      <c r="Z131" s="48">
        <v>0.22640000000000002</v>
      </c>
      <c r="AA131" s="48">
        <v>0.20539999999999997</v>
      </c>
      <c r="AB131" s="48">
        <v>0.20559999999999998</v>
      </c>
      <c r="AC131" s="48">
        <v>0.27300000000000002</v>
      </c>
      <c r="AD131" s="48">
        <v>0.39819999999999994</v>
      </c>
      <c r="AE131" s="48">
        <v>0.53320000000000001</v>
      </c>
      <c r="AF131" s="48">
        <v>0.58139999999999992</v>
      </c>
      <c r="AG131" s="48">
        <v>0.66459999999999997</v>
      </c>
      <c r="AH131" s="48">
        <v>0.68359999999999999</v>
      </c>
      <c r="AI131" s="48">
        <v>0.72419999999999995</v>
      </c>
      <c r="AJ131" s="48">
        <v>0.68520000000000003</v>
      </c>
      <c r="AK131" s="48">
        <v>0.74719999999999986</v>
      </c>
      <c r="AL131" s="48">
        <v>0.75299999999999989</v>
      </c>
      <c r="AM131" s="48">
        <v>0.7722</v>
      </c>
      <c r="AN131" s="48">
        <v>0.76639999999999997</v>
      </c>
      <c r="AO131" s="48">
        <v>0.71019999999999994</v>
      </c>
      <c r="AP131" s="48">
        <v>0.63280000000000003</v>
      </c>
      <c r="AQ131" s="48">
        <v>0.61099999999999999</v>
      </c>
      <c r="AR131" s="48">
        <v>0.65720000000000001</v>
      </c>
      <c r="AS131" s="48">
        <v>0.7248</v>
      </c>
      <c r="AT131" s="48">
        <v>0.7397999999999999</v>
      </c>
      <c r="AU131" s="48">
        <v>0.75739999999999985</v>
      </c>
      <c r="AV131" s="48">
        <v>0.93419999999999992</v>
      </c>
      <c r="AW131" s="48">
        <v>0.90739999999999998</v>
      </c>
      <c r="AX131" s="48">
        <v>0.70359999999999989</v>
      </c>
      <c r="AY131" s="48">
        <v>0.52999999999999992</v>
      </c>
      <c r="AZ131" s="48">
        <v>0.55320000000000003</v>
      </c>
      <c r="BA131" s="48">
        <v>0.57640000000000002</v>
      </c>
      <c r="BB131" s="48">
        <v>0.55320000000000003</v>
      </c>
      <c r="BC131" s="48">
        <v>0.4244</v>
      </c>
      <c r="BD131" s="48">
        <v>0.35539999999999994</v>
      </c>
      <c r="BE131" s="48">
        <v>0.313</v>
      </c>
      <c r="BF131" s="48">
        <v>0.25719999999999998</v>
      </c>
      <c r="BG131" s="48">
        <v>0.22079999999999997</v>
      </c>
      <c r="BH131" s="48">
        <v>9.219999999999999E-2</v>
      </c>
      <c r="BI131" s="48">
        <v>9.3799999999999994E-2</v>
      </c>
      <c r="BJ131" s="48">
        <v>0.28800000000000003</v>
      </c>
      <c r="BK131" s="48">
        <v>0.41</v>
      </c>
      <c r="BL131" s="48">
        <v>0.32759999999999995</v>
      </c>
      <c r="BM131" s="48">
        <v>0.22120000000000001</v>
      </c>
      <c r="BN131" s="48">
        <v>0.2462</v>
      </c>
      <c r="BO131" s="48">
        <v>0.26779999999999998</v>
      </c>
      <c r="BP131" s="48">
        <v>0.2918</v>
      </c>
      <c r="BQ131" s="48">
        <v>0.27559999999999996</v>
      </c>
      <c r="BR131" s="48">
        <v>0.26579999999999998</v>
      </c>
      <c r="BS131" s="48">
        <v>0.41459999999999997</v>
      </c>
      <c r="BT131" s="48">
        <v>0.39259999999999995</v>
      </c>
      <c r="BU131" s="48">
        <v>0.4526</v>
      </c>
      <c r="BV131" s="48">
        <v>0.34060000000000001</v>
      </c>
      <c r="BW131" s="48">
        <v>0.5122000000000001</v>
      </c>
      <c r="BX131" s="48">
        <v>0.52179999999999993</v>
      </c>
      <c r="BY131" s="48">
        <v>0.59320000000000006</v>
      </c>
      <c r="BZ131" s="48">
        <v>0.62960000000000005</v>
      </c>
      <c r="CA131" s="48">
        <v>0.68759999999999999</v>
      </c>
      <c r="CB131" s="48">
        <v>0.70100000000000007</v>
      </c>
      <c r="CC131" s="48">
        <v>0.70279999999999987</v>
      </c>
      <c r="CD131" s="48">
        <v>0.68159999999999987</v>
      </c>
      <c r="CE131" s="48">
        <v>0.56540000000000001</v>
      </c>
      <c r="CF131" s="48">
        <v>0.62799999999999989</v>
      </c>
      <c r="CG131" s="48">
        <v>0.60699999999999998</v>
      </c>
      <c r="CH131" s="48">
        <v>0.6110000000000001</v>
      </c>
      <c r="CI131" s="48">
        <v>0.55859999999999987</v>
      </c>
      <c r="CJ131" s="48">
        <v>0.5796</v>
      </c>
      <c r="CK131" s="48">
        <v>0.58760000000000001</v>
      </c>
      <c r="CL131" s="48">
        <v>0.52379999999999982</v>
      </c>
      <c r="CM131" s="48">
        <v>0.51219999999999988</v>
      </c>
      <c r="CN131" s="48">
        <v>0.53119999999999989</v>
      </c>
      <c r="CO131" s="48">
        <v>0.60239999999999994</v>
      </c>
      <c r="CP131" s="48">
        <v>0.66399999999999992</v>
      </c>
      <c r="CQ131" s="48">
        <v>0.71999999999999986</v>
      </c>
      <c r="CR131" s="48">
        <v>0.61539999999999995</v>
      </c>
      <c r="CS131" s="48">
        <v>0.59440000000000004</v>
      </c>
      <c r="CT131" s="48">
        <v>0.5706</v>
      </c>
      <c r="CU131" s="48">
        <v>0.63300000000000001</v>
      </c>
      <c r="CV131" s="48">
        <v>0.58839999999999992</v>
      </c>
      <c r="CW131" s="48">
        <v>0.56719999999999993</v>
      </c>
      <c r="CX131" s="48">
        <v>0.5593999999999999</v>
      </c>
      <c r="CY131" s="48">
        <v>0.51700000000000002</v>
      </c>
      <c r="CZ131" s="48">
        <v>0.5232</v>
      </c>
      <c r="DA131" s="48">
        <v>0.45400000000000001</v>
      </c>
      <c r="DB131" s="48">
        <v>0.40219999999999995</v>
      </c>
      <c r="DC131" s="48">
        <v>0.432</v>
      </c>
      <c r="DD131" s="48">
        <v>0.4274</v>
      </c>
      <c r="DE131" s="48">
        <v>0.43119999999999997</v>
      </c>
      <c r="DF131" s="48">
        <v>0.42079999999999995</v>
      </c>
    </row>
    <row r="132" spans="1:110" x14ac:dyDescent="0.2">
      <c r="A132" s="46" t="s">
        <v>158</v>
      </c>
      <c r="B132" s="47">
        <f t="shared" si="56"/>
        <v>7.1199999999999983</v>
      </c>
      <c r="C132" s="47">
        <f t="shared" si="57"/>
        <v>-2.1199999999999997</v>
      </c>
      <c r="D132" s="49" t="e">
        <f t="shared" ref="D132:D163" ca="1" si="118">_xludf.STDEV.P(W132:DF132)*100</f>
        <v>#NAME?</v>
      </c>
      <c r="E132" s="47"/>
      <c r="F132" s="48">
        <v>0.52200000000000002</v>
      </c>
      <c r="G132" s="48">
        <v>0.51999999999999991</v>
      </c>
      <c r="H132" s="48">
        <v>0.52580000000000005</v>
      </c>
      <c r="I132" s="48">
        <v>0.54320000000000002</v>
      </c>
      <c r="J132" s="48">
        <v>0.54900000000000004</v>
      </c>
      <c r="K132" s="48">
        <v>0.50859999999999994</v>
      </c>
      <c r="L132" s="48">
        <v>0.57579999999999998</v>
      </c>
      <c r="M132" s="48">
        <v>0.63159999999999994</v>
      </c>
      <c r="N132" s="48">
        <v>0.65759999999999996</v>
      </c>
      <c r="O132" s="48">
        <v>0.54120000000000001</v>
      </c>
      <c r="P132" s="48">
        <v>0.49000000000000005</v>
      </c>
      <c r="Q132" s="48">
        <v>0.45080000000000003</v>
      </c>
      <c r="R132" s="48">
        <v>0.42880000000000001</v>
      </c>
      <c r="S132" s="48">
        <v>0.41940000000000005</v>
      </c>
      <c r="T132" s="48">
        <v>0.40460000000000002</v>
      </c>
      <c r="U132" s="48">
        <v>0.38500000000000001</v>
      </c>
      <c r="V132" s="48">
        <v>0.46820000000000012</v>
      </c>
      <c r="W132" s="48">
        <v>0.52600000000000002</v>
      </c>
      <c r="X132" s="48">
        <v>0.47760000000000002</v>
      </c>
      <c r="Y132" s="48">
        <v>0.33179999999999998</v>
      </c>
      <c r="Z132" s="48">
        <v>0.18559999999999999</v>
      </c>
      <c r="AA132" s="48">
        <v>0.15279999999999999</v>
      </c>
      <c r="AB132" s="48">
        <v>0.15040000000000001</v>
      </c>
      <c r="AC132" s="48">
        <v>0.15839999999999999</v>
      </c>
      <c r="AD132" s="48">
        <v>0.18499999999999997</v>
      </c>
      <c r="AE132" s="48">
        <v>0.30980000000000002</v>
      </c>
      <c r="AF132" s="48">
        <v>0.34060000000000001</v>
      </c>
      <c r="AG132" s="48">
        <v>0.32700000000000007</v>
      </c>
      <c r="AH132" s="48">
        <v>0.26580000000000004</v>
      </c>
      <c r="AI132" s="48">
        <v>0.2404</v>
      </c>
      <c r="AJ132" s="48">
        <v>0.23360000000000006</v>
      </c>
      <c r="AK132" s="48">
        <v>0.36160000000000009</v>
      </c>
      <c r="AL132" s="48">
        <v>0.42960000000000004</v>
      </c>
      <c r="AM132" s="48">
        <v>0.51900000000000013</v>
      </c>
      <c r="AN132" s="48">
        <v>0.55740000000000001</v>
      </c>
      <c r="AO132" s="48">
        <v>0.61480000000000001</v>
      </c>
      <c r="AP132" s="48">
        <v>0.67259999999999998</v>
      </c>
      <c r="AQ132" s="48">
        <v>0.70460000000000012</v>
      </c>
      <c r="AR132" s="48">
        <v>0.80160000000000009</v>
      </c>
      <c r="AS132" s="48">
        <v>0.86939999999999995</v>
      </c>
      <c r="AT132" s="48">
        <v>0.91700000000000004</v>
      </c>
      <c r="AU132" s="48">
        <v>0.90459999999999996</v>
      </c>
      <c r="AV132" s="48">
        <v>0.92079999999999995</v>
      </c>
      <c r="AW132" s="48">
        <v>0.88500000000000012</v>
      </c>
      <c r="AX132" s="48">
        <v>0.84719999999999995</v>
      </c>
      <c r="AY132" s="48">
        <v>0.64960000000000007</v>
      </c>
      <c r="AZ132" s="48">
        <v>0.64660000000000006</v>
      </c>
      <c r="BA132" s="48">
        <v>0.61440000000000006</v>
      </c>
      <c r="BB132" s="48">
        <v>0.55499999999999994</v>
      </c>
      <c r="BC132" s="48">
        <v>0.45519999999999999</v>
      </c>
      <c r="BD132" s="48">
        <v>0.31300000000000006</v>
      </c>
      <c r="BE132" s="48">
        <v>0.24380000000000007</v>
      </c>
      <c r="BF132" s="48">
        <v>0.1832</v>
      </c>
      <c r="BG132" s="48">
        <v>0.16439999999999999</v>
      </c>
      <c r="BH132" s="48">
        <v>5.2000000000000005E-2</v>
      </c>
      <c r="BI132" s="48">
        <v>9.6200000000000022E-2</v>
      </c>
      <c r="BJ132" s="48">
        <v>0.27020000000000005</v>
      </c>
      <c r="BK132" s="48">
        <v>0.63740000000000008</v>
      </c>
      <c r="BL132" s="48">
        <v>0.54920000000000002</v>
      </c>
      <c r="BM132" s="48">
        <v>0.49440000000000012</v>
      </c>
      <c r="BN132" s="48">
        <v>0.47240000000000004</v>
      </c>
      <c r="BO132" s="48">
        <v>0.54440000000000011</v>
      </c>
      <c r="BP132" s="48">
        <v>0.55080000000000007</v>
      </c>
      <c r="BQ132" s="48">
        <v>0.59160000000000001</v>
      </c>
      <c r="BR132" s="48">
        <v>0.55800000000000005</v>
      </c>
      <c r="BS132" s="48">
        <v>0.6482</v>
      </c>
      <c r="BT132" s="48">
        <v>0.55940000000000001</v>
      </c>
      <c r="BU132" s="48">
        <v>0.57020000000000004</v>
      </c>
      <c r="BV132" s="48">
        <v>0.51</v>
      </c>
      <c r="BW132" s="48">
        <v>0.53700000000000003</v>
      </c>
      <c r="BX132" s="48">
        <v>0.56520000000000004</v>
      </c>
      <c r="BY132" s="48">
        <v>0.62</v>
      </c>
      <c r="BZ132" s="48">
        <v>0.64600000000000002</v>
      </c>
      <c r="CA132" s="48">
        <v>0.66379999999999995</v>
      </c>
      <c r="CB132" s="48">
        <v>0.70860000000000012</v>
      </c>
      <c r="CC132" s="48">
        <v>0.69940000000000002</v>
      </c>
      <c r="CD132" s="48">
        <v>0.68380000000000007</v>
      </c>
      <c r="CE132" s="48">
        <v>0.62559999999999993</v>
      </c>
      <c r="CF132" s="48">
        <v>0.78159999999999996</v>
      </c>
      <c r="CG132" s="48">
        <v>0.74820000000000009</v>
      </c>
      <c r="CH132" s="48">
        <v>0.76240000000000008</v>
      </c>
      <c r="CI132" s="48">
        <v>0.53860000000000008</v>
      </c>
      <c r="CJ132" s="48">
        <v>0.55780000000000007</v>
      </c>
      <c r="CK132" s="48">
        <v>0.54820000000000002</v>
      </c>
      <c r="CL132" s="48">
        <v>0.47120000000000001</v>
      </c>
      <c r="CM132" s="48">
        <v>0.47899999999999993</v>
      </c>
      <c r="CN132" s="48">
        <v>0.46520000000000006</v>
      </c>
      <c r="CO132" s="48">
        <v>0.4788</v>
      </c>
      <c r="CP132" s="48">
        <v>0.48859999999999998</v>
      </c>
      <c r="CQ132" s="48">
        <v>0.55780000000000007</v>
      </c>
      <c r="CR132" s="48">
        <v>0.49420000000000003</v>
      </c>
      <c r="CS132" s="48">
        <v>0.48659999999999998</v>
      </c>
      <c r="CT132" s="48">
        <v>0.40379999999999999</v>
      </c>
      <c r="CU132" s="48">
        <v>0.44240000000000002</v>
      </c>
      <c r="CV132" s="48">
        <v>0.42320000000000002</v>
      </c>
      <c r="CW132" s="48">
        <v>0.43259999999999998</v>
      </c>
      <c r="CX132" s="48">
        <v>0.41360000000000008</v>
      </c>
      <c r="CY132" s="48">
        <v>0.39240000000000003</v>
      </c>
      <c r="CZ132" s="48">
        <v>0.39439999999999997</v>
      </c>
      <c r="DA132" s="48">
        <v>0.37899999999999995</v>
      </c>
      <c r="DB132" s="48">
        <v>0.41919999999999996</v>
      </c>
      <c r="DC132" s="48">
        <v>0.44439999999999991</v>
      </c>
      <c r="DD132" s="48">
        <v>0.42499999999999999</v>
      </c>
      <c r="DE132" s="48">
        <v>0.40020000000000011</v>
      </c>
      <c r="DF132" s="48">
        <v>0.31759999999999999</v>
      </c>
    </row>
    <row r="133" spans="1:110" x14ac:dyDescent="0.2">
      <c r="A133" s="46" t="s">
        <v>160</v>
      </c>
      <c r="B133" s="47">
        <f t="shared" si="56"/>
        <v>-58.20000000000001</v>
      </c>
      <c r="C133" s="47">
        <f t="shared" si="57"/>
        <v>-11.6</v>
      </c>
      <c r="D133" s="49" t="e">
        <f t="shared" ref="D133:D164" ca="1" si="119">_xludf.STDEV.P(W133:DF133)*100</f>
        <v>#NAME?</v>
      </c>
      <c r="E133" s="47"/>
      <c r="F133" s="48">
        <v>0.184</v>
      </c>
      <c r="G133" s="48">
        <v>0.19400000000000001</v>
      </c>
      <c r="H133" s="48">
        <v>0.31</v>
      </c>
      <c r="I133" s="48">
        <v>0.3</v>
      </c>
      <c r="J133" s="48">
        <v>0.41699999999999998</v>
      </c>
      <c r="K133" s="48">
        <v>0.45600000000000002</v>
      </c>
      <c r="L133" s="48">
        <v>0.57199999999999995</v>
      </c>
      <c r="M133" s="48">
        <v>0.58199999999999996</v>
      </c>
      <c r="N133" s="48">
        <v>0.93199999999999994</v>
      </c>
      <c r="O133" s="48">
        <v>0.90200000000000002</v>
      </c>
      <c r="P133" s="48">
        <v>0.85399999999999998</v>
      </c>
      <c r="Q133" s="48">
        <v>0.76600000000000001</v>
      </c>
      <c r="R133" s="48">
        <v>0.75700000000000001</v>
      </c>
      <c r="S133" s="48">
        <v>0.51400000000000001</v>
      </c>
      <c r="T133" s="48">
        <v>0.504</v>
      </c>
      <c r="U133" s="48">
        <v>0.72799999999999998</v>
      </c>
      <c r="V133" s="48">
        <v>0.92200000000000015</v>
      </c>
      <c r="W133" s="48">
        <v>0.95099999999999996</v>
      </c>
      <c r="X133" s="48">
        <v>0.97</v>
      </c>
      <c r="Y133" s="48">
        <v>0.96099999999999985</v>
      </c>
      <c r="Z133" s="48">
        <v>5.8000000000000003E-2</v>
      </c>
      <c r="AA133" s="48">
        <v>0.14499999999999999</v>
      </c>
      <c r="AB133" s="48">
        <v>0.26200000000000001</v>
      </c>
      <c r="AC133" s="48">
        <v>0.48499999999999999</v>
      </c>
      <c r="AD133" s="48">
        <v>0.64</v>
      </c>
      <c r="AE133" s="48">
        <v>0.79599999999999993</v>
      </c>
      <c r="AF133" s="48">
        <v>0.82500000000000007</v>
      </c>
      <c r="AG133" s="48">
        <v>0.71799999999999997</v>
      </c>
      <c r="AH133" s="48">
        <v>6.7000000000000004E-2</v>
      </c>
      <c r="AI133" s="48">
        <v>2.9000000000000001E-2</v>
      </c>
      <c r="AJ133" s="48">
        <v>8.9999999999999993E-3</v>
      </c>
      <c r="AK133" s="48">
        <v>3.7999999999999999E-2</v>
      </c>
      <c r="AL133" s="48">
        <v>0.54300000000000004</v>
      </c>
      <c r="AM133" s="48">
        <v>0.63100000000000001</v>
      </c>
      <c r="AN133" s="48">
        <v>0.747</v>
      </c>
      <c r="AO133" s="48">
        <v>0.81499999999999995</v>
      </c>
      <c r="AP133" s="48">
        <v>0.83399999999999996</v>
      </c>
      <c r="AQ133" s="48">
        <v>0.84400000000000008</v>
      </c>
      <c r="AR133" s="48">
        <v>0.89300000000000002</v>
      </c>
      <c r="AS133" s="48">
        <v>0.91200000000000003</v>
      </c>
      <c r="AT133" s="48">
        <v>0.94099999999999995</v>
      </c>
      <c r="AU133" s="48">
        <v>0.98000000000000009</v>
      </c>
      <c r="AV133" s="48">
        <v>0.99</v>
      </c>
      <c r="AW133" s="48">
        <v>1</v>
      </c>
      <c r="AX133" s="48">
        <v>0.78600000000000014</v>
      </c>
      <c r="AY133" s="48">
        <v>0.88300000000000001</v>
      </c>
      <c r="AZ133" s="48">
        <v>0.86399999999999999</v>
      </c>
      <c r="BA133" s="48">
        <v>0.87299999999999989</v>
      </c>
      <c r="BB133" s="48">
        <v>0.80500000000000005</v>
      </c>
      <c r="BC133" s="48">
        <v>0.77600000000000002</v>
      </c>
      <c r="BD133" s="48">
        <v>0.56299999999999994</v>
      </c>
      <c r="BE133" s="48">
        <v>0.33900000000000002</v>
      </c>
      <c r="BF133" s="48">
        <v>0.106</v>
      </c>
      <c r="BG133" s="48">
        <v>4.8000000000000001E-2</v>
      </c>
      <c r="BH133" s="48">
        <v>1.9E-2</v>
      </c>
      <c r="BI133" s="48">
        <v>0</v>
      </c>
      <c r="BJ133" s="48">
        <v>0.44599999999999995</v>
      </c>
      <c r="BK133" s="48">
        <v>0.35899999999999999</v>
      </c>
      <c r="BL133" s="48">
        <v>0.252</v>
      </c>
      <c r="BM133" s="48">
        <v>0.13500000000000001</v>
      </c>
      <c r="BN133" s="48">
        <v>7.6999999999999999E-2</v>
      </c>
      <c r="BO133" s="48">
        <v>9.7000000000000003E-2</v>
      </c>
      <c r="BP133" s="48">
        <v>0.22299999999999998</v>
      </c>
      <c r="BQ133" s="48">
        <v>0.36799999999999999</v>
      </c>
      <c r="BR133" s="48">
        <v>0.38800000000000001</v>
      </c>
      <c r="BS133" s="48">
        <v>0.32</v>
      </c>
      <c r="BT133" s="48">
        <v>0.21300000000000002</v>
      </c>
      <c r="BU133" s="48">
        <v>0.23299999999999998</v>
      </c>
      <c r="BV133" s="48">
        <v>0.126</v>
      </c>
      <c r="BW133" s="48">
        <v>0.16500000000000001</v>
      </c>
      <c r="BX133" s="48">
        <v>0.11600000000000001</v>
      </c>
      <c r="BY133" s="48">
        <v>0.17399999999999999</v>
      </c>
      <c r="BZ133" s="48">
        <v>0.29099999999999998</v>
      </c>
      <c r="CA133" s="48">
        <v>0.37799999999999995</v>
      </c>
      <c r="CB133" s="48">
        <v>0.34899999999999998</v>
      </c>
      <c r="CC133" s="48">
        <v>0.20299999999999999</v>
      </c>
      <c r="CD133" s="48">
        <v>0.155</v>
      </c>
      <c r="CE133" s="48">
        <v>0.27100000000000002</v>
      </c>
      <c r="CF133" s="48">
        <v>0.33</v>
      </c>
      <c r="CG133" s="48">
        <v>0.52400000000000002</v>
      </c>
      <c r="CH133" s="48">
        <v>0.39799999999999996</v>
      </c>
      <c r="CI133" s="48">
        <v>0.46599999999999997</v>
      </c>
      <c r="CJ133" s="48">
        <v>0.47499999999999992</v>
      </c>
      <c r="CK133" s="48">
        <v>0.55300000000000005</v>
      </c>
      <c r="CL133" s="48">
        <v>0.621</v>
      </c>
      <c r="CM133" s="48">
        <v>0.61099999999999999</v>
      </c>
      <c r="CN133" s="48">
        <v>0.59199999999999997</v>
      </c>
      <c r="CO133" s="48">
        <v>0.60099999999999998</v>
      </c>
      <c r="CP133" s="48">
        <v>0.65</v>
      </c>
      <c r="CQ133" s="48">
        <v>0.69899999999999995</v>
      </c>
      <c r="CR133" s="48">
        <v>0.67900000000000005</v>
      </c>
      <c r="CS133" s="48">
        <v>0.70799999999999996</v>
      </c>
      <c r="CT133" s="48">
        <v>0.73699999999999999</v>
      </c>
      <c r="CU133" s="48">
        <v>0.68899999999999995</v>
      </c>
      <c r="CV133" s="48">
        <v>0.66900000000000004</v>
      </c>
      <c r="CW133" s="48">
        <v>0.66</v>
      </c>
      <c r="CX133" s="48">
        <v>0.53300000000000003</v>
      </c>
      <c r="CY133" s="48">
        <v>0.495</v>
      </c>
      <c r="CZ133" s="48">
        <v>0.436</v>
      </c>
      <c r="DA133" s="48">
        <v>0.40699999999999992</v>
      </c>
      <c r="DB133" s="48">
        <v>0.42699999999999999</v>
      </c>
      <c r="DC133" s="48">
        <v>0.24199999999999999</v>
      </c>
      <c r="DD133" s="48">
        <v>0.28100000000000003</v>
      </c>
      <c r="DE133" s="48">
        <v>8.6999999999999994E-2</v>
      </c>
      <c r="DF133" s="48">
        <v>0.5</v>
      </c>
    </row>
    <row r="134" spans="1:110" x14ac:dyDescent="0.2">
      <c r="A134" s="46" t="s">
        <v>162</v>
      </c>
      <c r="B134" s="47">
        <f t="shared" si="56"/>
        <v>-29.206249999999983</v>
      </c>
      <c r="C134" s="47">
        <f t="shared" si="57"/>
        <v>0.35000000000000586</v>
      </c>
      <c r="D134" s="49" t="e">
        <f t="shared" ref="D134:D165" ca="1" si="120">_xludf.STDEV.P(W134:DF134)*100</f>
        <v>#NAME?</v>
      </c>
      <c r="E134" s="47"/>
      <c r="F134" s="48">
        <v>0.35600000000000004</v>
      </c>
      <c r="G134" s="48">
        <v>0.36568750000000005</v>
      </c>
      <c r="H134" s="48">
        <v>0.38937500000000003</v>
      </c>
      <c r="I134" s="48">
        <v>0.35249999999999998</v>
      </c>
      <c r="J134" s="48">
        <v>0.34537499999999999</v>
      </c>
      <c r="K134" s="48">
        <v>0.30725000000000002</v>
      </c>
      <c r="L134" s="48">
        <v>0.27968749999999998</v>
      </c>
      <c r="M134" s="48">
        <v>0.3470625</v>
      </c>
      <c r="N134" s="48">
        <v>0.54325000000000012</v>
      </c>
      <c r="O134" s="48">
        <v>0.62575000000000003</v>
      </c>
      <c r="P134" s="48">
        <v>0.64400000000000002</v>
      </c>
      <c r="Q134" s="48">
        <v>0.64806249999999987</v>
      </c>
      <c r="R134" s="48">
        <v>0.65625</v>
      </c>
      <c r="S134" s="48">
        <v>0.64762500000000001</v>
      </c>
      <c r="T134" s="48">
        <v>0.60137499999999988</v>
      </c>
      <c r="U134" s="48">
        <v>0.55325000000000002</v>
      </c>
      <c r="V134" s="48">
        <v>0.54293750000000007</v>
      </c>
      <c r="W134" s="48">
        <v>0.52312500000000017</v>
      </c>
      <c r="X134" s="48">
        <v>0.50343749999999987</v>
      </c>
      <c r="Y134" s="48">
        <v>0.47725000000000006</v>
      </c>
      <c r="Z134" s="48">
        <v>0.32924999999999999</v>
      </c>
      <c r="AA134" s="48">
        <v>0.18181250000000002</v>
      </c>
      <c r="AB134" s="48">
        <v>0.17093750000000002</v>
      </c>
      <c r="AC134" s="48">
        <v>0.17506250000000001</v>
      </c>
      <c r="AD134" s="48">
        <v>0.19518750000000001</v>
      </c>
      <c r="AE134" s="48">
        <v>0.2451875</v>
      </c>
      <c r="AF134" s="48">
        <v>0.38318750000000007</v>
      </c>
      <c r="AG134" s="48">
        <v>0.45493749999999999</v>
      </c>
      <c r="AH134" s="48">
        <v>0.51749999999999985</v>
      </c>
      <c r="AI134" s="48">
        <v>0.5553125000000001</v>
      </c>
      <c r="AJ134" s="48">
        <v>0.6151875</v>
      </c>
      <c r="AK134" s="48">
        <v>0.66593750000000007</v>
      </c>
      <c r="AL134" s="48">
        <v>0.72475000000000023</v>
      </c>
      <c r="AM134" s="48">
        <v>0.76906249999999998</v>
      </c>
      <c r="AN134" s="48">
        <v>0.77931249999999996</v>
      </c>
      <c r="AO134" s="48">
        <v>0.81062500000000004</v>
      </c>
      <c r="AP134" s="48">
        <v>0.84625000000000006</v>
      </c>
      <c r="AQ134" s="48">
        <v>0.86393750000000014</v>
      </c>
      <c r="AR134" s="48">
        <v>0.88712500000000005</v>
      </c>
      <c r="AS134" s="48">
        <v>0.9058750000000001</v>
      </c>
      <c r="AT134" s="48">
        <v>0.9172499999999999</v>
      </c>
      <c r="AU134" s="48">
        <v>0.90787499999999988</v>
      </c>
      <c r="AV134" s="48">
        <v>0.95281249999999984</v>
      </c>
      <c r="AW134" s="48">
        <v>0.93918749999999995</v>
      </c>
      <c r="AX134" s="48">
        <v>0.86025000000000007</v>
      </c>
      <c r="AY134" s="48">
        <v>0.64118749999999991</v>
      </c>
      <c r="AZ134" s="48">
        <v>0.57887500000000003</v>
      </c>
      <c r="BA134" s="48">
        <v>0.55643749999999992</v>
      </c>
      <c r="BB134" s="48">
        <v>0.50418750000000001</v>
      </c>
      <c r="BC134" s="48">
        <v>0.44412499999999988</v>
      </c>
      <c r="BD134" s="48">
        <v>0.41368750000000004</v>
      </c>
      <c r="BE134" s="48">
        <v>0.32918749999999997</v>
      </c>
      <c r="BF134" s="48">
        <v>0.2310625</v>
      </c>
      <c r="BG134" s="48">
        <v>0.1796875</v>
      </c>
      <c r="BH134" s="48">
        <v>0.15693750000000001</v>
      </c>
      <c r="BI134" s="48">
        <v>0.20675000000000002</v>
      </c>
      <c r="BJ134" s="48">
        <v>0.33131250000000001</v>
      </c>
      <c r="BK134" s="48">
        <v>0.45637500000000014</v>
      </c>
      <c r="BL134" s="48">
        <v>0.44143749999999998</v>
      </c>
      <c r="BM134" s="48">
        <v>0.44081250000000005</v>
      </c>
      <c r="BN134" s="48">
        <v>0.42512499999999998</v>
      </c>
      <c r="BO134" s="48">
        <v>0.39431249999999995</v>
      </c>
      <c r="BP134" s="48">
        <v>0.35975000000000001</v>
      </c>
      <c r="BQ134" s="48">
        <v>0.32887499999999997</v>
      </c>
      <c r="BR134" s="48">
        <v>0.31568750000000001</v>
      </c>
      <c r="BS134" s="48">
        <v>0.35781250000000009</v>
      </c>
      <c r="BT134" s="48">
        <v>0.37993749999999998</v>
      </c>
      <c r="BU134" s="48">
        <v>0.30781249999999999</v>
      </c>
      <c r="BV134" s="48">
        <v>0.37462499999999999</v>
      </c>
      <c r="BW134" s="48">
        <v>0.36318749999999994</v>
      </c>
      <c r="BX134" s="48">
        <v>0.37543750000000009</v>
      </c>
      <c r="BY134" s="48">
        <v>0.32162499999999999</v>
      </c>
      <c r="BZ134" s="48">
        <v>0.33199999999999996</v>
      </c>
      <c r="CA134" s="48">
        <v>0.36625000000000008</v>
      </c>
      <c r="CB134" s="48">
        <v>0.42199999999999999</v>
      </c>
      <c r="CC134" s="48">
        <v>0.48337499999999994</v>
      </c>
      <c r="CD134" s="48">
        <v>0.50687499999999996</v>
      </c>
      <c r="CE134" s="48">
        <v>0.52712500000000007</v>
      </c>
      <c r="CF134" s="48">
        <v>0.44856250000000003</v>
      </c>
      <c r="CG134" s="48">
        <v>0.51506249999999998</v>
      </c>
      <c r="CH134" s="48">
        <v>0.52481250000000002</v>
      </c>
      <c r="CI134" s="48">
        <v>0.50806249999999997</v>
      </c>
      <c r="CJ134" s="48">
        <v>0.46775000000000005</v>
      </c>
      <c r="CK134" s="48">
        <v>0.52174999999999994</v>
      </c>
      <c r="CL134" s="48">
        <v>0.54237499999999994</v>
      </c>
      <c r="CM134" s="48">
        <v>0.53206249999999999</v>
      </c>
      <c r="CN134" s="48">
        <v>0.51268749999999996</v>
      </c>
      <c r="CO134" s="48">
        <v>0.50087500000000007</v>
      </c>
      <c r="CP134" s="48">
        <v>0.49856249999999996</v>
      </c>
      <c r="CQ134" s="48">
        <v>0.52237500000000003</v>
      </c>
      <c r="CR134" s="48">
        <v>0.57481249999999995</v>
      </c>
      <c r="CS134" s="48">
        <v>0.5881875000000002</v>
      </c>
      <c r="CT134" s="48">
        <v>0.58018750000000008</v>
      </c>
      <c r="CU134" s="48">
        <v>0.54368749999999988</v>
      </c>
      <c r="CV134" s="48">
        <v>0.60406250000000006</v>
      </c>
      <c r="CW134" s="48">
        <v>0.57756249999999998</v>
      </c>
      <c r="CX134" s="48">
        <v>0.56374999999999997</v>
      </c>
      <c r="CY134" s="48">
        <v>0.5286249999999999</v>
      </c>
      <c r="CZ134" s="48">
        <v>0.58250000000000013</v>
      </c>
      <c r="DA134" s="48">
        <v>0.58437500000000009</v>
      </c>
      <c r="DB134" s="48">
        <v>0.58424999999999994</v>
      </c>
      <c r="DC134" s="48">
        <v>0.54831250000000009</v>
      </c>
      <c r="DD134" s="48">
        <v>0.52737499999999993</v>
      </c>
      <c r="DE134" s="48">
        <v>0.41800000000000004</v>
      </c>
      <c r="DF134" s="48">
        <v>0.32837500000000003</v>
      </c>
    </row>
    <row r="135" spans="1:110" x14ac:dyDescent="0.2">
      <c r="A135" s="46" t="s">
        <v>164</v>
      </c>
      <c r="B135" s="47">
        <f t="shared" ref="B135:B170" si="121">(F135-Q135)*100</f>
        <v>12.499999999999996</v>
      </c>
      <c r="C135" s="47">
        <f t="shared" ref="C135:C170" si="122">(F135-I135)*100</f>
        <v>2.8999999999999968</v>
      </c>
      <c r="D135" s="49" t="e">
        <f t="shared" ref="D135:D168" ca="1" si="123">_xludf.STDEV.P(W135:DF135)*100</f>
        <v>#NAME?</v>
      </c>
      <c r="E135" s="47"/>
      <c r="F135" s="48">
        <v>0.22099999999999997</v>
      </c>
      <c r="G135" s="48">
        <v>0.21099999999999999</v>
      </c>
      <c r="H135" s="48">
        <v>0.105</v>
      </c>
      <c r="I135" s="48">
        <v>0.192</v>
      </c>
      <c r="J135" s="48">
        <v>0.14399999999999999</v>
      </c>
      <c r="K135" s="48">
        <v>0.182</v>
      </c>
      <c r="L135" s="48">
        <v>6.7000000000000004E-2</v>
      </c>
      <c r="M135" s="48">
        <v>5.7000000000000002E-2</v>
      </c>
      <c r="N135" s="48">
        <v>2.8000000000000001E-2</v>
      </c>
      <c r="O135" s="48">
        <v>3.7999999999999999E-2</v>
      </c>
      <c r="P135" s="48">
        <v>0.13400000000000001</v>
      </c>
      <c r="Q135" s="48">
        <v>9.6000000000000002E-2</v>
      </c>
      <c r="R135" s="48">
        <v>8.5999999999999993E-2</v>
      </c>
      <c r="S135" s="48">
        <v>0</v>
      </c>
      <c r="T135" s="48">
        <v>8.9999999999999993E-3</v>
      </c>
      <c r="U135" s="48">
        <v>4.8000000000000001E-2</v>
      </c>
      <c r="V135" s="48">
        <v>7.5999999999999998E-2</v>
      </c>
      <c r="W135" s="48">
        <v>0.153</v>
      </c>
      <c r="X135" s="48">
        <v>0.16300000000000001</v>
      </c>
      <c r="Y135" s="48">
        <v>0.22999999999999998</v>
      </c>
      <c r="Z135" s="48">
        <v>0.26900000000000002</v>
      </c>
      <c r="AA135" s="48">
        <v>0.25900000000000001</v>
      </c>
      <c r="AB135" s="48">
        <v>0.25</v>
      </c>
      <c r="AC135" s="48">
        <v>0.33600000000000002</v>
      </c>
      <c r="AD135" s="48">
        <v>0.41299999999999998</v>
      </c>
      <c r="AE135" s="48">
        <v>0.61499999999999999</v>
      </c>
      <c r="AF135" s="48">
        <v>0.625</v>
      </c>
      <c r="AG135" s="48">
        <v>0.49</v>
      </c>
      <c r="AH135" s="48">
        <v>0.27800000000000002</v>
      </c>
      <c r="AI135" s="48">
        <v>0.307</v>
      </c>
      <c r="AJ135" s="48">
        <v>0.45100000000000001</v>
      </c>
      <c r="AK135" s="48">
        <v>0.71099999999999997</v>
      </c>
      <c r="AL135" s="48">
        <v>0.65300000000000002</v>
      </c>
      <c r="AM135" s="48">
        <v>0.83600000000000008</v>
      </c>
      <c r="AN135" s="48">
        <v>0.82599999999999996</v>
      </c>
      <c r="AO135" s="48">
        <v>0.93200000000000005</v>
      </c>
      <c r="AP135" s="48">
        <v>0.95099999999999996</v>
      </c>
      <c r="AQ135" s="48">
        <v>0.96100000000000008</v>
      </c>
      <c r="AR135" s="48">
        <v>0.97099999999999997</v>
      </c>
      <c r="AS135" s="48">
        <v>0.94199999999999995</v>
      </c>
      <c r="AT135" s="48">
        <v>0.90300000000000002</v>
      </c>
      <c r="AU135" s="48">
        <v>0.875</v>
      </c>
      <c r="AV135" s="48">
        <v>0.98</v>
      </c>
      <c r="AW135" s="48">
        <v>1</v>
      </c>
      <c r="AX135" s="48">
        <v>0.9900000000000001</v>
      </c>
      <c r="AY135" s="48">
        <v>0.69199999999999995</v>
      </c>
      <c r="AZ135" s="48">
        <v>0.75</v>
      </c>
      <c r="BA135" s="48">
        <v>0.80700000000000005</v>
      </c>
      <c r="BB135" s="48">
        <v>0.76900000000000002</v>
      </c>
      <c r="BC135" s="48">
        <v>0.55700000000000005</v>
      </c>
      <c r="BD135" s="48">
        <v>0.51900000000000002</v>
      </c>
      <c r="BE135" s="48">
        <v>0.38400000000000001</v>
      </c>
      <c r="BF135" s="48">
        <v>0.47099999999999997</v>
      </c>
      <c r="BG135" s="48">
        <v>0.44199999999999995</v>
      </c>
      <c r="BH135" s="48">
        <v>0.32600000000000001</v>
      </c>
      <c r="BI135" s="48">
        <v>0.23999999999999996</v>
      </c>
      <c r="BJ135" s="48">
        <v>1.9E-2</v>
      </c>
      <c r="BK135" s="48">
        <v>0.11499999999999999</v>
      </c>
      <c r="BL135" s="48">
        <v>0.125</v>
      </c>
      <c r="BM135" s="48">
        <v>0.28799999999999998</v>
      </c>
      <c r="BN135" s="48">
        <v>0.46100000000000002</v>
      </c>
      <c r="BO135" s="48">
        <v>0.78800000000000014</v>
      </c>
      <c r="BP135" s="48">
        <v>0.86499999999999999</v>
      </c>
      <c r="BQ135" s="48">
        <v>0.56699999999999995</v>
      </c>
      <c r="BR135" s="48">
        <v>0.42299999999999999</v>
      </c>
      <c r="BS135" s="48">
        <v>0.317</v>
      </c>
      <c r="BT135" s="48">
        <v>0.375</v>
      </c>
      <c r="BU135" s="48">
        <v>0.35499999999999998</v>
      </c>
      <c r="BV135" s="48">
        <v>0.35499999999999998</v>
      </c>
      <c r="BW135" s="48">
        <v>0.192</v>
      </c>
      <c r="BX135" s="48">
        <v>0.17299999999999999</v>
      </c>
      <c r="BY135" s="48">
        <v>0.29799999999999999</v>
      </c>
      <c r="BZ135" s="48">
        <v>0.34599999999999997</v>
      </c>
      <c r="CA135" s="48">
        <v>0.40300000000000002</v>
      </c>
      <c r="CB135" s="48">
        <v>0.39400000000000007</v>
      </c>
      <c r="CC135" s="48">
        <v>0.43200000000000005</v>
      </c>
      <c r="CD135" s="48">
        <v>0.67300000000000004</v>
      </c>
      <c r="CE135" s="48">
        <v>0.85499999999999987</v>
      </c>
      <c r="CF135" s="48">
        <v>0.68200000000000005</v>
      </c>
      <c r="CG135" s="48">
        <v>0.5</v>
      </c>
      <c r="CH135" s="48">
        <v>0.50900000000000001</v>
      </c>
      <c r="CI135" s="48">
        <v>0.76900000000000002</v>
      </c>
      <c r="CJ135" s="48">
        <v>0.66300000000000003</v>
      </c>
      <c r="CK135" s="48">
        <v>0.53800000000000003</v>
      </c>
      <c r="CL135" s="48">
        <v>0.47999999999999993</v>
      </c>
      <c r="CM135" s="48">
        <v>0.54800000000000004</v>
      </c>
      <c r="CN135" s="48">
        <v>0.75900000000000001</v>
      </c>
      <c r="CO135" s="48">
        <v>0.72099999999999997</v>
      </c>
      <c r="CP135" s="48">
        <v>0.58599999999999997</v>
      </c>
      <c r="CQ135" s="48">
        <v>0.59599999999999997</v>
      </c>
      <c r="CR135" s="48">
        <v>0.79800000000000004</v>
      </c>
      <c r="CS135" s="48">
        <v>0.91299999999999992</v>
      </c>
      <c r="CT135" s="48">
        <v>0.8839999999999999</v>
      </c>
      <c r="CU135" s="48">
        <v>0.92300000000000004</v>
      </c>
      <c r="CV135" s="48">
        <v>0.89400000000000002</v>
      </c>
      <c r="CW135" s="48">
        <v>0.84599999999999997</v>
      </c>
      <c r="CX135" s="48">
        <v>0.81699999999999995</v>
      </c>
      <c r="CY135" s="48">
        <v>0.70099999999999996</v>
      </c>
      <c r="CZ135" s="48">
        <v>0.72099999999999997</v>
      </c>
      <c r="DA135" s="48">
        <v>0.625</v>
      </c>
      <c r="DB135" s="48">
        <v>0.74</v>
      </c>
      <c r="DC135" s="48">
        <v>0.57599999999999996</v>
      </c>
      <c r="DD135" s="48">
        <v>0.60499999999999998</v>
      </c>
      <c r="DE135" s="48">
        <v>0.52800000000000002</v>
      </c>
      <c r="DF135" s="48">
        <v>0.64400000000000002</v>
      </c>
    </row>
    <row r="136" spans="1:110" x14ac:dyDescent="0.2">
      <c r="A136" s="46" t="s">
        <v>166</v>
      </c>
      <c r="B136" s="47">
        <f t="shared" si="121"/>
        <v>44.300000000000004</v>
      </c>
      <c r="C136" s="47">
        <f t="shared" si="122"/>
        <v>18.300000000000004</v>
      </c>
      <c r="D136" s="49" t="e">
        <f t="shared" ref="D136:D169" ca="1" si="124">_xludf.STDEV.P(W136:DF136)*100</f>
        <v>#NAME?</v>
      </c>
      <c r="E136" s="47"/>
      <c r="F136" s="48">
        <v>0.49500000000000005</v>
      </c>
      <c r="G136" s="48">
        <v>0.45149999999999996</v>
      </c>
      <c r="H136" s="48">
        <v>0.38899999999999996</v>
      </c>
      <c r="I136" s="48">
        <v>0.312</v>
      </c>
      <c r="J136" s="48">
        <v>0.27350000000000002</v>
      </c>
      <c r="K136" s="48">
        <v>0.22550000000000001</v>
      </c>
      <c r="L136" s="48">
        <v>0.17750000000000002</v>
      </c>
      <c r="M136" s="48">
        <v>0.14849999999999999</v>
      </c>
      <c r="N136" s="48">
        <v>0.13900000000000001</v>
      </c>
      <c r="O136" s="48">
        <v>9.0499999999999997E-2</v>
      </c>
      <c r="P136" s="48">
        <v>7.6499999999999999E-2</v>
      </c>
      <c r="Q136" s="48">
        <v>5.2000000000000005E-2</v>
      </c>
      <c r="R136" s="48">
        <v>7.2000000000000008E-2</v>
      </c>
      <c r="S136" s="48">
        <v>5.7000000000000002E-2</v>
      </c>
      <c r="T136" s="48">
        <v>0.10049999999999999</v>
      </c>
      <c r="U136" s="48">
        <v>0.13399999999999998</v>
      </c>
      <c r="V136" s="48">
        <v>0.22550000000000001</v>
      </c>
      <c r="W136" s="48">
        <v>0.32600000000000001</v>
      </c>
      <c r="X136" s="48">
        <v>0.44149999999999995</v>
      </c>
      <c r="Y136" s="48">
        <v>0.50900000000000001</v>
      </c>
      <c r="Z136" s="48">
        <v>0.51400000000000001</v>
      </c>
      <c r="AA136" s="48">
        <v>0.56200000000000006</v>
      </c>
      <c r="AB136" s="48">
        <v>0.60050000000000003</v>
      </c>
      <c r="AC136" s="48">
        <v>0.63900000000000012</v>
      </c>
      <c r="AD136" s="48">
        <v>0.64849999999999985</v>
      </c>
      <c r="AE136" s="48">
        <v>0.65349999999999997</v>
      </c>
      <c r="AF136" s="48">
        <v>0.71150000000000002</v>
      </c>
      <c r="AG136" s="48">
        <v>0.73</v>
      </c>
      <c r="AH136" s="48">
        <v>0.73499999999999988</v>
      </c>
      <c r="AI136" s="48">
        <v>0.77400000000000002</v>
      </c>
      <c r="AJ136" s="48">
        <v>0.81200000000000006</v>
      </c>
      <c r="AK136" s="48">
        <v>0.83149999999999991</v>
      </c>
      <c r="AL136" s="48">
        <v>0.86050000000000004</v>
      </c>
      <c r="AM136" s="48">
        <v>0.85550000000000004</v>
      </c>
      <c r="AN136" s="48">
        <v>0.84100000000000008</v>
      </c>
      <c r="AO136" s="48">
        <v>0.80199999999999994</v>
      </c>
      <c r="AP136" s="48">
        <v>0.75450000000000006</v>
      </c>
      <c r="AQ136" s="48">
        <v>0.78300000000000003</v>
      </c>
      <c r="AR136" s="48">
        <v>0.80699999999999994</v>
      </c>
      <c r="AS136" s="48">
        <v>0.76849999999999996</v>
      </c>
      <c r="AT136" s="48">
        <v>0.70150000000000001</v>
      </c>
      <c r="AU136" s="48">
        <v>0.5665</v>
      </c>
      <c r="AV136" s="48">
        <v>0.49000000000000005</v>
      </c>
      <c r="AW136" s="48">
        <v>0.437</v>
      </c>
      <c r="AX136" s="48">
        <v>0.44650000000000006</v>
      </c>
      <c r="AY136" s="48">
        <v>0.51400000000000001</v>
      </c>
      <c r="AZ136" s="48">
        <v>0.47050000000000003</v>
      </c>
      <c r="BA136" s="48">
        <v>0.47050000000000003</v>
      </c>
      <c r="BB136" s="48">
        <v>0.41799999999999993</v>
      </c>
      <c r="BC136" s="48">
        <v>0.37899999999999995</v>
      </c>
      <c r="BD136" s="48">
        <v>0.3125</v>
      </c>
      <c r="BE136" s="48">
        <v>0.27850000000000003</v>
      </c>
      <c r="BF136" s="48">
        <v>0.34599999999999997</v>
      </c>
      <c r="BG136" s="48">
        <v>0.46100000000000002</v>
      </c>
      <c r="BH136" s="48">
        <v>0.46599999999999997</v>
      </c>
      <c r="BI136" s="48">
        <v>0.46100000000000002</v>
      </c>
      <c r="BJ136" s="48">
        <v>0.187</v>
      </c>
      <c r="BK136" s="48">
        <v>9.6000000000000016E-2</v>
      </c>
      <c r="BL136" s="48">
        <v>7.1500000000000008E-2</v>
      </c>
      <c r="BM136" s="48">
        <v>4.2999999999999997E-2</v>
      </c>
      <c r="BN136" s="48">
        <v>5.2499999999999998E-2</v>
      </c>
      <c r="BO136" s="48">
        <v>0.10050000000000001</v>
      </c>
      <c r="BP136" s="48">
        <v>0.19199999999999998</v>
      </c>
      <c r="BQ136" s="48">
        <v>0.2545</v>
      </c>
      <c r="BR136" s="48">
        <v>0.3695</v>
      </c>
      <c r="BS136" s="48">
        <v>0.38450000000000001</v>
      </c>
      <c r="BT136" s="48">
        <v>0.432</v>
      </c>
      <c r="BU136" s="48">
        <v>0.44700000000000001</v>
      </c>
      <c r="BV136" s="48">
        <v>0.61449999999999994</v>
      </c>
      <c r="BW136" s="48">
        <v>0.68250000000000011</v>
      </c>
      <c r="BX136" s="48">
        <v>0.73</v>
      </c>
      <c r="BY136" s="48">
        <v>0.81200000000000006</v>
      </c>
      <c r="BZ136" s="48">
        <v>0.85050000000000003</v>
      </c>
      <c r="CA136" s="48">
        <v>0.92749999999999999</v>
      </c>
      <c r="CB136" s="48">
        <v>0.9275000000000001</v>
      </c>
      <c r="CC136" s="48">
        <v>0.91300000000000003</v>
      </c>
      <c r="CD136" s="48">
        <v>0.85550000000000004</v>
      </c>
      <c r="CE136" s="48">
        <v>0.81200000000000006</v>
      </c>
      <c r="CF136" s="48">
        <v>0.8214999999999999</v>
      </c>
      <c r="CG136" s="48">
        <v>0.86</v>
      </c>
      <c r="CH136" s="48">
        <v>0.90299999999999991</v>
      </c>
      <c r="CI136" s="48">
        <v>0.94199999999999995</v>
      </c>
      <c r="CJ136" s="48">
        <v>0.91799999999999993</v>
      </c>
      <c r="CK136" s="48">
        <v>0.81700000000000006</v>
      </c>
      <c r="CL136" s="48">
        <v>0.72049999999999992</v>
      </c>
      <c r="CM136" s="48">
        <v>0.69199999999999995</v>
      </c>
      <c r="CN136" s="48">
        <v>0.70150000000000012</v>
      </c>
      <c r="CO136" s="48">
        <v>0.67749999999999999</v>
      </c>
      <c r="CP136" s="48">
        <v>0.62450000000000006</v>
      </c>
      <c r="CQ136" s="48">
        <v>0.60050000000000003</v>
      </c>
      <c r="CR136" s="48">
        <v>0.56200000000000006</v>
      </c>
      <c r="CS136" s="48">
        <v>0.52850000000000008</v>
      </c>
      <c r="CT136" s="48">
        <v>0.44199999999999995</v>
      </c>
      <c r="CU136" s="48">
        <v>0.3695</v>
      </c>
      <c r="CV136" s="48">
        <v>0.35049999999999998</v>
      </c>
      <c r="CW136" s="48">
        <v>0.312</v>
      </c>
      <c r="CX136" s="48">
        <v>0.32650000000000007</v>
      </c>
      <c r="CY136" s="48">
        <v>0.317</v>
      </c>
      <c r="CZ136" s="48">
        <v>0.32150000000000006</v>
      </c>
      <c r="DA136" s="48">
        <v>0.34100000000000003</v>
      </c>
      <c r="DB136" s="48">
        <v>0.35549999999999998</v>
      </c>
      <c r="DC136" s="48">
        <v>0.3795</v>
      </c>
      <c r="DD136" s="48">
        <v>0.38400000000000006</v>
      </c>
      <c r="DE136" s="48">
        <v>0.3695</v>
      </c>
      <c r="DF136" s="48">
        <v>0.40349999999999997</v>
      </c>
    </row>
    <row r="137" spans="1:110" x14ac:dyDescent="0.2">
      <c r="A137" s="46" t="s">
        <v>168</v>
      </c>
      <c r="B137" s="47">
        <f t="shared" si="121"/>
        <v>-7.7000000000000011</v>
      </c>
      <c r="C137" s="47">
        <f t="shared" si="122"/>
        <v>-6.7</v>
      </c>
      <c r="D137" s="49" t="e">
        <f t="shared" ref="D137:D170" ca="1" si="125">_xludf.STDEV.P(W137:DF137)*100</f>
        <v>#NAME?</v>
      </c>
      <c r="E137" s="47"/>
      <c r="F137" s="48">
        <v>8.5999999999999993E-2</v>
      </c>
      <c r="G137" s="48">
        <v>8.5999999999999993E-2</v>
      </c>
      <c r="H137" s="48">
        <v>3.7999999999999999E-2</v>
      </c>
      <c r="I137" s="48">
        <v>0.153</v>
      </c>
      <c r="J137" s="48">
        <v>0.182</v>
      </c>
      <c r="K137" s="48">
        <v>0.37500000000000006</v>
      </c>
      <c r="L137" s="48">
        <v>0.20100000000000004</v>
      </c>
      <c r="M137" s="48">
        <v>0.307</v>
      </c>
      <c r="N137" s="48">
        <v>0.5</v>
      </c>
      <c r="O137" s="48">
        <v>0.307</v>
      </c>
      <c r="P137" s="48">
        <v>0.23</v>
      </c>
      <c r="Q137" s="48">
        <v>0.16300000000000001</v>
      </c>
      <c r="R137" s="48">
        <v>0.26900000000000002</v>
      </c>
      <c r="S137" s="48">
        <v>0.221</v>
      </c>
      <c r="T137" s="48">
        <v>0.25900000000000001</v>
      </c>
      <c r="U137" s="48">
        <v>0.26900000000000002</v>
      </c>
      <c r="V137" s="48">
        <v>0.74</v>
      </c>
      <c r="W137" s="48">
        <v>0.82599999999999996</v>
      </c>
      <c r="X137" s="48">
        <v>0.71099999999999997</v>
      </c>
      <c r="Y137" s="48">
        <v>0.41299999999999998</v>
      </c>
      <c r="Z137" s="48">
        <v>5.7000000000000002E-2</v>
      </c>
      <c r="AA137" s="48">
        <v>1.9E-2</v>
      </c>
      <c r="AB137" s="48">
        <v>2.8000000000000001E-2</v>
      </c>
      <c r="AC137" s="48">
        <v>0.115</v>
      </c>
      <c r="AD137" s="48">
        <v>0.105</v>
      </c>
      <c r="AE137" s="48">
        <v>0.125</v>
      </c>
      <c r="AF137" s="48">
        <v>0.192</v>
      </c>
      <c r="AG137" s="48">
        <v>0.14399999999999999</v>
      </c>
      <c r="AH137" s="48">
        <v>4.8000000000000001E-2</v>
      </c>
      <c r="AI137" s="48">
        <v>0</v>
      </c>
      <c r="AJ137" s="48">
        <v>7.5999999999999998E-2</v>
      </c>
      <c r="AK137" s="48">
        <v>0.17299999999999999</v>
      </c>
      <c r="AL137" s="48">
        <v>0.29799999999999999</v>
      </c>
      <c r="AM137" s="48">
        <v>0.32600000000000001</v>
      </c>
      <c r="AN137" s="48">
        <v>0.36499999999999999</v>
      </c>
      <c r="AO137" s="48">
        <v>0.39400000000000002</v>
      </c>
      <c r="AP137" s="48">
        <v>0.34599999999999997</v>
      </c>
      <c r="AQ137" s="48">
        <v>0.25</v>
      </c>
      <c r="AR137" s="48">
        <v>0.50900000000000001</v>
      </c>
      <c r="AS137" s="48">
        <v>0.60499999999999998</v>
      </c>
      <c r="AT137" s="48">
        <v>0.83599999999999997</v>
      </c>
      <c r="AU137" s="48">
        <v>0.98</v>
      </c>
      <c r="AV137" s="48">
        <v>0.99</v>
      </c>
      <c r="AW137" s="48">
        <v>1</v>
      </c>
      <c r="AX137" s="48">
        <v>0.97099999999999997</v>
      </c>
      <c r="AY137" s="48">
        <v>0.95099999999999996</v>
      </c>
      <c r="AZ137" s="48">
        <v>0.94199999999999995</v>
      </c>
      <c r="BA137" s="48">
        <v>0.96099999999999997</v>
      </c>
      <c r="BB137" s="48">
        <v>0.90300000000000002</v>
      </c>
      <c r="BC137" s="48">
        <v>0.75900000000000001</v>
      </c>
      <c r="BD137" s="48">
        <v>0.875</v>
      </c>
      <c r="BE137" s="48">
        <v>0.76900000000000002</v>
      </c>
      <c r="BF137" s="48">
        <v>0.68200000000000005</v>
      </c>
      <c r="BG137" s="48">
        <v>0.21099999999999999</v>
      </c>
      <c r="BH137" s="48">
        <v>6.7000000000000004E-2</v>
      </c>
      <c r="BI137" s="48">
        <v>8.9999999999999993E-3</v>
      </c>
      <c r="BJ137" s="48">
        <v>0.13400000000000001</v>
      </c>
      <c r="BK137" s="48">
        <v>0.78800000000000003</v>
      </c>
      <c r="BL137" s="48">
        <v>0.64400000000000002</v>
      </c>
      <c r="BM137" s="48">
        <v>0.67300000000000004</v>
      </c>
      <c r="BN137" s="48">
        <v>0.63400000000000001</v>
      </c>
      <c r="BO137" s="48">
        <v>0.66300000000000003</v>
      </c>
      <c r="BP137" s="48">
        <v>0.81699999999999995</v>
      </c>
      <c r="BQ137" s="48">
        <v>0.86499999999999999</v>
      </c>
      <c r="BR137" s="48">
        <v>0.83599999999999997</v>
      </c>
      <c r="BS137" s="48">
        <v>0.72099999999999997</v>
      </c>
      <c r="BT137" s="48">
        <v>0.59599999999999997</v>
      </c>
      <c r="BU137" s="48">
        <v>0.65300000000000002</v>
      </c>
      <c r="BV137" s="48">
        <v>0.33600000000000002</v>
      </c>
      <c r="BW137" s="48">
        <v>0.24</v>
      </c>
      <c r="BX137" s="48">
        <v>0.28799999999999998</v>
      </c>
      <c r="BY137" s="48">
        <v>0.38400000000000001</v>
      </c>
      <c r="BZ137" s="48">
        <v>0.432</v>
      </c>
      <c r="CA137" s="48">
        <v>0.49</v>
      </c>
      <c r="CB137" s="48">
        <v>0.53800000000000003</v>
      </c>
      <c r="CC137" s="48">
        <v>0.58599999999999997</v>
      </c>
      <c r="CD137" s="48">
        <v>0.68200000000000005</v>
      </c>
      <c r="CE137" s="48">
        <v>0.85499999999999998</v>
      </c>
      <c r="CF137" s="48">
        <v>0.88400000000000001</v>
      </c>
      <c r="CG137" s="48">
        <v>0.92300000000000004</v>
      </c>
      <c r="CH137" s="48">
        <v>0.73</v>
      </c>
      <c r="CI137" s="48">
        <v>0.92300000000000004</v>
      </c>
      <c r="CJ137" s="48">
        <v>0.91300000000000003</v>
      </c>
      <c r="CK137" s="48">
        <v>0.89400000000000002</v>
      </c>
      <c r="CL137" s="48">
        <v>0.79800000000000004</v>
      </c>
      <c r="CM137" s="48">
        <v>0.74</v>
      </c>
      <c r="CN137" s="48">
        <v>0.80700000000000005</v>
      </c>
      <c r="CO137" s="48">
        <v>0.76900000000000002</v>
      </c>
      <c r="CP137" s="48">
        <v>0.70099999999999996</v>
      </c>
      <c r="CQ137" s="48">
        <v>0.57599999999999996</v>
      </c>
      <c r="CR137" s="48">
        <v>0.52799999999999991</v>
      </c>
      <c r="CS137" s="48">
        <v>0.56699999999999995</v>
      </c>
      <c r="CT137" s="48">
        <v>0.625</v>
      </c>
      <c r="CU137" s="48">
        <v>0.55700000000000005</v>
      </c>
      <c r="CV137" s="48">
        <v>0.48</v>
      </c>
      <c r="CW137" s="48">
        <v>0.40300000000000002</v>
      </c>
      <c r="CX137" s="48">
        <v>0.35499999999999998</v>
      </c>
      <c r="CY137" s="48">
        <v>0.442</v>
      </c>
      <c r="CZ137" s="48">
        <v>0.46100000000000002</v>
      </c>
      <c r="DA137" s="48">
        <v>0.47099999999999997</v>
      </c>
      <c r="DB137" s="48">
        <v>0.42299999999999999</v>
      </c>
      <c r="DC137" s="48">
        <v>0.45100000000000001</v>
      </c>
      <c r="DD137" s="48">
        <v>0.54800000000000004</v>
      </c>
      <c r="DE137" s="48">
        <v>0.61499999999999999</v>
      </c>
      <c r="DF137" s="48">
        <v>0.51900000000000002</v>
      </c>
    </row>
    <row r="138" spans="1:110" x14ac:dyDescent="0.2">
      <c r="A138" s="46" t="s">
        <v>170</v>
      </c>
      <c r="B138" s="47">
        <f t="shared" si="121"/>
        <v>0.4500000000000004</v>
      </c>
      <c r="C138" s="47">
        <f t="shared" si="122"/>
        <v>-4.299999999999998</v>
      </c>
      <c r="D138" s="49" t="e">
        <f t="shared" ref="D138:D171" ca="1" si="126">_xludf.STDEV.P(W138:DF138)*100</f>
        <v>#NAME?</v>
      </c>
      <c r="E138" s="47"/>
      <c r="F138" s="48">
        <v>0.17500000000000002</v>
      </c>
      <c r="G138" s="48">
        <v>0.17949999999999999</v>
      </c>
      <c r="H138" s="48">
        <v>0.16500000000000004</v>
      </c>
      <c r="I138" s="48">
        <v>0.218</v>
      </c>
      <c r="J138" s="48">
        <v>0.22749999999999998</v>
      </c>
      <c r="K138" s="48">
        <v>0.24700000000000003</v>
      </c>
      <c r="L138" s="48">
        <v>0.19900000000000001</v>
      </c>
      <c r="M138" s="48">
        <v>0.13150000000000001</v>
      </c>
      <c r="N138" s="48">
        <v>0.1075</v>
      </c>
      <c r="O138" s="48">
        <v>0.217</v>
      </c>
      <c r="P138" s="48">
        <v>0.13350000000000001</v>
      </c>
      <c r="Q138" s="48">
        <v>0.17050000000000001</v>
      </c>
      <c r="R138" s="48">
        <v>0.14450000000000002</v>
      </c>
      <c r="S138" s="48">
        <v>8.4500000000000006E-2</v>
      </c>
      <c r="T138" s="48">
        <v>5.8999999999999997E-2</v>
      </c>
      <c r="U138" s="48">
        <v>9.5999999999999988E-2</v>
      </c>
      <c r="V138" s="48">
        <v>0.19600000000000001</v>
      </c>
      <c r="W138" s="48">
        <v>0.32250000000000001</v>
      </c>
      <c r="X138" s="48">
        <v>0.43800000000000006</v>
      </c>
      <c r="Y138" s="48">
        <v>0.40099999999999997</v>
      </c>
      <c r="Z138" s="48">
        <v>0.39999999999999997</v>
      </c>
      <c r="AA138" s="48">
        <v>0.35549999999999998</v>
      </c>
      <c r="AB138" s="48">
        <v>0.44849999999999995</v>
      </c>
      <c r="AC138" s="48">
        <v>0.42650000000000005</v>
      </c>
      <c r="AD138" s="48">
        <v>0.43850000000000006</v>
      </c>
      <c r="AE138" s="48">
        <v>0.32500000000000001</v>
      </c>
      <c r="AF138" s="48">
        <v>0.45899999999999996</v>
      </c>
      <c r="AG138" s="48">
        <v>0.44800000000000001</v>
      </c>
      <c r="AH138" s="48">
        <v>0.46949999999999997</v>
      </c>
      <c r="AI138" s="48">
        <v>0.2535</v>
      </c>
      <c r="AJ138" s="48">
        <v>0.32399999999999995</v>
      </c>
      <c r="AK138" s="48">
        <v>0.45349999999999996</v>
      </c>
      <c r="AL138" s="48">
        <v>0.77350000000000008</v>
      </c>
      <c r="AM138" s="48">
        <v>0.71949999999999992</v>
      </c>
      <c r="AN138" s="48">
        <v>0.5575</v>
      </c>
      <c r="AO138" s="48">
        <v>0.52149999999999996</v>
      </c>
      <c r="AP138" s="48">
        <v>0.49249999999999999</v>
      </c>
      <c r="AQ138" s="48">
        <v>0.62649999999999995</v>
      </c>
      <c r="AR138" s="48">
        <v>0.65749999999999997</v>
      </c>
      <c r="AS138" s="48">
        <v>0.82199999999999995</v>
      </c>
      <c r="AT138" s="48">
        <v>0.65800000000000003</v>
      </c>
      <c r="AU138" s="48">
        <v>0.76300000000000001</v>
      </c>
      <c r="AV138" s="48">
        <v>0.71699999999999997</v>
      </c>
      <c r="AW138" s="48">
        <v>0.96650000000000003</v>
      </c>
      <c r="AX138" s="48">
        <v>0.97850000000000004</v>
      </c>
      <c r="AY138" s="48">
        <v>0.71150000000000002</v>
      </c>
      <c r="AZ138" s="48">
        <v>0.5</v>
      </c>
      <c r="BA138" s="48">
        <v>0.51400000000000001</v>
      </c>
      <c r="BB138" s="48">
        <v>0.54800000000000004</v>
      </c>
      <c r="BC138" s="48">
        <v>0.50949999999999995</v>
      </c>
      <c r="BD138" s="48">
        <v>0.56700000000000006</v>
      </c>
      <c r="BE138" s="48">
        <v>0.65349999999999997</v>
      </c>
      <c r="BF138" s="48">
        <v>0.66799999999999993</v>
      </c>
      <c r="BG138" s="48">
        <v>0.48050000000000004</v>
      </c>
      <c r="BH138" s="48">
        <v>0.32200000000000001</v>
      </c>
      <c r="BI138" s="48">
        <v>0.27400000000000002</v>
      </c>
      <c r="BJ138" s="48">
        <v>0.38450000000000006</v>
      </c>
      <c r="BK138" s="48">
        <v>0.71599999999999997</v>
      </c>
      <c r="BL138" s="48">
        <v>0.6825</v>
      </c>
      <c r="BM138" s="48">
        <v>0.66300000000000003</v>
      </c>
      <c r="BN138" s="48">
        <v>0.59100000000000008</v>
      </c>
      <c r="BO138" s="48">
        <v>0.61049999999999993</v>
      </c>
      <c r="BP138" s="48">
        <v>0.62</v>
      </c>
      <c r="BQ138" s="48">
        <v>0.58150000000000002</v>
      </c>
      <c r="BR138" s="48">
        <v>0.57650000000000001</v>
      </c>
      <c r="BS138" s="48">
        <v>0.64899999999999991</v>
      </c>
      <c r="BT138" s="48">
        <v>0.71150000000000002</v>
      </c>
      <c r="BU138" s="48">
        <v>0.72100000000000009</v>
      </c>
      <c r="BV138" s="48">
        <v>0.72549999999999992</v>
      </c>
      <c r="BW138" s="48">
        <v>0.73050000000000004</v>
      </c>
      <c r="BX138" s="48">
        <v>0.67749999999999988</v>
      </c>
      <c r="BY138" s="48">
        <v>0.69199999999999995</v>
      </c>
      <c r="BZ138" s="48">
        <v>0.6825</v>
      </c>
      <c r="CA138" s="48">
        <v>0.70650000000000002</v>
      </c>
      <c r="CB138" s="48">
        <v>0.67300000000000004</v>
      </c>
      <c r="CC138" s="48">
        <v>0.60050000000000003</v>
      </c>
      <c r="CD138" s="48">
        <v>0.6150000000000001</v>
      </c>
      <c r="CE138" s="48">
        <v>0.62949999999999995</v>
      </c>
      <c r="CF138" s="48">
        <v>0.62499999999999989</v>
      </c>
      <c r="CG138" s="48">
        <v>0.64400000000000002</v>
      </c>
      <c r="CH138" s="48">
        <v>0.45150000000000001</v>
      </c>
      <c r="CI138" s="48">
        <v>0.42299999999999999</v>
      </c>
      <c r="CJ138" s="48">
        <v>0.42749999999999999</v>
      </c>
      <c r="CK138" s="48">
        <v>0.44700000000000001</v>
      </c>
      <c r="CL138" s="48">
        <v>0.44199999999999995</v>
      </c>
      <c r="CM138" s="48">
        <v>0.43750000000000006</v>
      </c>
      <c r="CN138" s="48">
        <v>0.47549999999999998</v>
      </c>
      <c r="CO138" s="48">
        <v>0.49</v>
      </c>
      <c r="CP138" s="48">
        <v>0.50449999999999995</v>
      </c>
      <c r="CQ138" s="48">
        <v>0.45650000000000002</v>
      </c>
      <c r="CR138" s="48">
        <v>0.46599999999999997</v>
      </c>
      <c r="CS138" s="48">
        <v>0.47100000000000003</v>
      </c>
      <c r="CT138" s="48">
        <v>0.5575</v>
      </c>
      <c r="CU138" s="48">
        <v>0.58650000000000002</v>
      </c>
      <c r="CV138" s="48">
        <v>0.55249999999999999</v>
      </c>
      <c r="CW138" s="48">
        <v>0.53349999999999997</v>
      </c>
      <c r="CX138" s="48">
        <v>0.52400000000000002</v>
      </c>
      <c r="CY138" s="48">
        <v>0.53799999999999992</v>
      </c>
      <c r="CZ138" s="48">
        <v>0.52849999999999997</v>
      </c>
      <c r="DA138" s="48">
        <v>0.5625</v>
      </c>
      <c r="DB138" s="48">
        <v>0.59599999999999997</v>
      </c>
      <c r="DC138" s="48">
        <v>0.60549999999999993</v>
      </c>
      <c r="DD138" s="48">
        <v>0.56700000000000006</v>
      </c>
      <c r="DE138" s="48">
        <v>0.54300000000000004</v>
      </c>
      <c r="DF138" s="48">
        <v>0.63449999999999995</v>
      </c>
    </row>
    <row r="139" spans="1:110" x14ac:dyDescent="0.2">
      <c r="A139" s="46" t="s">
        <v>171</v>
      </c>
      <c r="B139" s="47">
        <f t="shared" si="121"/>
        <v>-23.350000000000009</v>
      </c>
      <c r="C139" s="47">
        <f t="shared" si="122"/>
        <v>0</v>
      </c>
      <c r="D139" s="49" t="e">
        <f t="shared" ref="D139:D172" ca="1" si="127">_xludf.STDEV.P(W139:DF139)*100</f>
        <v>#NAME?</v>
      </c>
      <c r="E139" s="47"/>
      <c r="F139" s="48">
        <v>0.11316666666666667</v>
      </c>
      <c r="G139" s="48">
        <v>0.11316666666666667</v>
      </c>
      <c r="H139" s="48">
        <v>0.11316666666666667</v>
      </c>
      <c r="I139" s="48">
        <v>0.11316666666666667</v>
      </c>
      <c r="J139" s="48">
        <v>0.11316666666666667</v>
      </c>
      <c r="K139" s="48">
        <v>0.10050000000000002</v>
      </c>
      <c r="L139" s="48">
        <v>8.7000000000000008E-2</v>
      </c>
      <c r="M139" s="48">
        <v>0.14283333333333334</v>
      </c>
      <c r="N139" s="48">
        <v>0.16833333333333333</v>
      </c>
      <c r="O139" s="48">
        <v>0.20283333333333334</v>
      </c>
      <c r="P139" s="48">
        <v>0.28366666666666668</v>
      </c>
      <c r="Q139" s="48">
        <v>0.34666666666666673</v>
      </c>
      <c r="R139" s="48">
        <v>0.45400000000000007</v>
      </c>
      <c r="S139" s="48">
        <v>0.48983333333333334</v>
      </c>
      <c r="T139" s="48">
        <v>0.58716666666666673</v>
      </c>
      <c r="U139" s="48">
        <v>0.67333333333333334</v>
      </c>
      <c r="V139" s="48">
        <v>0.77249999999999996</v>
      </c>
      <c r="W139" s="48">
        <v>0.78866666666666674</v>
      </c>
      <c r="X139" s="48">
        <v>0.74733333333333329</v>
      </c>
      <c r="Y139" s="48">
        <v>0.70583333333333342</v>
      </c>
      <c r="Z139" s="48">
        <v>0.69816666666666682</v>
      </c>
      <c r="AA139" s="48">
        <v>0.72283333333333344</v>
      </c>
      <c r="AB139" s="48">
        <v>0.71150000000000002</v>
      </c>
      <c r="AC139" s="48">
        <v>0.71733333333333349</v>
      </c>
      <c r="AD139" s="48">
        <v>0.59699999999999998</v>
      </c>
      <c r="AE139" s="48">
        <v>0.55500000000000016</v>
      </c>
      <c r="AF139" s="48">
        <v>0.45216666666666677</v>
      </c>
      <c r="AG139" s="48">
        <v>0.4335</v>
      </c>
      <c r="AH139" s="48">
        <v>0.43433333333333335</v>
      </c>
      <c r="AI139" s="48">
        <v>0.4831666666666668</v>
      </c>
      <c r="AJ139" s="48">
        <v>0.50216666666666665</v>
      </c>
      <c r="AK139" s="48">
        <v>0.4998333333333333</v>
      </c>
      <c r="AL139" s="48">
        <v>0.52883333333333338</v>
      </c>
      <c r="AM139" s="48">
        <v>0.53216666666666679</v>
      </c>
      <c r="AN139" s="48">
        <v>0.56666666666666676</v>
      </c>
      <c r="AO139" s="48">
        <v>0.56133333333333346</v>
      </c>
      <c r="AP139" s="48">
        <v>0.6110000000000001</v>
      </c>
      <c r="AQ139" s="48">
        <v>0.60966666666666669</v>
      </c>
      <c r="AR139" s="48">
        <v>0.65466666666666673</v>
      </c>
      <c r="AS139" s="48">
        <v>0.61350000000000005</v>
      </c>
      <c r="AT139" s="48">
        <v>0.61</v>
      </c>
      <c r="AU139" s="48">
        <v>0.63116666666666665</v>
      </c>
      <c r="AV139" s="48">
        <v>0.69800000000000006</v>
      </c>
      <c r="AW139" s="48">
        <v>0.7366666666666668</v>
      </c>
      <c r="AX139" s="48">
        <v>0.67966666666666675</v>
      </c>
      <c r="AY139" s="48">
        <v>0.56716666666666671</v>
      </c>
      <c r="AZ139" s="48">
        <v>0.51416666666666677</v>
      </c>
      <c r="BA139" s="48">
        <v>0.52916666666666667</v>
      </c>
      <c r="BB139" s="48">
        <v>0.48300000000000004</v>
      </c>
      <c r="BC139" s="48">
        <v>0.64100000000000013</v>
      </c>
      <c r="BD139" s="48">
        <v>0.61083333333333334</v>
      </c>
      <c r="BE139" s="48">
        <v>0.59866666666666668</v>
      </c>
      <c r="BF139" s="48">
        <v>0.43600000000000005</v>
      </c>
      <c r="BG139" s="48">
        <v>0.40950000000000009</v>
      </c>
      <c r="BH139" s="48">
        <v>0.32333333333333331</v>
      </c>
      <c r="BI139" s="48">
        <v>0.31466666666666665</v>
      </c>
      <c r="BJ139" s="48">
        <v>0.35916666666666669</v>
      </c>
      <c r="BK139" s="48">
        <v>0.40783333333333338</v>
      </c>
      <c r="BL139" s="48">
        <v>0.43433333333333335</v>
      </c>
      <c r="BM139" s="48">
        <v>0.47650000000000003</v>
      </c>
      <c r="BN139" s="48">
        <v>0.46983333333333338</v>
      </c>
      <c r="BO139" s="48">
        <v>0.44000000000000006</v>
      </c>
      <c r="BP139" s="48">
        <v>0.44733333333333336</v>
      </c>
      <c r="BQ139" s="48">
        <v>0.47383333333333344</v>
      </c>
      <c r="BR139" s="48">
        <v>0.56900000000000006</v>
      </c>
      <c r="BS139" s="48">
        <v>0.54900000000000004</v>
      </c>
      <c r="BT139" s="48">
        <v>0.54350000000000009</v>
      </c>
      <c r="BU139" s="48">
        <v>0.52866666666666673</v>
      </c>
      <c r="BV139" s="48">
        <v>0.49833333333333335</v>
      </c>
      <c r="BW139" s="48">
        <v>0.52700000000000002</v>
      </c>
      <c r="BX139" s="48">
        <v>0.55733333333333346</v>
      </c>
      <c r="BY139" s="48">
        <v>0.45850000000000002</v>
      </c>
      <c r="BZ139" s="48">
        <v>0.42800000000000005</v>
      </c>
      <c r="CA139" s="48">
        <v>0.35066666666666668</v>
      </c>
      <c r="CB139" s="48">
        <v>0.42233333333333339</v>
      </c>
      <c r="CC139" s="48">
        <v>0.41616666666666668</v>
      </c>
      <c r="CD139" s="48">
        <v>0.43516666666666665</v>
      </c>
      <c r="CE139" s="48">
        <v>0.50000000000000011</v>
      </c>
      <c r="CF139" s="48">
        <v>0.46416666666666673</v>
      </c>
      <c r="CG139" s="48">
        <v>0.51300000000000012</v>
      </c>
      <c r="CH139" s="48">
        <v>0.58550000000000002</v>
      </c>
      <c r="CI139" s="48">
        <v>0.71533333333333338</v>
      </c>
      <c r="CJ139" s="48">
        <v>0.71883333333333332</v>
      </c>
      <c r="CK139" s="48">
        <v>0.75550000000000006</v>
      </c>
      <c r="CL139" s="48">
        <v>0.72800000000000009</v>
      </c>
      <c r="CM139" s="48">
        <v>0.70766666666666689</v>
      </c>
      <c r="CN139" s="48">
        <v>0.65183333333333338</v>
      </c>
      <c r="CO139" s="48">
        <v>0.53150000000000008</v>
      </c>
      <c r="CP139" s="48">
        <v>0.45816666666666678</v>
      </c>
      <c r="CQ139" s="48">
        <v>0.39083333333333342</v>
      </c>
      <c r="CR139" s="48">
        <v>0.45850000000000002</v>
      </c>
      <c r="CS139" s="48">
        <v>0.46216666666666667</v>
      </c>
      <c r="CT139" s="48">
        <v>0.54783333333333328</v>
      </c>
      <c r="CU139" s="48">
        <v>0.45666666666666672</v>
      </c>
      <c r="CV139" s="48">
        <v>0.5</v>
      </c>
      <c r="CW139" s="48">
        <v>0.5</v>
      </c>
      <c r="CX139" s="48">
        <v>0.5</v>
      </c>
      <c r="CY139" s="48">
        <v>0.5</v>
      </c>
      <c r="CZ139" s="48">
        <v>0.5</v>
      </c>
      <c r="DA139" s="48">
        <v>0.5</v>
      </c>
      <c r="DB139" s="48">
        <v>0.5</v>
      </c>
      <c r="DC139" s="48">
        <v>0.5</v>
      </c>
      <c r="DD139" s="48">
        <v>0.5</v>
      </c>
      <c r="DE139" s="48">
        <v>0.5</v>
      </c>
      <c r="DF139" s="48">
        <v>0.5</v>
      </c>
    </row>
    <row r="140" spans="1:110" x14ac:dyDescent="0.2">
      <c r="A140" s="46" t="s">
        <v>172</v>
      </c>
      <c r="B140" s="47">
        <f t="shared" si="121"/>
        <v>33.830000000000013</v>
      </c>
      <c r="C140" s="47">
        <f t="shared" si="122"/>
        <v>13.580000000000014</v>
      </c>
      <c r="D140" s="49" t="e">
        <f t="shared" ref="D140:D173" ca="1" si="128">_xludf.STDEV.P(W140:DF140)*100</f>
        <v>#NAME?</v>
      </c>
      <c r="E140" s="47"/>
      <c r="F140" s="48">
        <v>0.57450000000000012</v>
      </c>
      <c r="G140" s="48">
        <v>0.54290000000000016</v>
      </c>
      <c r="H140" s="48">
        <v>0.51380000000000003</v>
      </c>
      <c r="I140" s="48">
        <v>0.43869999999999998</v>
      </c>
      <c r="J140" s="48">
        <v>0.35060000000000002</v>
      </c>
      <c r="K140" s="48">
        <v>0.29260000000000003</v>
      </c>
      <c r="L140" s="48">
        <v>0.27270000000000005</v>
      </c>
      <c r="M140" s="48">
        <v>0.27150000000000007</v>
      </c>
      <c r="N140" s="48">
        <v>0.25619999999999998</v>
      </c>
      <c r="O140" s="48">
        <v>0.21779999999999991</v>
      </c>
      <c r="P140" s="48">
        <v>0.20999999999999996</v>
      </c>
      <c r="Q140" s="48">
        <v>0.23619999999999999</v>
      </c>
      <c r="R140" s="48">
        <v>0.28879999999999995</v>
      </c>
      <c r="S140" s="48">
        <v>0.27179999999999982</v>
      </c>
      <c r="T140" s="48">
        <v>0.24089999999999986</v>
      </c>
      <c r="U140" s="48">
        <v>0.1897999999999998</v>
      </c>
      <c r="V140" s="48">
        <v>0.21899999999999978</v>
      </c>
      <c r="W140" s="48">
        <v>0.2985999999999997</v>
      </c>
      <c r="X140" s="48">
        <v>0.33399999999999969</v>
      </c>
      <c r="Y140" s="48">
        <v>0.31389999999999968</v>
      </c>
      <c r="Z140" s="48">
        <v>0.35929999999999984</v>
      </c>
      <c r="AA140" s="48">
        <v>0.5099999999999999</v>
      </c>
      <c r="AB140" s="48">
        <v>0.68819999999999981</v>
      </c>
      <c r="AC140" s="48">
        <v>0.73519999999999996</v>
      </c>
      <c r="AD140" s="48">
        <v>0.68899999999999983</v>
      </c>
      <c r="AE140" s="48">
        <v>0.58409999999999995</v>
      </c>
      <c r="AF140" s="48">
        <v>0.48869999999999991</v>
      </c>
      <c r="AG140" s="48">
        <v>0.38429999999999992</v>
      </c>
      <c r="AH140" s="48">
        <v>0.19789999999999985</v>
      </c>
      <c r="AI140" s="48">
        <v>0.14749999999999983</v>
      </c>
      <c r="AJ140" s="48">
        <v>0.12669999999999981</v>
      </c>
      <c r="AK140" s="48">
        <v>0.14289999999999983</v>
      </c>
      <c r="AL140" s="48">
        <v>0.25509999999999983</v>
      </c>
      <c r="AM140" s="48">
        <v>0.34879999999999983</v>
      </c>
      <c r="AN140" s="48">
        <v>0.31279999999999986</v>
      </c>
      <c r="AO140" s="48">
        <v>0.23409999999999975</v>
      </c>
      <c r="AP140" s="48">
        <v>0.22909999999999972</v>
      </c>
      <c r="AQ140" s="48">
        <v>0.23769999999999974</v>
      </c>
      <c r="AR140" s="48">
        <v>0.26799999999999985</v>
      </c>
      <c r="AS140" s="48">
        <v>0.36099999999999988</v>
      </c>
      <c r="AT140" s="48">
        <v>0.4449999999999999</v>
      </c>
      <c r="AU140" s="48">
        <v>0.59179999999999999</v>
      </c>
      <c r="AV140" s="48">
        <v>0.69780000000000009</v>
      </c>
      <c r="AW140" s="48">
        <v>0.79839999999999989</v>
      </c>
      <c r="AX140" s="48">
        <v>0.82090000000000007</v>
      </c>
      <c r="AY140" s="48">
        <v>0.75420000000000031</v>
      </c>
      <c r="AZ140" s="48">
        <v>0.69290000000000018</v>
      </c>
      <c r="BA140" s="48">
        <v>0.69310000000000027</v>
      </c>
      <c r="BB140" s="48">
        <v>0.72270000000000023</v>
      </c>
      <c r="BC140" s="48">
        <v>0.76030000000000031</v>
      </c>
      <c r="BD140" s="48">
        <v>0.78410000000000024</v>
      </c>
      <c r="BE140" s="48">
        <v>0.76390000000000013</v>
      </c>
      <c r="BF140" s="48">
        <v>0.74550000000000038</v>
      </c>
      <c r="BG140" s="48">
        <v>0.69490000000000041</v>
      </c>
      <c r="BH140" s="48">
        <v>0.72340000000000038</v>
      </c>
      <c r="BI140" s="48">
        <v>0.72190000000000043</v>
      </c>
      <c r="BJ140" s="48">
        <v>0.72160000000000046</v>
      </c>
      <c r="BK140" s="48">
        <v>0.7525000000000005</v>
      </c>
      <c r="BL140" s="48">
        <v>0.79660000000000042</v>
      </c>
      <c r="BM140" s="48">
        <v>0.80790000000000028</v>
      </c>
      <c r="BN140" s="48">
        <v>0.76880000000000026</v>
      </c>
      <c r="BO140" s="48">
        <v>0.70630000000000015</v>
      </c>
      <c r="BP140" s="48">
        <v>0.64750000000000019</v>
      </c>
      <c r="BQ140" s="48">
        <v>0.60080000000000011</v>
      </c>
      <c r="BR140" s="48">
        <v>0.60349999999999993</v>
      </c>
      <c r="BS140" s="48">
        <v>0.56869999999999998</v>
      </c>
      <c r="BT140" s="48">
        <v>0.50919999999999987</v>
      </c>
      <c r="BU140" s="48">
        <v>0.41599999999999993</v>
      </c>
      <c r="BV140" s="48">
        <v>0.39199999999999996</v>
      </c>
      <c r="BW140" s="48">
        <v>0.4486</v>
      </c>
      <c r="BX140" s="48">
        <v>0.48109999999999986</v>
      </c>
      <c r="BY140" s="48">
        <v>0.52469999999999983</v>
      </c>
      <c r="BZ140" s="48">
        <v>0.50419999999999998</v>
      </c>
      <c r="CA140" s="48">
        <v>0.44579999999999992</v>
      </c>
      <c r="CB140" s="48">
        <v>0.40009999999999996</v>
      </c>
      <c r="CC140" s="48">
        <v>0.36199999999999982</v>
      </c>
      <c r="CD140" s="48">
        <v>0.29929999999999979</v>
      </c>
      <c r="CE140" s="48">
        <v>0.26039999999999985</v>
      </c>
      <c r="CF140" s="48">
        <v>0.37559999999999988</v>
      </c>
      <c r="CG140" s="48">
        <v>0.48410000000000003</v>
      </c>
      <c r="CH140" s="48">
        <v>0.56089999999999995</v>
      </c>
      <c r="CI140" s="48">
        <v>0.52270000000000005</v>
      </c>
      <c r="CJ140" s="48">
        <v>0.47270000000000018</v>
      </c>
      <c r="CK140" s="48">
        <v>0.42850000000000016</v>
      </c>
      <c r="CL140" s="48">
        <v>0.42870000000000014</v>
      </c>
      <c r="CM140" s="48">
        <v>0.41960000000000014</v>
      </c>
      <c r="CN140" s="48">
        <v>0.39270000000000022</v>
      </c>
      <c r="CO140" s="48">
        <v>0.3766000000000001</v>
      </c>
      <c r="CP140" s="48">
        <v>0.44550000000000017</v>
      </c>
      <c r="CQ140" s="48">
        <v>0.5042000000000002</v>
      </c>
      <c r="CR140" s="48">
        <v>0.55120000000000025</v>
      </c>
      <c r="CS140" s="48">
        <v>0.59950000000000025</v>
      </c>
      <c r="CT140" s="48">
        <v>0.62470000000000037</v>
      </c>
      <c r="CU140" s="48">
        <v>0.65150000000000019</v>
      </c>
      <c r="CV140" s="48">
        <v>0.64950000000000019</v>
      </c>
      <c r="CW140" s="48">
        <v>0.67280000000000018</v>
      </c>
      <c r="CX140" s="48">
        <v>0.69389999999999996</v>
      </c>
      <c r="CY140" s="48">
        <v>0.68589999999999995</v>
      </c>
      <c r="CZ140" s="48">
        <v>0.71900000000000008</v>
      </c>
      <c r="DA140" s="48">
        <v>0.75830000000000009</v>
      </c>
      <c r="DB140" s="48">
        <v>0.77080000000000015</v>
      </c>
      <c r="DC140" s="48">
        <v>0.7321000000000002</v>
      </c>
      <c r="DD140" s="48">
        <v>0.67530000000000012</v>
      </c>
      <c r="DE140" s="48">
        <v>0.62450000000000017</v>
      </c>
      <c r="DF140" s="48">
        <v>0.55160000000000009</v>
      </c>
    </row>
    <row r="141" spans="1:110" x14ac:dyDescent="0.2">
      <c r="A141" s="46" t="s">
        <v>173</v>
      </c>
      <c r="B141" s="47">
        <f t="shared" si="121"/>
        <v>60.6</v>
      </c>
      <c r="C141" s="47">
        <f t="shared" si="122"/>
        <v>39.4</v>
      </c>
      <c r="D141" s="49" t="e">
        <f t="shared" ref="D141:D174" ca="1" si="129">_xludf.STDEV.P(W141:DF141)*100</f>
        <v>#NAME?</v>
      </c>
      <c r="E141" s="47"/>
      <c r="F141" s="48">
        <v>0.83599999999999997</v>
      </c>
      <c r="G141" s="48">
        <v>0.81699999999999995</v>
      </c>
      <c r="H141" s="48">
        <v>0.79800000000000004</v>
      </c>
      <c r="I141" s="48">
        <v>0.442</v>
      </c>
      <c r="J141" s="48">
        <v>0.39400000000000002</v>
      </c>
      <c r="K141" s="48">
        <v>0.35499999999999998</v>
      </c>
      <c r="L141" s="48">
        <v>0.32600000000000001</v>
      </c>
      <c r="M141" s="48">
        <v>0.307</v>
      </c>
      <c r="N141" s="48">
        <v>0.20100000000000001</v>
      </c>
      <c r="O141" s="48">
        <v>0.17299999999999999</v>
      </c>
      <c r="P141" s="48">
        <v>0.14399999999999999</v>
      </c>
      <c r="Q141" s="48">
        <v>0.23</v>
      </c>
      <c r="R141" s="48">
        <v>0.25900000000000001</v>
      </c>
      <c r="S141" s="48">
        <v>0.221</v>
      </c>
      <c r="T141" s="48">
        <v>0.16300000000000001</v>
      </c>
      <c r="U141" s="48">
        <v>5.7000000000000002E-2</v>
      </c>
      <c r="V141" s="48">
        <v>4.8000000000000001E-2</v>
      </c>
      <c r="W141" s="48">
        <v>7.5999999999999998E-2</v>
      </c>
      <c r="X141" s="48">
        <v>8.5999999999999993E-2</v>
      </c>
      <c r="Y141" s="48">
        <v>9.6000000000000002E-2</v>
      </c>
      <c r="Z141" s="48">
        <v>0.21099999999999999</v>
      </c>
      <c r="AA141" s="48">
        <v>0.53800000000000003</v>
      </c>
      <c r="AB141" s="48">
        <v>0.72099999999999997</v>
      </c>
      <c r="AC141" s="48">
        <v>0.77800000000000002</v>
      </c>
      <c r="AD141" s="48">
        <v>0.75900000000000001</v>
      </c>
      <c r="AE141" s="48">
        <v>0.64400000000000002</v>
      </c>
      <c r="AF141" s="48">
        <v>0.54800000000000004</v>
      </c>
      <c r="AG141" s="48">
        <v>0.317</v>
      </c>
      <c r="AH141" s="48">
        <v>0.115</v>
      </c>
      <c r="AI141" s="48">
        <v>2.8000000000000001E-2</v>
      </c>
      <c r="AJ141" s="48">
        <v>0</v>
      </c>
      <c r="AK141" s="48">
        <v>1.9E-2</v>
      </c>
      <c r="AL141" s="48">
        <v>0.153</v>
      </c>
      <c r="AM141" s="48">
        <v>0.26900000000000002</v>
      </c>
      <c r="AN141" s="48">
        <v>0.192</v>
      </c>
      <c r="AO141" s="48">
        <v>6.7000000000000004E-2</v>
      </c>
      <c r="AP141" s="48">
        <v>8.9999999999999993E-3</v>
      </c>
      <c r="AQ141" s="48">
        <v>3.7999999999999999E-2</v>
      </c>
      <c r="AR141" s="48">
        <v>0.125</v>
      </c>
      <c r="AS141" s="48">
        <v>0.25</v>
      </c>
      <c r="AT141" s="48">
        <v>0.49</v>
      </c>
      <c r="AU141" s="48">
        <v>0.76900000000000002</v>
      </c>
      <c r="AV141" s="48">
        <v>0.80700000000000005</v>
      </c>
      <c r="AW141" s="48">
        <v>0.84599999999999997</v>
      </c>
      <c r="AX141" s="48">
        <v>0.875</v>
      </c>
      <c r="AY141" s="48">
        <v>0.88400000000000001</v>
      </c>
      <c r="AZ141" s="48">
        <v>0.85499999999999998</v>
      </c>
      <c r="BA141" s="48">
        <v>0.86499999999999999</v>
      </c>
      <c r="BB141" s="48">
        <v>0.92300000000000004</v>
      </c>
      <c r="BC141" s="48">
        <v>0.97099999999999986</v>
      </c>
      <c r="BD141" s="48">
        <v>0.94199999999999995</v>
      </c>
      <c r="BE141" s="48">
        <v>0.90300000000000002</v>
      </c>
      <c r="BF141" s="48">
        <v>0.89400000000000002</v>
      </c>
      <c r="BG141" s="48">
        <v>0.91300000000000003</v>
      </c>
      <c r="BH141" s="48">
        <v>0.9900000000000001</v>
      </c>
      <c r="BI141" s="48">
        <v>1</v>
      </c>
      <c r="BJ141" s="48">
        <v>0.98</v>
      </c>
      <c r="BK141" s="48">
        <v>0.95100000000000007</v>
      </c>
      <c r="BL141" s="48">
        <v>0.96099999999999997</v>
      </c>
      <c r="BM141" s="48">
        <v>0.93200000000000005</v>
      </c>
      <c r="BN141" s="48">
        <v>0.82599999999999996</v>
      </c>
      <c r="BO141" s="48">
        <v>0.78800000000000003</v>
      </c>
      <c r="BP141" s="48">
        <v>0.69199999999999995</v>
      </c>
      <c r="BQ141" s="48">
        <v>0.58599999999999997</v>
      </c>
      <c r="BR141" s="48">
        <v>0.56699999999999995</v>
      </c>
      <c r="BS141" s="48">
        <v>0.52800000000000002</v>
      </c>
      <c r="BT141" s="48">
        <v>0.38400000000000001</v>
      </c>
      <c r="BU141" s="48">
        <v>0.29799999999999999</v>
      </c>
      <c r="BV141" s="48">
        <v>0.28799999999999998</v>
      </c>
      <c r="BW141" s="48">
        <v>0.33600000000000002</v>
      </c>
      <c r="BX141" s="48">
        <v>0.375</v>
      </c>
      <c r="BY141" s="48">
        <v>0.40300000000000002</v>
      </c>
      <c r="BZ141" s="48">
        <v>0.41299999999999998</v>
      </c>
      <c r="CA141" s="48">
        <v>0.34599999999999997</v>
      </c>
      <c r="CB141" s="48">
        <v>0.27800000000000002</v>
      </c>
      <c r="CC141" s="48">
        <v>0.182</v>
      </c>
      <c r="CD141" s="48">
        <v>0.13400000000000001</v>
      </c>
      <c r="CE141" s="48">
        <v>0.105</v>
      </c>
      <c r="CF141" s="48">
        <v>0.24</v>
      </c>
      <c r="CG141" s="48">
        <v>0.36499999999999999</v>
      </c>
      <c r="CH141" s="48">
        <v>0.5</v>
      </c>
      <c r="CI141" s="48">
        <v>0.51900000000000002</v>
      </c>
      <c r="CJ141" s="48">
        <v>0.48</v>
      </c>
      <c r="CK141" s="48">
        <v>0.46100000000000002</v>
      </c>
      <c r="CL141" s="48">
        <v>0.47099999999999997</v>
      </c>
      <c r="CM141" s="48">
        <v>0.45100000000000001</v>
      </c>
      <c r="CN141" s="48">
        <v>0.42299999999999999</v>
      </c>
      <c r="CO141" s="48">
        <v>0.432</v>
      </c>
      <c r="CP141" s="48">
        <v>0.50900000000000001</v>
      </c>
      <c r="CQ141" s="48">
        <v>0.55700000000000005</v>
      </c>
      <c r="CR141" s="48">
        <v>0.57599999999999996</v>
      </c>
      <c r="CS141" s="48">
        <v>0.625</v>
      </c>
      <c r="CT141" s="48">
        <v>0.66300000000000003</v>
      </c>
      <c r="CU141" s="48">
        <v>0.65300000000000002</v>
      </c>
      <c r="CV141" s="48">
        <v>0.60499999999999998</v>
      </c>
      <c r="CW141" s="48">
        <v>0.63400000000000001</v>
      </c>
      <c r="CX141" s="48">
        <v>0.68200000000000005</v>
      </c>
      <c r="CY141" s="48">
        <v>0.71099999999999997</v>
      </c>
      <c r="CZ141" s="48">
        <v>0.73</v>
      </c>
      <c r="DA141" s="48">
        <v>0.74</v>
      </c>
      <c r="DB141" s="48">
        <v>0.75</v>
      </c>
      <c r="DC141" s="48">
        <v>0.70099999999999996</v>
      </c>
      <c r="DD141" s="48">
        <v>0.67300000000000004</v>
      </c>
      <c r="DE141" s="48">
        <v>0.61499999999999999</v>
      </c>
      <c r="DF141" s="48">
        <v>0.59599999999999997</v>
      </c>
    </row>
    <row r="142" spans="1:110" x14ac:dyDescent="0.2">
      <c r="A142" s="46" t="s">
        <v>174</v>
      </c>
      <c r="B142" s="47">
        <f t="shared" si="121"/>
        <v>-11.5</v>
      </c>
      <c r="C142" s="47">
        <f t="shared" si="122"/>
        <v>-8.6</v>
      </c>
      <c r="D142" s="49" t="e">
        <f t="shared" ref="D142:D175" ca="1" si="130">_xludf.STDEV.P(W142:DF142)*100</f>
        <v>#NAME?</v>
      </c>
      <c r="E142" s="47"/>
      <c r="F142" s="48">
        <v>0</v>
      </c>
      <c r="G142" s="48">
        <v>8.9999999999999993E-3</v>
      </c>
      <c r="H142" s="48">
        <v>3.7999999999999999E-2</v>
      </c>
      <c r="I142" s="48">
        <v>8.5999999999999993E-2</v>
      </c>
      <c r="J142" s="48">
        <v>0.105</v>
      </c>
      <c r="K142" s="48">
        <v>0.125</v>
      </c>
      <c r="L142" s="48">
        <v>7.5999999999999998E-2</v>
      </c>
      <c r="M142" s="48">
        <v>4.8000000000000001E-2</v>
      </c>
      <c r="N142" s="48">
        <v>1.9E-2</v>
      </c>
      <c r="O142" s="48">
        <v>2.8000000000000001E-2</v>
      </c>
      <c r="P142" s="48">
        <v>5.7000000000000002E-2</v>
      </c>
      <c r="Q142" s="48">
        <v>0.115</v>
      </c>
      <c r="R142" s="48">
        <v>0.307</v>
      </c>
      <c r="S142" s="48">
        <v>0.48</v>
      </c>
      <c r="T142" s="48">
        <v>0.51900000000000002</v>
      </c>
      <c r="U142" s="48">
        <v>0.38400000000000001</v>
      </c>
      <c r="V142" s="48">
        <v>0.25900000000000001</v>
      </c>
      <c r="W142" s="48">
        <v>0.15300000000000002</v>
      </c>
      <c r="X142" s="48">
        <v>0.25</v>
      </c>
      <c r="Y142" s="48">
        <v>0.47099999999999997</v>
      </c>
      <c r="Z142" s="48">
        <v>0.65300000000000002</v>
      </c>
      <c r="AA142" s="48">
        <v>0.84599999999999997</v>
      </c>
      <c r="AB142" s="48">
        <v>0.875</v>
      </c>
      <c r="AC142" s="48">
        <v>0.90300000000000002</v>
      </c>
      <c r="AD142" s="48">
        <v>0.8650000000000001</v>
      </c>
      <c r="AE142" s="48">
        <v>0.81699999999999995</v>
      </c>
      <c r="AF142" s="48">
        <v>0.75900000000000001</v>
      </c>
      <c r="AG142" s="48">
        <v>0.76900000000000002</v>
      </c>
      <c r="AH142" s="48">
        <v>0.77800000000000002</v>
      </c>
      <c r="AI142" s="48">
        <v>0.82599999999999996</v>
      </c>
      <c r="AJ142" s="48">
        <v>0.74</v>
      </c>
      <c r="AK142" s="48">
        <v>0.58599999999999997</v>
      </c>
      <c r="AL142" s="48">
        <v>0.52800000000000002</v>
      </c>
      <c r="AM142" s="48">
        <v>0.59599999999999997</v>
      </c>
      <c r="AN142" s="48">
        <v>0.79800000000000004</v>
      </c>
      <c r="AO142" s="48">
        <v>0.85499999999999998</v>
      </c>
      <c r="AP142" s="48">
        <v>0.88400000000000001</v>
      </c>
      <c r="AQ142" s="48">
        <v>0.91300000000000003</v>
      </c>
      <c r="AR142" s="48">
        <v>0.93200000000000005</v>
      </c>
      <c r="AS142" s="48">
        <v>0.94199999999999995</v>
      </c>
      <c r="AT142" s="48">
        <v>0.96099999999999997</v>
      </c>
      <c r="AU142" s="48">
        <v>0.97099999999999997</v>
      </c>
      <c r="AV142" s="48">
        <v>0.98000000000000009</v>
      </c>
      <c r="AW142" s="48">
        <v>1</v>
      </c>
      <c r="AX142" s="48">
        <v>0.99</v>
      </c>
      <c r="AY142" s="48">
        <v>0.95099999999999996</v>
      </c>
      <c r="AZ142" s="48">
        <v>0.92300000000000004</v>
      </c>
      <c r="BA142" s="48">
        <v>0.89400000000000002</v>
      </c>
      <c r="BB142" s="48">
        <v>0.83599999999999997</v>
      </c>
      <c r="BC142" s="48">
        <v>0.80700000000000016</v>
      </c>
      <c r="BD142" s="48">
        <v>0.66300000000000003</v>
      </c>
      <c r="BE142" s="48">
        <v>0.60499999999999998</v>
      </c>
      <c r="BF142" s="48">
        <v>0.61499999999999999</v>
      </c>
      <c r="BG142" s="48">
        <v>0.68200000000000005</v>
      </c>
      <c r="BH142" s="48">
        <v>0.72099999999999997</v>
      </c>
      <c r="BI142" s="48">
        <v>0.57599999999999996</v>
      </c>
      <c r="BJ142" s="48">
        <v>0.45100000000000001</v>
      </c>
      <c r="BK142" s="48">
        <v>0.36499999999999999</v>
      </c>
      <c r="BL142" s="48">
        <v>0.28799999999999998</v>
      </c>
      <c r="BM142" s="48">
        <v>0.32600000000000007</v>
      </c>
      <c r="BN142" s="48">
        <v>0.37500000000000006</v>
      </c>
      <c r="BO142" s="48">
        <v>0.40300000000000002</v>
      </c>
      <c r="BP142" s="48">
        <v>0.432</v>
      </c>
      <c r="BQ142" s="48">
        <v>0.46100000000000008</v>
      </c>
      <c r="BR142" s="48">
        <v>0.34599999999999997</v>
      </c>
      <c r="BS142" s="48">
        <v>0.182</v>
      </c>
      <c r="BT142" s="48">
        <v>0.13400000000000001</v>
      </c>
      <c r="BU142" s="48">
        <v>0.221</v>
      </c>
      <c r="BV142" s="48">
        <v>0.41299999999999998</v>
      </c>
      <c r="BW142" s="48">
        <v>0.54800000000000004</v>
      </c>
      <c r="BX142" s="48">
        <v>0.63400000000000001</v>
      </c>
      <c r="BY142" s="48">
        <v>0.75000000000000011</v>
      </c>
      <c r="BZ142" s="48">
        <v>0.78800000000000003</v>
      </c>
      <c r="CA142" s="48">
        <v>0.70099999999999996</v>
      </c>
      <c r="CB142" s="48">
        <v>0.67300000000000004</v>
      </c>
      <c r="CC142" s="48">
        <v>0.64400000000000002</v>
      </c>
      <c r="CD142" s="48">
        <v>0.69199999999999995</v>
      </c>
      <c r="CE142" s="48">
        <v>0.73</v>
      </c>
      <c r="CF142" s="48">
        <v>0.71099999999999997</v>
      </c>
      <c r="CG142" s="48">
        <v>0.625</v>
      </c>
      <c r="CH142" s="48">
        <v>0.50900000000000001</v>
      </c>
      <c r="CI142" s="48">
        <v>0.35500000000000004</v>
      </c>
      <c r="CJ142" s="48">
        <v>0.26900000000000002</v>
      </c>
      <c r="CK142" s="48">
        <v>0.24</v>
      </c>
      <c r="CL142" s="48">
        <v>0.192</v>
      </c>
      <c r="CM142" s="48">
        <v>0.14399999999999999</v>
      </c>
      <c r="CN142" s="48">
        <v>6.7000000000000004E-2</v>
      </c>
      <c r="CO142" s="48">
        <v>9.6000000000000002E-2</v>
      </c>
      <c r="CP142" s="48">
        <v>0.17299999999999999</v>
      </c>
      <c r="CQ142" s="48">
        <v>0.42299999999999999</v>
      </c>
      <c r="CR142" s="48">
        <v>0.5</v>
      </c>
      <c r="CS142" s="48">
        <v>0.442</v>
      </c>
      <c r="CT142" s="48">
        <v>0.49000000000000005</v>
      </c>
      <c r="CU142" s="48">
        <v>0.55700000000000005</v>
      </c>
      <c r="CV142" s="48">
        <v>0.56699999999999995</v>
      </c>
      <c r="CW142" s="48">
        <v>0.53800000000000003</v>
      </c>
      <c r="CX142" s="48">
        <v>0.39400000000000002</v>
      </c>
      <c r="CY142" s="48">
        <v>0.27800000000000002</v>
      </c>
      <c r="CZ142" s="48">
        <v>0.29799999999999999</v>
      </c>
      <c r="DA142" s="48">
        <v>0.317</v>
      </c>
      <c r="DB142" s="48">
        <v>0.33600000000000002</v>
      </c>
      <c r="DC142" s="48">
        <v>0.23</v>
      </c>
      <c r="DD142" s="48">
        <v>0.20100000000000001</v>
      </c>
      <c r="DE142" s="48">
        <v>0.16300000000000003</v>
      </c>
      <c r="DF142" s="48">
        <v>0.21099999999999999</v>
      </c>
    </row>
    <row r="143" spans="1:110" x14ac:dyDescent="0.2">
      <c r="A143" s="46" t="s">
        <v>175</v>
      </c>
      <c r="B143" s="47">
        <f t="shared" si="121"/>
        <v>9.7589955279418772E-2</v>
      </c>
      <c r="C143" s="47">
        <f t="shared" si="122"/>
        <v>-8.4454746698020582</v>
      </c>
      <c r="D143" s="49" t="e">
        <f t="shared" ref="D143:D176" ca="1" si="131">_xludf.STDEV.P(W143:DF143)*100</f>
        <v>#NAME?</v>
      </c>
      <c r="E143" s="47"/>
      <c r="F143" s="48">
        <v>0.10915691276071193</v>
      </c>
      <c r="G143" s="48">
        <v>0.14819361685107721</v>
      </c>
      <c r="H143" s="48">
        <v>0.20647184512124891</v>
      </c>
      <c r="I143" s="48">
        <v>0.19361165945873252</v>
      </c>
      <c r="J143" s="48">
        <v>0.1643278295693788</v>
      </c>
      <c r="K143" s="48">
        <v>0.13803979846563866</v>
      </c>
      <c r="L143" s="48">
        <v>0.12747774030611325</v>
      </c>
      <c r="M143" s="48">
        <v>0.15160495100043739</v>
      </c>
      <c r="N143" s="48">
        <v>8.5888487324108698E-2</v>
      </c>
      <c r="O143" s="48">
        <v>0.11902690125679681</v>
      </c>
      <c r="P143" s="48">
        <v>0.11174447177223862</v>
      </c>
      <c r="Q143" s="48">
        <v>0.10818101320791775</v>
      </c>
      <c r="R143" s="48">
        <v>8.2863280037789783E-2</v>
      </c>
      <c r="S143" s="48">
        <v>8.5859078823403295E-2</v>
      </c>
      <c r="T143" s="48">
        <v>7.7304022687855384E-2</v>
      </c>
      <c r="U143" s="48">
        <v>8.9867481252176279E-2</v>
      </c>
      <c r="V143" s="48">
        <v>0.16961446026832347</v>
      </c>
      <c r="W143" s="48">
        <v>0.25123282818535109</v>
      </c>
      <c r="X143" s="48">
        <v>0.3529700043679298</v>
      </c>
      <c r="Y143" s="48">
        <v>0.39356316499863853</v>
      </c>
      <c r="Z143" s="48">
        <v>0.42083439124483268</v>
      </c>
      <c r="AA143" s="48">
        <v>0.44025383425728359</v>
      </c>
      <c r="AB143" s="48">
        <v>0.550885099383153</v>
      </c>
      <c r="AC143" s="48">
        <v>0.66806441862059285</v>
      </c>
      <c r="AD143" s="48">
        <v>0.72720703376766738</v>
      </c>
      <c r="AE143" s="48">
        <v>0.73737374936194777</v>
      </c>
      <c r="AF143" s="48">
        <v>0.74965897965609696</v>
      </c>
      <c r="AG143" s="48">
        <v>0.75822693300048671</v>
      </c>
      <c r="AH143" s="48">
        <v>0.75736254612358389</v>
      </c>
      <c r="AI143" s="48">
        <v>0.7162073273333498</v>
      </c>
      <c r="AJ143" s="48">
        <v>0.74106891340066172</v>
      </c>
      <c r="AK143" s="48">
        <v>0.81107760939511697</v>
      </c>
      <c r="AL143" s="48">
        <v>0.82708741222868565</v>
      </c>
      <c r="AM143" s="48">
        <v>0.88955925734993435</v>
      </c>
      <c r="AN143" s="48">
        <v>0.84764947038821092</v>
      </c>
      <c r="AO143" s="48">
        <v>0.81237964454681222</v>
      </c>
      <c r="AP143" s="48">
        <v>0.77964947038821086</v>
      </c>
      <c r="AQ143" s="48">
        <v>0.76450405443154534</v>
      </c>
      <c r="AR143" s="48">
        <v>0.84295629388565729</v>
      </c>
      <c r="AS143" s="48">
        <v>0.88440823977408678</v>
      </c>
      <c r="AT143" s="48">
        <v>0.9078304835961285</v>
      </c>
      <c r="AU143" s="48">
        <v>0.88824992660857949</v>
      </c>
      <c r="AV143" s="48">
        <v>0.85367217043062116</v>
      </c>
      <c r="AW143" s="48">
        <v>0.90640403855970053</v>
      </c>
      <c r="AX143" s="48">
        <v>0.78567047646014332</v>
      </c>
      <c r="AY143" s="48">
        <v>0.77252646090827326</v>
      </c>
      <c r="AZ143" s="48">
        <v>0.76265647241218848</v>
      </c>
      <c r="BA143" s="48">
        <v>0.76765367160259745</v>
      </c>
      <c r="BB143" s="48">
        <v>0.7433541436948109</v>
      </c>
      <c r="BC143" s="48">
        <v>0.71406301821579732</v>
      </c>
      <c r="BD143" s="48">
        <v>0.68448806284743025</v>
      </c>
      <c r="BE143" s="48">
        <v>0.67334544770035554</v>
      </c>
      <c r="BF143" s="48">
        <v>0.67949815924668111</v>
      </c>
      <c r="BG143" s="48">
        <v>0.65291900266392711</v>
      </c>
      <c r="BH143" s="48">
        <v>0.62960827151777676</v>
      </c>
      <c r="BI143" s="48">
        <v>0.54202771453022747</v>
      </c>
      <c r="BJ143" s="48">
        <v>0.54159006625543527</v>
      </c>
      <c r="BK143" s="48">
        <v>0.45627093268051183</v>
      </c>
      <c r="BL143" s="48">
        <v>0.43169317650255362</v>
      </c>
      <c r="BM143" s="48">
        <v>0.49215072401016513</v>
      </c>
      <c r="BN143" s="48">
        <v>0.54932864284280947</v>
      </c>
      <c r="BO143" s="48">
        <v>0.59345025191795175</v>
      </c>
      <c r="BP143" s="48">
        <v>0.5691636212190071</v>
      </c>
      <c r="BQ143" s="48">
        <v>0.52042364422683729</v>
      </c>
      <c r="BR143" s="48">
        <v>0.49900280080959103</v>
      </c>
      <c r="BS143" s="48">
        <v>0.47513001150391515</v>
      </c>
      <c r="BT143" s="48">
        <v>0.44912581028952869</v>
      </c>
      <c r="BU143" s="48">
        <v>0.46497619311847666</v>
      </c>
      <c r="BV143" s="48">
        <v>0.4419677906897036</v>
      </c>
      <c r="BW143" s="48">
        <v>0.3753998373453139</v>
      </c>
      <c r="BX143" s="48">
        <v>0.33108210417518591</v>
      </c>
      <c r="BY143" s="48">
        <v>0.30121771729828306</v>
      </c>
      <c r="BZ143" s="48">
        <v>0.30192828578974734</v>
      </c>
      <c r="CA143" s="48">
        <v>0.31863745387641618</v>
      </c>
      <c r="CB143" s="48">
        <v>0.35153434362929786</v>
      </c>
      <c r="CC143" s="48">
        <v>0.34979827428583227</v>
      </c>
      <c r="CD143" s="48">
        <v>0.35680247550021871</v>
      </c>
      <c r="CE143" s="48">
        <v>0.38909500138402769</v>
      </c>
      <c r="CF143" s="48">
        <v>0.40711350021205156</v>
      </c>
      <c r="CG143" s="48">
        <v>0.45041862973902008</v>
      </c>
      <c r="CH143" s="48">
        <v>0.49870245962837373</v>
      </c>
      <c r="CI143" s="48">
        <v>0.52540433212538273</v>
      </c>
      <c r="CJ143" s="48">
        <v>0.55300169397047794</v>
      </c>
      <c r="CK143" s="48">
        <v>0.51773746974826118</v>
      </c>
      <c r="CL143" s="48">
        <v>0.47984338080497047</v>
      </c>
      <c r="CM143" s="48">
        <v>0.45569236322912288</v>
      </c>
      <c r="CN143" s="48">
        <v>0.5067248661051017</v>
      </c>
      <c r="CO143" s="48">
        <v>0.56730682349744632</v>
      </c>
      <c r="CP143" s="48">
        <v>0.6157206648907152</v>
      </c>
      <c r="CQ143" s="48">
        <v>0.64275596857628492</v>
      </c>
      <c r="CR143" s="48">
        <v>0.64430682349744628</v>
      </c>
      <c r="CS143" s="48">
        <v>0.62358365136282268</v>
      </c>
      <c r="CT143" s="48">
        <v>0.54857215455877628</v>
      </c>
      <c r="CU143" s="48">
        <v>0.57500309437527342</v>
      </c>
      <c r="CV143" s="48">
        <v>0.51671926448591965</v>
      </c>
      <c r="CW143" s="48">
        <v>0.48812750426000662</v>
      </c>
      <c r="CX143" s="48">
        <v>0.4676881620147364</v>
      </c>
      <c r="CY143" s="48">
        <v>0.48328972507421808</v>
      </c>
      <c r="CZ143" s="48">
        <v>0.46670496687228241</v>
      </c>
      <c r="DA143" s="48">
        <v>0.43769936525310038</v>
      </c>
      <c r="DB143" s="48">
        <v>0.41325891616871724</v>
      </c>
      <c r="DC143" s="48">
        <v>0.3779523862369531</v>
      </c>
      <c r="DD143" s="48">
        <v>0.329366227630222</v>
      </c>
      <c r="DE143" s="48">
        <v>0.23978987185705927</v>
      </c>
      <c r="DF143" s="48">
        <v>0.17720371325032805</v>
      </c>
    </row>
    <row r="144" spans="1:110" x14ac:dyDescent="0.2">
      <c r="A144" s="46" t="s">
        <v>176</v>
      </c>
      <c r="B144" s="47">
        <f t="shared" si="121"/>
        <v>-20.517045454545457</v>
      </c>
      <c r="C144" s="47">
        <f t="shared" si="122"/>
        <v>-10.820454545454549</v>
      </c>
      <c r="D144" s="49" t="e">
        <f t="shared" ref="D144:D177" ca="1" si="132">_xludf.STDEV.P(W144:DF144)*100</f>
        <v>#NAME?</v>
      </c>
      <c r="E144" s="47"/>
      <c r="F144" s="48">
        <v>4.2522727272727281E-2</v>
      </c>
      <c r="G144" s="48">
        <v>4.68409090909091E-2</v>
      </c>
      <c r="H144" s="48">
        <v>6.3920454545454558E-2</v>
      </c>
      <c r="I144" s="48">
        <v>0.15072727272727277</v>
      </c>
      <c r="J144" s="48">
        <v>0.19964772727272731</v>
      </c>
      <c r="K144" s="48">
        <v>0.20425000000000001</v>
      </c>
      <c r="L144" s="48">
        <v>0.20501136363636363</v>
      </c>
      <c r="M144" s="48">
        <v>0.23293181818181818</v>
      </c>
      <c r="N144" s="48">
        <v>0.27089772727272726</v>
      </c>
      <c r="O144" s="48">
        <v>0.28881818181818186</v>
      </c>
      <c r="P144" s="48">
        <v>0.27981818181818185</v>
      </c>
      <c r="Q144" s="48">
        <v>0.24769318181818184</v>
      </c>
      <c r="R144" s="48">
        <v>0.2172159090909091</v>
      </c>
      <c r="S144" s="48">
        <v>0.22437500000000005</v>
      </c>
      <c r="T144" s="48">
        <v>0.21669318181818187</v>
      </c>
      <c r="U144" s="48">
        <v>0.24573863636363635</v>
      </c>
      <c r="V144" s="48">
        <v>0.28086363636363643</v>
      </c>
      <c r="W144" s="48">
        <v>0.30054545454545456</v>
      </c>
      <c r="X144" s="48">
        <v>0.27694318181818184</v>
      </c>
      <c r="Y144" s="48">
        <v>0.22973863636363639</v>
      </c>
      <c r="Z144" s="48">
        <v>0.13485227272727274</v>
      </c>
      <c r="AA144" s="48">
        <v>0.205375</v>
      </c>
      <c r="AB144" s="48">
        <v>0.22034090909090912</v>
      </c>
      <c r="AC144" s="48">
        <v>0.24397727272727274</v>
      </c>
      <c r="AD144" s="48">
        <v>0.21185227272727275</v>
      </c>
      <c r="AE144" s="48">
        <v>0.2317727272727273</v>
      </c>
      <c r="AF144" s="48">
        <v>0.26861363636363639</v>
      </c>
      <c r="AG144" s="48">
        <v>0.36378409090909092</v>
      </c>
      <c r="AH144" s="48">
        <v>0.41782954545454543</v>
      </c>
      <c r="AI144" s="48">
        <v>0.52547727272727285</v>
      </c>
      <c r="AJ144" s="48">
        <v>0.54339772727272728</v>
      </c>
      <c r="AK144" s="48">
        <v>0.60356818181818195</v>
      </c>
      <c r="AL144" s="48">
        <v>0.60620454545454538</v>
      </c>
      <c r="AM144" s="48">
        <v>0.52923863636363644</v>
      </c>
      <c r="AN144" s="48">
        <v>0.53379545454545463</v>
      </c>
      <c r="AO144" s="48">
        <v>0.62036363636363645</v>
      </c>
      <c r="AP144" s="48">
        <v>0.70625000000000004</v>
      </c>
      <c r="AQ144" s="48">
        <v>0.75526136363636365</v>
      </c>
      <c r="AR144" s="48">
        <v>0.71413636363636368</v>
      </c>
      <c r="AS144" s="48">
        <v>0.66332954545454548</v>
      </c>
      <c r="AT144" s="48">
        <v>0.59176136363636367</v>
      </c>
      <c r="AU144" s="48">
        <v>0.60188636363636361</v>
      </c>
      <c r="AV144" s="48">
        <v>0.6462500000000001</v>
      </c>
      <c r="AW144" s="48">
        <v>0.60112500000000002</v>
      </c>
      <c r="AX144" s="48">
        <v>0.5047954545454546</v>
      </c>
      <c r="AY144" s="48">
        <v>0.45759090909090916</v>
      </c>
      <c r="AZ144" s="48">
        <v>0.44903409090909097</v>
      </c>
      <c r="BA144" s="48">
        <v>0.4115113636363637</v>
      </c>
      <c r="BB144" s="48">
        <v>0.40875000000000006</v>
      </c>
      <c r="BC144" s="48">
        <v>0.3798295454545455</v>
      </c>
      <c r="BD144" s="48">
        <v>0.42211363636363636</v>
      </c>
      <c r="BE144" s="48">
        <v>0.40071590909090915</v>
      </c>
      <c r="BF144" s="48">
        <v>0.44939772727272737</v>
      </c>
      <c r="BG144" s="48">
        <v>0.43687500000000001</v>
      </c>
      <c r="BH144" s="48">
        <v>0.46300000000000008</v>
      </c>
      <c r="BI144" s="48">
        <v>0.60701136363636365</v>
      </c>
      <c r="BJ144" s="48">
        <v>0.72434090909090909</v>
      </c>
      <c r="BK144" s="48">
        <v>0.80982954545454544</v>
      </c>
      <c r="BL144" s="48">
        <v>0.81278409090909098</v>
      </c>
      <c r="BM144" s="48">
        <v>0.88851136363636374</v>
      </c>
      <c r="BN144" s="48">
        <v>0.88375000000000015</v>
      </c>
      <c r="BO144" s="48">
        <v>0.87298863636363644</v>
      </c>
      <c r="BP144" s="48">
        <v>0.83686363636363648</v>
      </c>
      <c r="BQ144" s="48">
        <v>0.85330681818181831</v>
      </c>
      <c r="BR144" s="48">
        <v>0.85254545454545472</v>
      </c>
      <c r="BS144" s="48">
        <v>0.8210227272727274</v>
      </c>
      <c r="BT144" s="48">
        <v>0.7666590909090909</v>
      </c>
      <c r="BU144" s="48">
        <v>0.70301136363636363</v>
      </c>
      <c r="BV144" s="48">
        <v>0.60528409090909097</v>
      </c>
      <c r="BW144" s="48">
        <v>0.53739772727272728</v>
      </c>
      <c r="BX144" s="48">
        <v>0.65725</v>
      </c>
      <c r="BY144" s="48">
        <v>0.65669318181818193</v>
      </c>
      <c r="BZ144" s="48">
        <v>0.65709090909090917</v>
      </c>
      <c r="CA144" s="48">
        <v>0.63429545454545455</v>
      </c>
      <c r="CB144" s="48">
        <v>0.62069318181818178</v>
      </c>
      <c r="CC144" s="48">
        <v>0.62545454545454549</v>
      </c>
      <c r="CD144" s="48">
        <v>0.63829545454545467</v>
      </c>
      <c r="CE144" s="48">
        <v>0.6394545454545455</v>
      </c>
      <c r="CF144" s="48">
        <v>0.73202272727272732</v>
      </c>
      <c r="CG144" s="48">
        <v>0.75394318181818187</v>
      </c>
      <c r="CH144" s="48">
        <v>0.77038636363636359</v>
      </c>
      <c r="CI144" s="48">
        <v>0.7911477272727272</v>
      </c>
      <c r="CJ144" s="48">
        <v>0.80359090909090913</v>
      </c>
      <c r="CK144" s="48">
        <v>0.79714772727272731</v>
      </c>
      <c r="CL144" s="48">
        <v>0.80474999999999997</v>
      </c>
      <c r="CM144" s="48">
        <v>0.79335227272727282</v>
      </c>
      <c r="CN144" s="48">
        <v>0.80767045454545461</v>
      </c>
      <c r="CO144" s="48">
        <v>0.80051136363636377</v>
      </c>
      <c r="CP144" s="48">
        <v>0.77014772727272729</v>
      </c>
      <c r="CQ144" s="48">
        <v>0.73906818181818179</v>
      </c>
      <c r="CR144" s="48">
        <v>0.66326136363636368</v>
      </c>
      <c r="CS144" s="48">
        <v>0.60526136363636363</v>
      </c>
      <c r="CT144" s="48">
        <v>0.59029545454545462</v>
      </c>
      <c r="CU144" s="48">
        <v>0.56237500000000007</v>
      </c>
      <c r="CV144" s="48">
        <v>0.51617045454545452</v>
      </c>
      <c r="CW144" s="48">
        <v>0.46104545454545459</v>
      </c>
      <c r="CX144" s="48">
        <v>0.42492045454545457</v>
      </c>
      <c r="CY144" s="48">
        <v>0.3465113636363637</v>
      </c>
      <c r="CZ144" s="48">
        <v>0.30498863636363638</v>
      </c>
      <c r="DA144" s="48">
        <v>0.22981818181818181</v>
      </c>
      <c r="DB144" s="48">
        <v>0.16753409090909091</v>
      </c>
      <c r="DC144" s="48">
        <v>0.1059659090909091</v>
      </c>
      <c r="DD144" s="48">
        <v>0.17921590909090909</v>
      </c>
      <c r="DE144" s="48">
        <v>0.26218181818181824</v>
      </c>
      <c r="DF144" s="48">
        <v>0.34106818181818188</v>
      </c>
    </row>
    <row r="145" spans="1:111" x14ac:dyDescent="0.2">
      <c r="A145" s="46" t="s">
        <v>177</v>
      </c>
      <c r="B145" s="47">
        <f t="shared" si="121"/>
        <v>-49.309554140127389</v>
      </c>
      <c r="C145" s="47">
        <f t="shared" si="122"/>
        <v>-7.8885350318471357</v>
      </c>
      <c r="D145" s="49" t="e">
        <f t="shared" ref="D145:D178" ca="1" si="133">_xludf.STDEV.P(W145:DF145)*100</f>
        <v>#NAME?</v>
      </c>
      <c r="E145" s="47"/>
      <c r="F145" s="48">
        <v>0.23875796178343942</v>
      </c>
      <c r="G145" s="48">
        <v>0.22440764331210183</v>
      </c>
      <c r="H145" s="48">
        <v>0.26089808917197443</v>
      </c>
      <c r="I145" s="48">
        <v>0.31764331210191077</v>
      </c>
      <c r="J145" s="48">
        <v>0.38803821656050957</v>
      </c>
      <c r="K145" s="48">
        <v>0.47205095541401276</v>
      </c>
      <c r="L145" s="48">
        <v>0.51984076433121018</v>
      </c>
      <c r="M145" s="48">
        <v>0.63915923566878985</v>
      </c>
      <c r="N145" s="48">
        <v>0.84738853503184708</v>
      </c>
      <c r="O145" s="48">
        <v>0.75589171974522296</v>
      </c>
      <c r="P145" s="48">
        <v>0.73802547770700622</v>
      </c>
      <c r="Q145" s="48">
        <v>0.73185350318471332</v>
      </c>
      <c r="R145" s="48">
        <v>0.70113375796178323</v>
      </c>
      <c r="S145" s="48">
        <v>0.70722929936305712</v>
      </c>
      <c r="T145" s="48">
        <v>0.7068980891719745</v>
      </c>
      <c r="U145" s="48">
        <v>0.68695541401273863</v>
      </c>
      <c r="V145" s="48">
        <v>0.74462420382165584</v>
      </c>
      <c r="W145" s="48">
        <v>0.73070700636942643</v>
      </c>
      <c r="X145" s="48">
        <v>0.68085350318471305</v>
      </c>
      <c r="Y145" s="48">
        <v>0.59470700636942642</v>
      </c>
      <c r="Z145" s="48">
        <v>0.31568152866242027</v>
      </c>
      <c r="AA145" s="48">
        <v>0.27875796178343937</v>
      </c>
      <c r="AB145" s="48">
        <v>0.14633121019108272</v>
      </c>
      <c r="AC145" s="48">
        <v>0.14543312101910821</v>
      </c>
      <c r="AD145" s="48">
        <v>0.24709554140127377</v>
      </c>
      <c r="AE145" s="48">
        <v>0.33825477707006357</v>
      </c>
      <c r="AF145" s="48">
        <v>0.34640127388535014</v>
      </c>
      <c r="AG145" s="48">
        <v>0.32454777070063695</v>
      </c>
      <c r="AH145" s="48">
        <v>0.17217834394904463</v>
      </c>
      <c r="AI145" s="48">
        <v>0.17747133757961786</v>
      </c>
      <c r="AJ145" s="48">
        <v>0.17685987261146496</v>
      </c>
      <c r="AK145" s="48">
        <v>0.30365605095541409</v>
      </c>
      <c r="AL145" s="48">
        <v>0.8335477707006369</v>
      </c>
      <c r="AM145" s="48">
        <v>0.90231210191082789</v>
      </c>
      <c r="AN145" s="48">
        <v>0.9176624203821655</v>
      </c>
      <c r="AO145" s="48">
        <v>0.89760509554140133</v>
      </c>
      <c r="AP145" s="48">
        <v>0.84270063694267505</v>
      </c>
      <c r="AQ145" s="48">
        <v>0.72515923566878981</v>
      </c>
      <c r="AR145" s="48">
        <v>0.71846496815286631</v>
      </c>
      <c r="AS145" s="48">
        <v>0.70765605095541395</v>
      </c>
      <c r="AT145" s="48">
        <v>0.72654777070063692</v>
      </c>
      <c r="AU145" s="48">
        <v>0.93615286624203808</v>
      </c>
      <c r="AV145" s="48">
        <v>0.95386624203821646</v>
      </c>
      <c r="AW145" s="48">
        <v>0.9379617834394901</v>
      </c>
      <c r="AX145" s="48">
        <v>0.84786624203821637</v>
      </c>
      <c r="AY145" s="48">
        <v>0.21378980891719762</v>
      </c>
      <c r="AZ145" s="48">
        <v>0.18868789808917216</v>
      </c>
      <c r="BA145" s="48">
        <v>0.17657961783439505</v>
      </c>
      <c r="BB145" s="48">
        <v>0.1494904458598727</v>
      </c>
      <c r="BC145" s="48">
        <v>0.19345222929936307</v>
      </c>
      <c r="BD145" s="48">
        <v>0.22271974522292995</v>
      </c>
      <c r="BE145" s="48">
        <v>0.33022929936305734</v>
      </c>
      <c r="BF145" s="48">
        <v>0.36811464968152863</v>
      </c>
      <c r="BG145" s="48">
        <v>0.24042038216560518</v>
      </c>
      <c r="BH145" s="48">
        <v>0.11917834394904474</v>
      </c>
      <c r="BI145" s="48">
        <v>0.10622929936305749</v>
      </c>
      <c r="BJ145" s="48">
        <v>0.14409554140127398</v>
      </c>
      <c r="BK145" s="48">
        <v>0.6171210191082801</v>
      </c>
      <c r="BL145" s="48">
        <v>0.56740127388535011</v>
      </c>
      <c r="BM145" s="48">
        <v>0.53250955414012735</v>
      </c>
      <c r="BN145" s="48">
        <v>0.47959235668789796</v>
      </c>
      <c r="BO145" s="48">
        <v>0.43026114649681507</v>
      </c>
      <c r="BP145" s="48">
        <v>0.41035031847133746</v>
      </c>
      <c r="BQ145" s="48">
        <v>0.40884076433121003</v>
      </c>
      <c r="BR145" s="48">
        <v>0.38931847133757946</v>
      </c>
      <c r="BS145" s="48">
        <v>0.42677707006369409</v>
      </c>
      <c r="BT145" s="48">
        <v>0.52772611464968122</v>
      </c>
      <c r="BU145" s="48">
        <v>0.59594904458598708</v>
      </c>
      <c r="BV145" s="48">
        <v>0.54807006369426725</v>
      </c>
      <c r="BW145" s="48">
        <v>0.41864968152866233</v>
      </c>
      <c r="BX145" s="48">
        <v>0.41540764331210189</v>
      </c>
      <c r="BY145" s="48">
        <v>0.41301273885350315</v>
      </c>
      <c r="BZ145" s="48">
        <v>0.41471974522292987</v>
      </c>
      <c r="CA145" s="48">
        <v>0.4211464968152866</v>
      </c>
      <c r="CB145" s="48">
        <v>0.48022292993630566</v>
      </c>
      <c r="CC145" s="48">
        <v>0.4887324840764331</v>
      </c>
      <c r="CD145" s="48">
        <v>0.61671974522292983</v>
      </c>
      <c r="CE145" s="48">
        <v>0.6781401273885348</v>
      </c>
      <c r="CF145" s="48">
        <v>0.67648407643312092</v>
      </c>
      <c r="CG145" s="48">
        <v>0.63304458598726099</v>
      </c>
      <c r="CH145" s="48">
        <v>0.50114012738853497</v>
      </c>
      <c r="CI145" s="48">
        <v>0.49654777070063688</v>
      </c>
      <c r="CJ145" s="48">
        <v>0.53330573248407642</v>
      </c>
      <c r="CK145" s="48">
        <v>0.58473248407643308</v>
      </c>
      <c r="CL145" s="48">
        <v>0.62385350318471344</v>
      </c>
      <c r="CM145" s="48">
        <v>0.68522929936305732</v>
      </c>
      <c r="CN145" s="48">
        <v>0.7329490445859872</v>
      </c>
      <c r="CO145" s="48">
        <v>0.74713375796178338</v>
      </c>
      <c r="CP145" s="48">
        <v>0.71814649681528653</v>
      </c>
      <c r="CQ145" s="48">
        <v>0.62712738853503192</v>
      </c>
      <c r="CR145" s="48">
        <v>0.57261146496815296</v>
      </c>
      <c r="CS145" s="48">
        <v>0.50230573248407651</v>
      </c>
      <c r="CT145" s="48">
        <v>0.58640764331210193</v>
      </c>
      <c r="CU145" s="48">
        <v>0.56982802547770706</v>
      </c>
      <c r="CV145" s="48">
        <v>0.53262420382165609</v>
      </c>
      <c r="CW145" s="48">
        <v>0.46573885350318472</v>
      </c>
      <c r="CX145" s="48">
        <v>0.46137579617834396</v>
      </c>
      <c r="CY145" s="48">
        <v>0.44440764331210186</v>
      </c>
      <c r="CZ145" s="48">
        <v>0.38929299363057318</v>
      </c>
      <c r="DA145" s="48">
        <v>0.33621019108280259</v>
      </c>
      <c r="DB145" s="48">
        <v>0.31502547770700634</v>
      </c>
      <c r="DC145" s="48">
        <v>0.31661146496815279</v>
      </c>
      <c r="DD145" s="48">
        <v>0.30528025477707005</v>
      </c>
      <c r="DE145" s="48">
        <v>0.32475796178343946</v>
      </c>
      <c r="DF145" s="48">
        <v>0.39111464968152859</v>
      </c>
    </row>
    <row r="146" spans="1:111" x14ac:dyDescent="0.2">
      <c r="A146" s="46" t="s">
        <v>178</v>
      </c>
      <c r="B146" s="47">
        <f t="shared" si="121"/>
        <v>5.9368976488564424</v>
      </c>
      <c r="C146" s="47">
        <f t="shared" si="122"/>
        <v>-2.0089388815360651</v>
      </c>
      <c r="D146" s="49" t="e">
        <f t="shared" ref="D146:D179" ca="1" si="134">_xludf.STDEV.P(W146:DF146)*100</f>
        <v>#NAME?</v>
      </c>
      <c r="E146" s="47"/>
      <c r="F146" s="48">
        <v>0.33385423095592903</v>
      </c>
      <c r="G146" s="48">
        <v>0.33295923082298706</v>
      </c>
      <c r="H146" s="48">
        <v>0.3602056168733217</v>
      </c>
      <c r="I146" s="48">
        <v>0.35394361977128969</v>
      </c>
      <c r="J146" s="48">
        <v>0.3299343884362923</v>
      </c>
      <c r="K146" s="48">
        <v>0.30176011145079068</v>
      </c>
      <c r="L146" s="48">
        <v>0.29088786217195961</v>
      </c>
      <c r="M146" s="48">
        <v>0.29117566412452695</v>
      </c>
      <c r="N146" s="48">
        <v>0.3230688770331443</v>
      </c>
      <c r="O146" s="48">
        <v>0.31402587394923676</v>
      </c>
      <c r="P146" s="48">
        <v>0.29869833512326704</v>
      </c>
      <c r="Q146" s="48">
        <v>0.2744852544673646</v>
      </c>
      <c r="R146" s="48">
        <v>0.2586226141073994</v>
      </c>
      <c r="S146" s="48">
        <v>0.26016874170119408</v>
      </c>
      <c r="T146" s="48">
        <v>0.27524897344525862</v>
      </c>
      <c r="U146" s="48">
        <v>0.31427750155264311</v>
      </c>
      <c r="V146" s="48">
        <v>0.33324409988712439</v>
      </c>
      <c r="W146" s="48">
        <v>0.34492195323008273</v>
      </c>
      <c r="X146" s="48">
        <v>0.33825637538259212</v>
      </c>
      <c r="Y146" s="48">
        <v>0.33870260154702087</v>
      </c>
      <c r="Z146" s="48">
        <v>0.30859234795546031</v>
      </c>
      <c r="AA146" s="48">
        <v>0.27487943875506105</v>
      </c>
      <c r="AB146" s="48">
        <v>0.32840642511030221</v>
      </c>
      <c r="AC146" s="48">
        <v>0.41884079320099371</v>
      </c>
      <c r="AD146" s="48">
        <v>0.49820391633115224</v>
      </c>
      <c r="AE146" s="48">
        <v>0.51622711903283292</v>
      </c>
      <c r="AF146" s="48">
        <v>0.528687378409192</v>
      </c>
      <c r="AG146" s="48">
        <v>0.5177126475595254</v>
      </c>
      <c r="AH146" s="48">
        <v>0.53344372778713756</v>
      </c>
      <c r="AI146" s="48">
        <v>0.54089877278281029</v>
      </c>
      <c r="AJ146" s="48">
        <v>0.60439221152763012</v>
      </c>
      <c r="AK146" s="48">
        <v>0.6414990159554439</v>
      </c>
      <c r="AL146" s="48">
        <v>0.74884539011729989</v>
      </c>
      <c r="AM146" s="48">
        <v>0.79395517710735963</v>
      </c>
      <c r="AN146" s="48">
        <v>0.78996626734788322</v>
      </c>
      <c r="AO146" s="48">
        <v>0.78542419113423834</v>
      </c>
      <c r="AP146" s="48">
        <v>0.75818492521440961</v>
      </c>
      <c r="AQ146" s="48">
        <v>0.73041464873157369</v>
      </c>
      <c r="AR146" s="48">
        <v>0.73818341672036669</v>
      </c>
      <c r="AS146" s="48">
        <v>0.76700501667351362</v>
      </c>
      <c r="AT146" s="48">
        <v>0.77141880154781051</v>
      </c>
      <c r="AU146" s="48">
        <v>0.7982711565088052</v>
      </c>
      <c r="AV146" s="48">
        <v>0.80727516104466202</v>
      </c>
      <c r="AW146" s="48">
        <v>0.76320124717205018</v>
      </c>
      <c r="AX146" s="48">
        <v>0.67075051777990169</v>
      </c>
      <c r="AY146" s="48">
        <v>0.40037589239951205</v>
      </c>
      <c r="AZ146" s="48">
        <v>0.35245169493253503</v>
      </c>
      <c r="BA146" s="48">
        <v>0.29788531486192082</v>
      </c>
      <c r="BB146" s="48">
        <v>0.27089737297830785</v>
      </c>
      <c r="BC146" s="48">
        <v>0.27439430047771385</v>
      </c>
      <c r="BD146" s="48">
        <v>0.30144868544492676</v>
      </c>
      <c r="BE146" s="48">
        <v>0.29338766170264008</v>
      </c>
      <c r="BF146" s="48">
        <v>0.25292005239824056</v>
      </c>
      <c r="BG146" s="48">
        <v>0.28481171722197607</v>
      </c>
      <c r="BH146" s="48">
        <v>0.32857164904309399</v>
      </c>
      <c r="BI146" s="48">
        <v>0.41076325287043908</v>
      </c>
      <c r="BJ146" s="48">
        <v>0.66888948501458834</v>
      </c>
      <c r="BK146" s="48">
        <v>0.67328666661846193</v>
      </c>
      <c r="BL146" s="48">
        <v>0.6588039527017282</v>
      </c>
      <c r="BM146" s="48">
        <v>0.63836365932440642</v>
      </c>
      <c r="BN146" s="48">
        <v>0.60579262541021572</v>
      </c>
      <c r="BO146" s="48">
        <v>0.56861081320795503</v>
      </c>
      <c r="BP146" s="48">
        <v>0.54253710171346992</v>
      </c>
      <c r="BQ146" s="48">
        <v>0.52296142612713392</v>
      </c>
      <c r="BR146" s="48">
        <v>0.51574288162110216</v>
      </c>
      <c r="BS146" s="48">
        <v>0.4821514692041205</v>
      </c>
      <c r="BT146" s="48">
        <v>0.46652416658028267</v>
      </c>
      <c r="BU146" s="48">
        <v>0.44528587837227129</v>
      </c>
      <c r="BV146" s="48">
        <v>0.455822656352597</v>
      </c>
      <c r="BW146" s="48">
        <v>0.48022081800376537</v>
      </c>
      <c r="BX146" s="48">
        <v>0.46840822450605807</v>
      </c>
      <c r="BY146" s="48">
        <v>0.46558063250305665</v>
      </c>
      <c r="BZ146" s="48">
        <v>0.48514817532718435</v>
      </c>
      <c r="CA146" s="48">
        <v>0.54491224262810745</v>
      </c>
      <c r="CB146" s="48">
        <v>0.55905522657008222</v>
      </c>
      <c r="CC146" s="48">
        <v>0.57475470502197734</v>
      </c>
      <c r="CD146" s="48">
        <v>0.5685953672790226</v>
      </c>
      <c r="CE146" s="48">
        <v>0.56659173799155704</v>
      </c>
      <c r="CF146" s="48">
        <v>0.5408453826168228</v>
      </c>
      <c r="CG146" s="48">
        <v>0.48054796424491264</v>
      </c>
      <c r="CH146" s="48">
        <v>0.43237078363182035</v>
      </c>
      <c r="CI146" s="48">
        <v>0.45036065376668349</v>
      </c>
      <c r="CJ146" s="48">
        <v>0.51466266180144582</v>
      </c>
      <c r="CK146" s="48">
        <v>0.58016191997287847</v>
      </c>
      <c r="CL146" s="48">
        <v>0.59080644566699647</v>
      </c>
      <c r="CM146" s="48">
        <v>0.58003449298485366</v>
      </c>
      <c r="CN146" s="48">
        <v>0.56599625476954007</v>
      </c>
      <c r="CO146" s="48">
        <v>0.58760390504450732</v>
      </c>
      <c r="CP146" s="48">
        <v>0.5916865613962079</v>
      </c>
      <c r="CQ146" s="48">
        <v>0.6503978930038633</v>
      </c>
      <c r="CR146" s="48">
        <v>0.64866364517230912</v>
      </c>
      <c r="CS146" s="48">
        <v>0.67762705856641769</v>
      </c>
      <c r="CT146" s="48">
        <v>0.67643781750146137</v>
      </c>
      <c r="CU146" s="48">
        <v>0.66817359608146598</v>
      </c>
      <c r="CV146" s="48">
        <v>0.63016903850897599</v>
      </c>
      <c r="CW146" s="48">
        <v>0.60401035499171751</v>
      </c>
      <c r="CX146" s="48">
        <v>0.56752448305997305</v>
      </c>
      <c r="CY146" s="48">
        <v>0.52871382014899271</v>
      </c>
      <c r="CZ146" s="48">
        <v>0.51046501932697597</v>
      </c>
      <c r="DA146" s="48">
        <v>0.48557442615066737</v>
      </c>
      <c r="DB146" s="48">
        <v>0.51845912379523096</v>
      </c>
      <c r="DC146" s="48">
        <v>0.51739781123968498</v>
      </c>
      <c r="DD146" s="48">
        <v>0.50324308541399043</v>
      </c>
      <c r="DE146" s="48">
        <v>0.50641328126445684</v>
      </c>
      <c r="DF146" s="48">
        <v>0.49564768087960581</v>
      </c>
    </row>
    <row r="147" spans="1:111" x14ac:dyDescent="0.2">
      <c r="A147" s="46" t="s">
        <v>179</v>
      </c>
      <c r="B147" s="47">
        <f t="shared" si="121"/>
        <v>0</v>
      </c>
      <c r="C147" s="47">
        <f t="shared" si="122"/>
        <v>0</v>
      </c>
      <c r="D147" s="49" t="e">
        <f t="shared" ref="D147:D180" ca="1" si="135">_xludf.STDEV.P(W147:DF147)*100</f>
        <v>#NAME?</v>
      </c>
      <c r="E147" s="47"/>
      <c r="F147" s="48">
        <v>7.0999999999999994E-2</v>
      </c>
      <c r="G147" s="48">
        <v>7.0999999999999994E-2</v>
      </c>
      <c r="H147" s="48">
        <v>7.0999999999999994E-2</v>
      </c>
      <c r="I147" s="48">
        <v>7.0999999999999994E-2</v>
      </c>
      <c r="J147" s="48">
        <v>7.0999999999999994E-2</v>
      </c>
      <c r="K147" s="48">
        <v>7.0999999999999994E-2</v>
      </c>
      <c r="L147" s="48">
        <v>7.0999999999999994E-2</v>
      </c>
      <c r="M147" s="48">
        <v>7.0999999999999994E-2</v>
      </c>
      <c r="N147" s="48">
        <v>7.0999999999999994E-2</v>
      </c>
      <c r="O147" s="48">
        <v>7.0999999999999994E-2</v>
      </c>
      <c r="P147" s="48">
        <v>7.0999999999999994E-2</v>
      </c>
      <c r="Q147" s="48">
        <v>7.0999999999999994E-2</v>
      </c>
      <c r="R147" s="48">
        <v>7.0999999999999994E-2</v>
      </c>
      <c r="S147" s="48">
        <v>3.5000000000000003E-2</v>
      </c>
      <c r="T147" s="48">
        <v>0</v>
      </c>
      <c r="U147" s="48">
        <v>0.53500000000000003</v>
      </c>
      <c r="V147" s="48">
        <v>0.57099999999999995</v>
      </c>
      <c r="W147" s="48">
        <v>0.60699999999999998</v>
      </c>
      <c r="X147" s="48">
        <v>0.64200000000000002</v>
      </c>
      <c r="Y147" s="48">
        <v>0.67800000000000005</v>
      </c>
      <c r="Z147" s="48">
        <v>0.75</v>
      </c>
      <c r="AA147" s="48">
        <v>0.71399999999999997</v>
      </c>
      <c r="AB147" s="48">
        <v>0.78500000000000003</v>
      </c>
      <c r="AC147" s="48">
        <v>0.82100000000000006</v>
      </c>
      <c r="AD147" s="48">
        <v>0.85699999999999998</v>
      </c>
      <c r="AE147" s="48">
        <v>0.8919999999999999</v>
      </c>
      <c r="AF147" s="48">
        <v>0.92800000000000005</v>
      </c>
      <c r="AG147" s="48">
        <v>0.96400000000000008</v>
      </c>
      <c r="AH147" s="48">
        <v>1</v>
      </c>
      <c r="AI147" s="48">
        <v>0.5</v>
      </c>
      <c r="AJ147" s="48">
        <v>0.5</v>
      </c>
      <c r="AK147" s="48">
        <v>0.5</v>
      </c>
      <c r="AL147" s="48">
        <v>0.5</v>
      </c>
      <c r="AM147" s="48">
        <v>0.5</v>
      </c>
      <c r="AN147" s="48">
        <v>0.5</v>
      </c>
      <c r="AO147" s="48">
        <v>0.5</v>
      </c>
      <c r="AP147" s="48">
        <v>0.5</v>
      </c>
      <c r="AQ147" s="48">
        <v>0.5</v>
      </c>
      <c r="AR147" s="48">
        <v>0.5</v>
      </c>
      <c r="AS147" s="48">
        <v>0.5</v>
      </c>
      <c r="AT147" s="48">
        <v>0.5</v>
      </c>
      <c r="AU147" s="48">
        <v>0.5</v>
      </c>
      <c r="AV147" s="48">
        <v>0.5</v>
      </c>
      <c r="AW147" s="48">
        <v>0.5</v>
      </c>
      <c r="AX147" s="48">
        <v>0.5</v>
      </c>
      <c r="AY147" s="48">
        <v>0.5</v>
      </c>
      <c r="AZ147" s="48">
        <v>0.5</v>
      </c>
      <c r="BA147" s="48">
        <v>0.5</v>
      </c>
      <c r="BB147" s="48">
        <v>0.5</v>
      </c>
      <c r="BC147" s="48">
        <v>0.5</v>
      </c>
      <c r="BD147" s="48">
        <v>0.5</v>
      </c>
      <c r="BE147" s="48">
        <v>0.5</v>
      </c>
      <c r="BF147" s="48">
        <v>0.5</v>
      </c>
      <c r="BG147" s="48">
        <v>0.5</v>
      </c>
      <c r="BH147" s="48">
        <v>0.5</v>
      </c>
      <c r="BI147" s="48">
        <v>0.5</v>
      </c>
      <c r="BJ147" s="48">
        <v>0.5</v>
      </c>
      <c r="BK147" s="48">
        <v>0.5</v>
      </c>
      <c r="BL147" s="48">
        <v>0.5</v>
      </c>
      <c r="BM147" s="48">
        <v>0.5</v>
      </c>
      <c r="BN147" s="48">
        <v>0.5</v>
      </c>
      <c r="BO147" s="48">
        <v>0.5</v>
      </c>
      <c r="BP147" s="48">
        <v>0.5</v>
      </c>
      <c r="BQ147" s="48">
        <v>0.5</v>
      </c>
      <c r="BR147" s="48">
        <v>0.5</v>
      </c>
      <c r="BS147" s="48">
        <v>0.5</v>
      </c>
      <c r="BT147" s="48">
        <v>0.5</v>
      </c>
      <c r="BU147" s="48">
        <v>0.5</v>
      </c>
      <c r="BV147" s="48">
        <v>0.5</v>
      </c>
      <c r="BW147" s="48">
        <v>0.5</v>
      </c>
      <c r="BX147" s="48">
        <v>0.5</v>
      </c>
      <c r="BY147" s="48">
        <v>0.5</v>
      </c>
      <c r="BZ147" s="48">
        <v>0.5</v>
      </c>
      <c r="CA147" s="48">
        <v>0.5</v>
      </c>
      <c r="CB147" s="48">
        <v>0.5</v>
      </c>
      <c r="CC147" s="48">
        <v>0.5</v>
      </c>
      <c r="CD147" s="48">
        <v>0.5</v>
      </c>
      <c r="CE147" s="48">
        <v>0.5</v>
      </c>
      <c r="CF147" s="48">
        <v>0.5</v>
      </c>
      <c r="CG147" s="48">
        <v>0.5</v>
      </c>
      <c r="CH147" s="48">
        <v>0.5</v>
      </c>
      <c r="CI147" s="48">
        <v>0.5</v>
      </c>
      <c r="CJ147" s="48">
        <v>0.5</v>
      </c>
      <c r="CK147" s="48">
        <v>0.5</v>
      </c>
      <c r="CL147" s="48">
        <v>0.5</v>
      </c>
      <c r="CM147" s="48">
        <v>0.5</v>
      </c>
      <c r="CN147" s="48">
        <v>0.5</v>
      </c>
      <c r="CO147" s="48">
        <v>0.5</v>
      </c>
      <c r="CP147" s="48">
        <v>0.5</v>
      </c>
      <c r="CQ147" s="48">
        <v>0.5</v>
      </c>
      <c r="CR147" s="48">
        <v>0.5</v>
      </c>
      <c r="CS147" s="48">
        <v>0.5</v>
      </c>
      <c r="CT147" s="48">
        <v>0.5</v>
      </c>
      <c r="CU147" s="48">
        <v>0.5</v>
      </c>
      <c r="CV147" s="48">
        <v>0.5</v>
      </c>
      <c r="CW147" s="48">
        <v>0.5</v>
      </c>
      <c r="CX147" s="48">
        <v>0.5</v>
      </c>
      <c r="CY147" s="48">
        <v>0.5</v>
      </c>
      <c r="CZ147" s="48">
        <v>0.5</v>
      </c>
      <c r="DA147" s="48">
        <v>0.5</v>
      </c>
      <c r="DB147" s="48">
        <v>0.5</v>
      </c>
      <c r="DC147" s="48">
        <v>0.5</v>
      </c>
      <c r="DD147" s="48">
        <v>0.5</v>
      </c>
      <c r="DE147" s="48">
        <v>0.5</v>
      </c>
      <c r="DF147" s="48">
        <v>0.5</v>
      </c>
    </row>
    <row r="148" spans="1:111" x14ac:dyDescent="0.2">
      <c r="A148" s="46" t="s">
        <v>244</v>
      </c>
      <c r="B148" s="47">
        <f t="shared" si="121"/>
        <v>2.1297872340425741</v>
      </c>
      <c r="C148" s="47">
        <f t="shared" si="122"/>
        <v>2.1574468085106435</v>
      </c>
      <c r="D148" s="49"/>
      <c r="E148" s="47"/>
      <c r="F148" s="48">
        <v>0.48402127659574484</v>
      </c>
      <c r="G148" s="48">
        <v>0.45444680851063846</v>
      </c>
      <c r="H148" s="48">
        <v>0.47029787234042569</v>
      </c>
      <c r="I148" s="48">
        <v>0.46244680851063841</v>
      </c>
      <c r="J148" s="48">
        <v>0.44504255319148939</v>
      </c>
      <c r="K148" s="48">
        <v>0.37276595744680852</v>
      </c>
      <c r="L148" s="48">
        <v>0.34963829787234035</v>
      </c>
      <c r="M148" s="48">
        <v>0.34978723404255313</v>
      </c>
      <c r="N148" s="48">
        <v>0.46312765957446805</v>
      </c>
      <c r="O148" s="48">
        <v>0.50178723404255321</v>
      </c>
      <c r="P148" s="48">
        <v>0.52293617021276595</v>
      </c>
      <c r="Q148" s="48">
        <v>0.4627234042553191</v>
      </c>
      <c r="R148" s="48">
        <v>0.32876595744680842</v>
      </c>
      <c r="S148" s="48">
        <v>0.3122765957446807</v>
      </c>
      <c r="T148" s="48">
        <v>0.3140851063829786</v>
      </c>
      <c r="U148" s="48">
        <v>0.3230851063829786</v>
      </c>
      <c r="V148" s="48">
        <v>0.3020425531914892</v>
      </c>
      <c r="W148" s="48">
        <v>0.30921276595744668</v>
      </c>
      <c r="X148" s="48">
        <v>0.39008510638297855</v>
      </c>
      <c r="Y148" s="48">
        <v>0.3734680851063828</v>
      </c>
      <c r="Z148" s="48">
        <v>0.37112765957446792</v>
      </c>
      <c r="AA148" s="48">
        <v>0.45408510638297861</v>
      </c>
      <c r="AB148" s="48">
        <v>0.50904255319148928</v>
      </c>
      <c r="AC148" s="48">
        <v>0.62810638297872345</v>
      </c>
      <c r="AD148" s="48">
        <v>0.71414893617021269</v>
      </c>
      <c r="AE148" s="48">
        <v>0.78804255319148941</v>
      </c>
      <c r="AF148" s="48">
        <v>0.79529787234042559</v>
      </c>
      <c r="AG148" s="48">
        <v>0.79482978723404263</v>
      </c>
      <c r="AH148" s="48">
        <v>0.77204255319148951</v>
      </c>
      <c r="AI148" s="48">
        <v>0.76555319148936163</v>
      </c>
      <c r="AJ148" s="48">
        <v>0.76123404255319149</v>
      </c>
      <c r="AK148" s="48">
        <v>0.71395744680851092</v>
      </c>
      <c r="AL148" s="48">
        <v>0.72376595744680872</v>
      </c>
      <c r="AM148" s="48">
        <v>0.7263829787234044</v>
      </c>
      <c r="AN148" s="48">
        <v>0.70934042553191512</v>
      </c>
      <c r="AO148" s="48">
        <v>0.72236170212765982</v>
      </c>
      <c r="AP148" s="48">
        <v>0.75038297872340431</v>
      </c>
      <c r="AQ148" s="48">
        <v>0.75629787234042578</v>
      </c>
      <c r="AR148" s="48">
        <v>0.76008510638297899</v>
      </c>
      <c r="AS148" s="48">
        <v>0.72261702127659599</v>
      </c>
      <c r="AT148" s="48">
        <v>0.65374468085106385</v>
      </c>
      <c r="AU148" s="48">
        <v>0.57544680851063834</v>
      </c>
      <c r="AV148" s="48">
        <v>0.55423404255319164</v>
      </c>
      <c r="AW148" s="48">
        <v>0.58261702127659576</v>
      </c>
      <c r="AX148" s="48">
        <v>0.60661702127659578</v>
      </c>
      <c r="AY148" s="48">
        <v>0.60251063829787255</v>
      </c>
      <c r="AZ148" s="48">
        <v>0.62742553191489381</v>
      </c>
      <c r="BA148" s="48">
        <v>0.62302127659574469</v>
      </c>
      <c r="BB148" s="48">
        <v>0.57965957446808514</v>
      </c>
      <c r="BC148" s="48">
        <v>0.5032340425531916</v>
      </c>
      <c r="BD148" s="48">
        <v>0.47672340425531917</v>
      </c>
      <c r="BE148" s="48">
        <v>0.50063829787234049</v>
      </c>
      <c r="BF148" s="48">
        <v>0.57491489361702131</v>
      </c>
      <c r="BG148" s="48">
        <v>0.63668085106382988</v>
      </c>
      <c r="BH148" s="48">
        <v>0.63870212765957468</v>
      </c>
      <c r="BI148" s="48">
        <v>0.59642553191489367</v>
      </c>
      <c r="BJ148" s="48">
        <v>0.5108297872340426</v>
      </c>
      <c r="BK148" s="48">
        <v>0.41648936170212775</v>
      </c>
      <c r="BL148" s="48">
        <v>0.34661702127659577</v>
      </c>
      <c r="BM148" s="48">
        <v>0.31523404255319148</v>
      </c>
      <c r="BN148" s="48">
        <v>0.2624042553191489</v>
      </c>
      <c r="BO148" s="48">
        <v>0.27651063829787231</v>
      </c>
      <c r="BP148" s="48">
        <v>0.25899999999999995</v>
      </c>
      <c r="BQ148" s="48">
        <v>0.30295744680851067</v>
      </c>
      <c r="BR148" s="48">
        <v>0.31051063829787229</v>
      </c>
      <c r="BS148" s="48">
        <v>0.27880851063829787</v>
      </c>
      <c r="BT148" s="48">
        <v>0.21174468085106377</v>
      </c>
      <c r="BU148" s="48">
        <v>0.16974468085106376</v>
      </c>
      <c r="BV148" s="48">
        <v>0.14878723404255317</v>
      </c>
      <c r="BW148" s="48">
        <v>0.1727659574468085</v>
      </c>
      <c r="BX148" s="48">
        <v>0.24695744680851064</v>
      </c>
      <c r="BY148" s="48">
        <v>0.32493617021276594</v>
      </c>
      <c r="BZ148" s="48">
        <v>0.36799999999999999</v>
      </c>
      <c r="CA148" s="48">
        <v>0.38708510638297877</v>
      </c>
      <c r="CB148" s="48">
        <v>0.37759574468085105</v>
      </c>
      <c r="CC148" s="48">
        <v>0.35410638297872343</v>
      </c>
      <c r="CD148" s="48">
        <v>0.27551063829787237</v>
      </c>
      <c r="CE148" s="48">
        <v>0.19551063829787235</v>
      </c>
      <c r="CF148" s="48">
        <v>0.23580851063829791</v>
      </c>
      <c r="CG148" s="48">
        <v>0.32387234042553203</v>
      </c>
      <c r="CH148" s="48">
        <v>0.40302127659574488</v>
      </c>
      <c r="CI148" s="48">
        <v>0.470872340425532</v>
      </c>
      <c r="CJ148" s="48">
        <v>0.51208510638297888</v>
      </c>
      <c r="CK148" s="48">
        <v>0.51861702127659581</v>
      </c>
      <c r="CL148" s="48">
        <v>0.52987234042553211</v>
      </c>
      <c r="CM148" s="48">
        <v>0.48553191489361719</v>
      </c>
      <c r="CN148" s="48">
        <v>0.51146808510638331</v>
      </c>
      <c r="CO148" s="48">
        <v>0.56291489361702163</v>
      </c>
      <c r="CP148" s="48">
        <v>0.66155319148936198</v>
      </c>
      <c r="CQ148" s="48">
        <v>0.71710638297872353</v>
      </c>
      <c r="CR148" s="48">
        <v>0.81678723404255338</v>
      </c>
      <c r="CS148" s="48">
        <v>0.84585106382978736</v>
      </c>
      <c r="CT148" s="48">
        <v>0.80080851063829794</v>
      </c>
      <c r="CU148" s="48">
        <v>0.72012765957446812</v>
      </c>
      <c r="CV148" s="48">
        <v>0.65178723404255334</v>
      </c>
      <c r="CW148" s="48">
        <v>0.57208510638297871</v>
      </c>
      <c r="CX148" s="48">
        <v>0.5238297872340425</v>
      </c>
      <c r="CY148" s="48">
        <v>0.53448936170212769</v>
      </c>
      <c r="CZ148" s="48">
        <v>0.56363829787234043</v>
      </c>
      <c r="DA148" s="48">
        <v>0.59234042553191479</v>
      </c>
      <c r="DB148" s="48">
        <v>0.52889361702127669</v>
      </c>
      <c r="DC148" s="48">
        <v>0.48882978723404252</v>
      </c>
      <c r="DD148" s="48">
        <v>0.41542553191489362</v>
      </c>
      <c r="DE148" s="48">
        <v>0.35170212765957443</v>
      </c>
      <c r="DF148" s="48">
        <v>0.33127659574468077</v>
      </c>
      <c r="DG148" s="48"/>
    </row>
    <row r="149" spans="1:111" x14ac:dyDescent="0.2">
      <c r="A149" s="46" t="s">
        <v>180</v>
      </c>
      <c r="B149" s="47">
        <f t="shared" si="121"/>
        <v>-15.183333333333282</v>
      </c>
      <c r="C149" s="47">
        <f t="shared" si="122"/>
        <v>12.166666666666693</v>
      </c>
      <c r="D149" s="49" t="e">
        <f t="shared" ref="D149:D182" ca="1" si="136">_xludf.STDEV.P(W149:DF149)*100</f>
        <v>#NAME?</v>
      </c>
      <c r="E149" s="47"/>
      <c r="F149" s="48">
        <v>0.55983333333333374</v>
      </c>
      <c r="G149" s="48">
        <v>0.53966666666666707</v>
      </c>
      <c r="H149" s="48">
        <v>0.5148333333333337</v>
      </c>
      <c r="I149" s="48">
        <v>0.43816666666666682</v>
      </c>
      <c r="J149" s="48">
        <v>0.44066666666666687</v>
      </c>
      <c r="K149" s="48">
        <v>0.50550000000000028</v>
      </c>
      <c r="L149" s="48">
        <v>0.55450000000000021</v>
      </c>
      <c r="M149" s="48">
        <v>0.61033333333333351</v>
      </c>
      <c r="N149" s="48">
        <v>0.78916666666666657</v>
      </c>
      <c r="O149" s="48">
        <v>0.75733333333333319</v>
      </c>
      <c r="P149" s="48">
        <v>0.71916666666666651</v>
      </c>
      <c r="Q149" s="48">
        <v>0.71166666666666656</v>
      </c>
      <c r="R149" s="48">
        <v>0.70266666666666655</v>
      </c>
      <c r="S149" s="48">
        <v>0.72383333333333333</v>
      </c>
      <c r="T149" s="48">
        <v>0.76916666666666678</v>
      </c>
      <c r="U149" s="48">
        <v>0.84483333333333321</v>
      </c>
      <c r="V149" s="48">
        <v>0.90883333333333349</v>
      </c>
      <c r="W149" s="48">
        <v>0.91300000000000003</v>
      </c>
      <c r="X149" s="48">
        <v>0.86433333333333318</v>
      </c>
      <c r="Y149" s="48">
        <v>0.79049999999999998</v>
      </c>
      <c r="Z149" s="48">
        <v>0.46933333333333366</v>
      </c>
      <c r="AA149" s="48">
        <v>0.44983333333333364</v>
      </c>
      <c r="AB149" s="48">
        <v>0.461666666666667</v>
      </c>
      <c r="AC149" s="48">
        <v>0.47883333333333367</v>
      </c>
      <c r="AD149" s="48">
        <v>0.46766666666666695</v>
      </c>
      <c r="AE149" s="48">
        <v>0.44116666666666698</v>
      </c>
      <c r="AF149" s="48">
        <v>0.41750000000000037</v>
      </c>
      <c r="AG149" s="48">
        <v>0.39583333333333365</v>
      </c>
      <c r="AH149" s="48">
        <v>0.37583333333333363</v>
      </c>
      <c r="AI149" s="48">
        <v>0.36600000000000021</v>
      </c>
      <c r="AJ149" s="48">
        <v>0.37233333333333352</v>
      </c>
      <c r="AK149" s="48">
        <v>0.32083333333333341</v>
      </c>
      <c r="AL149" s="48">
        <v>0.56966666666666643</v>
      </c>
      <c r="AM149" s="48">
        <v>0.57083333333333297</v>
      </c>
      <c r="AN149" s="48">
        <v>0.58683333333333298</v>
      </c>
      <c r="AO149" s="48">
        <v>0.5489999999999996</v>
      </c>
      <c r="AP149" s="48">
        <v>0.52283333333333293</v>
      </c>
      <c r="AQ149" s="48">
        <v>0.51233333333333297</v>
      </c>
      <c r="AR149" s="48">
        <v>0.51466666666666616</v>
      </c>
      <c r="AS149" s="48">
        <v>0.50466666666666604</v>
      </c>
      <c r="AT149" s="48">
        <v>0.50233333333333274</v>
      </c>
      <c r="AU149" s="48">
        <v>0.5081666666666661</v>
      </c>
      <c r="AV149" s="48">
        <v>0.51133333333333297</v>
      </c>
      <c r="AW149" s="48">
        <v>0.52166666666666617</v>
      </c>
      <c r="AX149" s="48">
        <v>0.46899999999999958</v>
      </c>
      <c r="AY149" s="48">
        <v>0.12816666666666668</v>
      </c>
      <c r="AZ149" s="48">
        <v>0.13950000000000007</v>
      </c>
      <c r="BA149" s="48">
        <v>0.14350000000000007</v>
      </c>
      <c r="BB149" s="48">
        <v>0.15283333333333343</v>
      </c>
      <c r="BC149" s="48">
        <v>0.17133333333333345</v>
      </c>
      <c r="BD149" s="48">
        <v>0.20750000000000021</v>
      </c>
      <c r="BE149" s="48">
        <v>0.2483333333333336</v>
      </c>
      <c r="BF149" s="48">
        <v>0.29583333333333367</v>
      </c>
      <c r="BG149" s="48">
        <v>0.29766666666666697</v>
      </c>
      <c r="BH149" s="48">
        <v>0.30016666666666703</v>
      </c>
      <c r="BI149" s="48">
        <v>0.26950000000000029</v>
      </c>
      <c r="BJ149" s="48">
        <v>0.26700000000000018</v>
      </c>
      <c r="BK149" s="48">
        <v>0.47466666666666663</v>
      </c>
      <c r="BL149" s="48">
        <v>0.46316666666666662</v>
      </c>
      <c r="BM149" s="48">
        <v>0.49699999999999994</v>
      </c>
      <c r="BN149" s="48">
        <v>0.54316666666666669</v>
      </c>
      <c r="BO149" s="48">
        <v>0.58899999999999997</v>
      </c>
      <c r="BP149" s="48">
        <v>0.58700000000000008</v>
      </c>
      <c r="BQ149" s="48">
        <v>0.57166666666666666</v>
      </c>
      <c r="BR149" s="48">
        <v>0.55216666666666669</v>
      </c>
      <c r="BS149" s="48">
        <v>0.60483333333333333</v>
      </c>
      <c r="BT149" s="48">
        <v>0.6319999999999999</v>
      </c>
      <c r="BU149" s="48">
        <v>0.65083333333333326</v>
      </c>
      <c r="BV149" s="48">
        <v>0.59416666666666673</v>
      </c>
      <c r="BW149" s="48">
        <v>0.46166666666666678</v>
      </c>
      <c r="BX149" s="48">
        <v>0.46416666666666678</v>
      </c>
      <c r="BY149" s="48">
        <v>0.49533333333333335</v>
      </c>
      <c r="BZ149" s="48">
        <v>0.53033333333333343</v>
      </c>
      <c r="CA149" s="48">
        <v>0.53500000000000003</v>
      </c>
      <c r="CB149" s="48">
        <v>0.51733333333333331</v>
      </c>
      <c r="CC149" s="48">
        <v>0.48000000000000004</v>
      </c>
      <c r="CD149" s="48">
        <v>0.53633333333333333</v>
      </c>
      <c r="CE149" s="48">
        <v>0.56583333333333319</v>
      </c>
      <c r="CF149" s="48">
        <v>0.55999999999999994</v>
      </c>
      <c r="CG149" s="48">
        <v>0.61683333333333334</v>
      </c>
      <c r="CH149" s="48">
        <v>0.56866666666666665</v>
      </c>
      <c r="CI149" s="48">
        <v>0.58316666666666661</v>
      </c>
      <c r="CJ149" s="48">
        <v>0.58833333333333326</v>
      </c>
      <c r="CK149" s="48">
        <v>0.59116666666666651</v>
      </c>
      <c r="CL149" s="48">
        <v>0.59916666666666651</v>
      </c>
      <c r="CM149" s="48">
        <v>0.60266666666666657</v>
      </c>
      <c r="CN149" s="48">
        <v>0.59766666666666657</v>
      </c>
      <c r="CO149" s="48">
        <v>0.56566666666666643</v>
      </c>
      <c r="CP149" s="48">
        <v>0.53999999999999981</v>
      </c>
      <c r="CQ149" s="48">
        <v>0.48716666666666653</v>
      </c>
      <c r="CR149" s="48">
        <v>0.43883333333333313</v>
      </c>
      <c r="CS149" s="48">
        <v>0.38933333333333325</v>
      </c>
      <c r="CT149" s="48">
        <v>0.31549999999999995</v>
      </c>
      <c r="CU149" s="48">
        <v>0.29666666666666663</v>
      </c>
      <c r="CV149" s="48">
        <v>0.31233333333333335</v>
      </c>
      <c r="CW149" s="48">
        <v>0.32533333333333336</v>
      </c>
      <c r="CX149" s="48">
        <v>0.33466666666666667</v>
      </c>
      <c r="CY149" s="48">
        <v>0.33483333333333337</v>
      </c>
      <c r="CZ149" s="48">
        <v>0.34616666666666668</v>
      </c>
      <c r="DA149" s="48">
        <v>0.40383333333333332</v>
      </c>
      <c r="DB149" s="48">
        <v>0.44250000000000006</v>
      </c>
      <c r="DC149" s="48">
        <v>0.52566666666666673</v>
      </c>
      <c r="DD149" s="48">
        <v>0.5301666666666669</v>
      </c>
      <c r="DE149" s="48">
        <v>0.53700000000000014</v>
      </c>
      <c r="DF149" s="48">
        <v>0.55583333333333351</v>
      </c>
    </row>
    <row r="150" spans="1:111" x14ac:dyDescent="0.2">
      <c r="A150" s="46" t="s">
        <v>181</v>
      </c>
      <c r="B150" s="47">
        <f t="shared" si="121"/>
        <v>-4.6666666666666634</v>
      </c>
      <c r="C150" s="47">
        <f t="shared" si="122"/>
        <v>1.0666666666666602</v>
      </c>
      <c r="D150" s="49" t="e">
        <f t="shared" ref="D150:D183" ca="1" si="137">_xludf.STDEV.P(W150:DF150)*100</f>
        <v>#NAME?</v>
      </c>
      <c r="E150" s="47"/>
      <c r="F150" s="48">
        <v>0.40125000000000005</v>
      </c>
      <c r="G150" s="48">
        <v>0.39650000000000002</v>
      </c>
      <c r="H150" s="48">
        <v>0.39000000000000007</v>
      </c>
      <c r="I150" s="48">
        <v>0.39058333333333345</v>
      </c>
      <c r="J150" s="48">
        <v>0.35400000000000004</v>
      </c>
      <c r="K150" s="48">
        <v>0.39833333333333337</v>
      </c>
      <c r="L150" s="48">
        <v>0.32575000000000004</v>
      </c>
      <c r="M150" s="48">
        <v>0.29475000000000007</v>
      </c>
      <c r="N150" s="48">
        <v>0.46333333333333326</v>
      </c>
      <c r="O150" s="48">
        <v>0.49958333333333332</v>
      </c>
      <c r="P150" s="48">
        <v>0.52224999999999999</v>
      </c>
      <c r="Q150" s="48">
        <v>0.44791666666666669</v>
      </c>
      <c r="R150" s="48">
        <v>0.37733333333333341</v>
      </c>
      <c r="S150" s="48">
        <v>0.45966666666666667</v>
      </c>
      <c r="T150" s="48">
        <v>0.47249999999999998</v>
      </c>
      <c r="U150" s="48">
        <v>0.56633333333333347</v>
      </c>
      <c r="V150" s="48">
        <v>0.54891666666666672</v>
      </c>
      <c r="W150" s="48">
        <v>0.56624999999999992</v>
      </c>
      <c r="X150" s="48">
        <v>0.48258333333333348</v>
      </c>
      <c r="Y150" s="48">
        <v>0.44008333333333355</v>
      </c>
      <c r="Z150" s="48">
        <v>0.37283333333333363</v>
      </c>
      <c r="AA150" s="48">
        <v>0.36533333333333357</v>
      </c>
      <c r="AB150" s="48">
        <v>0.39883333333333348</v>
      </c>
      <c r="AC150" s="48">
        <v>0.42250000000000021</v>
      </c>
      <c r="AD150" s="48">
        <v>0.41300000000000026</v>
      </c>
      <c r="AE150" s="48">
        <v>0.38908333333333361</v>
      </c>
      <c r="AF150" s="48">
        <v>0.39575000000000032</v>
      </c>
      <c r="AG150" s="48">
        <v>0.38550000000000023</v>
      </c>
      <c r="AH150" s="48">
        <v>0.4025000000000003</v>
      </c>
      <c r="AI150" s="48">
        <v>0.4701666666666669</v>
      </c>
      <c r="AJ150" s="48">
        <v>0.55566666666666686</v>
      </c>
      <c r="AK150" s="48">
        <v>0.64133333333333342</v>
      </c>
      <c r="AL150" s="48">
        <v>0.85783333333333334</v>
      </c>
      <c r="AM150" s="48">
        <v>0.83041666666666669</v>
      </c>
      <c r="AN150" s="48">
        <v>0.82991666666666652</v>
      </c>
      <c r="AO150" s="48">
        <v>0.77933333333333321</v>
      </c>
      <c r="AP150" s="48">
        <v>0.7297499999999999</v>
      </c>
      <c r="AQ150" s="48">
        <v>0.67466666666666664</v>
      </c>
      <c r="AR150" s="48">
        <v>0.67866666666666653</v>
      </c>
      <c r="AS150" s="48">
        <v>0.70891666666666653</v>
      </c>
      <c r="AT150" s="48">
        <v>0.72583333333333311</v>
      </c>
      <c r="AU150" s="48">
        <v>0.72666666666666646</v>
      </c>
      <c r="AV150" s="48">
        <v>0.71049999999999969</v>
      </c>
      <c r="AW150" s="48">
        <v>0.66616666666666646</v>
      </c>
      <c r="AX150" s="48">
        <v>0.57233333333333314</v>
      </c>
      <c r="AY150" s="48">
        <v>0.49999999999999983</v>
      </c>
      <c r="AZ150" s="48">
        <v>0.52841666666666653</v>
      </c>
      <c r="BA150" s="48">
        <v>0.55358333333333321</v>
      </c>
      <c r="BB150" s="48">
        <v>0.53941666666666654</v>
      </c>
      <c r="BC150" s="48">
        <v>0.54824999999999979</v>
      </c>
      <c r="BD150" s="48">
        <v>0.55116666666666658</v>
      </c>
      <c r="BE150" s="48">
        <v>0.5465833333333332</v>
      </c>
      <c r="BF150" s="48">
        <v>0.50974999999999993</v>
      </c>
      <c r="BG150" s="48">
        <v>0.44016666666666665</v>
      </c>
      <c r="BH150" s="48">
        <v>0.40808333333333335</v>
      </c>
      <c r="BI150" s="48">
        <v>0.37125000000000002</v>
      </c>
      <c r="BJ150" s="48">
        <v>0.38658333333333328</v>
      </c>
      <c r="BK150" s="48">
        <v>0.40041666666666648</v>
      </c>
      <c r="BL150" s="48">
        <v>0.3943333333333332</v>
      </c>
      <c r="BM150" s="48">
        <v>0.38683333333333331</v>
      </c>
      <c r="BN150" s="48">
        <v>0.41483333333333322</v>
      </c>
      <c r="BO150" s="48">
        <v>0.41708333333333331</v>
      </c>
      <c r="BP150" s="48">
        <v>0.41791666666666666</v>
      </c>
      <c r="BQ150" s="48">
        <v>0.40016666666666662</v>
      </c>
      <c r="BR150" s="48">
        <v>0.34208333333333329</v>
      </c>
      <c r="BS150" s="48">
        <v>0.30058333333333337</v>
      </c>
      <c r="BT150" s="48">
        <v>0.28641666666666671</v>
      </c>
      <c r="BU150" s="48">
        <v>0.34200000000000003</v>
      </c>
      <c r="BV150" s="48">
        <v>0.41733333333333333</v>
      </c>
      <c r="BW150" s="48">
        <v>0.44224999999999998</v>
      </c>
      <c r="BX150" s="48">
        <v>0.43258333333333332</v>
      </c>
      <c r="BY150" s="48">
        <v>0.41508333333333336</v>
      </c>
      <c r="BZ150" s="48">
        <v>0.37116666666666676</v>
      </c>
      <c r="CA150" s="48">
        <v>0.37050000000000005</v>
      </c>
      <c r="CB150" s="48">
        <v>0.41025000000000006</v>
      </c>
      <c r="CC150" s="48">
        <v>0.47766666666666663</v>
      </c>
      <c r="CD150" s="48">
        <v>0.54641666666666666</v>
      </c>
      <c r="CE150" s="48">
        <v>0.64183333333333326</v>
      </c>
      <c r="CF150" s="48">
        <v>0.69433333333333325</v>
      </c>
      <c r="CG150" s="48">
        <v>0.70741666666666647</v>
      </c>
      <c r="CH150" s="48">
        <v>0.66074999999999984</v>
      </c>
      <c r="CI150" s="48">
        <v>0.64774999999999994</v>
      </c>
      <c r="CJ150" s="48">
        <v>0.62949999999999995</v>
      </c>
      <c r="CK150" s="48">
        <v>0.58933333333333315</v>
      </c>
      <c r="CL150" s="48">
        <v>0.55883333333333318</v>
      </c>
      <c r="CM150" s="48">
        <v>0.52058333333333318</v>
      </c>
      <c r="CN150" s="48">
        <v>0.49016666666666653</v>
      </c>
      <c r="CO150" s="48">
        <v>0.47949999999999993</v>
      </c>
      <c r="CP150" s="48">
        <v>0.4932499999999998</v>
      </c>
      <c r="CQ150" s="48">
        <v>0.47408333333333319</v>
      </c>
      <c r="CR150" s="48">
        <v>0.46849999999999986</v>
      </c>
      <c r="CS150" s="48">
        <v>0.45708333333333317</v>
      </c>
      <c r="CT150" s="48">
        <v>0.48266666666666652</v>
      </c>
      <c r="CU150" s="48">
        <v>0.48666666666666653</v>
      </c>
      <c r="CV150" s="48">
        <v>0.4949166666666665</v>
      </c>
      <c r="CW150" s="48">
        <v>0.48516666666666658</v>
      </c>
      <c r="CX150" s="48">
        <v>0.47241666666666648</v>
      </c>
      <c r="CY150" s="48">
        <v>0.46616666666666656</v>
      </c>
      <c r="CZ150" s="48">
        <v>0.46841666666666654</v>
      </c>
      <c r="DA150" s="48">
        <v>0.47391666666666654</v>
      </c>
      <c r="DB150" s="48">
        <v>0.49074999999999991</v>
      </c>
      <c r="DC150" s="48">
        <v>0.47958333333333319</v>
      </c>
      <c r="DD150" s="48">
        <v>0.42374999999999985</v>
      </c>
      <c r="DE150" s="48">
        <v>0.39549999999999985</v>
      </c>
      <c r="DF150" s="48">
        <v>0.38258333333333316</v>
      </c>
    </row>
    <row r="151" spans="1:111" x14ac:dyDescent="0.2">
      <c r="A151" s="46" t="s">
        <v>182</v>
      </c>
      <c r="B151" s="47">
        <f t="shared" si="121"/>
        <v>-15.4</v>
      </c>
      <c r="C151" s="47">
        <f t="shared" si="122"/>
        <v>-2.9</v>
      </c>
      <c r="D151" s="49" t="e">
        <f t="shared" ref="D151:D184" ca="1" si="138">_xludf.STDEV.P(W151:DF151)*100</f>
        <v>#NAME?</v>
      </c>
      <c r="E151" s="47"/>
      <c r="F151" s="48">
        <v>6.7000000000000004E-2</v>
      </c>
      <c r="G151" s="48">
        <v>0.105</v>
      </c>
      <c r="H151" s="48">
        <v>8.5999999999999993E-2</v>
      </c>
      <c r="I151" s="48">
        <v>9.6000000000000002E-2</v>
      </c>
      <c r="J151" s="48">
        <v>0.13400000000000001</v>
      </c>
      <c r="K151" s="48">
        <v>0.182</v>
      </c>
      <c r="L151" s="48">
        <v>0.11499999999999999</v>
      </c>
      <c r="M151" s="48">
        <v>2.8000000000000001E-2</v>
      </c>
      <c r="N151" s="48">
        <v>0</v>
      </c>
      <c r="O151" s="48">
        <v>8.9999999999999993E-3</v>
      </c>
      <c r="P151" s="48">
        <v>1.8999999999999996E-2</v>
      </c>
      <c r="Q151" s="48">
        <v>0.221</v>
      </c>
      <c r="R151" s="48">
        <v>0.125</v>
      </c>
      <c r="S151" s="48">
        <v>3.7999999999999992E-2</v>
      </c>
      <c r="T151" s="48">
        <v>7.5999999999999984E-2</v>
      </c>
      <c r="U151" s="48">
        <v>0.16300000000000001</v>
      </c>
      <c r="V151" s="48">
        <v>0.16300000000000001</v>
      </c>
      <c r="W151" s="48">
        <v>0.25900000000000001</v>
      </c>
      <c r="X151" s="48">
        <v>0.75</v>
      </c>
      <c r="Y151" s="48">
        <v>0.96099999999999997</v>
      </c>
      <c r="Z151" s="48">
        <v>1</v>
      </c>
      <c r="AA151" s="48">
        <v>0.99</v>
      </c>
      <c r="AB151" s="48">
        <v>0.98</v>
      </c>
      <c r="AC151" s="48">
        <v>0.40300000000000002</v>
      </c>
      <c r="AD151" s="48">
        <v>0.46099999999999997</v>
      </c>
      <c r="AE151" s="48">
        <v>0.375</v>
      </c>
      <c r="AF151" s="48">
        <v>0.50900000000000001</v>
      </c>
      <c r="AG151" s="48">
        <v>0.56699999999999995</v>
      </c>
      <c r="AH151" s="48">
        <v>0.57599999999999996</v>
      </c>
      <c r="AI151" s="48">
        <v>0.57599999999999996</v>
      </c>
      <c r="AJ151" s="48">
        <v>0.442</v>
      </c>
      <c r="AK151" s="48">
        <v>0.51900000000000002</v>
      </c>
      <c r="AL151" s="48">
        <v>0.33600000000000002</v>
      </c>
      <c r="AM151" s="48">
        <v>0.49</v>
      </c>
      <c r="AN151" s="48">
        <v>0.29799999999999999</v>
      </c>
      <c r="AO151" s="48">
        <v>0.26900000000000002</v>
      </c>
      <c r="AP151" s="48">
        <v>0.307</v>
      </c>
      <c r="AQ151" s="48">
        <v>0.47099999999999997</v>
      </c>
      <c r="AR151" s="48">
        <v>0.442</v>
      </c>
      <c r="AS151" s="48">
        <v>0.317</v>
      </c>
      <c r="AT151" s="48">
        <v>0.27800000000000002</v>
      </c>
      <c r="AU151" s="48">
        <v>0.42299999999999999</v>
      </c>
      <c r="AV151" s="48">
        <v>0.79800000000000004</v>
      </c>
      <c r="AW151" s="48">
        <v>0.93200000000000005</v>
      </c>
      <c r="AX151" s="48">
        <v>0.94199999999999995</v>
      </c>
      <c r="AY151" s="48">
        <v>0.82599999999999996</v>
      </c>
      <c r="AZ151" s="48">
        <v>0.78800000000000003</v>
      </c>
      <c r="BA151" s="48">
        <v>0.70099999999999996</v>
      </c>
      <c r="BB151" s="48">
        <v>0.41299999999999998</v>
      </c>
      <c r="BC151" s="48">
        <v>0.22999999999999998</v>
      </c>
      <c r="BD151" s="48">
        <v>0.24</v>
      </c>
      <c r="BE151" s="48">
        <v>0.25</v>
      </c>
      <c r="BF151" s="48">
        <v>0.34599999999999997</v>
      </c>
      <c r="BG151" s="48">
        <v>0.28799999999999998</v>
      </c>
      <c r="BH151" s="48">
        <v>0.153</v>
      </c>
      <c r="BI151" s="48">
        <v>4.8000000000000001E-2</v>
      </c>
      <c r="BJ151" s="48">
        <v>5.7000000000000002E-2</v>
      </c>
      <c r="BK151" s="48">
        <v>0.21099999999999999</v>
      </c>
      <c r="BL151" s="48">
        <v>0.192</v>
      </c>
      <c r="BM151" s="48">
        <v>0.13400000000000001</v>
      </c>
      <c r="BN151" s="48">
        <v>0.20100000000000001</v>
      </c>
      <c r="BO151" s="48">
        <v>0.36499999999999999</v>
      </c>
      <c r="BP151" s="48">
        <v>0.53800000000000003</v>
      </c>
      <c r="BQ151" s="48">
        <v>0.70099999999999996</v>
      </c>
      <c r="BR151" s="48">
        <v>0.67300000000000004</v>
      </c>
      <c r="BS151" s="48">
        <v>0.73</v>
      </c>
      <c r="BT151" s="48">
        <v>0.72099999999999997</v>
      </c>
      <c r="BU151" s="48">
        <v>0.68200000000000005</v>
      </c>
      <c r="BV151" s="48">
        <v>0.60500000000000009</v>
      </c>
      <c r="BW151" s="48">
        <v>0.55700000000000005</v>
      </c>
      <c r="BX151" s="48">
        <v>0.61499999999999999</v>
      </c>
      <c r="BY151" s="48">
        <v>0.53800000000000003</v>
      </c>
      <c r="BZ151" s="48">
        <v>0.48</v>
      </c>
      <c r="CA151" s="48">
        <v>0.38400000000000001</v>
      </c>
      <c r="CB151" s="48">
        <v>0.35500000000000004</v>
      </c>
      <c r="CC151" s="48">
        <v>0.39400000000000002</v>
      </c>
      <c r="CD151" s="48">
        <v>0.32600000000000001</v>
      </c>
      <c r="CE151" s="48">
        <v>0.432</v>
      </c>
      <c r="CF151" s="48">
        <v>0.52800000000000002</v>
      </c>
      <c r="CG151" s="48">
        <v>0.625</v>
      </c>
      <c r="CH151" s="48">
        <v>0.77800000000000002</v>
      </c>
      <c r="CI151" s="48">
        <v>0.81700000000000006</v>
      </c>
      <c r="CJ151" s="48">
        <v>0.79800000000000004</v>
      </c>
      <c r="CK151" s="48">
        <v>0.83599999999999997</v>
      </c>
      <c r="CL151" s="48">
        <v>0.8650000000000001</v>
      </c>
      <c r="CM151" s="48">
        <v>0.89400000000000002</v>
      </c>
      <c r="CN151" s="48">
        <v>0.875</v>
      </c>
      <c r="CO151" s="48">
        <v>0.91300000000000003</v>
      </c>
      <c r="CP151" s="48">
        <v>0.90300000000000002</v>
      </c>
      <c r="CQ151" s="48">
        <v>0.88400000000000001</v>
      </c>
      <c r="CR151" s="48">
        <v>0.74</v>
      </c>
      <c r="CS151" s="48">
        <v>0.66300000000000003</v>
      </c>
      <c r="CT151" s="48">
        <v>0.5</v>
      </c>
      <c r="CU151" s="48">
        <v>0.59599999999999997</v>
      </c>
      <c r="CV151" s="48">
        <v>0.64400000000000002</v>
      </c>
      <c r="CW151" s="48">
        <v>0.76900000000000002</v>
      </c>
      <c r="CX151" s="48">
        <v>0.83599999999999997</v>
      </c>
      <c r="CY151" s="48">
        <v>0.69199999999999995</v>
      </c>
      <c r="CZ151" s="48">
        <v>0.63400000000000001</v>
      </c>
      <c r="DA151" s="48">
        <v>0.64400000000000002</v>
      </c>
      <c r="DB151" s="48">
        <v>0.75900000000000012</v>
      </c>
      <c r="DC151" s="48">
        <v>0.95099999999999996</v>
      </c>
      <c r="DD151" s="48">
        <v>0.92300000000000004</v>
      </c>
      <c r="DE151" s="48">
        <v>0.97099999999999997</v>
      </c>
      <c r="DF151" s="48">
        <v>0.83599999999999997</v>
      </c>
    </row>
    <row r="152" spans="1:111" x14ac:dyDescent="0.2">
      <c r="A152" s="46" t="s">
        <v>183</v>
      </c>
      <c r="B152" s="47">
        <f t="shared" si="121"/>
        <v>-46.319999999999965</v>
      </c>
      <c r="C152" s="47">
        <f t="shared" si="122"/>
        <v>-3.1599999999999961</v>
      </c>
      <c r="D152" s="49" t="e">
        <f t="shared" ref="D152:D185" ca="1" si="139">_xludf.STDEV.P(W152:DF152)*100</f>
        <v>#NAME?</v>
      </c>
      <c r="E152" s="47"/>
      <c r="F152" s="48">
        <v>0.25960000000000022</v>
      </c>
      <c r="G152" s="48">
        <v>0.24620000000000017</v>
      </c>
      <c r="H152" s="48">
        <v>0.29700000000000021</v>
      </c>
      <c r="I152" s="48">
        <v>0.29120000000000018</v>
      </c>
      <c r="J152" s="48">
        <v>0.44080000000000008</v>
      </c>
      <c r="K152" s="48">
        <v>0.60699999999999987</v>
      </c>
      <c r="L152" s="48">
        <v>0.65159999999999996</v>
      </c>
      <c r="M152" s="48">
        <v>0.68839999999999979</v>
      </c>
      <c r="N152" s="48">
        <v>0.78799999999999992</v>
      </c>
      <c r="O152" s="48">
        <v>0.74699999999999989</v>
      </c>
      <c r="P152" s="48">
        <v>0.70659999999999978</v>
      </c>
      <c r="Q152" s="48">
        <v>0.72279999999999989</v>
      </c>
      <c r="R152" s="48">
        <v>0.73999999999999977</v>
      </c>
      <c r="S152" s="48">
        <v>0.65899999999999981</v>
      </c>
      <c r="T152" s="48">
        <v>0.64039999999999964</v>
      </c>
      <c r="U152" s="48">
        <v>0.36219999999999991</v>
      </c>
      <c r="V152" s="48">
        <v>0.34700000000000003</v>
      </c>
      <c r="W152" s="48">
        <v>0.39460000000000006</v>
      </c>
      <c r="X152" s="48">
        <v>0.37240000000000006</v>
      </c>
      <c r="Y152" s="48">
        <v>0.27280000000000004</v>
      </c>
      <c r="Z152" s="48">
        <v>0.17279999999999995</v>
      </c>
      <c r="AA152" s="48">
        <v>0.12979999999999992</v>
      </c>
      <c r="AB152" s="48">
        <v>0.11259999999999996</v>
      </c>
      <c r="AC152" s="48">
        <v>0.10479999999999998</v>
      </c>
      <c r="AD152" s="48">
        <v>0.1032</v>
      </c>
      <c r="AE152" s="48">
        <v>0.19860000000000003</v>
      </c>
      <c r="AF152" s="48">
        <v>0.34079999999999999</v>
      </c>
      <c r="AG152" s="48">
        <v>0.40259999999999996</v>
      </c>
      <c r="AH152" s="48">
        <v>0.3995999999999999</v>
      </c>
      <c r="AI152" s="48">
        <v>0.43639999999999984</v>
      </c>
      <c r="AJ152" s="48">
        <v>0.48099999999999993</v>
      </c>
      <c r="AK152" s="48">
        <v>0.57379999999999998</v>
      </c>
      <c r="AL152" s="48">
        <v>0.66759999999999986</v>
      </c>
      <c r="AM152" s="48">
        <v>0.72460000000000002</v>
      </c>
      <c r="AN152" s="48">
        <v>0.76300000000000012</v>
      </c>
      <c r="AO152" s="48">
        <v>0.70800000000000007</v>
      </c>
      <c r="AP152" s="48">
        <v>0.66900000000000004</v>
      </c>
      <c r="AQ152" s="48">
        <v>0.54560000000000008</v>
      </c>
      <c r="AR152" s="48">
        <v>0.34499999999999992</v>
      </c>
      <c r="AS152" s="48">
        <v>0.24599999999999983</v>
      </c>
      <c r="AT152" s="48">
        <v>0.34879999999999989</v>
      </c>
      <c r="AU152" s="48">
        <v>0.57360000000000011</v>
      </c>
      <c r="AV152" s="48">
        <v>0.68560000000000021</v>
      </c>
      <c r="AW152" s="48">
        <v>0.70000000000000018</v>
      </c>
      <c r="AX152" s="48">
        <v>0.69280000000000008</v>
      </c>
      <c r="AY152" s="48">
        <v>0.62280000000000013</v>
      </c>
      <c r="AZ152" s="48">
        <v>0.62960000000000005</v>
      </c>
      <c r="BA152" s="48">
        <v>0.63680000000000003</v>
      </c>
      <c r="BB152" s="48">
        <v>0.64360000000000017</v>
      </c>
      <c r="BC152" s="48">
        <v>0.65760000000000007</v>
      </c>
      <c r="BD152" s="48">
        <v>0.66480000000000017</v>
      </c>
      <c r="BE152" s="48">
        <v>0.67880000000000018</v>
      </c>
      <c r="BF152" s="48">
        <v>0.6716000000000002</v>
      </c>
      <c r="BG152" s="48">
        <v>0.65080000000000016</v>
      </c>
      <c r="BH152" s="48">
        <v>0.4824</v>
      </c>
      <c r="BI152" s="48">
        <v>0.3627999999999999</v>
      </c>
      <c r="BJ152" s="48">
        <v>0.31399999999999983</v>
      </c>
      <c r="BK152" s="48">
        <v>0.58760000000000012</v>
      </c>
      <c r="BL152" s="48">
        <v>0.5</v>
      </c>
      <c r="BM152" s="48">
        <v>0.5</v>
      </c>
      <c r="BN152" s="48">
        <v>0.5</v>
      </c>
      <c r="BO152" s="48">
        <v>0.5</v>
      </c>
      <c r="BP152" s="48">
        <v>0.5</v>
      </c>
      <c r="BQ152" s="48">
        <v>0.5</v>
      </c>
      <c r="BR152" s="48">
        <v>0.5</v>
      </c>
      <c r="BS152" s="48">
        <v>0.5</v>
      </c>
      <c r="BT152" s="48">
        <v>0.5</v>
      </c>
      <c r="BU152" s="48">
        <v>0.5</v>
      </c>
      <c r="BV152" s="48">
        <v>0.5</v>
      </c>
      <c r="BW152" s="48">
        <v>0.5</v>
      </c>
      <c r="BX152" s="48">
        <v>0.5</v>
      </c>
      <c r="BY152" s="48">
        <v>0.5</v>
      </c>
      <c r="BZ152" s="48">
        <v>0.5</v>
      </c>
      <c r="CA152" s="48">
        <v>0.5</v>
      </c>
      <c r="CB152" s="48">
        <v>0.5</v>
      </c>
      <c r="CC152" s="48">
        <v>0.5</v>
      </c>
      <c r="CD152" s="48">
        <v>0.5</v>
      </c>
      <c r="CE152" s="48">
        <v>0.5</v>
      </c>
      <c r="CF152" s="48">
        <v>0.5</v>
      </c>
      <c r="CG152" s="48">
        <v>0.5</v>
      </c>
      <c r="CH152" s="48">
        <v>0.5</v>
      </c>
      <c r="CI152" s="48">
        <v>0.5</v>
      </c>
      <c r="CJ152" s="48">
        <v>0.5</v>
      </c>
      <c r="CK152" s="48">
        <v>0.5</v>
      </c>
      <c r="CL152" s="48">
        <v>0.5</v>
      </c>
      <c r="CM152" s="48">
        <v>0.5</v>
      </c>
      <c r="CN152" s="48">
        <v>0.5</v>
      </c>
      <c r="CO152" s="48">
        <v>0.5</v>
      </c>
      <c r="CP152" s="48">
        <v>0.5</v>
      </c>
      <c r="CQ152" s="48">
        <v>0.5</v>
      </c>
      <c r="CR152" s="48">
        <v>0.5</v>
      </c>
      <c r="CS152" s="48">
        <v>0.5</v>
      </c>
      <c r="CT152" s="48">
        <v>0.5</v>
      </c>
      <c r="CU152" s="48">
        <v>0.5</v>
      </c>
      <c r="CV152" s="48">
        <v>0.5</v>
      </c>
      <c r="CW152" s="48">
        <v>0.5</v>
      </c>
      <c r="CX152" s="48">
        <v>0.5</v>
      </c>
      <c r="CY152" s="48">
        <v>0.5</v>
      </c>
      <c r="CZ152" s="48">
        <v>0.5</v>
      </c>
      <c r="DA152" s="48">
        <v>0.5</v>
      </c>
      <c r="DB152" s="48">
        <v>0.5</v>
      </c>
      <c r="DC152" s="48">
        <v>0.5</v>
      </c>
      <c r="DD152" s="48">
        <v>0.5</v>
      </c>
      <c r="DE152" s="48">
        <v>0.5</v>
      </c>
      <c r="DF152" s="48">
        <v>0.5</v>
      </c>
    </row>
    <row r="153" spans="1:111" x14ac:dyDescent="0.2">
      <c r="A153" s="46" t="s">
        <v>184</v>
      </c>
      <c r="B153" s="47">
        <f t="shared" si="121"/>
        <v>-57.962500000000006</v>
      </c>
      <c r="C153" s="47">
        <f t="shared" si="122"/>
        <v>2.6499999999999955</v>
      </c>
      <c r="D153" s="49" t="e">
        <f t="shared" ref="D153:D186" ca="1" si="140">_xludf.STDEV.P(W153:DF153)*100</f>
        <v>#NAME?</v>
      </c>
      <c r="E153" s="47"/>
      <c r="F153" s="48">
        <v>0.11437499999999996</v>
      </c>
      <c r="G153" s="48">
        <v>0.10712499999999997</v>
      </c>
      <c r="H153" s="48">
        <v>0.12149999999999996</v>
      </c>
      <c r="I153" s="48">
        <v>8.7875000000000009E-2</v>
      </c>
      <c r="J153" s="48">
        <v>9.7499999999999989E-2</v>
      </c>
      <c r="K153" s="48">
        <v>9.9624999999999991E-2</v>
      </c>
      <c r="L153" s="48">
        <v>0.13900000000000007</v>
      </c>
      <c r="M153" s="48">
        <v>0.37112500000000009</v>
      </c>
      <c r="N153" s="48">
        <v>0.58887500000000004</v>
      </c>
      <c r="O153" s="48">
        <v>0.73937500000000012</v>
      </c>
      <c r="P153" s="48">
        <v>0.7612500000000002</v>
      </c>
      <c r="Q153" s="48">
        <v>0.69400000000000006</v>
      </c>
      <c r="R153" s="48">
        <v>0.61450000000000005</v>
      </c>
      <c r="S153" s="48">
        <v>0.65112500000000006</v>
      </c>
      <c r="T153" s="48">
        <v>0.60012500000000002</v>
      </c>
      <c r="U153" s="48">
        <v>0.72862499999999986</v>
      </c>
      <c r="V153" s="48">
        <v>0.7806249999999999</v>
      </c>
      <c r="W153" s="48">
        <v>0.84562499999999996</v>
      </c>
      <c r="X153" s="48">
        <v>0.72400000000000009</v>
      </c>
      <c r="Y153" s="48">
        <v>0.58350000000000013</v>
      </c>
      <c r="Z153" s="48">
        <v>0.40050000000000002</v>
      </c>
      <c r="AA153" s="48">
        <v>0.25687499999999991</v>
      </c>
      <c r="AB153" s="48">
        <v>0.27287499999999992</v>
      </c>
      <c r="AC153" s="48">
        <v>0.35812499999999997</v>
      </c>
      <c r="AD153" s="48">
        <v>0.41837499999999994</v>
      </c>
      <c r="AE153" s="48">
        <v>0.42349999999999999</v>
      </c>
      <c r="AF153" s="48">
        <v>0.37600000000000006</v>
      </c>
      <c r="AG153" s="48">
        <v>0.26962500000000011</v>
      </c>
      <c r="AH153" s="48">
        <v>0.18150000000000008</v>
      </c>
      <c r="AI153" s="48">
        <v>0.19312499999999994</v>
      </c>
      <c r="AJ153" s="48">
        <v>0.33362499999999989</v>
      </c>
      <c r="AK153" s="48">
        <v>0.59787499999999993</v>
      </c>
      <c r="AL153" s="48">
        <v>0.68025000000000002</v>
      </c>
      <c r="AM153" s="48">
        <v>0.70512500000000011</v>
      </c>
      <c r="AN153" s="48">
        <v>0.56774999999999998</v>
      </c>
      <c r="AO153" s="48">
        <v>0.54600000000000015</v>
      </c>
      <c r="AP153" s="48">
        <v>0.56599999999999995</v>
      </c>
      <c r="AQ153" s="48">
        <v>0.54849999999999999</v>
      </c>
      <c r="AR153" s="48">
        <v>0.64600000000000002</v>
      </c>
      <c r="AS153" s="48">
        <v>0.64249999999999996</v>
      </c>
      <c r="AT153" s="48">
        <v>0.61949999999999994</v>
      </c>
      <c r="AU153" s="48">
        <v>0.5445000000000001</v>
      </c>
      <c r="AV153" s="48">
        <v>0.51750000000000007</v>
      </c>
      <c r="AW153" s="48">
        <v>0.48587500000000006</v>
      </c>
      <c r="AX153" s="48">
        <v>0.34375</v>
      </c>
      <c r="AY153" s="48">
        <v>0.36412499999999998</v>
      </c>
      <c r="AZ153" s="48">
        <v>0.40149999999999997</v>
      </c>
      <c r="BA153" s="48">
        <v>0.41125</v>
      </c>
      <c r="BB153" s="48">
        <v>0.40537499999999993</v>
      </c>
      <c r="BC153" s="48">
        <v>0.390625</v>
      </c>
      <c r="BD153" s="48">
        <v>0.35399999999999998</v>
      </c>
      <c r="BE153" s="48">
        <v>0.34012500000000001</v>
      </c>
      <c r="BF153" s="48">
        <v>0.34937500000000005</v>
      </c>
      <c r="BG153" s="48">
        <v>0.33612500000000006</v>
      </c>
      <c r="BH153" s="48">
        <v>0.3101250000000001</v>
      </c>
      <c r="BI153" s="48">
        <v>0.28050000000000008</v>
      </c>
      <c r="BJ153" s="48">
        <v>0.29612500000000008</v>
      </c>
      <c r="BK153" s="48">
        <v>0.28162500000000007</v>
      </c>
      <c r="BL153" s="48">
        <v>0.26025000000000004</v>
      </c>
      <c r="BM153" s="48">
        <v>0.22987500000000008</v>
      </c>
      <c r="BN153" s="48">
        <v>0.19800000000000009</v>
      </c>
      <c r="BO153" s="48">
        <v>0.19425000000000009</v>
      </c>
      <c r="BP153" s="48">
        <v>0.26137500000000008</v>
      </c>
      <c r="BQ153" s="48">
        <v>0.37337500000000007</v>
      </c>
      <c r="BR153" s="48">
        <v>0.40950000000000003</v>
      </c>
      <c r="BS153" s="48">
        <v>0.44012500000000015</v>
      </c>
      <c r="BT153" s="48">
        <v>0.51050000000000006</v>
      </c>
      <c r="BU153" s="48">
        <v>0.45550000000000002</v>
      </c>
      <c r="BV153" s="48">
        <v>0.45150000000000001</v>
      </c>
      <c r="BW153" s="48">
        <v>0.30487499999999995</v>
      </c>
      <c r="BX153" s="48">
        <v>0.47125</v>
      </c>
      <c r="BY153" s="48">
        <v>0.40887499999999999</v>
      </c>
      <c r="BZ153" s="48">
        <v>0.35362500000000008</v>
      </c>
      <c r="CA153" s="48">
        <v>0.36337500000000006</v>
      </c>
      <c r="CB153" s="48">
        <v>0.40262500000000001</v>
      </c>
      <c r="CC153" s="48">
        <v>0.47612500000000002</v>
      </c>
      <c r="CD153" s="48">
        <v>0.48537499999999995</v>
      </c>
      <c r="CE153" s="48">
        <v>0.61512500000000003</v>
      </c>
      <c r="CF153" s="48">
        <v>0.6785000000000001</v>
      </c>
      <c r="CG153" s="48">
        <v>0.67437499999999995</v>
      </c>
      <c r="CH153" s="48">
        <v>0.66212499999999996</v>
      </c>
      <c r="CI153" s="48">
        <v>0.67275000000000007</v>
      </c>
      <c r="CJ153" s="48">
        <v>0.69425000000000003</v>
      </c>
      <c r="CK153" s="48">
        <v>0.71024999999999994</v>
      </c>
      <c r="CL153" s="48">
        <v>0.73049999999999982</v>
      </c>
      <c r="CM153" s="48">
        <v>0.75212499999999993</v>
      </c>
      <c r="CN153" s="48">
        <v>0.77274999999999994</v>
      </c>
      <c r="CO153" s="48">
        <v>0.76175000000000004</v>
      </c>
      <c r="CP153" s="48">
        <v>0.72312500000000002</v>
      </c>
      <c r="CQ153" s="48">
        <v>0.74624999999999997</v>
      </c>
      <c r="CR153" s="48">
        <v>0.71699999999999997</v>
      </c>
      <c r="CS153" s="48">
        <v>0.70512500000000011</v>
      </c>
      <c r="CT153" s="48">
        <v>0.67187500000000011</v>
      </c>
      <c r="CU153" s="48">
        <v>0.68350000000000011</v>
      </c>
      <c r="CV153" s="48">
        <v>0.64750000000000008</v>
      </c>
      <c r="CW153" s="48">
        <v>0.68112499999999998</v>
      </c>
      <c r="CX153" s="48">
        <v>0.66325000000000001</v>
      </c>
      <c r="CY153" s="48">
        <v>0.63937500000000003</v>
      </c>
      <c r="CZ153" s="48">
        <v>0.59599999999999997</v>
      </c>
      <c r="DA153" s="48">
        <v>0.60437499999999988</v>
      </c>
      <c r="DB153" s="48">
        <v>0.65974999999999995</v>
      </c>
      <c r="DC153" s="48">
        <v>0.70774999999999988</v>
      </c>
      <c r="DD153" s="48">
        <v>0.70499999999999996</v>
      </c>
      <c r="DE153" s="48">
        <v>0.73062499999999997</v>
      </c>
      <c r="DF153" s="48">
        <v>0.73049999999999993</v>
      </c>
    </row>
    <row r="154" spans="1:111" x14ac:dyDescent="0.2">
      <c r="A154" s="46" t="s">
        <v>185</v>
      </c>
      <c r="B154" s="47">
        <f t="shared" si="121"/>
        <v>-53.899999999999991</v>
      </c>
      <c r="C154" s="47">
        <f t="shared" si="122"/>
        <v>-24.099999999999998</v>
      </c>
      <c r="D154" s="49" t="e">
        <f t="shared" ref="D154:D187" ca="1" si="141">_xludf.STDEV.P(W154:DF154)*100</f>
        <v>#NAME?</v>
      </c>
      <c r="E154" s="47"/>
      <c r="F154" s="48">
        <v>0.182</v>
      </c>
      <c r="G154" s="48">
        <v>0.20100000000000001</v>
      </c>
      <c r="H154" s="48">
        <v>0.25900000000000001</v>
      </c>
      <c r="I154" s="48">
        <v>0.42299999999999999</v>
      </c>
      <c r="J154" s="48">
        <v>0.45100000000000007</v>
      </c>
      <c r="K154" s="48">
        <v>0.39400000000000002</v>
      </c>
      <c r="L154" s="48">
        <v>0.442</v>
      </c>
      <c r="M154" s="48">
        <v>0.47099999999999997</v>
      </c>
      <c r="N154" s="48">
        <v>0.53800000000000003</v>
      </c>
      <c r="O154" s="48">
        <v>0.58599999999999997</v>
      </c>
      <c r="P154" s="48">
        <v>0.66300000000000003</v>
      </c>
      <c r="Q154" s="48">
        <v>0.72099999999999997</v>
      </c>
      <c r="R154" s="48">
        <v>0.75900000000000001</v>
      </c>
      <c r="S154" s="48">
        <v>0.76900000000000002</v>
      </c>
      <c r="T154" s="48">
        <v>0.75</v>
      </c>
      <c r="U154" s="48">
        <v>0.74</v>
      </c>
      <c r="V154" s="48">
        <v>0.78800000000000003</v>
      </c>
      <c r="W154" s="48">
        <v>0.83599999999999997</v>
      </c>
      <c r="X154" s="48">
        <v>0.85499999999999987</v>
      </c>
      <c r="Y154" s="48">
        <v>0.86499999999999988</v>
      </c>
      <c r="Z154" s="48">
        <v>0.87499999999999989</v>
      </c>
      <c r="AA154" s="48">
        <v>0.89400000000000002</v>
      </c>
      <c r="AB154" s="48">
        <v>0.90300000000000002</v>
      </c>
      <c r="AC154" s="48">
        <v>0.93200000000000005</v>
      </c>
      <c r="AD154" s="48">
        <v>0.95100000000000007</v>
      </c>
      <c r="AE154" s="48">
        <v>0.98</v>
      </c>
      <c r="AF154" s="48">
        <v>1</v>
      </c>
      <c r="AG154" s="48">
        <v>0.99</v>
      </c>
      <c r="AH154" s="48">
        <v>0.97100000000000009</v>
      </c>
      <c r="AI154" s="48">
        <v>0.96100000000000008</v>
      </c>
      <c r="AJ154" s="48">
        <v>0.94199999999999995</v>
      </c>
      <c r="AK154" s="48">
        <v>0.92300000000000004</v>
      </c>
      <c r="AL154" s="48">
        <v>0.91300000000000003</v>
      </c>
      <c r="AM154" s="48">
        <v>0.88400000000000001</v>
      </c>
      <c r="AN154" s="48">
        <v>0.84599999999999997</v>
      </c>
      <c r="AO154" s="48">
        <v>0.79800000000000004</v>
      </c>
      <c r="AP154" s="48">
        <v>0.61499999999999999</v>
      </c>
      <c r="AQ154" s="48">
        <v>0.38400000000000001</v>
      </c>
      <c r="AR154" s="48">
        <v>0.22999999999999998</v>
      </c>
      <c r="AS154" s="48">
        <v>0.24</v>
      </c>
      <c r="AT154" s="48">
        <v>0.25</v>
      </c>
      <c r="AU154" s="48">
        <v>0.307</v>
      </c>
      <c r="AV154" s="48">
        <v>0.34599999999999997</v>
      </c>
      <c r="AW154" s="48">
        <v>0.40299999999999997</v>
      </c>
      <c r="AX154" s="48">
        <v>0.35499999999999998</v>
      </c>
      <c r="AY154" s="48">
        <v>0.432</v>
      </c>
      <c r="AZ154" s="48">
        <v>0.50900000000000001</v>
      </c>
      <c r="BA154" s="48">
        <v>0.56699999999999995</v>
      </c>
      <c r="BB154" s="48">
        <v>0.625</v>
      </c>
      <c r="BC154" s="48">
        <v>0.60499999999999998</v>
      </c>
      <c r="BD154" s="48">
        <v>0.54800000000000004</v>
      </c>
      <c r="BE154" s="48">
        <v>0.48</v>
      </c>
      <c r="BF154" s="48">
        <v>0.375</v>
      </c>
      <c r="BG154" s="48">
        <v>0.36499999999999999</v>
      </c>
      <c r="BH154" s="48">
        <v>0.27800000000000002</v>
      </c>
      <c r="BI154" s="48">
        <v>0.29799999999999999</v>
      </c>
      <c r="BJ154" s="48">
        <v>0.26900000000000002</v>
      </c>
      <c r="BK154" s="48">
        <v>0.221</v>
      </c>
      <c r="BL154" s="48">
        <v>0.11499999999999999</v>
      </c>
      <c r="BM154" s="48">
        <v>8.9999999999999993E-3</v>
      </c>
      <c r="BN154" s="48">
        <v>0</v>
      </c>
      <c r="BO154" s="48">
        <v>4.8000000000000001E-2</v>
      </c>
      <c r="BP154" s="48">
        <v>0.13400000000000001</v>
      </c>
      <c r="BQ154" s="48">
        <v>0.16300000000000001</v>
      </c>
      <c r="BR154" s="48">
        <v>0.17299999999999999</v>
      </c>
      <c r="BS154" s="48">
        <v>0.125</v>
      </c>
      <c r="BT154" s="48">
        <v>8.5999999999999993E-2</v>
      </c>
      <c r="BU154" s="48">
        <v>9.6000000000000002E-2</v>
      </c>
      <c r="BV154" s="48">
        <v>0.153</v>
      </c>
      <c r="BW154" s="48">
        <v>0.21099999999999999</v>
      </c>
      <c r="BX154" s="48">
        <v>0.32600000000000001</v>
      </c>
      <c r="BY154" s="48">
        <v>0.49</v>
      </c>
      <c r="BZ154" s="48">
        <v>0.51900000000000002</v>
      </c>
      <c r="CA154" s="48">
        <v>0.46100000000000008</v>
      </c>
      <c r="CB154" s="48">
        <v>0.33600000000000002</v>
      </c>
      <c r="CC154" s="48">
        <v>0.317</v>
      </c>
      <c r="CD154" s="48">
        <v>0.41299999999999998</v>
      </c>
      <c r="CE154" s="48">
        <v>0.5</v>
      </c>
      <c r="CF154" s="48">
        <v>0.55700000000000005</v>
      </c>
      <c r="CG154" s="48">
        <v>0.57599999999999996</v>
      </c>
      <c r="CH154" s="48">
        <v>0.59599999999999997</v>
      </c>
      <c r="CI154" s="48">
        <v>0.63400000000000001</v>
      </c>
      <c r="CJ154" s="48">
        <v>0.65300000000000002</v>
      </c>
      <c r="CK154" s="48">
        <v>0.69199999999999995</v>
      </c>
      <c r="CL154" s="48">
        <v>0.77800000000000002</v>
      </c>
      <c r="CM154" s="48">
        <v>0.81699999999999984</v>
      </c>
      <c r="CN154" s="48">
        <v>0.82599999999999996</v>
      </c>
      <c r="CO154" s="48">
        <v>0.80700000000000005</v>
      </c>
      <c r="CP154" s="48">
        <v>0.73</v>
      </c>
      <c r="CQ154" s="48">
        <v>0.68200000000000005</v>
      </c>
      <c r="CR154" s="48">
        <v>0.67300000000000004</v>
      </c>
      <c r="CS154" s="48">
        <v>0.71099999999999997</v>
      </c>
      <c r="CT154" s="48">
        <v>0.70099999999999996</v>
      </c>
      <c r="CU154" s="48">
        <v>0.64400000000000002</v>
      </c>
      <c r="CV154" s="48">
        <v>0.52800000000000002</v>
      </c>
      <c r="CW154" s="48">
        <v>0.28799999999999998</v>
      </c>
      <c r="CX154" s="48">
        <v>0.192</v>
      </c>
      <c r="CY154" s="48">
        <v>7.5999999999999998E-2</v>
      </c>
      <c r="CZ154" s="48">
        <v>1.9E-2</v>
      </c>
      <c r="DA154" s="48">
        <v>2.8000000000000001E-2</v>
      </c>
      <c r="DB154" s="48">
        <v>6.7000000000000004E-2</v>
      </c>
      <c r="DC154" s="48">
        <v>0.105</v>
      </c>
      <c r="DD154" s="48">
        <v>0.14399999999999999</v>
      </c>
      <c r="DE154" s="48">
        <v>5.7000000000000009E-2</v>
      </c>
      <c r="DF154" s="48">
        <v>3.7999999999999999E-2</v>
      </c>
    </row>
    <row r="155" spans="1:111" x14ac:dyDescent="0.2">
      <c r="A155" s="46" t="s">
        <v>186</v>
      </c>
      <c r="B155" s="47">
        <f t="shared" si="121"/>
        <v>-3.4000000000000083</v>
      </c>
      <c r="C155" s="47">
        <f t="shared" si="122"/>
        <v>0</v>
      </c>
      <c r="D155" s="49" t="e">
        <f t="shared" ref="D155:D188" ca="1" si="142">_xludf.STDEV.P(W155:DF155)*100</f>
        <v>#NAME?</v>
      </c>
      <c r="E155" s="47"/>
      <c r="F155" s="48">
        <v>0.46149999999999991</v>
      </c>
      <c r="G155" s="48">
        <v>0.46149999999999991</v>
      </c>
      <c r="H155" s="48">
        <v>0.46149999999999991</v>
      </c>
      <c r="I155" s="48">
        <v>0.46149999999999991</v>
      </c>
      <c r="J155" s="48">
        <v>0.48349999999999999</v>
      </c>
      <c r="K155" s="48">
        <v>0.504</v>
      </c>
      <c r="L155" s="48">
        <v>0.53849999999999998</v>
      </c>
      <c r="M155" s="48">
        <v>0.56400000000000006</v>
      </c>
      <c r="N155" s="48">
        <v>0.504</v>
      </c>
      <c r="O155" s="48">
        <v>0.4965</v>
      </c>
      <c r="P155" s="48">
        <v>0.5</v>
      </c>
      <c r="Q155" s="48">
        <v>0.4955</v>
      </c>
      <c r="R155" s="48">
        <v>0.497</v>
      </c>
      <c r="S155" s="48">
        <v>0.4975</v>
      </c>
      <c r="T155" s="48">
        <v>0.48400000000000004</v>
      </c>
      <c r="U155" s="48">
        <v>0.48049999999999998</v>
      </c>
      <c r="V155" s="48">
        <v>0.48349999999999999</v>
      </c>
      <c r="W155" s="48">
        <v>0.504</v>
      </c>
      <c r="X155" s="48">
        <v>0.53849999999999998</v>
      </c>
      <c r="Y155" s="48">
        <v>0.56400000000000006</v>
      </c>
      <c r="Z155" s="48">
        <v>0.498</v>
      </c>
      <c r="AA155" s="48">
        <v>0.48899999999999999</v>
      </c>
      <c r="AB155" s="48">
        <v>0.49</v>
      </c>
      <c r="AC155" s="48">
        <v>0.48099999999999993</v>
      </c>
      <c r="AD155" s="48">
        <v>0.48100000000000004</v>
      </c>
      <c r="AE155" s="48">
        <v>0.48200000000000004</v>
      </c>
      <c r="AF155" s="48">
        <v>0.48249999999999998</v>
      </c>
      <c r="AG155" s="48">
        <v>0.48349999999999993</v>
      </c>
      <c r="AH155" s="48">
        <v>0.48399999999999999</v>
      </c>
      <c r="AI155" s="48">
        <v>0.48000000000000004</v>
      </c>
      <c r="AJ155" s="48">
        <v>0.48049999999999998</v>
      </c>
      <c r="AK155" s="48">
        <v>0.48049999999999998</v>
      </c>
      <c r="AL155" s="48">
        <v>0.49300000000000005</v>
      </c>
      <c r="AM155" s="48">
        <v>0.505</v>
      </c>
      <c r="AN155" s="48">
        <v>0.59799999999999998</v>
      </c>
      <c r="AO155" s="48">
        <v>0.54800000000000004</v>
      </c>
      <c r="AP155" s="48">
        <v>0.49</v>
      </c>
      <c r="AQ155" s="48">
        <v>0.46450000000000002</v>
      </c>
      <c r="AR155" s="48">
        <v>0.44850000000000001</v>
      </c>
      <c r="AS155" s="48">
        <v>0.43850000000000006</v>
      </c>
      <c r="AT155" s="48">
        <v>0.41750000000000004</v>
      </c>
      <c r="AU155" s="48">
        <v>0.42449999999999999</v>
      </c>
      <c r="AV155" s="48">
        <v>0.4365</v>
      </c>
      <c r="AW155" s="48">
        <v>0.44350000000000001</v>
      </c>
      <c r="AX155" s="48">
        <v>0.4519999999999999</v>
      </c>
      <c r="AY155" s="48">
        <v>0.46100000000000008</v>
      </c>
      <c r="AZ155" s="48">
        <v>0.45200000000000001</v>
      </c>
      <c r="BA155" s="48">
        <v>0.45200000000000001</v>
      </c>
      <c r="BB155" s="48">
        <v>0.43400000000000005</v>
      </c>
      <c r="BC155" s="48">
        <v>0.41650000000000004</v>
      </c>
      <c r="BD155" s="48">
        <v>0.43499999999999994</v>
      </c>
      <c r="BE155" s="48">
        <v>0.45300000000000001</v>
      </c>
      <c r="BF155" s="48">
        <v>0.46200000000000008</v>
      </c>
      <c r="BG155" s="48">
        <v>0.51849999999999996</v>
      </c>
      <c r="BH155" s="48">
        <v>0.54849999999999999</v>
      </c>
      <c r="BI155" s="48">
        <v>0.58499999999999996</v>
      </c>
      <c r="BJ155" s="48">
        <v>0.62799999999999989</v>
      </c>
      <c r="BK155" s="48">
        <v>0.65449999999999997</v>
      </c>
      <c r="BL155" s="48">
        <v>0.74550000000000005</v>
      </c>
      <c r="BM155" s="48">
        <v>0.74399999999999999</v>
      </c>
      <c r="BN155" s="48">
        <v>0.75600000000000001</v>
      </c>
      <c r="BO155" s="48">
        <v>0.76750000000000007</v>
      </c>
      <c r="BP155" s="48">
        <v>0.78700000000000014</v>
      </c>
      <c r="BQ155" s="48">
        <v>0.83950000000000014</v>
      </c>
      <c r="BR155" s="48">
        <v>0.89749999999999996</v>
      </c>
      <c r="BS155" s="48">
        <v>0.86650000000000005</v>
      </c>
      <c r="BT155" s="48">
        <v>0.83050000000000013</v>
      </c>
      <c r="BU155" s="48">
        <v>0.82700000000000007</v>
      </c>
      <c r="BV155" s="48">
        <v>0.79150000000000009</v>
      </c>
      <c r="BW155" s="48">
        <v>0.77300000000000002</v>
      </c>
      <c r="BX155" s="48">
        <v>0.755</v>
      </c>
      <c r="BY155" s="48">
        <v>0.72949999999999993</v>
      </c>
      <c r="BZ155" s="48">
        <v>0.69</v>
      </c>
      <c r="CA155" s="48">
        <v>0.64900000000000002</v>
      </c>
      <c r="CB155" s="48">
        <v>0.62349999999999994</v>
      </c>
      <c r="CC155" s="48">
        <v>0.60250000000000004</v>
      </c>
      <c r="CD155" s="48">
        <v>0.57050000000000001</v>
      </c>
      <c r="CE155" s="48">
        <v>0.55549999999999988</v>
      </c>
      <c r="CF155" s="48">
        <v>0.54050000000000009</v>
      </c>
      <c r="CG155" s="48">
        <v>0.53</v>
      </c>
      <c r="CH155" s="48">
        <v>0.5</v>
      </c>
      <c r="CI155" s="48">
        <v>0.48049999999999998</v>
      </c>
      <c r="CJ155" s="48">
        <v>0.47</v>
      </c>
      <c r="CK155" s="48">
        <v>0.4539999999999999</v>
      </c>
      <c r="CL155" s="48">
        <v>0.44399999999999995</v>
      </c>
      <c r="CM155" s="48">
        <v>0.43350000000000011</v>
      </c>
      <c r="CN155" s="48">
        <v>0.40199999999999997</v>
      </c>
      <c r="CO155" s="48">
        <v>0.33200000000000002</v>
      </c>
      <c r="CP155" s="48">
        <v>0.28349999999999997</v>
      </c>
      <c r="CQ155" s="48">
        <v>0.26800000000000007</v>
      </c>
      <c r="CR155" s="48">
        <v>0.252</v>
      </c>
      <c r="CS155" s="48">
        <v>0.23599999999999999</v>
      </c>
      <c r="CT155" s="48">
        <v>0.23149999999999998</v>
      </c>
      <c r="CU155" s="48">
        <v>0.30299999999999999</v>
      </c>
      <c r="CV155" s="48">
        <v>0.27900000000000003</v>
      </c>
      <c r="CW155" s="48">
        <v>0.28849999999999998</v>
      </c>
      <c r="CX155" s="48">
        <v>0.29349999999999998</v>
      </c>
      <c r="CY155" s="48">
        <v>0.29849999999999999</v>
      </c>
      <c r="CZ155" s="48">
        <v>0.28849999999999998</v>
      </c>
      <c r="DA155" s="48">
        <v>0.27450000000000002</v>
      </c>
      <c r="DB155" s="48">
        <v>0.26950000000000002</v>
      </c>
      <c r="DC155" s="48">
        <v>0.26450000000000001</v>
      </c>
      <c r="DD155" s="48">
        <v>0.255</v>
      </c>
      <c r="DE155" s="48">
        <v>0.25</v>
      </c>
      <c r="DF155" s="48">
        <v>0.26450000000000001</v>
      </c>
    </row>
    <row r="156" spans="1:111" x14ac:dyDescent="0.2">
      <c r="A156" s="46" t="s">
        <v>187</v>
      </c>
      <c r="B156" s="47">
        <f t="shared" si="121"/>
        <v>4.6000000000000041</v>
      </c>
      <c r="C156" s="47">
        <f t="shared" si="122"/>
        <v>0</v>
      </c>
      <c r="D156" s="49" t="e">
        <f t="shared" ref="D156:D189" ca="1" si="143">_xludf.STDEV.P(W156:DF156)*100</f>
        <v>#NAME?</v>
      </c>
      <c r="E156" s="47"/>
      <c r="F156" s="48">
        <v>0.55200000000000005</v>
      </c>
      <c r="G156" s="48">
        <v>0.55200000000000005</v>
      </c>
      <c r="H156" s="48">
        <v>0.55200000000000005</v>
      </c>
      <c r="I156" s="48">
        <v>0.55200000000000005</v>
      </c>
      <c r="J156" s="48">
        <v>0.55200000000000005</v>
      </c>
      <c r="K156" s="48">
        <v>0.55100000000000005</v>
      </c>
      <c r="L156" s="48">
        <v>0.54300000000000004</v>
      </c>
      <c r="M156" s="48">
        <v>0.54349999999999998</v>
      </c>
      <c r="N156" s="48">
        <v>0.52400000000000002</v>
      </c>
      <c r="O156" s="48">
        <v>0.51200000000000001</v>
      </c>
      <c r="P156" s="48">
        <v>0.5</v>
      </c>
      <c r="Q156" s="48">
        <v>0.50600000000000001</v>
      </c>
      <c r="R156" s="48">
        <v>0.51849999999999996</v>
      </c>
      <c r="S156" s="48">
        <v>0.48199999999999993</v>
      </c>
      <c r="T156" s="48">
        <v>0.49249999999999999</v>
      </c>
      <c r="U156" s="48">
        <v>0.51800000000000002</v>
      </c>
      <c r="V156" s="48">
        <v>0.55200000000000005</v>
      </c>
      <c r="W156" s="48">
        <v>0.55100000000000005</v>
      </c>
      <c r="X156" s="48">
        <v>0.54300000000000004</v>
      </c>
      <c r="Y156" s="48">
        <v>0.54349999999999998</v>
      </c>
      <c r="Z156" s="48">
        <v>0.61550000000000005</v>
      </c>
      <c r="AA156" s="48">
        <v>0.63849999999999985</v>
      </c>
      <c r="AB156" s="48">
        <v>0.64450000000000007</v>
      </c>
      <c r="AC156" s="48">
        <v>0.64449999999999996</v>
      </c>
      <c r="AD156" s="48">
        <v>0.65649999999999997</v>
      </c>
      <c r="AE156" s="48">
        <v>0.66249999999999998</v>
      </c>
      <c r="AF156" s="48">
        <v>0.65200000000000002</v>
      </c>
      <c r="AG156" s="48">
        <v>0.63650000000000007</v>
      </c>
      <c r="AH156" s="48">
        <v>0.626</v>
      </c>
      <c r="AI156" s="48">
        <v>0.64899999999999991</v>
      </c>
      <c r="AJ156" s="48">
        <v>0.64900000000000002</v>
      </c>
      <c r="AK156" s="48">
        <v>0.65499999999999992</v>
      </c>
      <c r="AL156" s="48">
        <v>0.65600000000000003</v>
      </c>
      <c r="AM156" s="48">
        <v>0.73250000000000004</v>
      </c>
      <c r="AN156" s="48">
        <v>0.77700000000000002</v>
      </c>
      <c r="AO156" s="48">
        <v>0.78300000000000003</v>
      </c>
      <c r="AP156" s="48">
        <v>0.78349999999999997</v>
      </c>
      <c r="AQ156" s="48">
        <v>0.78399999999999992</v>
      </c>
      <c r="AR156" s="48">
        <v>0.78450000000000009</v>
      </c>
      <c r="AS156" s="48">
        <v>0.78499999999999992</v>
      </c>
      <c r="AT156" s="48">
        <v>0.79149999999999987</v>
      </c>
      <c r="AU156" s="48">
        <v>0.79199999999999993</v>
      </c>
      <c r="AV156" s="48">
        <v>0.79300000000000004</v>
      </c>
      <c r="AW156" s="48">
        <v>0.79349999999999998</v>
      </c>
      <c r="AX156" s="48">
        <v>0.7609999999999999</v>
      </c>
      <c r="AY156" s="48">
        <v>0.69700000000000006</v>
      </c>
      <c r="AZ156" s="48">
        <v>0.59400000000000008</v>
      </c>
      <c r="BA156" s="48">
        <v>0.59500000000000008</v>
      </c>
      <c r="BB156" s="48">
        <v>0.60650000000000004</v>
      </c>
      <c r="BC156" s="48">
        <v>0.58700000000000008</v>
      </c>
      <c r="BD156" s="48">
        <v>0.57999999999999996</v>
      </c>
      <c r="BE156" s="48">
        <v>0.5675</v>
      </c>
      <c r="BF156" s="48">
        <v>0.57150000000000001</v>
      </c>
      <c r="BG156" s="48">
        <v>0.57350000000000001</v>
      </c>
      <c r="BH156" s="48">
        <v>0.57100000000000006</v>
      </c>
      <c r="BI156" s="48">
        <v>0.58200000000000007</v>
      </c>
      <c r="BJ156" s="48">
        <v>0.58899999999999997</v>
      </c>
      <c r="BK156" s="48">
        <v>0.59499999999999997</v>
      </c>
      <c r="BL156" s="48">
        <v>0.60650000000000004</v>
      </c>
      <c r="BM156" s="48">
        <v>0.62650000000000006</v>
      </c>
      <c r="BN156" s="48">
        <v>0.65100000000000002</v>
      </c>
      <c r="BO156" s="48">
        <v>0.69100000000000006</v>
      </c>
      <c r="BP156" s="48">
        <v>0.59099999999999997</v>
      </c>
      <c r="BQ156" s="48">
        <v>0.57050000000000001</v>
      </c>
      <c r="BR156" s="48">
        <v>0.53899999999999992</v>
      </c>
      <c r="BS156" s="48">
        <v>0.51349999999999996</v>
      </c>
      <c r="BT156" s="48">
        <v>0.47249999999999992</v>
      </c>
      <c r="BU156" s="48">
        <v>0.40800000000000003</v>
      </c>
      <c r="BV156" s="48">
        <v>0.3805</v>
      </c>
      <c r="BW156" s="48">
        <v>0.32650000000000001</v>
      </c>
      <c r="BX156" s="48">
        <v>0.31550000000000006</v>
      </c>
      <c r="BY156" s="48">
        <v>0.31950000000000006</v>
      </c>
      <c r="BZ156" s="48">
        <v>0.31899999999999995</v>
      </c>
      <c r="CA156" s="48">
        <v>0.32800000000000001</v>
      </c>
      <c r="CB156" s="48">
        <v>0.33149999999999996</v>
      </c>
      <c r="CC156" s="48">
        <v>0.30249999999999999</v>
      </c>
      <c r="CD156" s="48">
        <v>0.20950000000000005</v>
      </c>
      <c r="CE156" s="48">
        <v>0.17749999999999999</v>
      </c>
      <c r="CF156" s="48">
        <v>0.14099999999999999</v>
      </c>
      <c r="CG156" s="48">
        <v>0.11099999999999999</v>
      </c>
      <c r="CH156" s="48">
        <v>0.12799999999999997</v>
      </c>
      <c r="CI156" s="48">
        <v>0.14000000000000004</v>
      </c>
      <c r="CJ156" s="48">
        <v>0.223</v>
      </c>
      <c r="CK156" s="48">
        <v>0.20499999999999999</v>
      </c>
      <c r="CL156" s="48">
        <v>0.17300000000000004</v>
      </c>
      <c r="CM156" s="48">
        <v>0.1845</v>
      </c>
      <c r="CN156" s="48">
        <v>0.16800000000000004</v>
      </c>
      <c r="CO156" s="48">
        <v>0.16650000000000001</v>
      </c>
      <c r="CP156" s="48">
        <v>0.18949999999999997</v>
      </c>
      <c r="CQ156" s="48">
        <v>0.20649999999999999</v>
      </c>
      <c r="CR156" s="48">
        <v>0.22849999999999995</v>
      </c>
      <c r="CS156" s="48">
        <v>0.22949999999999998</v>
      </c>
      <c r="CT156" s="48">
        <v>0.22949999999999998</v>
      </c>
      <c r="CU156" s="48">
        <v>0.28399999999999997</v>
      </c>
      <c r="CV156" s="48">
        <v>0.28399999999999997</v>
      </c>
      <c r="CW156" s="48">
        <v>0.308</v>
      </c>
      <c r="CX156" s="48">
        <v>0.38950000000000001</v>
      </c>
      <c r="CY156" s="48">
        <v>0.40899999999999997</v>
      </c>
      <c r="CZ156" s="48">
        <v>0.41850000000000004</v>
      </c>
      <c r="DA156" s="48">
        <v>0.42800000000000005</v>
      </c>
      <c r="DB156" s="48">
        <v>0.4955</v>
      </c>
      <c r="DC156" s="48">
        <v>0.5</v>
      </c>
      <c r="DD156" s="48">
        <v>0.505</v>
      </c>
      <c r="DE156" s="48">
        <v>0.51</v>
      </c>
      <c r="DF156" s="48">
        <v>0.51949999999999996</v>
      </c>
    </row>
    <row r="157" spans="1:111" x14ac:dyDescent="0.2">
      <c r="A157" s="46" t="s">
        <v>188</v>
      </c>
      <c r="B157" s="47">
        <f t="shared" si="121"/>
        <v>-4.9500000000000046</v>
      </c>
      <c r="C157" s="47">
        <f t="shared" si="122"/>
        <v>0</v>
      </c>
      <c r="D157" s="49" t="e">
        <f t="shared" ref="D157:D190" ca="1" si="144">_xludf.STDEV.P(W157:DF157)*100</f>
        <v>#NAME?</v>
      </c>
      <c r="E157" s="47"/>
      <c r="F157" s="48">
        <v>0.27799999999999997</v>
      </c>
      <c r="G157" s="48">
        <v>0.27799999999999997</v>
      </c>
      <c r="H157" s="48">
        <v>0.27799999999999997</v>
      </c>
      <c r="I157" s="48">
        <v>0.27799999999999997</v>
      </c>
      <c r="J157" s="48">
        <v>0.27799999999999997</v>
      </c>
      <c r="K157" s="48">
        <v>0.23850000000000002</v>
      </c>
      <c r="L157" s="48">
        <v>0.21749999999999997</v>
      </c>
      <c r="M157" s="48">
        <v>0.1925</v>
      </c>
      <c r="N157" s="48">
        <v>0.30599999999999999</v>
      </c>
      <c r="O157" s="48">
        <v>0.33750000000000002</v>
      </c>
      <c r="P157" s="48">
        <v>0.33699999999999997</v>
      </c>
      <c r="Q157" s="48">
        <v>0.32750000000000001</v>
      </c>
      <c r="R157" s="48">
        <v>0.28049999999999997</v>
      </c>
      <c r="S157" s="48">
        <v>0.14200000000000002</v>
      </c>
      <c r="T157" s="48">
        <v>0.16250000000000001</v>
      </c>
      <c r="U157" s="48">
        <v>0.17749999999999999</v>
      </c>
      <c r="V157" s="48">
        <v>0.27799999999999997</v>
      </c>
      <c r="W157" s="48">
        <v>0.23850000000000002</v>
      </c>
      <c r="X157" s="48">
        <v>0.21749999999999997</v>
      </c>
      <c r="Y157" s="48">
        <v>0.1925</v>
      </c>
      <c r="Z157" s="48">
        <v>0.34449999999999997</v>
      </c>
      <c r="AA157" s="48">
        <v>0.36899999999999999</v>
      </c>
      <c r="AB157" s="48">
        <v>0.3795</v>
      </c>
      <c r="AC157" s="48">
        <v>0.3705</v>
      </c>
      <c r="AD157" s="48">
        <v>0.3775</v>
      </c>
      <c r="AE157" s="48">
        <v>0.38</v>
      </c>
      <c r="AF157" s="48">
        <v>0.3795</v>
      </c>
      <c r="AG157" s="48">
        <v>0.379</v>
      </c>
      <c r="AH157" s="48">
        <v>0.378</v>
      </c>
      <c r="AI157" s="48">
        <v>0.26599999999999996</v>
      </c>
      <c r="AJ157" s="48">
        <v>0.2465</v>
      </c>
      <c r="AK157" s="48">
        <v>0.22649999999999998</v>
      </c>
      <c r="AL157" s="48">
        <v>0.27950000000000003</v>
      </c>
      <c r="AM157" s="48">
        <v>0.29449999999999998</v>
      </c>
      <c r="AN157" s="48">
        <v>0.37400000000000005</v>
      </c>
      <c r="AO157" s="48">
        <v>0.47249999999999992</v>
      </c>
      <c r="AP157" s="48">
        <v>0.48399999999999999</v>
      </c>
      <c r="AQ157" s="48">
        <v>0.48299999999999993</v>
      </c>
      <c r="AR157" s="48">
        <v>0.49299999999999999</v>
      </c>
      <c r="AS157" s="48">
        <v>0.51449999999999996</v>
      </c>
      <c r="AT157" s="48">
        <v>0.54050000000000009</v>
      </c>
      <c r="AU157" s="48">
        <v>0.48649999999999999</v>
      </c>
      <c r="AV157" s="48">
        <v>0.375</v>
      </c>
      <c r="AW157" s="48">
        <v>0.30199999999999999</v>
      </c>
      <c r="AX157" s="48">
        <v>0.46750000000000008</v>
      </c>
      <c r="AY157" s="48">
        <v>0.60599999999999998</v>
      </c>
      <c r="AZ157" s="48">
        <v>0.71399999999999997</v>
      </c>
      <c r="BA157" s="48">
        <v>0.47149999999999997</v>
      </c>
      <c r="BB157" s="48">
        <v>0.45149999999999996</v>
      </c>
      <c r="BC157" s="48">
        <v>0.4365</v>
      </c>
      <c r="BD157" s="48">
        <v>0.44249999999999995</v>
      </c>
      <c r="BE157" s="48">
        <v>0.45349999999999996</v>
      </c>
      <c r="BF157" s="48">
        <v>0.45999999999999996</v>
      </c>
      <c r="BG157" s="48">
        <v>0.44550000000000001</v>
      </c>
      <c r="BH157" s="48">
        <v>0.42650000000000005</v>
      </c>
      <c r="BI157" s="48">
        <v>0.40700000000000003</v>
      </c>
      <c r="BJ157" s="48">
        <v>0.44849999999999995</v>
      </c>
      <c r="BK157" s="48">
        <v>0.47949999999999998</v>
      </c>
      <c r="BL157" s="48">
        <v>0.51549999999999996</v>
      </c>
      <c r="BM157" s="48">
        <v>0.50700000000000001</v>
      </c>
      <c r="BN157" s="48">
        <v>0.49900000000000005</v>
      </c>
      <c r="BO157" s="48">
        <v>0.5</v>
      </c>
      <c r="BP157" s="48">
        <v>0.50349999999999995</v>
      </c>
      <c r="BQ157" s="48">
        <v>0.51649999999999996</v>
      </c>
      <c r="BR157" s="48">
        <v>0.52</v>
      </c>
      <c r="BS157" s="48">
        <v>0.53850000000000009</v>
      </c>
      <c r="BT157" s="48">
        <v>0.54349999999999998</v>
      </c>
      <c r="BU157" s="48">
        <v>0.69150000000000011</v>
      </c>
      <c r="BV157" s="48">
        <v>0.7240000000000002</v>
      </c>
      <c r="BW157" s="48">
        <v>0.72749999999999992</v>
      </c>
      <c r="BX157" s="48">
        <v>0.75549999999999995</v>
      </c>
      <c r="BY157" s="48">
        <v>0.72700000000000009</v>
      </c>
      <c r="BZ157" s="48">
        <v>0.70499999999999996</v>
      </c>
      <c r="CA157" s="48">
        <v>0.69299999999999995</v>
      </c>
      <c r="CB157" s="48">
        <v>0.68200000000000005</v>
      </c>
      <c r="CC157" s="48">
        <v>0.66499999999999992</v>
      </c>
      <c r="CD157" s="48">
        <v>0.63700000000000001</v>
      </c>
      <c r="CE157" s="48">
        <v>0.62550000000000006</v>
      </c>
      <c r="CF157" s="48">
        <v>0.61949999999999994</v>
      </c>
      <c r="CG157" s="48">
        <v>0.6080000000000001</v>
      </c>
      <c r="CH157" s="48">
        <v>0.63500000000000012</v>
      </c>
      <c r="CI157" s="48">
        <v>0.65549999999999997</v>
      </c>
      <c r="CJ157" s="48">
        <v>0.69850000000000001</v>
      </c>
      <c r="CK157" s="48">
        <v>0.69249999999999989</v>
      </c>
      <c r="CL157" s="48">
        <v>0.6865</v>
      </c>
      <c r="CM157" s="48">
        <v>0.69950000000000001</v>
      </c>
      <c r="CN157" s="48">
        <v>0.71050000000000002</v>
      </c>
      <c r="CO157" s="48">
        <v>0.72099999999999997</v>
      </c>
      <c r="CP157" s="48">
        <v>0.73199999999999998</v>
      </c>
      <c r="CQ157" s="48">
        <v>0.75350000000000006</v>
      </c>
      <c r="CR157" s="48">
        <v>0.77400000000000002</v>
      </c>
      <c r="CS157" s="48">
        <v>0.79399999999999993</v>
      </c>
      <c r="CT157" s="48">
        <v>0.80400000000000005</v>
      </c>
      <c r="CU157" s="48">
        <v>0.72600000000000009</v>
      </c>
      <c r="CV157" s="48">
        <v>0.73599999999999988</v>
      </c>
      <c r="CW157" s="48">
        <v>0.72149999999999992</v>
      </c>
      <c r="CX157" s="48">
        <v>0.70199999999999996</v>
      </c>
      <c r="CY157" s="48">
        <v>0.67800000000000005</v>
      </c>
      <c r="CZ157" s="48">
        <v>0.6925</v>
      </c>
      <c r="DA157" s="48">
        <v>0.70699999999999996</v>
      </c>
      <c r="DB157" s="48">
        <v>0.72149999999999992</v>
      </c>
      <c r="DC157" s="48">
        <v>0.73599999999999988</v>
      </c>
      <c r="DD157" s="48">
        <v>0.74050000000000005</v>
      </c>
      <c r="DE157" s="48">
        <v>0.74550000000000005</v>
      </c>
      <c r="DF157" s="48">
        <v>0.75</v>
      </c>
    </row>
    <row r="158" spans="1:111" x14ac:dyDescent="0.2">
      <c r="A158" s="46" t="s">
        <v>189</v>
      </c>
      <c r="B158" s="47">
        <f t="shared" si="121"/>
        <v>0.94999999999999529</v>
      </c>
      <c r="C158" s="47">
        <f t="shared" si="122"/>
        <v>0</v>
      </c>
      <c r="D158" s="49" t="e">
        <f t="shared" ref="D158:D191" ca="1" si="145">_xludf.STDEV.P(W158:DF158)*100</f>
        <v>#NAME?</v>
      </c>
      <c r="E158" s="47"/>
      <c r="F158" s="48">
        <v>0.3715</v>
      </c>
      <c r="G158" s="48">
        <v>0.3715</v>
      </c>
      <c r="H158" s="48">
        <v>0.3715</v>
      </c>
      <c r="I158" s="48">
        <v>0.3715</v>
      </c>
      <c r="J158" s="48">
        <v>0.36049999999999999</v>
      </c>
      <c r="K158" s="48">
        <v>0.35399999999999998</v>
      </c>
      <c r="L158" s="48">
        <v>0.35199999999999998</v>
      </c>
      <c r="M158" s="48">
        <v>0.35599999999999998</v>
      </c>
      <c r="N158" s="48">
        <v>0.30049999999999999</v>
      </c>
      <c r="O158" s="48">
        <v>0.28349999999999997</v>
      </c>
      <c r="P158" s="48">
        <v>0.33899999999999997</v>
      </c>
      <c r="Q158" s="48">
        <v>0.36200000000000004</v>
      </c>
      <c r="R158" s="48">
        <v>0.4385</v>
      </c>
      <c r="S158" s="48">
        <v>0.47599999999999998</v>
      </c>
      <c r="T158" s="48">
        <v>0.46149999999999997</v>
      </c>
      <c r="U158" s="48">
        <v>0.45100000000000001</v>
      </c>
      <c r="V158" s="48">
        <v>0.36049999999999999</v>
      </c>
      <c r="W158" s="48">
        <v>0.35399999999999998</v>
      </c>
      <c r="X158" s="48">
        <v>0.35199999999999998</v>
      </c>
      <c r="Y158" s="48">
        <v>0.35599999999999998</v>
      </c>
      <c r="Z158" s="48">
        <v>0.47399999999999992</v>
      </c>
      <c r="AA158" s="48">
        <v>0.47500000000000003</v>
      </c>
      <c r="AB158" s="48">
        <v>0.5</v>
      </c>
      <c r="AC158" s="48">
        <v>0.44700000000000001</v>
      </c>
      <c r="AD158" s="48">
        <v>0.42649999999999993</v>
      </c>
      <c r="AE158" s="48">
        <v>0.38899999999999996</v>
      </c>
      <c r="AF158" s="48">
        <v>0.38500000000000001</v>
      </c>
      <c r="AG158" s="48">
        <v>0.38500000000000001</v>
      </c>
      <c r="AH158" s="48">
        <v>0.38550000000000001</v>
      </c>
      <c r="AI158" s="48">
        <v>0.38149999999999995</v>
      </c>
      <c r="AJ158" s="48">
        <v>0.3775</v>
      </c>
      <c r="AK158" s="48">
        <v>0.38349999999999995</v>
      </c>
      <c r="AL158" s="48">
        <v>0.39499999999999996</v>
      </c>
      <c r="AM158" s="48">
        <v>0.41199999999999998</v>
      </c>
      <c r="AN158" s="48">
        <v>0.41250000000000003</v>
      </c>
      <c r="AO158" s="48">
        <v>0.41650000000000004</v>
      </c>
      <c r="AP158" s="48">
        <v>0.41500000000000004</v>
      </c>
      <c r="AQ158" s="48">
        <v>0.41449999999999998</v>
      </c>
      <c r="AR158" s="48">
        <v>0.41350000000000003</v>
      </c>
      <c r="AS158" s="48">
        <v>0.41350000000000003</v>
      </c>
      <c r="AT158" s="48">
        <v>0.41300000000000009</v>
      </c>
      <c r="AU158" s="48">
        <v>0.36799999999999999</v>
      </c>
      <c r="AV158" s="48">
        <v>0.35299999999999998</v>
      </c>
      <c r="AW158" s="48">
        <v>0.34249999999999997</v>
      </c>
      <c r="AX158" s="48">
        <v>0.38700000000000001</v>
      </c>
      <c r="AY158" s="48">
        <v>0.39850000000000002</v>
      </c>
      <c r="AZ158" s="48">
        <v>0.44799999999999995</v>
      </c>
      <c r="BA158" s="48">
        <v>0.39899999999999997</v>
      </c>
      <c r="BB158" s="48">
        <v>0.34599999999999997</v>
      </c>
      <c r="BC158" s="48">
        <v>0.31</v>
      </c>
      <c r="BD158" s="48">
        <v>0.29500000000000004</v>
      </c>
      <c r="BE158" s="48">
        <v>0.27950000000000003</v>
      </c>
      <c r="BF158" s="48">
        <v>0.26950000000000002</v>
      </c>
      <c r="BG158" s="48">
        <v>0.29449999999999998</v>
      </c>
      <c r="BH158" s="48">
        <v>0.32550000000000001</v>
      </c>
      <c r="BI158" s="48">
        <v>0.33549999999999996</v>
      </c>
      <c r="BJ158" s="48">
        <v>0.3765</v>
      </c>
      <c r="BK158" s="48">
        <v>0.44099999999999995</v>
      </c>
      <c r="BL158" s="48">
        <v>0.54649999999999999</v>
      </c>
      <c r="BM158" s="48">
        <v>0.52500000000000002</v>
      </c>
      <c r="BN158" s="48">
        <v>0.49050000000000005</v>
      </c>
      <c r="BO158" s="48">
        <v>0.45100000000000007</v>
      </c>
      <c r="BP158" s="48">
        <v>0.45949999999999996</v>
      </c>
      <c r="BQ158" s="48">
        <v>0.46849999999999992</v>
      </c>
      <c r="BR158" s="48">
        <v>0.47749999999999998</v>
      </c>
      <c r="BS158" s="48">
        <v>0.443</v>
      </c>
      <c r="BT158" s="48">
        <v>0.41350000000000003</v>
      </c>
      <c r="BU158" s="48">
        <v>0.39349999999999996</v>
      </c>
      <c r="BV158" s="48">
        <v>0.47349999999999998</v>
      </c>
      <c r="BW158" s="48">
        <v>0.54800000000000004</v>
      </c>
      <c r="BX158" s="48">
        <v>0.625</v>
      </c>
      <c r="BY158" s="48">
        <v>0.56200000000000006</v>
      </c>
      <c r="BZ158" s="48">
        <v>0.53249999999999997</v>
      </c>
      <c r="CA158" s="48">
        <v>0.49250000000000005</v>
      </c>
      <c r="CB158" s="48">
        <v>0.48249999999999993</v>
      </c>
      <c r="CC158" s="48">
        <v>0.46650000000000003</v>
      </c>
      <c r="CD158" s="48">
        <v>0.44550000000000001</v>
      </c>
      <c r="CE158" s="48">
        <v>0.56950000000000012</v>
      </c>
      <c r="CF158" s="48">
        <v>0.61099999999999999</v>
      </c>
      <c r="CG158" s="48">
        <v>0.70649999999999991</v>
      </c>
      <c r="CH158" s="48">
        <v>0.80500000000000005</v>
      </c>
      <c r="CI158" s="48">
        <v>0.84650000000000014</v>
      </c>
      <c r="CJ158" s="48">
        <v>0.87249999999999994</v>
      </c>
      <c r="CK158" s="48">
        <v>0.85050000000000003</v>
      </c>
      <c r="CL158" s="48">
        <v>0.83300000000000007</v>
      </c>
      <c r="CM158" s="48">
        <v>0.82200000000000006</v>
      </c>
      <c r="CN158" s="48">
        <v>0.8155</v>
      </c>
      <c r="CO158" s="48">
        <v>0.8095</v>
      </c>
      <c r="CP158" s="48">
        <v>0.80349999999999999</v>
      </c>
      <c r="CQ158" s="48">
        <v>0.79700000000000004</v>
      </c>
      <c r="CR158" s="48">
        <v>0.78850000000000009</v>
      </c>
      <c r="CS158" s="48">
        <v>0.79049999999999987</v>
      </c>
      <c r="CT158" s="48">
        <v>0.8</v>
      </c>
      <c r="CU158" s="48">
        <v>0.74549999999999994</v>
      </c>
      <c r="CV158" s="48">
        <v>0.75</v>
      </c>
      <c r="CW158" s="48">
        <v>0.72149999999999992</v>
      </c>
      <c r="CX158" s="48">
        <v>0.69750000000000001</v>
      </c>
      <c r="CY158" s="48">
        <v>0.67799999999999994</v>
      </c>
      <c r="CZ158" s="48">
        <v>0.6875</v>
      </c>
      <c r="DA158" s="48">
        <v>0.6925</v>
      </c>
      <c r="DB158" s="48">
        <v>0.70700000000000007</v>
      </c>
      <c r="DC158" s="48">
        <v>0.71199999999999997</v>
      </c>
      <c r="DD158" s="48">
        <v>0.71650000000000003</v>
      </c>
      <c r="DE158" s="48">
        <v>0.72599999999999998</v>
      </c>
      <c r="DF158" s="48">
        <v>0.73599999999999999</v>
      </c>
    </row>
    <row r="159" spans="1:111" x14ac:dyDescent="0.2">
      <c r="A159" s="46" t="s">
        <v>190</v>
      </c>
      <c r="B159" s="47">
        <f t="shared" si="121"/>
        <v>-4.2199999999999962</v>
      </c>
      <c r="C159" s="47">
        <f t="shared" si="122"/>
        <v>14.62</v>
      </c>
      <c r="D159" s="49" t="e">
        <f t="shared" ref="D159:D192" ca="1" si="146">_xludf.STDEV.P(W159:DF159)*100</f>
        <v>#NAME?</v>
      </c>
      <c r="E159" s="47"/>
      <c r="F159" s="48">
        <v>0.42459999999999998</v>
      </c>
      <c r="G159" s="48">
        <v>0.36480000000000001</v>
      </c>
      <c r="H159" s="48">
        <v>0.37659999999999993</v>
      </c>
      <c r="I159" s="48">
        <v>0.27839999999999998</v>
      </c>
      <c r="J159" s="48">
        <v>0.34359999999999996</v>
      </c>
      <c r="K159" s="48">
        <v>0.35719999999999996</v>
      </c>
      <c r="L159" s="48">
        <v>0.39960000000000001</v>
      </c>
      <c r="M159" s="48">
        <v>0.42459999999999998</v>
      </c>
      <c r="N159" s="48">
        <v>0.42639999999999995</v>
      </c>
      <c r="O159" s="48">
        <v>0.38579999999999998</v>
      </c>
      <c r="P159" s="48">
        <v>0.46700000000000003</v>
      </c>
      <c r="Q159" s="48">
        <v>0.46679999999999994</v>
      </c>
      <c r="R159" s="48">
        <v>0.47060000000000007</v>
      </c>
      <c r="S159" s="48">
        <v>0.50319999999999998</v>
      </c>
      <c r="T159" s="48">
        <v>0.49159999999999998</v>
      </c>
      <c r="U159" s="48">
        <v>0.56099999999999994</v>
      </c>
      <c r="V159" s="48">
        <v>0.56459999999999999</v>
      </c>
      <c r="W159" s="48">
        <v>0.5514</v>
      </c>
      <c r="X159" s="48">
        <v>0.4781999999999999</v>
      </c>
      <c r="Y159" s="48">
        <v>0.42260000000000003</v>
      </c>
      <c r="Z159" s="48">
        <v>0.37079999999999996</v>
      </c>
      <c r="AA159" s="48">
        <v>0.43819999999999998</v>
      </c>
      <c r="AB159" s="48">
        <v>0.30519999999999997</v>
      </c>
      <c r="AC159" s="48">
        <v>0.16700000000000001</v>
      </c>
      <c r="AD159" s="48">
        <v>0.1552</v>
      </c>
      <c r="AE159" s="48">
        <v>0.15360000000000001</v>
      </c>
      <c r="AF159" s="48">
        <v>0.37859999999999999</v>
      </c>
      <c r="AG159" s="48">
        <v>0.46679999999999999</v>
      </c>
      <c r="AH159" s="48">
        <v>0.53799999999999992</v>
      </c>
      <c r="AI159" s="48">
        <v>0.38019999999999998</v>
      </c>
      <c r="AJ159" s="48">
        <v>0.45339999999999997</v>
      </c>
      <c r="AK159" s="48">
        <v>0.43220000000000003</v>
      </c>
      <c r="AL159" s="48">
        <v>0.48819999999999997</v>
      </c>
      <c r="AM159" s="48">
        <v>0.5534</v>
      </c>
      <c r="AN159" s="48">
        <v>0.70340000000000003</v>
      </c>
      <c r="AO159" s="48">
        <v>0.62059999999999993</v>
      </c>
      <c r="AP159" s="48">
        <v>0.5554</v>
      </c>
      <c r="AQ159" s="48">
        <v>0.57820000000000005</v>
      </c>
      <c r="AR159" s="48">
        <v>0.6571999999999999</v>
      </c>
      <c r="AS159" s="48">
        <v>0.72840000000000005</v>
      </c>
      <c r="AT159" s="48">
        <v>0.77639999999999987</v>
      </c>
      <c r="AU159" s="48">
        <v>0.72260000000000002</v>
      </c>
      <c r="AV159" s="48">
        <v>0.5554</v>
      </c>
      <c r="AW159" s="48">
        <v>0.69179999999999986</v>
      </c>
      <c r="AX159" s="48">
        <v>0.81899999999999984</v>
      </c>
      <c r="AY159" s="48">
        <v>0.92839999999999989</v>
      </c>
      <c r="AZ159" s="48">
        <v>0.9304</v>
      </c>
      <c r="BA159" s="48">
        <v>0.71319999999999995</v>
      </c>
      <c r="BB159" s="48">
        <v>0.63800000000000001</v>
      </c>
      <c r="BC159" s="48">
        <v>0.6956</v>
      </c>
      <c r="BD159" s="48">
        <v>0.83979999999999988</v>
      </c>
      <c r="BE159" s="48">
        <v>0.77059999999999995</v>
      </c>
      <c r="BF159" s="48">
        <v>0.78780000000000006</v>
      </c>
      <c r="BG159" s="48">
        <v>0.6322000000000001</v>
      </c>
      <c r="BH159" s="48">
        <v>0.73980000000000001</v>
      </c>
      <c r="BI159" s="48">
        <v>0.60159999999999991</v>
      </c>
      <c r="BJ159" s="48">
        <v>0.79959999999999987</v>
      </c>
      <c r="BK159" s="48">
        <v>0.66300000000000003</v>
      </c>
      <c r="BL159" s="48">
        <v>0.67459999999999998</v>
      </c>
      <c r="BM159" s="48">
        <v>0.5072000000000001</v>
      </c>
      <c r="BN159" s="48">
        <v>0.62999999999999989</v>
      </c>
      <c r="BO159" s="48">
        <v>0.6359999999999999</v>
      </c>
      <c r="BP159" s="48">
        <v>0.66700000000000004</v>
      </c>
      <c r="BQ159" s="48">
        <v>0.45319999999999999</v>
      </c>
      <c r="BR159" s="48">
        <v>0.30720000000000003</v>
      </c>
      <c r="BS159" s="48">
        <v>0.38979999999999998</v>
      </c>
      <c r="BT159" s="48">
        <v>0.52659999999999996</v>
      </c>
      <c r="BU159" s="48">
        <v>0.58799999999999997</v>
      </c>
      <c r="BV159" s="48">
        <v>0.33620000000000005</v>
      </c>
      <c r="BW159" s="48">
        <v>0.25159999999999993</v>
      </c>
      <c r="BX159" s="48">
        <v>0.1148</v>
      </c>
      <c r="BY159" s="48">
        <v>0.22839999999999996</v>
      </c>
      <c r="BZ159" s="48">
        <v>0.13799999999999998</v>
      </c>
      <c r="CA159" s="48">
        <v>0.25919999999999999</v>
      </c>
      <c r="CB159" s="48">
        <v>0.25359999999999999</v>
      </c>
      <c r="CC159" s="48">
        <v>0.48600000000000004</v>
      </c>
      <c r="CD159" s="48">
        <v>0.48799999999999993</v>
      </c>
      <c r="CE159" s="48">
        <v>0.5514</v>
      </c>
      <c r="CF159" s="48">
        <v>0.49199999999999999</v>
      </c>
      <c r="CG159" s="48">
        <v>0.63219999999999998</v>
      </c>
      <c r="CH159" s="48">
        <v>0.74399999999999988</v>
      </c>
      <c r="CI159" s="48">
        <v>0.69</v>
      </c>
      <c r="CJ159" s="48">
        <v>0.50539999999999996</v>
      </c>
      <c r="CK159" s="48">
        <v>0.47640000000000005</v>
      </c>
      <c r="CL159" s="48">
        <v>0.5958</v>
      </c>
      <c r="CM159" s="48">
        <v>0.71699999999999997</v>
      </c>
      <c r="CN159" s="48">
        <v>0.62060000000000004</v>
      </c>
      <c r="CO159" s="48">
        <v>0.50739999999999996</v>
      </c>
      <c r="CP159" s="48">
        <v>0.38419999999999999</v>
      </c>
      <c r="CQ159" s="48">
        <v>0.36319999999999997</v>
      </c>
      <c r="CR159" s="48">
        <v>0.47660000000000002</v>
      </c>
      <c r="CS159" s="48">
        <v>0.43819999999999998</v>
      </c>
      <c r="CT159" s="48">
        <v>0.38399999999999995</v>
      </c>
      <c r="CU159" s="48">
        <v>0.24359999999999996</v>
      </c>
      <c r="CV159" s="48">
        <v>0.26879999999999998</v>
      </c>
      <c r="CW159" s="48">
        <v>0.53620000000000001</v>
      </c>
      <c r="CX159" s="48">
        <v>0.59559999999999991</v>
      </c>
      <c r="CY159" s="48">
        <v>0.40339999999999998</v>
      </c>
      <c r="CZ159" s="48">
        <v>0.39560000000000001</v>
      </c>
      <c r="DA159" s="48">
        <v>0.35339999999999999</v>
      </c>
      <c r="DB159" s="48">
        <v>0.42859999999999998</v>
      </c>
      <c r="DC159" s="48">
        <v>0.54959999999999987</v>
      </c>
      <c r="DD159" s="48">
        <v>0.40139999999999998</v>
      </c>
      <c r="DE159" s="48">
        <v>0.25140000000000007</v>
      </c>
      <c r="DF159" s="48">
        <v>0.317</v>
      </c>
    </row>
    <row r="160" spans="1:111" x14ac:dyDescent="0.2">
      <c r="A160" s="46" t="s">
        <v>191</v>
      </c>
      <c r="B160" s="47">
        <f t="shared" si="121"/>
        <v>15.98750000000001</v>
      </c>
      <c r="C160" s="47">
        <f t="shared" si="122"/>
        <v>17.52500000000002</v>
      </c>
      <c r="D160" s="49" t="e">
        <f t="shared" ref="D160:D193" ca="1" si="147">_xludf.STDEV.P(W160:DF160)*100</f>
        <v>#NAME?</v>
      </c>
      <c r="E160" s="47"/>
      <c r="F160" s="48">
        <v>0.66050000000000009</v>
      </c>
      <c r="G160" s="48">
        <v>0.56575000000000009</v>
      </c>
      <c r="H160" s="48">
        <v>0.50337499999999991</v>
      </c>
      <c r="I160" s="48">
        <v>0.4852499999999999</v>
      </c>
      <c r="J160" s="48">
        <v>0.50437499999999991</v>
      </c>
      <c r="K160" s="48">
        <v>0.51975000000000005</v>
      </c>
      <c r="L160" s="48">
        <v>0.50050000000000006</v>
      </c>
      <c r="M160" s="48">
        <v>0.48037500000000005</v>
      </c>
      <c r="N160" s="48">
        <v>0.46325000000000011</v>
      </c>
      <c r="O160" s="48">
        <v>0.45412499999999995</v>
      </c>
      <c r="P160" s="48">
        <v>0.46012500000000006</v>
      </c>
      <c r="Q160" s="48">
        <v>0.50062499999999999</v>
      </c>
      <c r="R160" s="48">
        <v>0.53662500000000002</v>
      </c>
      <c r="S160" s="48">
        <v>0.60050000000000003</v>
      </c>
      <c r="T160" s="48">
        <v>0.622</v>
      </c>
      <c r="U160" s="48">
        <v>0.62312500000000015</v>
      </c>
      <c r="V160" s="48">
        <v>0.59212500000000001</v>
      </c>
      <c r="W160" s="48">
        <v>0.53300000000000003</v>
      </c>
      <c r="X160" s="48">
        <v>0.49700000000000005</v>
      </c>
      <c r="Y160" s="48">
        <v>0.40925000000000006</v>
      </c>
      <c r="Z160" s="48">
        <v>0.36012500000000003</v>
      </c>
      <c r="AA160" s="48">
        <v>0.37462500000000015</v>
      </c>
      <c r="AB160" s="48">
        <v>0.37200000000000016</v>
      </c>
      <c r="AC160" s="48">
        <v>0.36712500000000009</v>
      </c>
      <c r="AD160" s="48">
        <v>0.30737500000000006</v>
      </c>
      <c r="AE160" s="48">
        <v>0.3146250000000001</v>
      </c>
      <c r="AF160" s="48">
        <v>0.33737500000000009</v>
      </c>
      <c r="AG160" s="48">
        <v>0.24575000000000011</v>
      </c>
      <c r="AH160" s="48">
        <v>0.20487500000000006</v>
      </c>
      <c r="AI160" s="48">
        <v>0.15325000000000005</v>
      </c>
      <c r="AJ160" s="48">
        <v>0.17275000000000013</v>
      </c>
      <c r="AK160" s="48">
        <v>0.1955000000000002</v>
      </c>
      <c r="AL160" s="48">
        <v>0.17250000000000013</v>
      </c>
      <c r="AM160" s="48">
        <v>0.12575000000000006</v>
      </c>
      <c r="AN160" s="48">
        <v>0.14625000000000007</v>
      </c>
      <c r="AO160" s="48">
        <v>0.13787500000000008</v>
      </c>
      <c r="AP160" s="48">
        <v>0.1958750000000001</v>
      </c>
      <c r="AQ160" s="48">
        <v>0.13874999999999998</v>
      </c>
      <c r="AR160" s="48">
        <v>0.13399999999999998</v>
      </c>
      <c r="AS160" s="48">
        <v>0.16325000000000001</v>
      </c>
      <c r="AT160" s="48">
        <v>0.25087500000000001</v>
      </c>
      <c r="AU160" s="48">
        <v>0.391625</v>
      </c>
      <c r="AV160" s="48">
        <v>0.45025000000000009</v>
      </c>
      <c r="AW160" s="48">
        <v>0.55825000000000002</v>
      </c>
      <c r="AX160" s="48">
        <v>0.5046250000000001</v>
      </c>
      <c r="AY160" s="48">
        <v>0.47075000000000011</v>
      </c>
      <c r="AZ160" s="48">
        <v>0.42387500000000022</v>
      </c>
      <c r="BA160" s="48">
        <v>0.43600000000000017</v>
      </c>
      <c r="BB160" s="48">
        <v>0.43225000000000002</v>
      </c>
      <c r="BC160" s="48">
        <v>0.41787500000000005</v>
      </c>
      <c r="BD160" s="48">
        <v>0.41175000000000006</v>
      </c>
      <c r="BE160" s="48">
        <v>0.31899999999999995</v>
      </c>
      <c r="BF160" s="48">
        <v>0.30712500000000009</v>
      </c>
      <c r="BG160" s="48">
        <v>0.23487500000000003</v>
      </c>
      <c r="BH160" s="48">
        <v>0.18687500000000001</v>
      </c>
      <c r="BI160" s="48">
        <v>0.19924999999999995</v>
      </c>
      <c r="BJ160" s="48">
        <v>0.33837499999999993</v>
      </c>
      <c r="BK160" s="48">
        <v>0.50337500000000002</v>
      </c>
      <c r="BL160" s="48">
        <v>0.64737500000000003</v>
      </c>
      <c r="BM160" s="48">
        <v>0.65237500000000015</v>
      </c>
      <c r="BN160" s="48">
        <v>0.64612499999999995</v>
      </c>
      <c r="BO160" s="48">
        <v>0.62812500000000004</v>
      </c>
      <c r="BP160" s="48">
        <v>0.64875000000000005</v>
      </c>
      <c r="BQ160" s="48">
        <v>0.66400000000000003</v>
      </c>
      <c r="BR160" s="48">
        <v>0.6835</v>
      </c>
      <c r="BS160" s="48">
        <v>0.67524999999999991</v>
      </c>
      <c r="BT160" s="48">
        <v>0.74125000000000019</v>
      </c>
      <c r="BU160" s="48">
        <v>0.80475000000000019</v>
      </c>
      <c r="BV160" s="48">
        <v>0.76637500000000025</v>
      </c>
      <c r="BW160" s="48">
        <v>0.56550000000000022</v>
      </c>
      <c r="BX160" s="48">
        <v>0.27012500000000012</v>
      </c>
      <c r="BY160" s="48">
        <v>0.32250000000000018</v>
      </c>
      <c r="BZ160" s="48">
        <v>0.32050000000000017</v>
      </c>
      <c r="CA160" s="48">
        <v>0.31212500000000021</v>
      </c>
      <c r="CB160" s="48">
        <v>0.22425000000000023</v>
      </c>
      <c r="CC160" s="48">
        <v>0.21375000000000025</v>
      </c>
      <c r="CD160" s="48">
        <v>0.16887500000000019</v>
      </c>
      <c r="CE160" s="48">
        <v>0.1763750000000002</v>
      </c>
      <c r="CF160" s="48">
        <v>0.15562500000000021</v>
      </c>
      <c r="CG160" s="48">
        <v>0.22950000000000031</v>
      </c>
      <c r="CH160" s="48">
        <v>0.26737500000000031</v>
      </c>
      <c r="CI160" s="48">
        <v>0.51537500000000025</v>
      </c>
      <c r="CJ160" s="48">
        <v>0.81062500000000015</v>
      </c>
      <c r="CK160" s="48">
        <v>0.82312500000000011</v>
      </c>
      <c r="CL160" s="48">
        <v>0.81912500000000021</v>
      </c>
      <c r="CM160" s="48">
        <v>0.8373750000000002</v>
      </c>
      <c r="CN160" s="48">
        <v>0.85137499999999999</v>
      </c>
      <c r="CO160" s="48">
        <v>0.86250000000000027</v>
      </c>
      <c r="CP160" s="48">
        <v>0.84712500000000002</v>
      </c>
      <c r="CQ160" s="48">
        <v>0.83712500000000012</v>
      </c>
      <c r="CR160" s="48">
        <v>0.8277500000000001</v>
      </c>
      <c r="CS160" s="48">
        <v>0.86149999999999993</v>
      </c>
      <c r="CT160" s="48">
        <v>0.82037500000000008</v>
      </c>
      <c r="CU160" s="48">
        <v>0.80262500000000003</v>
      </c>
      <c r="CV160" s="48">
        <v>0.78925000000000001</v>
      </c>
      <c r="CW160" s="48">
        <v>0.79887500000000011</v>
      </c>
      <c r="CX160" s="48">
        <v>0.80612499999999998</v>
      </c>
      <c r="CY160" s="48">
        <v>0.81674999999999998</v>
      </c>
      <c r="CZ160" s="48">
        <v>0.82299999999999995</v>
      </c>
      <c r="DA160" s="48">
        <v>0.81162500000000004</v>
      </c>
      <c r="DB160" s="48">
        <v>0.83712500000000001</v>
      </c>
      <c r="DC160" s="48">
        <v>0.90474999999999994</v>
      </c>
      <c r="DD160" s="48">
        <v>0.91049999999999998</v>
      </c>
      <c r="DE160" s="48">
        <v>0.84837499999999988</v>
      </c>
      <c r="DF160" s="48">
        <v>0.83124999999999993</v>
      </c>
    </row>
    <row r="161" spans="1:110" x14ac:dyDescent="0.2">
      <c r="A161" s="46" t="s">
        <v>192</v>
      </c>
      <c r="B161" s="47">
        <f t="shared" si="121"/>
        <v>9.1250000000000142</v>
      </c>
      <c r="C161" s="47">
        <f t="shared" si="122"/>
        <v>17.900000000000009</v>
      </c>
      <c r="D161" s="49" t="e">
        <f t="shared" ref="D161:D194" ca="1" si="148">_xludf.STDEV.P(W161:DF161)*100</f>
        <v>#NAME?</v>
      </c>
      <c r="E161" s="47"/>
      <c r="F161" s="48">
        <v>0.32987500000000008</v>
      </c>
      <c r="G161" s="48">
        <v>0.29500000000000015</v>
      </c>
      <c r="H161" s="48">
        <v>0.24137500000000006</v>
      </c>
      <c r="I161" s="48">
        <v>0.15087499999999998</v>
      </c>
      <c r="J161" s="48">
        <v>0.11962499999999997</v>
      </c>
      <c r="K161" s="48">
        <v>0.12212500000000001</v>
      </c>
      <c r="L161" s="48">
        <v>0.11762500000000001</v>
      </c>
      <c r="M161" s="48">
        <v>0.12587499999999999</v>
      </c>
      <c r="N161" s="48">
        <v>0.18224999999999991</v>
      </c>
      <c r="O161" s="48">
        <v>0.24824999999999997</v>
      </c>
      <c r="P161" s="48">
        <v>0.27599999999999997</v>
      </c>
      <c r="Q161" s="48">
        <v>0.23862499999999995</v>
      </c>
      <c r="R161" s="48">
        <v>0.22799999999999992</v>
      </c>
      <c r="S161" s="48">
        <v>0.22337499999999985</v>
      </c>
      <c r="T161" s="48">
        <v>0.2277499999999999</v>
      </c>
      <c r="U161" s="48">
        <v>0.27099999999999996</v>
      </c>
      <c r="V161" s="48">
        <v>0.36612499999999998</v>
      </c>
      <c r="W161" s="48">
        <v>0.44037499999999996</v>
      </c>
      <c r="X161" s="48">
        <v>0.50700000000000012</v>
      </c>
      <c r="Y161" s="48">
        <v>0.38887499999999997</v>
      </c>
      <c r="Z161" s="48">
        <v>0.3302500000000001</v>
      </c>
      <c r="AA161" s="48">
        <v>0.17275000000000013</v>
      </c>
      <c r="AB161" s="48">
        <v>0.26862500000000017</v>
      </c>
      <c r="AC161" s="48">
        <v>0.29775000000000018</v>
      </c>
      <c r="AD161" s="48">
        <v>0.31062500000000015</v>
      </c>
      <c r="AE161" s="48">
        <v>0.25100000000000017</v>
      </c>
      <c r="AF161" s="48">
        <v>0.26262500000000016</v>
      </c>
      <c r="AG161" s="48">
        <v>0.18225000000000013</v>
      </c>
      <c r="AH161" s="48">
        <v>0.15337500000000001</v>
      </c>
      <c r="AI161" s="48">
        <v>0.14274999999999996</v>
      </c>
      <c r="AJ161" s="48">
        <v>0.15799999999999992</v>
      </c>
      <c r="AK161" s="48">
        <v>0.20024999999999996</v>
      </c>
      <c r="AL161" s="48">
        <v>0.23149999999999987</v>
      </c>
      <c r="AM161" s="48">
        <v>0.42037499999999978</v>
      </c>
      <c r="AN161" s="48">
        <v>0.43937499999999974</v>
      </c>
      <c r="AO161" s="48">
        <v>0.44649999999999973</v>
      </c>
      <c r="AP161" s="48">
        <v>0.49799999999999972</v>
      </c>
      <c r="AQ161" s="48">
        <v>0.5546249999999997</v>
      </c>
      <c r="AR161" s="48">
        <v>0.59937499999999977</v>
      </c>
      <c r="AS161" s="48">
        <v>0.66649999999999976</v>
      </c>
      <c r="AT161" s="48">
        <v>0.79524999999999968</v>
      </c>
      <c r="AU161" s="48">
        <v>0.85062499999999974</v>
      </c>
      <c r="AV161" s="48">
        <v>0.96362499999999995</v>
      </c>
      <c r="AW161" s="48">
        <v>0.9444999999999999</v>
      </c>
      <c r="AX161" s="48">
        <v>0.89724999999999988</v>
      </c>
      <c r="AY161" s="48">
        <v>0.57774999999999999</v>
      </c>
      <c r="AZ161" s="48">
        <v>0.57424999999999993</v>
      </c>
      <c r="BA161" s="48">
        <v>0.5545000000000001</v>
      </c>
      <c r="BB161" s="48">
        <v>0.48287500000000005</v>
      </c>
      <c r="BC161" s="48">
        <v>0.49362500000000009</v>
      </c>
      <c r="BD161" s="48">
        <v>0.49137500000000012</v>
      </c>
      <c r="BE161" s="48">
        <v>0.46250000000000019</v>
      </c>
      <c r="BF161" s="48">
        <v>0.40200000000000014</v>
      </c>
      <c r="BG161" s="48">
        <v>0.32137500000000013</v>
      </c>
      <c r="BH161" s="48">
        <v>0.10525000000000009</v>
      </c>
      <c r="BI161" s="48">
        <v>0.14400000000000013</v>
      </c>
      <c r="BJ161" s="48">
        <v>0.20837500000000009</v>
      </c>
      <c r="BK161" s="48">
        <v>0.54425000000000012</v>
      </c>
      <c r="BL161" s="48">
        <v>0.55825000000000002</v>
      </c>
      <c r="BM161" s="48">
        <v>0.56574999999999998</v>
      </c>
      <c r="BN161" s="48">
        <v>0.54525000000000001</v>
      </c>
      <c r="BO161" s="48">
        <v>0.48049999999999998</v>
      </c>
      <c r="BP161" s="48">
        <v>0.48649999999999999</v>
      </c>
      <c r="BQ161" s="48">
        <v>0.54525000000000012</v>
      </c>
      <c r="BR161" s="48">
        <v>0.60175000000000001</v>
      </c>
      <c r="BS161" s="48">
        <v>0.59925000000000017</v>
      </c>
      <c r="BT161" s="48">
        <v>0.49937500000000007</v>
      </c>
      <c r="BU161" s="48">
        <v>0.45062500000000005</v>
      </c>
      <c r="BV161" s="48">
        <v>0.47912500000000002</v>
      </c>
      <c r="BW161" s="48">
        <v>0.55449999999999999</v>
      </c>
      <c r="BX161" s="48">
        <v>0.52474999999999994</v>
      </c>
      <c r="BY161" s="48">
        <v>0.53087499999999999</v>
      </c>
      <c r="BZ161" s="48">
        <v>0.55112499999999998</v>
      </c>
      <c r="CA161" s="48">
        <v>0.65687499999999988</v>
      </c>
      <c r="CB161" s="48">
        <v>0.68599999999999994</v>
      </c>
      <c r="CC161" s="48">
        <v>0.69450000000000001</v>
      </c>
      <c r="CD161" s="48">
        <v>0.67362499999999992</v>
      </c>
      <c r="CE161" s="48">
        <v>0.66062499999999991</v>
      </c>
      <c r="CF161" s="48">
        <v>0.65837500000000004</v>
      </c>
      <c r="CG161" s="48">
        <v>0.69650000000000001</v>
      </c>
      <c r="CH161" s="48">
        <v>0.69687499999999991</v>
      </c>
      <c r="CI161" s="48">
        <v>0.69899999999999995</v>
      </c>
      <c r="CJ161" s="48">
        <v>0.70974999999999999</v>
      </c>
      <c r="CK161" s="48">
        <v>0.70749999999999991</v>
      </c>
      <c r="CL161" s="48">
        <v>0.70637499999999986</v>
      </c>
      <c r="CM161" s="48">
        <v>0.71824999999999994</v>
      </c>
      <c r="CN161" s="48">
        <v>0.70174999999999987</v>
      </c>
      <c r="CO161" s="48">
        <v>0.66899999999999982</v>
      </c>
      <c r="CP161" s="48">
        <v>0.66187499999999977</v>
      </c>
      <c r="CQ161" s="48">
        <v>0.66424999999999979</v>
      </c>
      <c r="CR161" s="48">
        <v>0.68099999999999983</v>
      </c>
      <c r="CS161" s="48">
        <v>0.70724999999999971</v>
      </c>
      <c r="CT161" s="48">
        <v>0.7423749999999999</v>
      </c>
      <c r="CU161" s="48">
        <v>0.72062499999999974</v>
      </c>
      <c r="CV161" s="48">
        <v>0.72774999999999979</v>
      </c>
      <c r="CW161" s="48">
        <v>0.72562499999999963</v>
      </c>
      <c r="CX161" s="48">
        <v>0.73374999999999979</v>
      </c>
      <c r="CY161" s="48">
        <v>0.72462499999999985</v>
      </c>
      <c r="CZ161" s="48">
        <v>0.73649999999999971</v>
      </c>
      <c r="DA161" s="48">
        <v>0.78074999999999972</v>
      </c>
      <c r="DB161" s="48">
        <v>0.86362499999999986</v>
      </c>
      <c r="DC161" s="48">
        <v>0.91874999999999973</v>
      </c>
      <c r="DD161" s="48">
        <v>0.85887499999999983</v>
      </c>
      <c r="DE161" s="48">
        <v>0.77124999999999988</v>
      </c>
      <c r="DF161" s="48">
        <v>0.61024999999999963</v>
      </c>
    </row>
    <row r="162" spans="1:110" x14ac:dyDescent="0.2">
      <c r="A162" s="46" t="s">
        <v>193</v>
      </c>
      <c r="B162" s="47">
        <f t="shared" si="121"/>
        <v>0</v>
      </c>
      <c r="C162" s="47">
        <f t="shared" si="122"/>
        <v>0</v>
      </c>
      <c r="D162" s="49" t="e">
        <f t="shared" ref="D162:D195" ca="1" si="149">_xludf.STDEV.P(W162:DF162)*100</f>
        <v>#NAME?</v>
      </c>
      <c r="E162" s="47"/>
      <c r="F162" s="48">
        <v>1.9E-2</v>
      </c>
      <c r="G162" s="48">
        <v>1.9E-2</v>
      </c>
      <c r="H162" s="48">
        <v>1.9E-2</v>
      </c>
      <c r="I162" s="48">
        <v>1.9E-2</v>
      </c>
      <c r="J162" s="48">
        <v>1.9E-2</v>
      </c>
      <c r="K162" s="48">
        <v>1.9E-2</v>
      </c>
      <c r="L162" s="48">
        <v>1.9E-2</v>
      </c>
      <c r="M162" s="48">
        <v>1.9E-2</v>
      </c>
      <c r="N162" s="48">
        <v>1.9E-2</v>
      </c>
      <c r="O162" s="48">
        <v>1.9E-2</v>
      </c>
      <c r="P162" s="48">
        <v>1.9E-2</v>
      </c>
      <c r="Q162" s="48">
        <v>1.9E-2</v>
      </c>
      <c r="R162" s="48">
        <v>0.16300000000000001</v>
      </c>
      <c r="S162" s="48">
        <v>0.20100000000000001</v>
      </c>
      <c r="T162" s="48">
        <v>0.24</v>
      </c>
      <c r="U162" s="48">
        <v>0.26900000000000002</v>
      </c>
      <c r="V162" s="48">
        <v>0.307</v>
      </c>
      <c r="W162" s="48">
        <v>0.36499999999999999</v>
      </c>
      <c r="X162" s="48">
        <v>0.33600000000000002</v>
      </c>
      <c r="Y162" s="48">
        <v>0.317</v>
      </c>
      <c r="Z162" s="48">
        <v>0.28799999999999998</v>
      </c>
      <c r="AA162" s="48">
        <v>0.27800000000000002</v>
      </c>
      <c r="AB162" s="48">
        <v>0.25</v>
      </c>
      <c r="AC162" s="48">
        <v>0.221</v>
      </c>
      <c r="AD162" s="48">
        <v>0.182</v>
      </c>
      <c r="AE162" s="48">
        <v>0.17299999999999999</v>
      </c>
      <c r="AF162" s="48">
        <v>0.14399999999999999</v>
      </c>
      <c r="AG162" s="48">
        <v>0.13400000000000001</v>
      </c>
      <c r="AH162" s="48">
        <v>8.9999999999999993E-3</v>
      </c>
      <c r="AI162" s="48">
        <v>0</v>
      </c>
      <c r="AJ162" s="48">
        <v>0.153</v>
      </c>
      <c r="AK162" s="48">
        <v>0.192</v>
      </c>
      <c r="AL162" s="48">
        <v>0.21099999999999999</v>
      </c>
      <c r="AM162" s="48">
        <v>0.23</v>
      </c>
      <c r="AN162" s="48">
        <v>0.25900000000000001</v>
      </c>
      <c r="AO162" s="48">
        <v>0.29799999999999999</v>
      </c>
      <c r="AP162" s="48">
        <v>0.32600000000000001</v>
      </c>
      <c r="AQ162" s="48">
        <v>0.34599999999999997</v>
      </c>
      <c r="AR162" s="48">
        <v>0.39400000000000002</v>
      </c>
      <c r="AS162" s="48">
        <v>0.42299999999999999</v>
      </c>
      <c r="AT162" s="48">
        <v>0.53800000000000003</v>
      </c>
      <c r="AU162" s="48">
        <v>0.67300000000000004</v>
      </c>
      <c r="AV162" s="48">
        <v>0.88400000000000001</v>
      </c>
      <c r="AW162" s="48">
        <v>0.99</v>
      </c>
      <c r="AX162" s="48">
        <v>0.96099999999999985</v>
      </c>
      <c r="AY162" s="48">
        <v>0.69199999999999995</v>
      </c>
      <c r="AZ162" s="48">
        <v>0.52800000000000002</v>
      </c>
      <c r="BA162" s="48">
        <v>0.48</v>
      </c>
      <c r="BB162" s="48">
        <v>0.55700000000000005</v>
      </c>
      <c r="BC162" s="48">
        <v>0.61499999999999999</v>
      </c>
      <c r="BD162" s="48">
        <v>0.66300000000000003</v>
      </c>
      <c r="BE162" s="48">
        <v>0.65300000000000002</v>
      </c>
      <c r="BF162" s="48">
        <v>0.63400000000000001</v>
      </c>
      <c r="BG162" s="48">
        <v>0.625</v>
      </c>
      <c r="BH162" s="48">
        <v>0.43199999999999994</v>
      </c>
      <c r="BI162" s="48">
        <v>0.38400000000000001</v>
      </c>
      <c r="BJ162" s="48">
        <v>0.41299999999999998</v>
      </c>
      <c r="BK162" s="48">
        <v>0.68200000000000005</v>
      </c>
      <c r="BL162" s="48">
        <v>0.79800000000000015</v>
      </c>
      <c r="BM162" s="48">
        <v>0.80700000000000005</v>
      </c>
      <c r="BN162" s="48">
        <v>0.74</v>
      </c>
      <c r="BO162" s="48">
        <v>0.76900000000000002</v>
      </c>
      <c r="BP162" s="48">
        <v>0.73</v>
      </c>
      <c r="BQ162" s="48">
        <v>0.75900000000000001</v>
      </c>
      <c r="BR162" s="48">
        <v>0.81699999999999995</v>
      </c>
      <c r="BS162" s="48">
        <v>0.77800000000000002</v>
      </c>
      <c r="BT162" s="48">
        <v>0.75</v>
      </c>
      <c r="BU162" s="48">
        <v>0.60499999999999998</v>
      </c>
      <c r="BV162" s="48">
        <v>0.71099999999999997</v>
      </c>
      <c r="BW162" s="48">
        <v>0.82599999999999996</v>
      </c>
      <c r="BX162" s="48">
        <v>0.86499999999999999</v>
      </c>
      <c r="BY162" s="48">
        <v>0.91300000000000003</v>
      </c>
      <c r="BZ162" s="48">
        <v>0.95100000000000007</v>
      </c>
      <c r="CA162" s="48">
        <v>1</v>
      </c>
      <c r="CB162" s="48">
        <v>0.98</v>
      </c>
      <c r="CC162" s="48">
        <v>0.90300000000000002</v>
      </c>
      <c r="CD162" s="48">
        <v>0.78800000000000003</v>
      </c>
      <c r="CE162" s="48">
        <v>0.72099999999999997</v>
      </c>
      <c r="CF162" s="48">
        <v>0.70099999999999996</v>
      </c>
      <c r="CG162" s="48">
        <v>0.83599999999999997</v>
      </c>
      <c r="CH162" s="48">
        <v>0.89400000000000002</v>
      </c>
      <c r="CI162" s="48">
        <v>0.97099999999999997</v>
      </c>
      <c r="CJ162" s="48">
        <v>0.94199999999999995</v>
      </c>
      <c r="CK162" s="48">
        <v>0.92300000000000004</v>
      </c>
      <c r="CL162" s="48">
        <v>0.84599999999999997</v>
      </c>
      <c r="CM162" s="48">
        <v>0.64400000000000013</v>
      </c>
      <c r="CN162" s="48">
        <v>0.56699999999999995</v>
      </c>
      <c r="CO162" s="48">
        <v>0.47099999999999997</v>
      </c>
      <c r="CP162" s="48">
        <v>0.45100000000000001</v>
      </c>
      <c r="CQ162" s="48">
        <v>0.58599999999999997</v>
      </c>
      <c r="CR162" s="48">
        <v>0.875</v>
      </c>
      <c r="CS162" s="48">
        <v>0.93200000000000005</v>
      </c>
      <c r="CT162" s="48">
        <v>0.85499999999999998</v>
      </c>
      <c r="CU162" s="48">
        <v>0.49</v>
      </c>
      <c r="CV162" s="48">
        <v>0.375</v>
      </c>
      <c r="CW162" s="48">
        <v>0.35500000000000004</v>
      </c>
      <c r="CX162" s="48">
        <v>0.40300000000000002</v>
      </c>
      <c r="CY162" s="48">
        <v>0.59599999999999997</v>
      </c>
      <c r="CZ162" s="48">
        <v>0.57599999999999996</v>
      </c>
      <c r="DA162" s="48">
        <v>0.54800000000000004</v>
      </c>
      <c r="DB162" s="48">
        <v>0.46100000000000002</v>
      </c>
      <c r="DC162" s="48">
        <v>0.442</v>
      </c>
      <c r="DD162" s="48">
        <v>0.51900000000000002</v>
      </c>
      <c r="DE162" s="48">
        <v>0.5</v>
      </c>
      <c r="DF162" s="48">
        <v>0.50900000000000001</v>
      </c>
    </row>
    <row r="163" spans="1:110" x14ac:dyDescent="0.2">
      <c r="A163" s="46" t="s">
        <v>194</v>
      </c>
      <c r="B163" s="47">
        <f t="shared" si="121"/>
        <v>6.1337315001194268</v>
      </c>
      <c r="C163" s="47">
        <f t="shared" si="122"/>
        <v>-4.0286447226519639</v>
      </c>
      <c r="D163" s="49" t="e">
        <f t="shared" ref="D163:D196" ca="1" si="150">_xludf.STDEV.P(W163:DF163)*100</f>
        <v>#NAME?</v>
      </c>
      <c r="E163" s="47"/>
      <c r="F163" s="48">
        <v>0.52760959756652825</v>
      </c>
      <c r="G163" s="48">
        <v>0.52515352605674159</v>
      </c>
      <c r="H163" s="48">
        <v>0.55305162687022069</v>
      </c>
      <c r="I163" s="48">
        <v>0.56789604479304789</v>
      </c>
      <c r="J163" s="48">
        <v>0.59131124033492499</v>
      </c>
      <c r="K163" s="48">
        <v>0.60690535629254971</v>
      </c>
      <c r="L163" s="48">
        <v>0.64997680741079533</v>
      </c>
      <c r="M163" s="48">
        <v>0.66192874243580835</v>
      </c>
      <c r="N163" s="48">
        <v>0.60541881178308432</v>
      </c>
      <c r="O163" s="48">
        <v>0.48369473318731543</v>
      </c>
      <c r="P163" s="48">
        <v>0.4636917525679165</v>
      </c>
      <c r="Q163" s="48">
        <v>0.46627228256533398</v>
      </c>
      <c r="R163" s="48">
        <v>0.46203763098149908</v>
      </c>
      <c r="S163" s="48">
        <v>0.45983482901138939</v>
      </c>
      <c r="T163" s="48">
        <v>0.44171974773176914</v>
      </c>
      <c r="U163" s="48">
        <v>0.43367689339369492</v>
      </c>
      <c r="V163" s="48">
        <v>0.39255761907499143</v>
      </c>
      <c r="W163" s="48">
        <v>0.34240098372613059</v>
      </c>
      <c r="X163" s="48">
        <v>0.26517247291563928</v>
      </c>
      <c r="Y163" s="48">
        <v>0.1438536714371878</v>
      </c>
      <c r="Z163" s="48">
        <v>0.12585545175170554</v>
      </c>
      <c r="AA163" s="48">
        <v>0.14943547042702526</v>
      </c>
      <c r="AB163" s="48">
        <v>0.21944164052481088</v>
      </c>
      <c r="AC163" s="48">
        <v>0.22680651341290686</v>
      </c>
      <c r="AD163" s="48">
        <v>0.24754288689670872</v>
      </c>
      <c r="AE163" s="48">
        <v>0.2384735380417608</v>
      </c>
      <c r="AF163" s="48">
        <v>0.22567520491879287</v>
      </c>
      <c r="AG163" s="48">
        <v>0.1906076764340433</v>
      </c>
      <c r="AH163" s="48">
        <v>0.19944001700935393</v>
      </c>
      <c r="AI163" s="48">
        <v>0.23973683243553165</v>
      </c>
      <c r="AJ163" s="48">
        <v>0.32906706003272901</v>
      </c>
      <c r="AK163" s="48">
        <v>0.41930772630005519</v>
      </c>
      <c r="AL163" s="48">
        <v>0.54207770023143664</v>
      </c>
      <c r="AM163" s="48">
        <v>0.66099972800054974</v>
      </c>
      <c r="AN163" s="48">
        <v>0.61652478578801029</v>
      </c>
      <c r="AO163" s="48">
        <v>0.63294309714326713</v>
      </c>
      <c r="AP163" s="48">
        <v>0.63877880812909549</v>
      </c>
      <c r="AQ163" s="48">
        <v>0.69091528163052629</v>
      </c>
      <c r="AR163" s="48">
        <v>0.70654309738280718</v>
      </c>
      <c r="AS163" s="48">
        <v>0.72077034754673019</v>
      </c>
      <c r="AT163" s="48">
        <v>0.76668920596123302</v>
      </c>
      <c r="AU163" s="48">
        <v>0.78315528725691641</v>
      </c>
      <c r="AV163" s="48">
        <v>0.79646917433712572</v>
      </c>
      <c r="AW163" s="48">
        <v>0.80316959721202497</v>
      </c>
      <c r="AX163" s="48">
        <v>0.75750346739263641</v>
      </c>
      <c r="AY163" s="48">
        <v>0.30313660080300453</v>
      </c>
      <c r="AZ163" s="48">
        <v>0.32231003216006887</v>
      </c>
      <c r="BA163" s="48">
        <v>0.33309103501696591</v>
      </c>
      <c r="BB163" s="48">
        <v>0.33896580974927665</v>
      </c>
      <c r="BC163" s="48">
        <v>0.33244587393081709</v>
      </c>
      <c r="BD163" s="48">
        <v>0.3257702498495969</v>
      </c>
      <c r="BE163" s="48">
        <v>0.31723532792907289</v>
      </c>
      <c r="BF163" s="48">
        <v>0.29212721688186133</v>
      </c>
      <c r="BG163" s="48">
        <v>0.28520964313203379</v>
      </c>
      <c r="BH163" s="48">
        <v>0.27698445974822133</v>
      </c>
      <c r="BI163" s="48">
        <v>0.25994889389969367</v>
      </c>
      <c r="BJ163" s="48">
        <v>0.29158519107753811</v>
      </c>
      <c r="BK163" s="48">
        <v>0.50688562241325208</v>
      </c>
      <c r="BL163" s="48">
        <v>0.4891558711628865</v>
      </c>
      <c r="BM163" s="48">
        <v>0.45568520211360974</v>
      </c>
      <c r="BN163" s="48">
        <v>0.42204563302311848</v>
      </c>
      <c r="BO163" s="48">
        <v>0.42676812966484967</v>
      </c>
      <c r="BP163" s="48">
        <v>0.44004444643131058</v>
      </c>
      <c r="BQ163" s="48">
        <v>0.44927975791302693</v>
      </c>
      <c r="BR163" s="48">
        <v>0.4877611242440717</v>
      </c>
      <c r="BS163" s="48">
        <v>0.51055023165776336</v>
      </c>
      <c r="BT163" s="48">
        <v>0.51562617981438374</v>
      </c>
      <c r="BU163" s="48">
        <v>0.50373264837600018</v>
      </c>
      <c r="BV163" s="48">
        <v>0.5925894643617724</v>
      </c>
      <c r="BW163" s="48">
        <v>0.69653617189553907</v>
      </c>
      <c r="BX163" s="48">
        <v>0.69012833777597571</v>
      </c>
      <c r="BY163" s="48">
        <v>0.69585372093788089</v>
      </c>
      <c r="BZ163" s="48">
        <v>0.71799066884819152</v>
      </c>
      <c r="CA163" s="48">
        <v>0.73972009724529231</v>
      </c>
      <c r="CB163" s="48">
        <v>0.75822108840157376</v>
      </c>
      <c r="CC163" s="48">
        <v>0.75585709533766354</v>
      </c>
      <c r="CD163" s="48">
        <v>0.75986612036035661</v>
      </c>
      <c r="CE163" s="48">
        <v>0.76325683582314263</v>
      </c>
      <c r="CF163" s="48">
        <v>0.78271502980452401</v>
      </c>
      <c r="CG163" s="48">
        <v>0.78986040446155215</v>
      </c>
      <c r="CH163" s="48">
        <v>0.73726596291117252</v>
      </c>
      <c r="CI163" s="48">
        <v>0.57413458188045352</v>
      </c>
      <c r="CJ163" s="48">
        <v>0.57848499535360198</v>
      </c>
      <c r="CK163" s="48">
        <v>0.59990423141758231</v>
      </c>
      <c r="CL163" s="48">
        <v>0.6241161337441623</v>
      </c>
      <c r="CM163" s="48">
        <v>0.6367445487842559</v>
      </c>
      <c r="CN163" s="48">
        <v>0.6521555306365252</v>
      </c>
      <c r="CO163" s="48">
        <v>0.6257995839039272</v>
      </c>
      <c r="CP163" s="48">
        <v>0.60060857793060507</v>
      </c>
      <c r="CQ163" s="48">
        <v>0.62663236214273754</v>
      </c>
      <c r="CR163" s="48">
        <v>0.61808945118185654</v>
      </c>
      <c r="CS163" s="48">
        <v>0.62674396292951895</v>
      </c>
      <c r="CT163" s="48">
        <v>0.56843364694560894</v>
      </c>
      <c r="CU163" s="48">
        <v>0.50489840974497446</v>
      </c>
      <c r="CV163" s="48">
        <v>0.47641543192354907</v>
      </c>
      <c r="CW163" s="48">
        <v>0.48716411423117317</v>
      </c>
      <c r="CX163" s="48">
        <v>0.51327845515946513</v>
      </c>
      <c r="CY163" s="48">
        <v>0.48140383972055723</v>
      </c>
      <c r="CZ163" s="48">
        <v>0.44400313946696912</v>
      </c>
      <c r="DA163" s="48">
        <v>0.43834764977378515</v>
      </c>
      <c r="DB163" s="48">
        <v>0.40223166058409637</v>
      </c>
      <c r="DC163" s="48">
        <v>0.43211967982493904</v>
      </c>
      <c r="DD163" s="48">
        <v>0.40429733180025001</v>
      </c>
      <c r="DE163" s="48">
        <v>0.40303343053029073</v>
      </c>
      <c r="DF163" s="48">
        <v>0.38005988840392968</v>
      </c>
    </row>
    <row r="164" spans="1:110" x14ac:dyDescent="0.2">
      <c r="A164" s="46" t="s">
        <v>195</v>
      </c>
      <c r="B164" s="47">
        <f t="shared" si="121"/>
        <v>67.300000000000011</v>
      </c>
      <c r="C164" s="47">
        <f t="shared" si="122"/>
        <v>22.099999999999998</v>
      </c>
      <c r="D164" s="49" t="e">
        <f t="shared" ref="D164:D197" ca="1" si="151">_xludf.STDEV.P(W164:DF164)*100</f>
        <v>#NAME?</v>
      </c>
      <c r="E164" s="47"/>
      <c r="F164" s="48">
        <v>0.76900000000000002</v>
      </c>
      <c r="G164" s="48">
        <v>0.70099999999999996</v>
      </c>
      <c r="H164" s="48">
        <v>0.66300000000000003</v>
      </c>
      <c r="I164" s="48">
        <v>0.54800000000000004</v>
      </c>
      <c r="J164" s="48">
        <v>0.47999999999999993</v>
      </c>
      <c r="K164" s="48">
        <v>0.42299999999999999</v>
      </c>
      <c r="L164" s="48">
        <v>0.29799999999999999</v>
      </c>
      <c r="M164" s="48">
        <v>0.182</v>
      </c>
      <c r="N164" s="48">
        <v>0.192</v>
      </c>
      <c r="O164" s="48">
        <v>0.33600000000000002</v>
      </c>
      <c r="P164" s="48">
        <v>0.28799999999999998</v>
      </c>
      <c r="Q164" s="48">
        <v>9.6000000000000002E-2</v>
      </c>
      <c r="R164" s="48">
        <v>4.8000000000000001E-2</v>
      </c>
      <c r="S164" s="48">
        <v>2.8000000000000001E-2</v>
      </c>
      <c r="T164" s="48">
        <v>1.9E-2</v>
      </c>
      <c r="U164" s="48">
        <v>3.7999999999999999E-2</v>
      </c>
      <c r="V164" s="48">
        <v>0</v>
      </c>
      <c r="W164" s="48">
        <v>8.9999999999999993E-3</v>
      </c>
      <c r="X164" s="48">
        <v>5.7000000000000002E-2</v>
      </c>
      <c r="Y164" s="48">
        <v>0.47099999999999992</v>
      </c>
      <c r="Z164" s="48">
        <v>0.71099999999999997</v>
      </c>
      <c r="AA164" s="48">
        <v>0.68200000000000005</v>
      </c>
      <c r="AB164" s="48">
        <v>0.55700000000000005</v>
      </c>
      <c r="AC164" s="48">
        <v>0.49000000000000005</v>
      </c>
      <c r="AD164" s="48">
        <v>0.69199999999999995</v>
      </c>
      <c r="AE164" s="48">
        <v>0.77800000000000002</v>
      </c>
      <c r="AF164" s="48">
        <v>0.85499999999999998</v>
      </c>
      <c r="AG164" s="48">
        <v>0.90300000000000002</v>
      </c>
      <c r="AH164" s="48">
        <v>0.95099999999999985</v>
      </c>
      <c r="AI164" s="48">
        <v>1</v>
      </c>
      <c r="AJ164" s="48">
        <v>0.97099999999999997</v>
      </c>
      <c r="AK164" s="48">
        <v>0.88400000000000001</v>
      </c>
      <c r="AL164" s="48">
        <v>0.67300000000000004</v>
      </c>
      <c r="AM164" s="48">
        <v>0.73</v>
      </c>
      <c r="AN164" s="48">
        <v>0.89400000000000002</v>
      </c>
      <c r="AO164" s="48">
        <v>0.98000000000000009</v>
      </c>
      <c r="AP164" s="48">
        <v>0.98999999999999988</v>
      </c>
      <c r="AQ164" s="48">
        <v>0.96099999999999997</v>
      </c>
      <c r="AR164" s="48">
        <v>0.92299999999999993</v>
      </c>
      <c r="AS164" s="48">
        <v>0.86499999999999999</v>
      </c>
      <c r="AT164" s="48">
        <v>0.79800000000000004</v>
      </c>
      <c r="AU164" s="48">
        <v>0.65300000000000002</v>
      </c>
      <c r="AV164" s="48">
        <v>0.56699999999999995</v>
      </c>
      <c r="AW164" s="48">
        <v>0.75900000000000001</v>
      </c>
      <c r="AX164" s="48">
        <v>0.82599999999999996</v>
      </c>
      <c r="AY164" s="48">
        <v>0.78800000000000003</v>
      </c>
      <c r="AZ164" s="48">
        <v>0.51900000000000002</v>
      </c>
      <c r="BA164" s="48">
        <v>0.38400000000000001</v>
      </c>
      <c r="BB164" s="48">
        <v>0.317</v>
      </c>
      <c r="BC164" s="48">
        <v>0.21099999999999999</v>
      </c>
      <c r="BD164" s="48">
        <v>0.115</v>
      </c>
      <c r="BE164" s="48">
        <v>8.5999999999999993E-2</v>
      </c>
      <c r="BF164" s="48">
        <v>0.17299999999999999</v>
      </c>
      <c r="BG164" s="48">
        <v>0.221</v>
      </c>
      <c r="BH164" s="48">
        <v>0.23999999999999996</v>
      </c>
      <c r="BI164" s="48">
        <v>0.14399999999999999</v>
      </c>
      <c r="BJ164" s="48">
        <v>0.27800000000000002</v>
      </c>
      <c r="BK164" s="48">
        <v>0.35499999999999998</v>
      </c>
      <c r="BL164" s="48">
        <v>0.375</v>
      </c>
      <c r="BM164" s="48">
        <v>0.32600000000000001</v>
      </c>
      <c r="BN164" s="48">
        <v>0.23</v>
      </c>
      <c r="BO164" s="48">
        <v>0.26900000000000002</v>
      </c>
      <c r="BP164" s="48">
        <v>0.36499999999999999</v>
      </c>
      <c r="BQ164" s="48">
        <v>0.432</v>
      </c>
      <c r="BR164" s="48">
        <v>0.50900000000000001</v>
      </c>
      <c r="BS164" s="48">
        <v>0.53800000000000003</v>
      </c>
      <c r="BT164" s="48">
        <v>0.5</v>
      </c>
      <c r="BU164" s="48">
        <v>0.442</v>
      </c>
      <c r="BV164" s="48">
        <v>0.25900000000000001</v>
      </c>
      <c r="BW164" s="48">
        <v>0.34599999999999997</v>
      </c>
      <c r="BX164" s="48">
        <v>0.40300000000000002</v>
      </c>
      <c r="BY164" s="48">
        <v>0.59599999999999997</v>
      </c>
      <c r="BZ164" s="48">
        <v>0.75</v>
      </c>
      <c r="CA164" s="48">
        <v>0.83599999999999997</v>
      </c>
      <c r="CB164" s="48">
        <v>0.80700000000000005</v>
      </c>
      <c r="CC164" s="48">
        <v>0.74</v>
      </c>
      <c r="CD164" s="48">
        <v>0.64400000000000002</v>
      </c>
      <c r="CE164" s="48">
        <v>0.63400000000000001</v>
      </c>
      <c r="CF164" s="48">
        <v>0.81699999999999995</v>
      </c>
      <c r="CG164" s="48">
        <v>0.875</v>
      </c>
      <c r="CH164" s="48">
        <v>0.94199999999999984</v>
      </c>
      <c r="CI164" s="48">
        <v>0.93199999999999994</v>
      </c>
      <c r="CJ164" s="48">
        <v>0.91300000000000003</v>
      </c>
      <c r="CK164" s="48">
        <v>0.84599999999999997</v>
      </c>
      <c r="CL164" s="48">
        <v>0.72099999999999997</v>
      </c>
      <c r="CM164" s="48">
        <v>0.58599999999999997</v>
      </c>
      <c r="CN164" s="48">
        <v>0.57599999999999996</v>
      </c>
      <c r="CO164" s="48">
        <v>0.60499999999999998</v>
      </c>
      <c r="CP164" s="48">
        <v>0.625</v>
      </c>
      <c r="CQ164" s="48">
        <v>0.61499999999999999</v>
      </c>
      <c r="CR164" s="48">
        <v>0.52800000000000002</v>
      </c>
      <c r="CS164" s="48">
        <v>0.46100000000000008</v>
      </c>
      <c r="CT164" s="48">
        <v>0.45099999999999996</v>
      </c>
      <c r="CU164" s="48">
        <v>0.41299999999999998</v>
      </c>
      <c r="CV164" s="48">
        <v>0.39400000000000002</v>
      </c>
      <c r="CW164" s="48">
        <v>0.307</v>
      </c>
      <c r="CX164" s="48">
        <v>0.25</v>
      </c>
      <c r="CY164" s="48">
        <v>0.20100000000000001</v>
      </c>
      <c r="CZ164" s="48">
        <v>0.153</v>
      </c>
      <c r="DA164" s="48">
        <v>0.125</v>
      </c>
      <c r="DB164" s="48">
        <v>7.5999999999999998E-2</v>
      </c>
      <c r="DC164" s="48">
        <v>0.105</v>
      </c>
      <c r="DD164" s="48">
        <v>0.13400000000000001</v>
      </c>
      <c r="DE164" s="48">
        <v>0.16300000000000001</v>
      </c>
      <c r="DF164" s="48">
        <v>6.7000000000000004E-2</v>
      </c>
    </row>
    <row r="165" spans="1:110" x14ac:dyDescent="0.2">
      <c r="A165" s="46" t="s">
        <v>196</v>
      </c>
      <c r="B165" s="47">
        <f t="shared" si="121"/>
        <v>-22.275000000000002</v>
      </c>
      <c r="C165" s="47">
        <f t="shared" si="122"/>
        <v>0.62500000000000056</v>
      </c>
      <c r="D165" s="49" t="e">
        <f t="shared" ref="D165:D198" ca="1" si="152">_xludf.STDEV.P(W165:DF165)*100</f>
        <v>#NAME?</v>
      </c>
      <c r="E165" s="47"/>
      <c r="F165" s="48">
        <v>0.20775000000000002</v>
      </c>
      <c r="G165" s="48">
        <v>0.187</v>
      </c>
      <c r="H165" s="48">
        <v>0.20199999999999999</v>
      </c>
      <c r="I165" s="48">
        <v>0.20150000000000001</v>
      </c>
      <c r="J165" s="48">
        <v>0.25950000000000001</v>
      </c>
      <c r="K165" s="48">
        <v>0.25275000000000003</v>
      </c>
      <c r="L165" s="48">
        <v>0.32400000000000001</v>
      </c>
      <c r="M165" s="48">
        <v>0.39475000000000005</v>
      </c>
      <c r="N165" s="48">
        <v>0.45524999999999993</v>
      </c>
      <c r="O165" s="48">
        <v>0.40500000000000003</v>
      </c>
      <c r="P165" s="48">
        <v>0.39050000000000007</v>
      </c>
      <c r="Q165" s="48">
        <v>0.43050000000000005</v>
      </c>
      <c r="R165" s="48">
        <v>0.36000000000000004</v>
      </c>
      <c r="S165" s="48">
        <v>0.28824999999999995</v>
      </c>
      <c r="T165" s="48">
        <v>0.23349999999999999</v>
      </c>
      <c r="U165" s="48">
        <v>0.22600000000000001</v>
      </c>
      <c r="V165" s="48">
        <v>0.28875000000000001</v>
      </c>
      <c r="W165" s="48">
        <v>0.38275000000000003</v>
      </c>
      <c r="X165" s="48">
        <v>0.33300000000000002</v>
      </c>
      <c r="Y165" s="48">
        <v>0.1885</v>
      </c>
      <c r="Z165" s="48">
        <v>0.14874999999999999</v>
      </c>
      <c r="AA165" s="48">
        <v>0.13824999999999998</v>
      </c>
      <c r="AB165" s="48">
        <v>9.4750000000000001E-2</v>
      </c>
      <c r="AC165" s="48">
        <v>0.11975</v>
      </c>
      <c r="AD165" s="48">
        <v>0.13725000000000001</v>
      </c>
      <c r="AE165" s="48">
        <v>0.17274999999999999</v>
      </c>
      <c r="AF165" s="48">
        <v>0.17600000000000002</v>
      </c>
      <c r="AG165" s="48">
        <v>0.17475000000000002</v>
      </c>
      <c r="AH165" s="48">
        <v>0.11949999999999998</v>
      </c>
      <c r="AI165" s="48">
        <v>0.11325000000000002</v>
      </c>
      <c r="AJ165" s="48">
        <v>0.12425</v>
      </c>
      <c r="AK165" s="48">
        <v>0.23625000000000002</v>
      </c>
      <c r="AL165" s="48">
        <v>0.32224999999999998</v>
      </c>
      <c r="AM165" s="48">
        <v>0.41749999999999998</v>
      </c>
      <c r="AN165" s="48">
        <v>0.53275000000000006</v>
      </c>
      <c r="AO165" s="48">
        <v>0.58574999999999999</v>
      </c>
      <c r="AP165" s="48">
        <v>0.37775000000000003</v>
      </c>
      <c r="AQ165" s="48">
        <v>0.31900000000000006</v>
      </c>
      <c r="AR165" s="48">
        <v>0.33674999999999999</v>
      </c>
      <c r="AS165" s="48">
        <v>0.52449999999999986</v>
      </c>
      <c r="AT165" s="48">
        <v>0.66949999999999998</v>
      </c>
      <c r="AU165" s="48">
        <v>0.70599999999999996</v>
      </c>
      <c r="AV165" s="48">
        <v>0.628</v>
      </c>
      <c r="AW165" s="48">
        <v>0.58325000000000005</v>
      </c>
      <c r="AX165" s="48">
        <v>0.68049999999999999</v>
      </c>
      <c r="AY165" s="48">
        <v>0.82800000000000007</v>
      </c>
      <c r="AZ165" s="48">
        <v>0.78199999999999992</v>
      </c>
      <c r="BA165" s="48">
        <v>0.76675000000000015</v>
      </c>
      <c r="BB165" s="48">
        <v>0.68625000000000003</v>
      </c>
      <c r="BC165" s="48">
        <v>0.52100000000000002</v>
      </c>
      <c r="BD165" s="48">
        <v>0.45274999999999999</v>
      </c>
      <c r="BE165" s="48">
        <v>0.52149999999999996</v>
      </c>
      <c r="BF165" s="48">
        <v>0.57274999999999998</v>
      </c>
      <c r="BG165" s="48">
        <v>0.48149999999999998</v>
      </c>
      <c r="BH165" s="48">
        <v>0.17699999999999999</v>
      </c>
      <c r="BI165" s="48">
        <v>0.16350000000000001</v>
      </c>
      <c r="BJ165" s="48">
        <v>0.183</v>
      </c>
      <c r="BK165" s="48">
        <v>0.63524999999999998</v>
      </c>
      <c r="BL165" s="48">
        <v>0.76575000000000004</v>
      </c>
      <c r="BM165" s="48">
        <v>0.70850000000000002</v>
      </c>
      <c r="BN165" s="48">
        <v>0.54575000000000007</v>
      </c>
      <c r="BO165" s="48">
        <v>0.48399999999999999</v>
      </c>
      <c r="BP165" s="48">
        <v>0.43324999999999997</v>
      </c>
      <c r="BQ165" s="48">
        <v>0.50075000000000003</v>
      </c>
      <c r="BR165" s="48">
        <v>0.57400000000000007</v>
      </c>
      <c r="BS165" s="48">
        <v>0.59275</v>
      </c>
      <c r="BT165" s="48">
        <v>0.47675000000000001</v>
      </c>
      <c r="BU165" s="48">
        <v>0.48750000000000004</v>
      </c>
      <c r="BV165" s="48">
        <v>0.52700000000000002</v>
      </c>
      <c r="BW165" s="48">
        <v>0.69599999999999995</v>
      </c>
      <c r="BX165" s="48">
        <v>0.75100000000000011</v>
      </c>
      <c r="BY165" s="48">
        <v>0.72850000000000004</v>
      </c>
      <c r="BZ165" s="48">
        <v>0.59575</v>
      </c>
      <c r="CA165" s="48">
        <v>0.48549999999999993</v>
      </c>
      <c r="CB165" s="48">
        <v>0.53475000000000006</v>
      </c>
      <c r="CC165" s="48">
        <v>0.69725000000000004</v>
      </c>
      <c r="CD165" s="48">
        <v>0.748</v>
      </c>
      <c r="CE165" s="48">
        <v>0.71975000000000011</v>
      </c>
      <c r="CF165" s="48">
        <v>0.56899999999999995</v>
      </c>
      <c r="CG165" s="48">
        <v>0.60575000000000001</v>
      </c>
      <c r="CH165" s="48">
        <v>0.71325000000000005</v>
      </c>
      <c r="CI165" s="48">
        <v>0.85075000000000001</v>
      </c>
      <c r="CJ165" s="48">
        <v>0.80650000000000011</v>
      </c>
      <c r="CK165" s="48">
        <v>0.78049999999999997</v>
      </c>
      <c r="CL165" s="48">
        <v>0.72975000000000012</v>
      </c>
      <c r="CM165" s="48">
        <v>0.62475000000000003</v>
      </c>
      <c r="CN165" s="48">
        <v>0.65349999999999997</v>
      </c>
      <c r="CO165" s="48">
        <v>0.7257499999999999</v>
      </c>
      <c r="CP165" s="48">
        <v>0.77600000000000002</v>
      </c>
      <c r="CQ165" s="48">
        <v>0.78299999999999992</v>
      </c>
      <c r="CR165" s="48">
        <v>0.71849999999999992</v>
      </c>
      <c r="CS165" s="48">
        <v>0.52850000000000008</v>
      </c>
      <c r="CT165" s="48">
        <v>0.62</v>
      </c>
      <c r="CU165" s="48">
        <v>0.75475000000000003</v>
      </c>
      <c r="CV165" s="48">
        <v>0.83874999999999988</v>
      </c>
      <c r="CW165" s="48">
        <v>0.84599999999999997</v>
      </c>
      <c r="CX165" s="48">
        <v>0.83849999999999991</v>
      </c>
      <c r="CY165" s="48">
        <v>0.80025000000000002</v>
      </c>
      <c r="CZ165" s="48">
        <v>0.74475000000000002</v>
      </c>
      <c r="DA165" s="48">
        <v>0.74249999999999994</v>
      </c>
      <c r="DB165" s="48">
        <v>0.7327499999999999</v>
      </c>
      <c r="DC165" s="48">
        <v>0.68700000000000006</v>
      </c>
      <c r="DD165" s="48">
        <v>0.54549999999999998</v>
      </c>
      <c r="DE165" s="48">
        <v>0.51175000000000004</v>
      </c>
      <c r="DF165" s="48">
        <v>0.56700000000000006</v>
      </c>
    </row>
    <row r="166" spans="1:110" x14ac:dyDescent="0.2">
      <c r="A166" s="46" t="s">
        <v>197</v>
      </c>
      <c r="B166" s="47">
        <f t="shared" si="121"/>
        <v>-17.574999999999996</v>
      </c>
      <c r="C166" s="47">
        <f t="shared" si="122"/>
        <v>-1.2250000000000094</v>
      </c>
      <c r="D166" s="49" t="e">
        <f t="shared" ref="D166:D199" ca="1" si="153">_xludf.STDEV.P(W166:DF166)*100</f>
        <v>#NAME?</v>
      </c>
      <c r="E166" s="47"/>
      <c r="F166" s="48">
        <v>0.5402499999999999</v>
      </c>
      <c r="G166" s="48">
        <v>0.54049999999999998</v>
      </c>
      <c r="H166" s="48">
        <v>0.54999999999999993</v>
      </c>
      <c r="I166" s="48">
        <v>0.55249999999999999</v>
      </c>
      <c r="J166" s="48">
        <v>0.54275000000000007</v>
      </c>
      <c r="K166" s="48">
        <v>0.54525000000000001</v>
      </c>
      <c r="L166" s="48">
        <v>0.59099999999999997</v>
      </c>
      <c r="M166" s="48">
        <v>0.61499999999999999</v>
      </c>
      <c r="N166" s="48">
        <v>0.71350000000000002</v>
      </c>
      <c r="O166" s="48">
        <v>0.75924999999999998</v>
      </c>
      <c r="P166" s="48">
        <v>0.74724999999999997</v>
      </c>
      <c r="Q166" s="48">
        <v>0.71599999999999986</v>
      </c>
      <c r="R166" s="48">
        <v>0.69674999999999998</v>
      </c>
      <c r="S166" s="48">
        <v>0.67025000000000001</v>
      </c>
      <c r="T166" s="48">
        <v>0.66749999999999998</v>
      </c>
      <c r="U166" s="48">
        <v>0.68450000000000011</v>
      </c>
      <c r="V166" s="48">
        <v>0.70625000000000004</v>
      </c>
      <c r="W166" s="48">
        <v>0.66774999999999995</v>
      </c>
      <c r="X166" s="48">
        <v>0.62675000000000003</v>
      </c>
      <c r="Y166" s="48">
        <v>0.53350000000000009</v>
      </c>
      <c r="Z166" s="48">
        <v>0.34324999999999994</v>
      </c>
      <c r="AA166" s="48">
        <v>0.21099999999999999</v>
      </c>
      <c r="AB166" s="48">
        <v>0.23049999999999998</v>
      </c>
      <c r="AC166" s="48">
        <v>0.24950000000000006</v>
      </c>
      <c r="AD166" s="48">
        <v>0.26150000000000001</v>
      </c>
      <c r="AE166" s="48">
        <v>0.25900000000000001</v>
      </c>
      <c r="AF166" s="48">
        <v>0.23749999999999999</v>
      </c>
      <c r="AG166" s="48">
        <v>0.21350000000000002</v>
      </c>
      <c r="AH166" s="48">
        <v>0.22075</v>
      </c>
      <c r="AI166" s="48">
        <v>0.24024999999999996</v>
      </c>
      <c r="AJ166" s="48">
        <v>0.24475000000000002</v>
      </c>
      <c r="AK166" s="48">
        <v>0.247</v>
      </c>
      <c r="AL166" s="48">
        <v>0.41799999999999998</v>
      </c>
      <c r="AM166" s="48">
        <v>0.54525000000000001</v>
      </c>
      <c r="AN166" s="48">
        <v>0.63400000000000012</v>
      </c>
      <c r="AO166" s="48">
        <v>0.65825</v>
      </c>
      <c r="AP166" s="48">
        <v>0.67749999999999999</v>
      </c>
      <c r="AQ166" s="48">
        <v>0.70150000000000001</v>
      </c>
      <c r="AR166" s="48">
        <v>0.7350000000000001</v>
      </c>
      <c r="AS166" s="48">
        <v>0.76875000000000004</v>
      </c>
      <c r="AT166" s="48">
        <v>0.84574999999999989</v>
      </c>
      <c r="AU166" s="48">
        <v>0.88674999999999993</v>
      </c>
      <c r="AV166" s="48">
        <v>0.77600000000000002</v>
      </c>
      <c r="AW166" s="48">
        <v>0.59599999999999997</v>
      </c>
      <c r="AX166" s="48">
        <v>0.52600000000000002</v>
      </c>
      <c r="AY166" s="48">
        <v>0.42975000000000002</v>
      </c>
      <c r="AZ166" s="48">
        <v>0.20599999999999999</v>
      </c>
      <c r="BA166" s="48">
        <v>0.1895</v>
      </c>
      <c r="BB166" s="48">
        <v>0.17474999999999999</v>
      </c>
      <c r="BC166" s="48">
        <v>0.14875000000000002</v>
      </c>
      <c r="BD166" s="48">
        <v>0.1245</v>
      </c>
      <c r="BE166" s="48">
        <v>9.8250000000000004E-2</v>
      </c>
      <c r="BF166" s="48">
        <v>6.925000000000002E-2</v>
      </c>
      <c r="BG166" s="48">
        <v>5.7499999999999996E-2</v>
      </c>
      <c r="BH166" s="48">
        <v>8.1250000000000003E-2</v>
      </c>
      <c r="BI166" s="48">
        <v>0.10299999999999999</v>
      </c>
      <c r="BJ166" s="48">
        <v>0.2205</v>
      </c>
      <c r="BK166" s="48">
        <v>0.32649999999999996</v>
      </c>
      <c r="BL166" s="48">
        <v>0.51125000000000009</v>
      </c>
      <c r="BM166" s="48">
        <v>0.52600000000000002</v>
      </c>
      <c r="BN166" s="48">
        <v>0.52574999999999994</v>
      </c>
      <c r="BO166" s="48">
        <v>0.54775000000000007</v>
      </c>
      <c r="BP166" s="48">
        <v>0.53574999999999995</v>
      </c>
      <c r="BQ166" s="48">
        <v>0.52100000000000002</v>
      </c>
      <c r="BR166" s="48">
        <v>0.48275000000000007</v>
      </c>
      <c r="BS166" s="48">
        <v>0.47299999999999992</v>
      </c>
      <c r="BT166" s="48">
        <v>0.51874999999999993</v>
      </c>
      <c r="BU166" s="48">
        <v>0.59099999999999997</v>
      </c>
      <c r="BV166" s="48">
        <v>0.64850000000000008</v>
      </c>
      <c r="BW166" s="48">
        <v>0.6147499999999998</v>
      </c>
      <c r="BX166" s="48">
        <v>0.57150000000000001</v>
      </c>
      <c r="BY166" s="48">
        <v>0.57175000000000009</v>
      </c>
      <c r="BZ166" s="48">
        <v>0.54525000000000001</v>
      </c>
      <c r="CA166" s="48">
        <v>0.52849999999999997</v>
      </c>
      <c r="CB166" s="48">
        <v>0.51875000000000004</v>
      </c>
      <c r="CC166" s="48">
        <v>0.52625000000000011</v>
      </c>
      <c r="CD166" s="48">
        <v>0.51849999999999996</v>
      </c>
      <c r="CE166" s="48">
        <v>0.50649999999999995</v>
      </c>
      <c r="CF166" s="48">
        <v>0.48250000000000004</v>
      </c>
      <c r="CG166" s="48">
        <v>0.54774999999999996</v>
      </c>
      <c r="CH166" s="48">
        <v>0.56925000000000003</v>
      </c>
      <c r="CI166" s="48">
        <v>0.59074999999999989</v>
      </c>
      <c r="CJ166" s="48">
        <v>0.64849999999999997</v>
      </c>
      <c r="CK166" s="48">
        <v>0.65099999999999991</v>
      </c>
      <c r="CL166" s="48">
        <v>0.67500000000000004</v>
      </c>
      <c r="CM166" s="48">
        <v>0.71825000000000006</v>
      </c>
      <c r="CN166" s="48">
        <v>0.74475000000000002</v>
      </c>
      <c r="CO166" s="48">
        <v>0.75450000000000006</v>
      </c>
      <c r="CP166" s="48">
        <v>0.75675000000000003</v>
      </c>
      <c r="CQ166" s="48">
        <v>0.74224999999999997</v>
      </c>
      <c r="CR166" s="48">
        <v>0.74224999999999997</v>
      </c>
      <c r="CS166" s="48">
        <v>0.68700000000000006</v>
      </c>
      <c r="CT166" s="48">
        <v>0.65100000000000002</v>
      </c>
      <c r="CU166" s="48">
        <v>0.53324999999999989</v>
      </c>
      <c r="CV166" s="48">
        <v>0.46124999999999999</v>
      </c>
      <c r="CW166" s="48">
        <v>0.42274999999999996</v>
      </c>
      <c r="CX166" s="48">
        <v>0.39600000000000002</v>
      </c>
      <c r="CY166" s="48">
        <v>0.38425000000000004</v>
      </c>
      <c r="CZ166" s="48">
        <v>0.377</v>
      </c>
      <c r="DA166" s="48">
        <v>0.37700000000000006</v>
      </c>
      <c r="DB166" s="48">
        <v>0.38175000000000003</v>
      </c>
      <c r="DC166" s="48">
        <v>0.41025</v>
      </c>
      <c r="DD166" s="48">
        <v>0.41299999999999998</v>
      </c>
      <c r="DE166" s="48">
        <v>0.43675000000000003</v>
      </c>
      <c r="DF166" s="48">
        <v>0.44925000000000004</v>
      </c>
    </row>
    <row r="167" spans="1:110" x14ac:dyDescent="0.2">
      <c r="A167" s="46" t="s">
        <v>198</v>
      </c>
      <c r="B167" s="47">
        <f t="shared" si="121"/>
        <v>-22.100000000000009</v>
      </c>
      <c r="C167" s="47">
        <f t="shared" si="122"/>
        <v>-2.8000000000000025</v>
      </c>
      <c r="D167" s="49" t="e">
        <f t="shared" ref="D167:D200" ca="1" si="154">_xludf.STDEV.P(W167:DF167)*100</f>
        <v>#NAME?</v>
      </c>
      <c r="E167" s="47"/>
      <c r="F167" s="48">
        <v>0.75</v>
      </c>
      <c r="G167" s="48">
        <v>0.75900000000000001</v>
      </c>
      <c r="H167" s="48">
        <v>0.76900000000000002</v>
      </c>
      <c r="I167" s="48">
        <v>0.77800000000000002</v>
      </c>
      <c r="J167" s="48">
        <v>0.78800000000000003</v>
      </c>
      <c r="K167" s="48">
        <v>0.80700000000000005</v>
      </c>
      <c r="L167" s="48">
        <v>0.82599999999999996</v>
      </c>
      <c r="M167" s="48">
        <v>0.84599999999999997</v>
      </c>
      <c r="N167" s="48">
        <v>0.91300000000000003</v>
      </c>
      <c r="O167" s="48">
        <v>1</v>
      </c>
      <c r="P167" s="48">
        <v>0.99</v>
      </c>
      <c r="Q167" s="48">
        <v>0.97100000000000009</v>
      </c>
      <c r="R167" s="48">
        <v>0.94199999999999995</v>
      </c>
      <c r="S167" s="48">
        <v>0.93200000000000016</v>
      </c>
      <c r="T167" s="48">
        <v>0.95099999999999985</v>
      </c>
      <c r="U167" s="48">
        <v>0.98</v>
      </c>
      <c r="V167" s="48">
        <v>0.96100000000000008</v>
      </c>
      <c r="W167" s="48">
        <v>0.92300000000000004</v>
      </c>
      <c r="X167" s="48">
        <v>0.90300000000000002</v>
      </c>
      <c r="Y167" s="48">
        <v>0.85499999999999998</v>
      </c>
      <c r="Z167" s="48">
        <v>0.24</v>
      </c>
      <c r="AA167" s="48">
        <v>0.11499999999999999</v>
      </c>
      <c r="AB167" s="48">
        <v>0.105</v>
      </c>
      <c r="AC167" s="48">
        <v>0.125</v>
      </c>
      <c r="AD167" s="48">
        <v>0.13400000000000001</v>
      </c>
      <c r="AE167" s="48">
        <v>8.5999999999999993E-2</v>
      </c>
      <c r="AF167" s="48">
        <v>6.7000000000000004E-2</v>
      </c>
      <c r="AG167" s="48">
        <v>3.7999999999999999E-2</v>
      </c>
      <c r="AH167" s="48">
        <v>5.7000000000000009E-2</v>
      </c>
      <c r="AI167" s="48">
        <v>0.14399999999999999</v>
      </c>
      <c r="AJ167" s="48">
        <v>0.20100000000000001</v>
      </c>
      <c r="AK167" s="48">
        <v>0.221</v>
      </c>
      <c r="AL167" s="48">
        <v>0.26900000000000002</v>
      </c>
      <c r="AM167" s="48">
        <v>0.25900000000000001</v>
      </c>
      <c r="AN167" s="48">
        <v>0.47099999999999997</v>
      </c>
      <c r="AO167" s="48">
        <v>0.74</v>
      </c>
      <c r="AP167" s="48">
        <v>0.79800000000000004</v>
      </c>
      <c r="AQ167" s="48">
        <v>0.83599999999999997</v>
      </c>
      <c r="AR167" s="48">
        <v>0.86499999999999999</v>
      </c>
      <c r="AS167" s="48">
        <v>0.88400000000000001</v>
      </c>
      <c r="AT167" s="48">
        <v>0.89400000000000002</v>
      </c>
      <c r="AU167" s="48">
        <v>0.875</v>
      </c>
      <c r="AV167" s="48">
        <v>0.81699999999999995</v>
      </c>
      <c r="AW167" s="48">
        <v>0.22999999999999998</v>
      </c>
      <c r="AX167" s="48">
        <v>0.192</v>
      </c>
      <c r="AY167" s="48">
        <v>0.16300000000000001</v>
      </c>
      <c r="AZ167" s="48">
        <v>0.17299999999999999</v>
      </c>
      <c r="BA167" s="48">
        <v>0.153</v>
      </c>
      <c r="BB167" s="48">
        <v>9.6000000000000002E-2</v>
      </c>
      <c r="BC167" s="48">
        <v>6.7000000000000004E-2</v>
      </c>
      <c r="BD167" s="48">
        <v>4.8000000000000001E-2</v>
      </c>
      <c r="BE167" s="48">
        <v>1.9E-2</v>
      </c>
      <c r="BF167" s="48">
        <v>0</v>
      </c>
      <c r="BG167" s="48">
        <v>8.9999999999999993E-3</v>
      </c>
      <c r="BH167" s="48">
        <v>2.8000000000000001E-2</v>
      </c>
      <c r="BI167" s="48">
        <v>0.182</v>
      </c>
      <c r="BJ167" s="48">
        <v>0.21099999999999999</v>
      </c>
      <c r="BK167" s="48">
        <v>0.25</v>
      </c>
      <c r="BL167" s="48">
        <v>0.27800000000000002</v>
      </c>
      <c r="BM167" s="48">
        <v>0.28799999999999998</v>
      </c>
      <c r="BN167" s="48">
        <v>0.307</v>
      </c>
      <c r="BO167" s="48">
        <v>0.33600000000000002</v>
      </c>
      <c r="BP167" s="48">
        <v>0.32600000000000001</v>
      </c>
      <c r="BQ167" s="48">
        <v>0.307</v>
      </c>
      <c r="BR167" s="48">
        <v>0.29799999999999999</v>
      </c>
      <c r="BS167" s="48">
        <v>0.35499999999999998</v>
      </c>
      <c r="BT167" s="48">
        <v>0.375</v>
      </c>
      <c r="BU167" s="48">
        <v>0.59599999999999997</v>
      </c>
      <c r="BV167" s="48">
        <v>0.63400000000000001</v>
      </c>
      <c r="BW167" s="48">
        <v>0.56699999999999995</v>
      </c>
      <c r="BX167" s="48">
        <v>0.46100000000000008</v>
      </c>
      <c r="BY167" s="48">
        <v>0.49</v>
      </c>
      <c r="BZ167" s="48">
        <v>0.51900000000000002</v>
      </c>
      <c r="CA167" s="48">
        <v>0.52800000000000002</v>
      </c>
      <c r="CB167" s="48">
        <v>0.54800000000000004</v>
      </c>
      <c r="CC167" s="48">
        <v>0.55700000000000005</v>
      </c>
      <c r="CD167" s="48">
        <v>0.57599999999999996</v>
      </c>
      <c r="CE167" s="48">
        <v>0.53800000000000003</v>
      </c>
      <c r="CF167" s="48">
        <v>0.442</v>
      </c>
      <c r="CG167" s="48">
        <v>0.34599999999999997</v>
      </c>
      <c r="CH167" s="48">
        <v>0.36499999999999999</v>
      </c>
      <c r="CI167" s="48">
        <v>0.38400000000000001</v>
      </c>
      <c r="CJ167" s="48">
        <v>0.61499999999999999</v>
      </c>
      <c r="CK167" s="48">
        <v>0.60499999999999998</v>
      </c>
      <c r="CL167" s="48">
        <v>0.58599999999999997</v>
      </c>
      <c r="CM167" s="48">
        <v>0.625</v>
      </c>
      <c r="CN167" s="48">
        <v>0.65300000000000002</v>
      </c>
      <c r="CO167" s="48">
        <v>0.68200000000000005</v>
      </c>
      <c r="CP167" s="48">
        <v>0.67300000000000004</v>
      </c>
      <c r="CQ167" s="48">
        <v>0.68200000000000005</v>
      </c>
      <c r="CR167" s="48">
        <v>0.70099999999999996</v>
      </c>
      <c r="CS167" s="48">
        <v>0.73</v>
      </c>
      <c r="CT167" s="48">
        <v>0.72099999999999997</v>
      </c>
      <c r="CU167" s="48">
        <v>0.71099999999999997</v>
      </c>
      <c r="CV167" s="48">
        <v>0.5</v>
      </c>
      <c r="CW167" s="48">
        <v>0.48</v>
      </c>
      <c r="CX167" s="48">
        <v>0.442</v>
      </c>
      <c r="CY167" s="48">
        <v>0.432</v>
      </c>
      <c r="CZ167" s="48">
        <v>0.42299999999999999</v>
      </c>
      <c r="DA167" s="48">
        <v>0.40300000000000002</v>
      </c>
      <c r="DB167" s="48">
        <v>0.40300000000000002</v>
      </c>
      <c r="DC167" s="48">
        <v>0.39400000000000002</v>
      </c>
      <c r="DD167" s="48">
        <v>0.50900000000000001</v>
      </c>
      <c r="DE167" s="48">
        <v>0.64400000000000002</v>
      </c>
      <c r="DF167" s="48">
        <v>0.66300000000000003</v>
      </c>
    </row>
    <row r="168" spans="1:110" x14ac:dyDescent="0.2">
      <c r="A168" s="46" t="s">
        <v>199</v>
      </c>
      <c r="B168" s="47">
        <f t="shared" si="121"/>
        <v>19.199999999999996</v>
      </c>
      <c r="C168" s="47">
        <f t="shared" si="122"/>
        <v>-0.72499999999999787</v>
      </c>
      <c r="D168" s="49" t="e">
        <f t="shared" ref="D168:D201" ca="1" si="155">_xludf.STDEV.P(W168:DF168)*100</f>
        <v>#NAME?</v>
      </c>
      <c r="E168" s="47"/>
      <c r="F168" s="48">
        <v>0.82874999999999999</v>
      </c>
      <c r="G168" s="48">
        <v>0.84799999999999998</v>
      </c>
      <c r="H168" s="48">
        <v>0.84799999999999998</v>
      </c>
      <c r="I168" s="48">
        <v>0.83599999999999997</v>
      </c>
      <c r="J168" s="48">
        <v>0.80249999999999999</v>
      </c>
      <c r="K168" s="48">
        <v>0.79749999999999999</v>
      </c>
      <c r="L168" s="48">
        <v>0.78075000000000006</v>
      </c>
      <c r="M168" s="48">
        <v>0.77100000000000002</v>
      </c>
      <c r="N168" s="48">
        <v>0.76649999999999996</v>
      </c>
      <c r="O168" s="48">
        <v>0.752</v>
      </c>
      <c r="P168" s="48">
        <v>0.68924999999999992</v>
      </c>
      <c r="Q168" s="48">
        <v>0.63675000000000004</v>
      </c>
      <c r="R168" s="48">
        <v>0.622</v>
      </c>
      <c r="S168" s="48">
        <v>0.59099999999999997</v>
      </c>
      <c r="T168" s="48">
        <v>0.57425000000000004</v>
      </c>
      <c r="U168" s="48">
        <v>0.59325000000000006</v>
      </c>
      <c r="V168" s="48">
        <v>0.61499999999999999</v>
      </c>
      <c r="W168" s="48">
        <v>0.62924999999999998</v>
      </c>
      <c r="X168" s="48">
        <v>0.58350000000000002</v>
      </c>
      <c r="Y168" s="48">
        <v>0.56199999999999994</v>
      </c>
      <c r="Z168" s="48">
        <v>0.57425000000000004</v>
      </c>
      <c r="AA168" s="48">
        <v>0.63649999999999995</v>
      </c>
      <c r="AB168" s="48">
        <v>0.70650000000000013</v>
      </c>
      <c r="AC168" s="48">
        <v>0.73975000000000002</v>
      </c>
      <c r="AD168" s="48">
        <v>0.76375000000000004</v>
      </c>
      <c r="AE168" s="48">
        <v>0.79050000000000009</v>
      </c>
      <c r="AF168" s="48">
        <v>0.83875</v>
      </c>
      <c r="AG168" s="48">
        <v>0.87200000000000011</v>
      </c>
      <c r="AH168" s="48">
        <v>0.86724999999999997</v>
      </c>
      <c r="AI168" s="48">
        <v>0.87924999999999998</v>
      </c>
      <c r="AJ168" s="48">
        <v>0.87925000000000009</v>
      </c>
      <c r="AK168" s="48">
        <v>0.88175000000000003</v>
      </c>
      <c r="AL168" s="48">
        <v>0.8892500000000001</v>
      </c>
      <c r="AM168" s="48">
        <v>0.88400000000000001</v>
      </c>
      <c r="AN168" s="48">
        <v>0.89400000000000002</v>
      </c>
      <c r="AO168" s="48">
        <v>0.89124999999999999</v>
      </c>
      <c r="AP168" s="48">
        <v>0.877</v>
      </c>
      <c r="AQ168" s="48">
        <v>0.86025000000000007</v>
      </c>
      <c r="AR168" s="48">
        <v>0.84100000000000008</v>
      </c>
      <c r="AS168" s="48">
        <v>0.82650000000000001</v>
      </c>
      <c r="AT168" s="48">
        <v>0.81199999999999994</v>
      </c>
      <c r="AU168" s="48">
        <v>0.78074999999999994</v>
      </c>
      <c r="AV168" s="48">
        <v>0.73250000000000004</v>
      </c>
      <c r="AW168" s="48">
        <v>0.66300000000000003</v>
      </c>
      <c r="AX168" s="48">
        <v>0.58599999999999997</v>
      </c>
      <c r="AY168" s="48">
        <v>0.54050000000000009</v>
      </c>
      <c r="AZ168" s="48">
        <v>0.49699999999999994</v>
      </c>
      <c r="BA168" s="48">
        <v>0.49249999999999999</v>
      </c>
      <c r="BB168" s="48">
        <v>0.50424999999999998</v>
      </c>
      <c r="BC168" s="48">
        <v>0.49499999999999983</v>
      </c>
      <c r="BD168" s="48">
        <v>0.45400000000000001</v>
      </c>
      <c r="BE168" s="48">
        <v>0.35025000000000001</v>
      </c>
      <c r="BF168" s="48">
        <v>0.30249999999999999</v>
      </c>
      <c r="BG168" s="48">
        <v>0.29299999999999998</v>
      </c>
      <c r="BH168" s="48">
        <v>0.31450000000000006</v>
      </c>
      <c r="BI168" s="48">
        <v>0.35774999999999996</v>
      </c>
      <c r="BJ168" s="48">
        <v>0.37924999999999992</v>
      </c>
      <c r="BK168" s="48">
        <v>0.40100000000000002</v>
      </c>
      <c r="BL168" s="48">
        <v>0.37225000000000003</v>
      </c>
      <c r="BM168" s="48">
        <v>0.35525000000000001</v>
      </c>
      <c r="BN168" s="48">
        <v>0.39150000000000001</v>
      </c>
      <c r="BO168" s="48">
        <v>0.43224999999999997</v>
      </c>
      <c r="BP168" s="48">
        <v>0.39850000000000002</v>
      </c>
      <c r="BQ168" s="48">
        <v>0.32174999999999998</v>
      </c>
      <c r="BR168" s="48">
        <v>0.2545</v>
      </c>
      <c r="BS168" s="48">
        <v>0.23750000000000002</v>
      </c>
      <c r="BT168" s="48">
        <v>0.29525000000000001</v>
      </c>
      <c r="BU168" s="48">
        <v>0.36025000000000001</v>
      </c>
      <c r="BV168" s="48">
        <v>0.41550000000000004</v>
      </c>
      <c r="BW168" s="48">
        <v>0.44424999999999998</v>
      </c>
      <c r="BX168" s="48">
        <v>0.43450000000000005</v>
      </c>
      <c r="BY168" s="48">
        <v>0.44900000000000007</v>
      </c>
      <c r="BZ168" s="48">
        <v>0.46575000000000005</v>
      </c>
      <c r="CA168" s="48">
        <v>0.442</v>
      </c>
      <c r="CB168" s="48">
        <v>0.39624999999999999</v>
      </c>
      <c r="CC168" s="48">
        <v>0.29025000000000001</v>
      </c>
      <c r="CD168" s="48">
        <v>0.21824999999999997</v>
      </c>
      <c r="CE168" s="48">
        <v>0.19425000000000001</v>
      </c>
      <c r="CF168" s="48">
        <v>0.18949999999999997</v>
      </c>
      <c r="CG168" s="48">
        <v>0.24249999999999997</v>
      </c>
      <c r="CH168" s="48">
        <v>0.24</v>
      </c>
      <c r="CI168" s="48">
        <v>0.22774999999999998</v>
      </c>
      <c r="CJ168" s="48">
        <v>0.21099999999999999</v>
      </c>
      <c r="CK168" s="48">
        <v>0.20624999999999999</v>
      </c>
      <c r="CL168" s="48">
        <v>0.23249999999999996</v>
      </c>
      <c r="CM168" s="48">
        <v>0.26149999999999995</v>
      </c>
      <c r="CN168" s="48">
        <v>0.25900000000000006</v>
      </c>
      <c r="CO168" s="48">
        <v>0.24725</v>
      </c>
      <c r="CP168" s="48">
        <v>0.24950000000000006</v>
      </c>
      <c r="CQ168" s="48">
        <v>0.22275</v>
      </c>
      <c r="CR168" s="48">
        <v>0.22800000000000001</v>
      </c>
      <c r="CS168" s="48">
        <v>0.24950000000000006</v>
      </c>
      <c r="CT168" s="48">
        <v>0.25450000000000006</v>
      </c>
      <c r="CU168" s="48">
        <v>0.25674999999999998</v>
      </c>
      <c r="CV168" s="48">
        <v>0.22549999999999998</v>
      </c>
      <c r="CW168" s="48">
        <v>0.22324999999999998</v>
      </c>
      <c r="CX168" s="48">
        <v>0.19425000000000001</v>
      </c>
      <c r="CY168" s="48">
        <v>0.18475</v>
      </c>
      <c r="CZ168" s="48">
        <v>0.17724999999999999</v>
      </c>
      <c r="DA168" s="48">
        <v>0.17024999999999998</v>
      </c>
      <c r="DB168" s="48">
        <v>0.16300000000000001</v>
      </c>
      <c r="DC168" s="48">
        <v>0.158</v>
      </c>
      <c r="DD168" s="48">
        <v>0.16075</v>
      </c>
      <c r="DE168" s="48">
        <v>0.17274999999999999</v>
      </c>
      <c r="DF168" s="48">
        <v>0.18699999999999997</v>
      </c>
    </row>
    <row r="169" spans="1:110" x14ac:dyDescent="0.2">
      <c r="A169" s="46" t="s">
        <v>262</v>
      </c>
      <c r="B169" s="47">
        <f t="shared" si="121"/>
        <v>-23.475000000000009</v>
      </c>
      <c r="C169" s="47">
        <f t="shared" si="122"/>
        <v>1.9249999999999989</v>
      </c>
      <c r="D169" s="49"/>
      <c r="E169" s="47"/>
      <c r="F169" s="48">
        <v>0.31924999999999998</v>
      </c>
      <c r="G169" s="48">
        <v>0.29924999999999996</v>
      </c>
      <c r="H169" s="48">
        <v>0.27749999999999997</v>
      </c>
      <c r="I169" s="48">
        <v>0.3</v>
      </c>
      <c r="J169" s="48">
        <v>0.34099999999999997</v>
      </c>
      <c r="K169" s="48">
        <v>0.39200000000000002</v>
      </c>
      <c r="L169" s="48">
        <v>0.40699999999999997</v>
      </c>
      <c r="M169" s="48">
        <v>0.439</v>
      </c>
      <c r="N169" s="48">
        <v>0.47074999999999995</v>
      </c>
      <c r="O169" s="48">
        <v>0.47449999999999998</v>
      </c>
      <c r="P169" s="48">
        <v>0.48650000000000004</v>
      </c>
      <c r="Q169" s="48">
        <v>0.55400000000000005</v>
      </c>
      <c r="R169" s="48">
        <v>0.58099999999999996</v>
      </c>
      <c r="S169" s="48">
        <v>0.53749999999999998</v>
      </c>
      <c r="T169" s="48">
        <v>0.38500000000000006</v>
      </c>
      <c r="U169" s="48">
        <v>0.27725</v>
      </c>
      <c r="V169" s="48">
        <v>0.26350000000000001</v>
      </c>
      <c r="W169" s="48">
        <v>0.29974999999999996</v>
      </c>
      <c r="X169" s="48">
        <v>0.28300000000000003</v>
      </c>
      <c r="Y169" s="48">
        <v>0.25624999999999998</v>
      </c>
      <c r="Z169" s="48">
        <v>0.22724999999999998</v>
      </c>
      <c r="AA169" s="48">
        <v>0.20525000000000002</v>
      </c>
      <c r="AB169" s="48">
        <v>0.26300000000000001</v>
      </c>
      <c r="AC169" s="48">
        <v>0.33124999999999999</v>
      </c>
      <c r="AD169" s="48">
        <v>0.28599999999999998</v>
      </c>
      <c r="AE169" s="48">
        <v>0.20574999999999999</v>
      </c>
      <c r="AF169" s="48">
        <v>0.19375000000000003</v>
      </c>
      <c r="AG169" s="48">
        <v>0.22150000000000003</v>
      </c>
      <c r="AH169" s="48">
        <v>0.29599999999999999</v>
      </c>
      <c r="AI169" s="48">
        <v>0.32750000000000001</v>
      </c>
      <c r="AJ169" s="48">
        <v>0.35949999999999999</v>
      </c>
      <c r="AK169" s="48">
        <v>0.41974999999999996</v>
      </c>
      <c r="AL169" s="48">
        <v>0.38324999999999998</v>
      </c>
      <c r="AM169" s="48">
        <v>0.39124999999999999</v>
      </c>
      <c r="AN169" s="48">
        <v>0.31399999999999995</v>
      </c>
      <c r="AO169" s="48">
        <v>0.27625</v>
      </c>
      <c r="AP169" s="48">
        <v>0.2555</v>
      </c>
      <c r="AQ169" s="48">
        <v>0.29399999999999998</v>
      </c>
      <c r="AR169" s="48">
        <v>0.38150000000000001</v>
      </c>
      <c r="AS169" s="48">
        <v>0.38449999999999995</v>
      </c>
      <c r="AT169" s="48">
        <v>0.52949999999999997</v>
      </c>
      <c r="AU169" s="48">
        <v>0.7034999999999999</v>
      </c>
      <c r="AV169" s="48">
        <v>0.72624999999999995</v>
      </c>
      <c r="AW169" s="48">
        <v>0.57874999999999999</v>
      </c>
      <c r="AX169" s="48">
        <v>0.42449999999999999</v>
      </c>
      <c r="AY169" s="48">
        <v>0.50975000000000004</v>
      </c>
      <c r="AZ169" s="48">
        <v>0.51649999999999996</v>
      </c>
      <c r="BA169" s="48">
        <v>0.53450000000000009</v>
      </c>
      <c r="BB169" s="48">
        <v>0.57474999999999998</v>
      </c>
      <c r="BC169" s="48">
        <v>0.59699999999999998</v>
      </c>
      <c r="BD169" s="48">
        <v>0.63874999999999993</v>
      </c>
      <c r="BE169" s="48">
        <v>0.63075000000000003</v>
      </c>
      <c r="BF169" s="48">
        <v>0.66650000000000009</v>
      </c>
      <c r="BG169" s="48">
        <v>0.60899999999999987</v>
      </c>
      <c r="BH169" s="48">
        <v>0.52175000000000005</v>
      </c>
      <c r="BI169" s="48">
        <v>0.5</v>
      </c>
      <c r="BJ169" s="48">
        <v>0.48325000000000007</v>
      </c>
      <c r="BK169" s="48">
        <v>0.42774999999999996</v>
      </c>
      <c r="BL169" s="48">
        <v>0.42474999999999996</v>
      </c>
      <c r="BM169" s="48">
        <v>0.42449999999999999</v>
      </c>
      <c r="BN169" s="48">
        <v>0.47924999999999995</v>
      </c>
      <c r="BO169" s="48">
        <v>0.48675000000000002</v>
      </c>
      <c r="BP169" s="48">
        <v>0.45774999999999999</v>
      </c>
      <c r="BQ169" s="48">
        <v>0.46274999999999999</v>
      </c>
      <c r="BR169" s="48">
        <v>0.57799999999999996</v>
      </c>
      <c r="BS169" s="48">
        <v>0.64950000000000008</v>
      </c>
      <c r="BT169" s="48">
        <v>0.68374999999999997</v>
      </c>
      <c r="BU169" s="48">
        <v>0.66225000000000001</v>
      </c>
      <c r="BV169" s="48">
        <v>0.63075000000000003</v>
      </c>
      <c r="BW169" s="48">
        <v>0.57050000000000001</v>
      </c>
      <c r="BX169" s="48">
        <v>0.55299999999999994</v>
      </c>
      <c r="BY169" s="48">
        <v>0.55925000000000002</v>
      </c>
      <c r="BZ169" s="48">
        <v>0.55000000000000004</v>
      </c>
      <c r="CA169" s="48">
        <v>0.50850000000000006</v>
      </c>
      <c r="CB169" s="48">
        <v>0.48200000000000004</v>
      </c>
      <c r="CC169" s="48">
        <v>0.51650000000000007</v>
      </c>
      <c r="CD169" s="48">
        <v>0.56075000000000008</v>
      </c>
      <c r="CE169" s="48">
        <v>0.62024999999999997</v>
      </c>
      <c r="CF169" s="48">
        <v>0.62949999999999984</v>
      </c>
      <c r="CG169" s="48">
        <v>0.6392500000000001</v>
      </c>
      <c r="CH169" s="48">
        <v>0.60675000000000001</v>
      </c>
      <c r="CI169" s="48">
        <v>0.56400000000000006</v>
      </c>
      <c r="CJ169" s="48">
        <v>0.53649999999999998</v>
      </c>
      <c r="CK169" s="48">
        <v>0.52825000000000011</v>
      </c>
      <c r="CL169" s="48">
        <v>0.56399999999999995</v>
      </c>
      <c r="CM169" s="48">
        <v>0.69700000000000006</v>
      </c>
      <c r="CN169" s="48">
        <v>0.76550000000000007</v>
      </c>
      <c r="CO169" s="48">
        <v>0.77124999999999999</v>
      </c>
      <c r="CP169" s="48">
        <v>0.75525000000000009</v>
      </c>
      <c r="CQ169" s="48">
        <v>0.6984999999999999</v>
      </c>
      <c r="CR169" s="48">
        <v>0.64100000000000001</v>
      </c>
      <c r="CS169" s="48">
        <v>0.63649999999999995</v>
      </c>
      <c r="CT169" s="48">
        <v>0.64874999999999994</v>
      </c>
      <c r="CU169" s="48">
        <v>0.68949999999999989</v>
      </c>
      <c r="CV169" s="48">
        <v>0.68525000000000003</v>
      </c>
      <c r="CW169" s="48">
        <v>0.65675000000000006</v>
      </c>
      <c r="CX169" s="48">
        <v>0.57999999999999996</v>
      </c>
      <c r="CY169" s="48">
        <v>0.57425000000000004</v>
      </c>
      <c r="CZ169" s="48">
        <v>0.56800000000000006</v>
      </c>
      <c r="DA169" s="48">
        <v>0.67749999999999988</v>
      </c>
      <c r="DB169" s="48">
        <v>0.70174999999999998</v>
      </c>
      <c r="DC169" s="48">
        <v>0.70174999999999998</v>
      </c>
      <c r="DD169" s="48">
        <v>0.65600000000000003</v>
      </c>
      <c r="DE169" s="48">
        <v>0.625</v>
      </c>
      <c r="DF169" s="48">
        <v>0.62</v>
      </c>
    </row>
    <row r="170" spans="1:110" x14ac:dyDescent="0.2">
      <c r="A170" s="46" t="s">
        <v>263</v>
      </c>
      <c r="B170" s="47">
        <f t="shared" si="121"/>
        <v>-14.200000000000006</v>
      </c>
      <c r="C170" s="47">
        <f t="shared" si="122"/>
        <v>12.233333333333329</v>
      </c>
      <c r="D170" s="49"/>
      <c r="E170" s="47"/>
      <c r="F170" s="48">
        <v>0.42833333333333329</v>
      </c>
      <c r="G170" s="48">
        <v>0.39399999999999996</v>
      </c>
      <c r="H170" s="48">
        <v>0.38866666666666666</v>
      </c>
      <c r="I170" s="48">
        <v>0.30599999999999999</v>
      </c>
      <c r="J170" s="48">
        <v>0.21933333333333332</v>
      </c>
      <c r="K170" s="48">
        <v>0.26266666666666666</v>
      </c>
      <c r="L170" s="48">
        <v>0.1333333333333333</v>
      </c>
      <c r="M170" s="48">
        <v>0.17933333333333332</v>
      </c>
      <c r="N170" s="48">
        <v>0.18399999999999997</v>
      </c>
      <c r="O170" s="48">
        <v>0.375</v>
      </c>
      <c r="P170" s="48">
        <v>0.48399999999999993</v>
      </c>
      <c r="Q170" s="48">
        <v>0.57033333333333336</v>
      </c>
      <c r="R170" s="48">
        <v>0.60833333333333328</v>
      </c>
      <c r="S170" s="48">
        <v>0.51666666666666672</v>
      </c>
      <c r="T170" s="48">
        <v>0.39866666666666661</v>
      </c>
      <c r="U170" s="48">
        <v>0.33033333333333326</v>
      </c>
      <c r="V170" s="48">
        <v>0.52033333333333331</v>
      </c>
      <c r="W170" s="48">
        <v>0.71766666666666667</v>
      </c>
      <c r="X170" s="48">
        <v>0.89666666666666661</v>
      </c>
      <c r="Y170" s="48">
        <v>0.79899999999999993</v>
      </c>
      <c r="Z170" s="48">
        <v>0.67966666666666653</v>
      </c>
      <c r="AA170" s="48">
        <v>0.3803333333333333</v>
      </c>
      <c r="AB170" s="48">
        <v>0.28566666666666662</v>
      </c>
      <c r="AC170" s="48">
        <v>0.24399999999999997</v>
      </c>
      <c r="AD170" s="48">
        <v>0.26199999999999996</v>
      </c>
      <c r="AE170" s="48">
        <v>0.28033333333333332</v>
      </c>
      <c r="AF170" s="48">
        <v>0.43866666666666659</v>
      </c>
      <c r="AG170" s="48">
        <v>0.38699999999999996</v>
      </c>
      <c r="AH170" s="48">
        <v>0.31566666666666665</v>
      </c>
      <c r="AI170" s="48">
        <v>0.22966666666666663</v>
      </c>
      <c r="AJ170" s="48">
        <v>0.29899999999999999</v>
      </c>
      <c r="AK170" s="48">
        <v>0.34466666666666668</v>
      </c>
      <c r="AL170" s="48">
        <v>0.47699999999999992</v>
      </c>
      <c r="AM170" s="48">
        <v>0.4433333333333333</v>
      </c>
      <c r="AN170" s="48">
        <v>0.48899999999999993</v>
      </c>
      <c r="AO170" s="48">
        <v>0.42233333333333323</v>
      </c>
      <c r="AP170" s="48">
        <v>0.45733333333333331</v>
      </c>
      <c r="AQ170" s="48">
        <v>0.49299999999999994</v>
      </c>
      <c r="AR170" s="48">
        <v>0.5086666666666666</v>
      </c>
      <c r="AS170" s="48">
        <v>0.5193333333333332</v>
      </c>
      <c r="AT170" s="48">
        <v>0.66066666666666662</v>
      </c>
      <c r="AU170" s="48">
        <v>0.83133333333333337</v>
      </c>
      <c r="AV170" s="48">
        <v>0.90833333333333321</v>
      </c>
      <c r="AW170" s="48">
        <v>0.90533333333333321</v>
      </c>
      <c r="AX170" s="48">
        <v>0.90233333333333332</v>
      </c>
      <c r="AY170" s="48">
        <v>0.78700000000000003</v>
      </c>
      <c r="AZ170" s="48">
        <v>0.69333333333333325</v>
      </c>
      <c r="BA170" s="48">
        <v>0.61333333333333329</v>
      </c>
      <c r="BB170" s="48">
        <v>0.58633333333333337</v>
      </c>
      <c r="BC170" s="48">
        <v>0.58333333333333326</v>
      </c>
      <c r="BD170" s="48">
        <v>0.55066666666666664</v>
      </c>
      <c r="BE170" s="48">
        <v>0.51466666666666661</v>
      </c>
      <c r="BF170" s="48">
        <v>0.52533333333333332</v>
      </c>
      <c r="BG170" s="48">
        <v>0.48033333333333328</v>
      </c>
      <c r="BH170" s="48">
        <v>0.33966666666666662</v>
      </c>
      <c r="BI170" s="48">
        <v>0.35233333333333328</v>
      </c>
      <c r="BJ170" s="48">
        <v>0.40033333333333332</v>
      </c>
      <c r="BK170" s="48">
        <v>0.51899999999999991</v>
      </c>
      <c r="BL170" s="48">
        <v>0.52533333333333332</v>
      </c>
      <c r="BM170" s="48">
        <v>0.53499999999999992</v>
      </c>
      <c r="BN170" s="48">
        <v>0.53833333333333322</v>
      </c>
      <c r="BO170" s="48">
        <v>0.52866666666666662</v>
      </c>
      <c r="BP170" s="48">
        <v>0.54466666666666652</v>
      </c>
      <c r="BQ170" s="48">
        <v>0.58633333333333326</v>
      </c>
      <c r="BR170" s="48">
        <v>0.61833333333333329</v>
      </c>
      <c r="BS170" s="48">
        <v>0.64100000000000001</v>
      </c>
      <c r="BT170" s="48">
        <v>0.6343333333333333</v>
      </c>
      <c r="BU170" s="48">
        <v>0.62499999999999989</v>
      </c>
      <c r="BV170" s="48">
        <v>0.57366666666666655</v>
      </c>
      <c r="BW170" s="48">
        <v>0.59266666666666667</v>
      </c>
      <c r="BX170" s="48">
        <v>0.57999999999999985</v>
      </c>
      <c r="BY170" s="48">
        <v>0.57033333333333325</v>
      </c>
      <c r="BZ170" s="48">
        <v>0.56399999999999995</v>
      </c>
      <c r="CA170" s="48">
        <v>0.60233333333333339</v>
      </c>
      <c r="CB170" s="48">
        <v>0.56699999999999995</v>
      </c>
      <c r="CC170" s="48">
        <v>0.53200000000000003</v>
      </c>
      <c r="CD170" s="48">
        <v>0.5</v>
      </c>
      <c r="CE170" s="48">
        <v>0.4326666666666667</v>
      </c>
      <c r="CF170" s="48">
        <v>0.42299999999999999</v>
      </c>
      <c r="CG170" s="48">
        <v>0.46133333333333332</v>
      </c>
      <c r="CH170" s="48">
        <v>0.49666666666666665</v>
      </c>
      <c r="CI170" s="48">
        <v>0.5063333333333333</v>
      </c>
      <c r="CJ170" s="48">
        <v>0.43899999999999989</v>
      </c>
      <c r="CK170" s="48">
        <v>0.38433333333333325</v>
      </c>
      <c r="CL170" s="48">
        <v>0.34933333333333327</v>
      </c>
      <c r="CM170" s="48">
        <v>0.35566666666666663</v>
      </c>
      <c r="CN170" s="48">
        <v>0.36833333333333335</v>
      </c>
      <c r="CO170" s="48">
        <v>0.36533333333333329</v>
      </c>
      <c r="CP170" s="48">
        <v>0.37499999999999994</v>
      </c>
      <c r="CQ170" s="48">
        <v>0.378</v>
      </c>
      <c r="CR170" s="48">
        <v>0.41</v>
      </c>
      <c r="CS170" s="48">
        <v>0.42600000000000005</v>
      </c>
      <c r="CT170" s="48">
        <v>0.44199999999999989</v>
      </c>
      <c r="CU170" s="48">
        <v>0.40366666666666662</v>
      </c>
      <c r="CV170" s="48">
        <v>0.5126666666666666</v>
      </c>
      <c r="CW170" s="48">
        <v>0.55766666666666664</v>
      </c>
      <c r="CX170" s="48">
        <v>0.62799999999999989</v>
      </c>
      <c r="CY170" s="48">
        <v>0.61533333333333318</v>
      </c>
      <c r="CZ170" s="48">
        <v>0.59599999999999997</v>
      </c>
      <c r="DA170" s="48">
        <v>0.60566666666666646</v>
      </c>
      <c r="DB170" s="48">
        <v>0.6376666666666666</v>
      </c>
      <c r="DC170" s="48">
        <v>0.65699999999999992</v>
      </c>
      <c r="DD170" s="48">
        <v>0.65033333333333321</v>
      </c>
      <c r="DE170" s="48">
        <v>0.64399999999999979</v>
      </c>
      <c r="DF170" s="48">
        <v>0.55099999999999993</v>
      </c>
    </row>
    <row r="171" spans="1:110" x14ac:dyDescent="0.2"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spans="1:110" s="45" customFormat="1" x14ac:dyDescent="0.2">
      <c r="A172" s="42" t="s">
        <v>2</v>
      </c>
      <c r="B172" s="43" t="s">
        <v>246</v>
      </c>
      <c r="C172" s="44" t="s">
        <v>260</v>
      </c>
      <c r="D172" s="44" t="s">
        <v>258</v>
      </c>
      <c r="E172" s="44">
        <v>45291</v>
      </c>
      <c r="F172" s="44">
        <v>45565</v>
      </c>
      <c r="G172" s="44">
        <v>45535</v>
      </c>
      <c r="H172" s="44">
        <v>45504</v>
      </c>
      <c r="I172" s="44">
        <v>45473</v>
      </c>
      <c r="J172" s="44">
        <v>45443</v>
      </c>
      <c r="K172" s="44">
        <v>45412</v>
      </c>
      <c r="L172" s="44">
        <v>45382</v>
      </c>
      <c r="M172" s="44">
        <v>45351</v>
      </c>
      <c r="N172" s="44">
        <v>45322</v>
      </c>
      <c r="O172" s="44">
        <v>45291</v>
      </c>
      <c r="P172" s="44">
        <v>45260</v>
      </c>
      <c r="Q172" s="44">
        <v>45230</v>
      </c>
      <c r="R172" s="44">
        <v>45199</v>
      </c>
      <c r="S172" s="44">
        <v>45169</v>
      </c>
      <c r="T172" s="44">
        <v>45138</v>
      </c>
      <c r="U172" s="44">
        <v>45107</v>
      </c>
      <c r="V172" s="44">
        <v>45077</v>
      </c>
      <c r="W172" s="44">
        <v>45046</v>
      </c>
      <c r="X172" s="44">
        <v>45016</v>
      </c>
      <c r="Y172" s="44">
        <v>44985</v>
      </c>
      <c r="Z172" s="44">
        <v>44957</v>
      </c>
      <c r="AA172" s="44">
        <v>44926</v>
      </c>
      <c r="AB172" s="44">
        <v>44895</v>
      </c>
      <c r="AC172" s="44">
        <v>44865</v>
      </c>
      <c r="AD172" s="44">
        <v>44834</v>
      </c>
      <c r="AE172" s="44">
        <v>44804</v>
      </c>
      <c r="AF172" s="44">
        <v>44773</v>
      </c>
      <c r="AG172" s="44">
        <v>44742</v>
      </c>
      <c r="AH172" s="44">
        <v>44712</v>
      </c>
      <c r="AI172" s="44">
        <v>44681</v>
      </c>
      <c r="AJ172" s="44">
        <v>44651</v>
      </c>
      <c r="AK172" s="44">
        <v>44620</v>
      </c>
      <c r="AL172" s="44">
        <v>44592</v>
      </c>
      <c r="AM172" s="44">
        <v>44561</v>
      </c>
      <c r="AN172" s="44">
        <v>44530</v>
      </c>
      <c r="AO172" s="44">
        <v>44500</v>
      </c>
      <c r="AP172" s="44">
        <v>44469</v>
      </c>
      <c r="AQ172" s="44">
        <v>44439</v>
      </c>
      <c r="AR172" s="44">
        <v>44408</v>
      </c>
      <c r="AS172" s="44">
        <v>44377</v>
      </c>
      <c r="AT172" s="44">
        <v>44347</v>
      </c>
      <c r="AU172" s="44">
        <v>44316</v>
      </c>
      <c r="AV172" s="44">
        <v>44286</v>
      </c>
      <c r="AW172" s="44">
        <v>44255</v>
      </c>
      <c r="AX172" s="44">
        <v>44227</v>
      </c>
      <c r="AY172" s="44">
        <v>44196</v>
      </c>
      <c r="AZ172" s="44">
        <v>44165</v>
      </c>
      <c r="BA172" s="44">
        <v>44135</v>
      </c>
      <c r="BB172" s="44">
        <v>44104</v>
      </c>
      <c r="BC172" s="44">
        <v>44074</v>
      </c>
      <c r="BD172" s="44">
        <v>44043</v>
      </c>
      <c r="BE172" s="44">
        <v>44012</v>
      </c>
      <c r="BF172" s="44">
        <v>43982</v>
      </c>
      <c r="BG172" s="44">
        <v>43951</v>
      </c>
      <c r="BH172" s="44">
        <v>43921</v>
      </c>
      <c r="BI172" s="44">
        <v>43890</v>
      </c>
      <c r="BJ172" s="44">
        <v>43861</v>
      </c>
      <c r="BK172" s="44">
        <v>43830</v>
      </c>
      <c r="BL172" s="44">
        <v>43799</v>
      </c>
      <c r="BM172" s="44">
        <v>43769</v>
      </c>
      <c r="BN172" s="44">
        <v>43738</v>
      </c>
      <c r="BO172" s="44">
        <v>43708</v>
      </c>
      <c r="BP172" s="44">
        <v>43677</v>
      </c>
      <c r="BQ172" s="44">
        <v>43646</v>
      </c>
      <c r="BR172" s="44">
        <v>43616</v>
      </c>
      <c r="BS172" s="44">
        <v>43585</v>
      </c>
      <c r="BT172" s="44">
        <v>43555</v>
      </c>
      <c r="BU172" s="44">
        <v>43524</v>
      </c>
      <c r="BV172" s="44">
        <v>43496</v>
      </c>
      <c r="BW172" s="44">
        <v>43465</v>
      </c>
      <c r="BX172" s="44">
        <v>43434</v>
      </c>
      <c r="BY172" s="44">
        <v>43404</v>
      </c>
      <c r="BZ172" s="44">
        <v>43373</v>
      </c>
      <c r="CA172" s="44">
        <v>43343</v>
      </c>
      <c r="CB172" s="44">
        <v>43312</v>
      </c>
      <c r="CC172" s="44">
        <v>43281</v>
      </c>
      <c r="CD172" s="44">
        <v>43251</v>
      </c>
      <c r="CE172" s="44">
        <v>43220</v>
      </c>
      <c r="CF172" s="44">
        <v>43190</v>
      </c>
      <c r="CG172" s="44">
        <v>43159</v>
      </c>
      <c r="CH172" s="44">
        <v>43131</v>
      </c>
      <c r="CI172" s="44">
        <v>43100</v>
      </c>
      <c r="CJ172" s="44">
        <v>43069</v>
      </c>
      <c r="CK172" s="44">
        <v>43039</v>
      </c>
      <c r="CL172" s="44">
        <v>43008</v>
      </c>
      <c r="CM172" s="44">
        <v>42978</v>
      </c>
      <c r="CN172" s="44">
        <v>42947</v>
      </c>
      <c r="CO172" s="44">
        <v>42916</v>
      </c>
      <c r="CP172" s="44">
        <v>42886</v>
      </c>
      <c r="CQ172" s="44">
        <v>42855</v>
      </c>
      <c r="CR172" s="44">
        <v>42825</v>
      </c>
      <c r="CS172" s="44">
        <v>42794</v>
      </c>
      <c r="CT172" s="44">
        <v>42766</v>
      </c>
      <c r="CU172" s="44">
        <v>42735</v>
      </c>
      <c r="CV172" s="44">
        <v>42704</v>
      </c>
      <c r="CW172" s="44">
        <v>42674</v>
      </c>
      <c r="CX172" s="44">
        <v>42643</v>
      </c>
      <c r="CY172" s="44">
        <v>42613</v>
      </c>
      <c r="CZ172" s="44">
        <v>42582</v>
      </c>
      <c r="DA172" s="44">
        <v>42551</v>
      </c>
      <c r="DB172" s="44">
        <v>42521</v>
      </c>
      <c r="DC172" s="44">
        <v>42490</v>
      </c>
      <c r="DD172" s="44">
        <v>42460</v>
      </c>
      <c r="DE172" s="44">
        <v>42429</v>
      </c>
      <c r="DF172" s="44">
        <v>42400</v>
      </c>
    </row>
    <row r="173" spans="1:110" x14ac:dyDescent="0.2">
      <c r="A173" s="52" t="s">
        <v>7</v>
      </c>
      <c r="B173" s="47">
        <f t="shared" ref="B173:B236" si="156">(F173-Q173)*100</f>
        <v>1.9000000000000017</v>
      </c>
      <c r="C173" s="47">
        <f t="shared" ref="C173:C236" si="157">(F173-I173)*100</f>
        <v>-23.099999999999998</v>
      </c>
      <c r="D173" s="49" t="e">
        <f t="shared" ref="D173:D204" ca="1" si="158">_xludf.STDEV.P(W173:DF173)*100</f>
        <v>#NAME?</v>
      </c>
      <c r="E173" s="47"/>
      <c r="F173" s="48">
        <v>0.53800000000000003</v>
      </c>
      <c r="G173" s="48">
        <v>0.55700000000000005</v>
      </c>
      <c r="H173" s="48">
        <v>0.65300000000000002</v>
      </c>
      <c r="I173" s="48">
        <v>0.76900000000000002</v>
      </c>
      <c r="J173" s="48">
        <v>0.75</v>
      </c>
      <c r="K173" s="48">
        <v>0.68200000000000005</v>
      </c>
      <c r="L173" s="48">
        <v>0.5</v>
      </c>
      <c r="M173" s="48">
        <v>0.42299999999999999</v>
      </c>
      <c r="N173" s="48">
        <v>0.432</v>
      </c>
      <c r="O173" s="48">
        <v>0.46100000000000002</v>
      </c>
      <c r="P173" s="48">
        <v>0.48</v>
      </c>
      <c r="Q173" s="48">
        <v>0.51900000000000002</v>
      </c>
      <c r="R173" s="48">
        <v>0.54800000000000004</v>
      </c>
      <c r="S173" s="48">
        <v>0.67300000000000004</v>
      </c>
      <c r="T173" s="48">
        <v>0.56699999999999995</v>
      </c>
      <c r="U173" s="48">
        <v>0.45100000000000007</v>
      </c>
      <c r="V173" s="48">
        <v>0.25</v>
      </c>
      <c r="W173" s="48">
        <v>0.182</v>
      </c>
      <c r="X173" s="48">
        <v>0.26900000000000002</v>
      </c>
      <c r="Y173" s="48">
        <v>0.33600000000000002</v>
      </c>
      <c r="Z173" s="48">
        <v>0.36499999999999999</v>
      </c>
      <c r="AA173" s="48">
        <v>0.27800000000000002</v>
      </c>
      <c r="AB173" s="48">
        <v>0.14399999999999996</v>
      </c>
      <c r="AC173" s="48">
        <v>9.6000000000000002E-2</v>
      </c>
      <c r="AD173" s="48">
        <v>8.6000000000000007E-2</v>
      </c>
      <c r="AE173" s="48">
        <v>7.5999999999999998E-2</v>
      </c>
      <c r="AF173" s="48">
        <v>0.125</v>
      </c>
      <c r="AG173" s="48">
        <v>0.24</v>
      </c>
      <c r="AH173" s="48">
        <v>0.442</v>
      </c>
      <c r="AI173" s="48">
        <v>0.50900000000000001</v>
      </c>
      <c r="AJ173" s="48">
        <v>0.63400000000000001</v>
      </c>
      <c r="AK173" s="48">
        <v>0.71099999999999997</v>
      </c>
      <c r="AL173" s="48">
        <v>0.75900000000000001</v>
      </c>
      <c r="AM173" s="48">
        <v>0.77800000000000002</v>
      </c>
      <c r="AN173" s="48">
        <v>0.88400000000000001</v>
      </c>
      <c r="AO173" s="48">
        <v>0.92300000000000004</v>
      </c>
      <c r="AP173" s="48">
        <v>0.93200000000000005</v>
      </c>
      <c r="AQ173" s="48">
        <v>0.91300000000000003</v>
      </c>
      <c r="AR173" s="48">
        <v>0.96099999999999985</v>
      </c>
      <c r="AS173" s="48">
        <v>0.97099999999999997</v>
      </c>
      <c r="AT173" s="48">
        <v>0.99</v>
      </c>
      <c r="AU173" s="48">
        <v>1</v>
      </c>
      <c r="AV173" s="48">
        <v>0.98</v>
      </c>
      <c r="AW173" s="48">
        <v>0.94199999999999995</v>
      </c>
      <c r="AX173" s="48">
        <v>0.78800000000000003</v>
      </c>
      <c r="AY173" s="48">
        <v>0.73</v>
      </c>
      <c r="AZ173" s="48">
        <v>0.70099999999999996</v>
      </c>
      <c r="BA173" s="48">
        <v>0.625</v>
      </c>
      <c r="BB173" s="48">
        <v>0.59599999999999997</v>
      </c>
      <c r="BC173" s="48">
        <v>0.58599999999999997</v>
      </c>
      <c r="BD173" s="48">
        <v>0.52800000000000002</v>
      </c>
      <c r="BE173" s="48">
        <v>0.41299999999999998</v>
      </c>
      <c r="BF173" s="48">
        <v>0.153</v>
      </c>
      <c r="BG173" s="48">
        <v>5.7000000000000002E-2</v>
      </c>
      <c r="BH173" s="48">
        <v>6.7000000000000004E-2</v>
      </c>
      <c r="BI173" s="48">
        <v>0.21099999999999999</v>
      </c>
      <c r="BJ173" s="48">
        <v>0.39400000000000002</v>
      </c>
      <c r="BK173" s="48">
        <v>0.40300000000000002</v>
      </c>
      <c r="BL173" s="48">
        <v>0.375</v>
      </c>
      <c r="BM173" s="48">
        <v>0.317</v>
      </c>
      <c r="BN173" s="48">
        <v>0.307</v>
      </c>
      <c r="BO173" s="48">
        <v>0.32600000000000001</v>
      </c>
      <c r="BP173" s="48">
        <v>0.20100000000000001</v>
      </c>
      <c r="BQ173" s="48">
        <v>0.17299999999999999</v>
      </c>
      <c r="BR173" s="48">
        <v>0.192</v>
      </c>
      <c r="BS173" s="48">
        <v>0.34599999999999997</v>
      </c>
      <c r="BT173" s="48">
        <v>0.35499999999999998</v>
      </c>
      <c r="BU173" s="48">
        <v>0.221</v>
      </c>
      <c r="BV173" s="48">
        <v>0.13400000000000001</v>
      </c>
      <c r="BW173" s="48">
        <v>0.115</v>
      </c>
      <c r="BX173" s="48">
        <v>0.16300000000000001</v>
      </c>
      <c r="BY173" s="48">
        <v>0.23</v>
      </c>
      <c r="BZ173" s="48">
        <v>0.28799999999999992</v>
      </c>
      <c r="CA173" s="48">
        <v>0.38400000000000001</v>
      </c>
      <c r="CB173" s="48">
        <v>0.49</v>
      </c>
      <c r="CC173" s="48">
        <v>0.60499999999999998</v>
      </c>
      <c r="CD173" s="48">
        <v>0.66300000000000014</v>
      </c>
      <c r="CE173" s="48">
        <v>0.61499999999999999</v>
      </c>
      <c r="CF173" s="48">
        <v>0.57599999999999985</v>
      </c>
      <c r="CG173" s="48">
        <v>0.64400000000000002</v>
      </c>
      <c r="CH173" s="48">
        <v>0.69199999999999995</v>
      </c>
      <c r="CI173" s="48">
        <v>0.74</v>
      </c>
      <c r="CJ173" s="48">
        <v>0.83599999999999997</v>
      </c>
      <c r="CK173" s="48">
        <v>0.90300000000000002</v>
      </c>
      <c r="CL173" s="48">
        <v>0.95099999999999996</v>
      </c>
      <c r="CM173" s="48">
        <v>0.89400000000000002</v>
      </c>
      <c r="CN173" s="48">
        <v>0.85499999999999998</v>
      </c>
      <c r="CO173" s="48">
        <v>0.81699999999999995</v>
      </c>
      <c r="CP173" s="48">
        <v>0.80700000000000005</v>
      </c>
      <c r="CQ173" s="48">
        <v>0.79800000000000004</v>
      </c>
      <c r="CR173" s="48">
        <v>0.84599999999999997</v>
      </c>
      <c r="CS173" s="48">
        <v>0.86499999999999999</v>
      </c>
      <c r="CT173" s="48">
        <v>0.875</v>
      </c>
      <c r="CU173" s="48">
        <v>0.82599999999999996</v>
      </c>
      <c r="CV173" s="48">
        <v>0.72099999999999997</v>
      </c>
      <c r="CW173" s="48">
        <v>0.47099999999999997</v>
      </c>
      <c r="CX173" s="48">
        <v>0.29799999999999999</v>
      </c>
      <c r="CY173" s="48">
        <v>0.25900000000000001</v>
      </c>
      <c r="CZ173" s="48">
        <v>0.105</v>
      </c>
      <c r="DA173" s="48">
        <v>2.8000000000000001E-2</v>
      </c>
      <c r="DB173" s="48">
        <v>8.9999999999999976E-3</v>
      </c>
      <c r="DC173" s="48">
        <v>1.9E-2</v>
      </c>
      <c r="DD173" s="48">
        <v>4.8000000000000001E-2</v>
      </c>
      <c r="DE173" s="48">
        <v>3.7999999999999999E-2</v>
      </c>
      <c r="DF173" s="48">
        <v>0</v>
      </c>
    </row>
    <row r="174" spans="1:110" x14ac:dyDescent="0.2">
      <c r="A174" s="52" t="s">
        <v>10</v>
      </c>
      <c r="B174" s="47">
        <f t="shared" si="156"/>
        <v>-7.6999999999999957</v>
      </c>
      <c r="C174" s="47">
        <f t="shared" si="157"/>
        <v>-25.900000000000002</v>
      </c>
      <c r="D174" s="49" t="e">
        <f t="shared" ref="D174:D205" ca="1" si="159">_xludf.STDEV.P(W174:DF174)*100</f>
        <v>#NAME?</v>
      </c>
      <c r="E174" s="47"/>
      <c r="F174" s="48">
        <v>0.42300000000000004</v>
      </c>
      <c r="G174" s="48">
        <v>0.52800000000000002</v>
      </c>
      <c r="H174" s="48">
        <v>0.625</v>
      </c>
      <c r="I174" s="48">
        <v>0.68200000000000005</v>
      </c>
      <c r="J174" s="48">
        <v>0.69199999999999995</v>
      </c>
      <c r="K174" s="48">
        <v>0.65300000000000002</v>
      </c>
      <c r="L174" s="48">
        <v>0.56699999999999995</v>
      </c>
      <c r="M174" s="48">
        <v>0.48000000000000004</v>
      </c>
      <c r="N174" s="48">
        <v>0.39400000000000002</v>
      </c>
      <c r="O174" s="48">
        <v>0.40300000000000002</v>
      </c>
      <c r="P174" s="48">
        <v>0.38400000000000001</v>
      </c>
      <c r="Q174" s="48">
        <v>0.5</v>
      </c>
      <c r="R174" s="48">
        <v>0.49</v>
      </c>
      <c r="S174" s="48">
        <v>0.432</v>
      </c>
      <c r="T174" s="48">
        <v>0.32600000000000001</v>
      </c>
      <c r="U174" s="48">
        <v>0.22099999999999997</v>
      </c>
      <c r="V174" s="48">
        <v>0.11500000000000002</v>
      </c>
      <c r="W174" s="48">
        <v>4.8000000000000001E-2</v>
      </c>
      <c r="X174" s="48">
        <v>1.9E-2</v>
      </c>
      <c r="Y174" s="48">
        <v>8.9999999999999993E-3</v>
      </c>
      <c r="Z174" s="48">
        <v>7.5999999999999998E-2</v>
      </c>
      <c r="AA174" s="48">
        <v>0.20100000000000001</v>
      </c>
      <c r="AB174" s="48">
        <v>0.182</v>
      </c>
      <c r="AC174" s="48">
        <v>5.7000000000000002E-2</v>
      </c>
      <c r="AD174" s="48">
        <v>3.7999999999999999E-2</v>
      </c>
      <c r="AE174" s="48">
        <v>0.105</v>
      </c>
      <c r="AF174" s="48">
        <v>0.28799999999999998</v>
      </c>
      <c r="AG174" s="48">
        <v>0.45100000000000001</v>
      </c>
      <c r="AH174" s="48">
        <v>0.71099999999999997</v>
      </c>
      <c r="AI174" s="48">
        <v>0.78800000000000003</v>
      </c>
      <c r="AJ174" s="48">
        <v>0.89400000000000013</v>
      </c>
      <c r="AK174" s="48">
        <v>0.95099999999999996</v>
      </c>
      <c r="AL174" s="48">
        <v>0.91299999999999992</v>
      </c>
      <c r="AM174" s="48">
        <v>0.8650000000000001</v>
      </c>
      <c r="AN174" s="48">
        <v>0.87500000000000011</v>
      </c>
      <c r="AO174" s="48">
        <v>0.97099999999999997</v>
      </c>
      <c r="AP174" s="48">
        <v>1</v>
      </c>
      <c r="AQ174" s="48">
        <v>0.96099999999999997</v>
      </c>
      <c r="AR174" s="48">
        <v>0.92300000000000015</v>
      </c>
      <c r="AS174" s="48">
        <v>0.94199999999999995</v>
      </c>
      <c r="AT174" s="48">
        <v>0.98</v>
      </c>
      <c r="AU174" s="48">
        <v>0.99</v>
      </c>
      <c r="AV174" s="48">
        <v>0.93199999999999994</v>
      </c>
      <c r="AW174" s="48">
        <v>0.81700000000000006</v>
      </c>
      <c r="AX174" s="48">
        <v>0.74</v>
      </c>
      <c r="AY174" s="48">
        <v>0.70099999999999996</v>
      </c>
      <c r="AZ174" s="48">
        <v>0.72099999999999997</v>
      </c>
      <c r="BA174" s="48">
        <v>0.61499999999999999</v>
      </c>
      <c r="BB174" s="48">
        <v>0.54800000000000004</v>
      </c>
      <c r="BC174" s="48">
        <v>0.53800000000000003</v>
      </c>
      <c r="BD174" s="48">
        <v>0.47099999999999997</v>
      </c>
      <c r="BE174" s="48">
        <v>0.33600000000000002</v>
      </c>
      <c r="BF174" s="48">
        <v>0.17299999999999999</v>
      </c>
      <c r="BG174" s="48">
        <v>9.6000000000000002E-2</v>
      </c>
      <c r="BH174" s="48">
        <v>0.153</v>
      </c>
      <c r="BI174" s="48">
        <v>0.35499999999999998</v>
      </c>
      <c r="BJ174" s="48">
        <v>0.55700000000000005</v>
      </c>
      <c r="BK174" s="48">
        <v>0.58599999999999997</v>
      </c>
      <c r="BL174" s="48">
        <v>0.41299999999999992</v>
      </c>
      <c r="BM174" s="48">
        <v>0.375</v>
      </c>
      <c r="BN174" s="48">
        <v>0.307</v>
      </c>
      <c r="BO174" s="48">
        <v>0.317</v>
      </c>
      <c r="BP174" s="48">
        <v>0.26900000000000002</v>
      </c>
      <c r="BQ174" s="48">
        <v>0.27800000000000002</v>
      </c>
      <c r="BR174" s="48">
        <v>0.25</v>
      </c>
      <c r="BS174" s="48">
        <v>0.29799999999999999</v>
      </c>
      <c r="BT174" s="48">
        <v>0.25900000000000001</v>
      </c>
      <c r="BU174" s="48">
        <v>0.24000000000000002</v>
      </c>
      <c r="BV174" s="48">
        <v>0.21099999999999999</v>
      </c>
      <c r="BW174" s="48">
        <v>0.16300000000000001</v>
      </c>
      <c r="BX174" s="48">
        <v>0.13400000000000001</v>
      </c>
      <c r="BY174" s="48">
        <v>8.5999999999999993E-2</v>
      </c>
      <c r="BZ174" s="48">
        <v>0.125</v>
      </c>
      <c r="CA174" s="48">
        <v>0.192</v>
      </c>
      <c r="CB174" s="48">
        <v>0.36499999999999999</v>
      </c>
      <c r="CC174" s="48">
        <v>0.51900000000000002</v>
      </c>
      <c r="CD174" s="48">
        <v>0.57599999999999996</v>
      </c>
      <c r="CE174" s="48">
        <v>0.50900000000000001</v>
      </c>
      <c r="CF174" s="48">
        <v>0.44199999999999995</v>
      </c>
      <c r="CG174" s="48">
        <v>0.59599999999999997</v>
      </c>
      <c r="CH174" s="48">
        <v>0.63400000000000001</v>
      </c>
      <c r="CI174" s="48">
        <v>0.64400000000000002</v>
      </c>
      <c r="CJ174" s="48">
        <v>0.66300000000000003</v>
      </c>
      <c r="CK174" s="48">
        <v>0.77800000000000002</v>
      </c>
      <c r="CL174" s="48">
        <v>0.83599999999999985</v>
      </c>
      <c r="CM174" s="48">
        <v>0.79800000000000004</v>
      </c>
      <c r="CN174" s="48">
        <v>0.75900000000000001</v>
      </c>
      <c r="CO174" s="48">
        <v>0.67300000000000004</v>
      </c>
      <c r="CP174" s="48">
        <v>0.73</v>
      </c>
      <c r="CQ174" s="48">
        <v>0.76900000000000002</v>
      </c>
      <c r="CR174" s="48">
        <v>0.80700000000000005</v>
      </c>
      <c r="CS174" s="48">
        <v>0.82599999999999985</v>
      </c>
      <c r="CT174" s="48">
        <v>0.84600000000000009</v>
      </c>
      <c r="CU174" s="48">
        <v>0.8839999999999999</v>
      </c>
      <c r="CV174" s="48">
        <v>0.90299999999999991</v>
      </c>
      <c r="CW174" s="48">
        <v>0.85499999999999987</v>
      </c>
      <c r="CX174" s="48">
        <v>0.75</v>
      </c>
      <c r="CY174" s="48">
        <v>0.60499999999999998</v>
      </c>
      <c r="CZ174" s="48">
        <v>0.46100000000000002</v>
      </c>
      <c r="DA174" s="48">
        <v>0.34599999999999997</v>
      </c>
      <c r="DB174" s="48">
        <v>0.23000000000000004</v>
      </c>
      <c r="DC174" s="48">
        <v>0.14399999999999999</v>
      </c>
      <c r="DD174" s="48">
        <v>6.7000000000000004E-2</v>
      </c>
      <c r="DE174" s="48">
        <v>2.8000000000000001E-2</v>
      </c>
      <c r="DF174" s="48">
        <v>0</v>
      </c>
    </row>
    <row r="175" spans="1:110" x14ac:dyDescent="0.2">
      <c r="A175" s="52" t="s">
        <v>13</v>
      </c>
      <c r="B175" s="47">
        <f t="shared" si="156"/>
        <v>12.449999999999994</v>
      </c>
      <c r="C175" s="47">
        <f t="shared" si="157"/>
        <v>-15.850000000000009</v>
      </c>
      <c r="D175" s="49" t="e">
        <f t="shared" ref="D175:D206" ca="1" si="160">_xludf.STDEV.P(W175:DF175)*100</f>
        <v>#NAME?</v>
      </c>
      <c r="E175" s="47"/>
      <c r="F175" s="48">
        <v>0.6339999999999999</v>
      </c>
      <c r="G175" s="48">
        <v>0.72550000000000003</v>
      </c>
      <c r="H175" s="48">
        <v>0.76400000000000001</v>
      </c>
      <c r="I175" s="48">
        <v>0.79249999999999998</v>
      </c>
      <c r="J175" s="48">
        <v>0.72049999999999992</v>
      </c>
      <c r="K175" s="48">
        <v>0.63400000000000001</v>
      </c>
      <c r="L175" s="48">
        <v>0.55700000000000005</v>
      </c>
      <c r="M175" s="48">
        <v>0.51900000000000013</v>
      </c>
      <c r="N175" s="48">
        <v>0.42749999999999999</v>
      </c>
      <c r="O175" s="48">
        <v>0.442</v>
      </c>
      <c r="P175" s="48">
        <v>0.432</v>
      </c>
      <c r="Q175" s="48">
        <v>0.50949999999999995</v>
      </c>
      <c r="R175" s="48">
        <v>0.46150000000000008</v>
      </c>
      <c r="S175" s="48">
        <v>0.45150000000000001</v>
      </c>
      <c r="T175" s="48">
        <v>0.33599999999999997</v>
      </c>
      <c r="U175" s="48">
        <v>0.29299999999999998</v>
      </c>
      <c r="V175" s="48">
        <v>0.21100000000000002</v>
      </c>
      <c r="W175" s="48">
        <v>0.20600000000000002</v>
      </c>
      <c r="X175" s="48">
        <v>0.28299999999999997</v>
      </c>
      <c r="Y175" s="48">
        <v>0.37950000000000006</v>
      </c>
      <c r="Z175" s="48">
        <v>0.41799999999999998</v>
      </c>
      <c r="AA175" s="48">
        <v>0.44649999999999995</v>
      </c>
      <c r="AB175" s="48">
        <v>0.45600000000000002</v>
      </c>
      <c r="AC175" s="48">
        <v>0.46149999999999997</v>
      </c>
      <c r="AD175" s="48">
        <v>0.442</v>
      </c>
      <c r="AE175" s="48">
        <v>0.41750000000000004</v>
      </c>
      <c r="AF175" s="48">
        <v>0.42249999999999999</v>
      </c>
      <c r="AG175" s="48">
        <v>0.442</v>
      </c>
      <c r="AH175" s="48">
        <v>0.58150000000000002</v>
      </c>
      <c r="AI175" s="48">
        <v>0.62949999999999995</v>
      </c>
      <c r="AJ175" s="48">
        <v>0.64400000000000002</v>
      </c>
      <c r="AK175" s="48">
        <v>0.61450000000000005</v>
      </c>
      <c r="AL175" s="48">
        <v>0.60050000000000003</v>
      </c>
      <c r="AM175" s="48">
        <v>0.59550000000000003</v>
      </c>
      <c r="AN175" s="48">
        <v>0.64349999999999996</v>
      </c>
      <c r="AO175" s="48">
        <v>0.60499999999999998</v>
      </c>
      <c r="AP175" s="48">
        <v>0.55249999999999999</v>
      </c>
      <c r="AQ175" s="48">
        <v>0.53799999999999992</v>
      </c>
      <c r="AR175" s="48">
        <v>0.67249999999999999</v>
      </c>
      <c r="AS175" s="48">
        <v>0.74949999999999994</v>
      </c>
      <c r="AT175" s="48">
        <v>0.78300000000000003</v>
      </c>
      <c r="AU175" s="48">
        <v>0.81199999999999994</v>
      </c>
      <c r="AV175" s="48">
        <v>0.79249999999999998</v>
      </c>
      <c r="AW175" s="48">
        <v>0.72550000000000003</v>
      </c>
      <c r="AX175" s="48">
        <v>0.62949999999999995</v>
      </c>
      <c r="AY175" s="48">
        <v>0.45650000000000007</v>
      </c>
      <c r="AZ175" s="48">
        <v>0.38900000000000001</v>
      </c>
      <c r="BA175" s="48">
        <v>0.317</v>
      </c>
      <c r="BB175" s="48">
        <v>0.33149999999999996</v>
      </c>
      <c r="BC175" s="48">
        <v>0.33150000000000002</v>
      </c>
      <c r="BD175" s="48">
        <v>0.30249999999999999</v>
      </c>
      <c r="BE175" s="48">
        <v>0.1295</v>
      </c>
      <c r="BF175" s="48">
        <v>5.6999999999999995E-2</v>
      </c>
      <c r="BG175" s="48">
        <v>3.7999999999999999E-2</v>
      </c>
      <c r="BH175" s="48">
        <v>9.4999999999999998E-3</v>
      </c>
      <c r="BI175" s="48">
        <v>1.4E-2</v>
      </c>
      <c r="BJ175" s="48">
        <v>4.2500000000000003E-2</v>
      </c>
      <c r="BK175" s="48">
        <v>9.0999999999999998E-2</v>
      </c>
      <c r="BL175" s="48">
        <v>0.105</v>
      </c>
      <c r="BM175" s="48">
        <v>0.13899999999999998</v>
      </c>
      <c r="BN175" s="48">
        <v>0.182</v>
      </c>
      <c r="BO175" s="48">
        <v>0.20649999999999999</v>
      </c>
      <c r="BP175" s="48">
        <v>0.16750000000000001</v>
      </c>
      <c r="BQ175" s="48">
        <v>0.14899999999999999</v>
      </c>
      <c r="BR175" s="48">
        <v>0.19200000000000003</v>
      </c>
      <c r="BS175" s="48">
        <v>0.23</v>
      </c>
      <c r="BT175" s="48">
        <v>0.21099999999999997</v>
      </c>
      <c r="BU175" s="48">
        <v>0.158</v>
      </c>
      <c r="BV175" s="48">
        <v>0.14849999999999999</v>
      </c>
      <c r="BW175" s="48">
        <v>0.20150000000000001</v>
      </c>
      <c r="BX175" s="48">
        <v>0.221</v>
      </c>
      <c r="BY175" s="48">
        <v>0.20599999999999999</v>
      </c>
      <c r="BZ175" s="48">
        <v>0.20100000000000001</v>
      </c>
      <c r="CA175" s="48">
        <v>0.36449999999999999</v>
      </c>
      <c r="CB175" s="48">
        <v>0.59550000000000003</v>
      </c>
      <c r="CC175" s="48">
        <v>0.65849999999999997</v>
      </c>
      <c r="CD175" s="48">
        <v>0.70150000000000001</v>
      </c>
      <c r="CE175" s="48">
        <v>0.69199999999999995</v>
      </c>
      <c r="CF175" s="48">
        <v>0.62949999999999995</v>
      </c>
      <c r="CG175" s="48">
        <v>0.61</v>
      </c>
      <c r="CH175" s="48">
        <v>0.56700000000000006</v>
      </c>
      <c r="CI175" s="48">
        <v>0.62</v>
      </c>
      <c r="CJ175" s="48">
        <v>0.81199999999999994</v>
      </c>
      <c r="CK175" s="48">
        <v>0.88449999999999995</v>
      </c>
      <c r="CL175" s="48">
        <v>0.94700000000000006</v>
      </c>
      <c r="CM175" s="48">
        <v>0.94150000000000011</v>
      </c>
      <c r="CN175" s="48">
        <v>0.93199999999999994</v>
      </c>
      <c r="CO175" s="48">
        <v>0.93199999999999994</v>
      </c>
      <c r="CP175" s="48">
        <v>0.9275000000000001</v>
      </c>
      <c r="CQ175" s="48">
        <v>0.93199999999999994</v>
      </c>
      <c r="CR175" s="48">
        <v>0.94700000000000006</v>
      </c>
      <c r="CS175" s="48">
        <v>0.97049999999999981</v>
      </c>
      <c r="CT175" s="48">
        <v>0.995</v>
      </c>
      <c r="CU175" s="48">
        <v>0.995</v>
      </c>
      <c r="CV175" s="48">
        <v>0.9464999999999999</v>
      </c>
      <c r="CW175" s="48">
        <v>0.88449999999999995</v>
      </c>
      <c r="CX175" s="48">
        <v>0.8025000000000001</v>
      </c>
      <c r="CY175" s="48">
        <v>0.64349999999999996</v>
      </c>
      <c r="CZ175" s="48">
        <v>0.442</v>
      </c>
      <c r="DA175" s="48">
        <v>0.33599999999999997</v>
      </c>
      <c r="DB175" s="48">
        <v>0.317</v>
      </c>
      <c r="DC175" s="48">
        <v>0.44700000000000001</v>
      </c>
      <c r="DD175" s="48">
        <v>0.51400000000000001</v>
      </c>
      <c r="DE175" s="48">
        <v>0.42749999999999999</v>
      </c>
      <c r="DF175" s="48">
        <v>0.35550000000000004</v>
      </c>
    </row>
    <row r="176" spans="1:110" x14ac:dyDescent="0.2">
      <c r="A176" s="52" t="s">
        <v>16</v>
      </c>
      <c r="B176" s="47">
        <f t="shared" si="156"/>
        <v>25.999999999999989</v>
      </c>
      <c r="C176" s="47">
        <f t="shared" si="157"/>
        <v>16.399999999999991</v>
      </c>
      <c r="D176" s="49" t="e">
        <f t="shared" ref="D176:D207" ca="1" si="161">_xludf.STDEV.P(W176:DF176)*100</f>
        <v>#NAME?</v>
      </c>
      <c r="E176" s="47"/>
      <c r="F176" s="48">
        <v>0.98999999999999988</v>
      </c>
      <c r="G176" s="48">
        <v>0.94199999999999995</v>
      </c>
      <c r="H176" s="48">
        <v>0.875</v>
      </c>
      <c r="I176" s="48">
        <v>0.82599999999999996</v>
      </c>
      <c r="J176" s="48">
        <v>0.77800000000000002</v>
      </c>
      <c r="K176" s="48">
        <v>0.75900000000000001</v>
      </c>
      <c r="L176" s="48">
        <v>0.68200000000000005</v>
      </c>
      <c r="M176" s="48">
        <v>0.61499999999999999</v>
      </c>
      <c r="N176" s="48">
        <v>0.60499999999999998</v>
      </c>
      <c r="O176" s="48">
        <v>0.66300000000000003</v>
      </c>
      <c r="P176" s="48">
        <v>0.72099999999999997</v>
      </c>
      <c r="Q176" s="48">
        <v>0.73</v>
      </c>
      <c r="R176" s="48">
        <v>0.69199999999999995</v>
      </c>
      <c r="S176" s="48">
        <v>0.67300000000000004</v>
      </c>
      <c r="T176" s="48">
        <v>0.59599999999999997</v>
      </c>
      <c r="U176" s="48">
        <v>0.58599999999999997</v>
      </c>
      <c r="V176" s="48">
        <v>0.5</v>
      </c>
      <c r="W176" s="48">
        <v>0.41299999999999998</v>
      </c>
      <c r="X176" s="48">
        <v>0.317</v>
      </c>
      <c r="Y176" s="48">
        <v>0.32600000000000001</v>
      </c>
      <c r="Z176" s="48">
        <v>0.35499999999999998</v>
      </c>
      <c r="AA176" s="48">
        <v>0.29799999999999999</v>
      </c>
      <c r="AB176" s="48">
        <v>0.13400000000000001</v>
      </c>
      <c r="AC176" s="48">
        <v>5.7000000000000002E-2</v>
      </c>
      <c r="AD176" s="48">
        <v>0.10499999999999998</v>
      </c>
      <c r="AE176" s="48">
        <v>0.14399999999999999</v>
      </c>
      <c r="AF176" s="48">
        <v>0.23</v>
      </c>
      <c r="AG176" s="48">
        <v>0.25</v>
      </c>
      <c r="AH176" s="48">
        <v>0.38400000000000006</v>
      </c>
      <c r="AI176" s="48">
        <v>0.53800000000000003</v>
      </c>
      <c r="AJ176" s="48">
        <v>0.56699999999999995</v>
      </c>
      <c r="AK176" s="48">
        <v>0.432</v>
      </c>
      <c r="AL176" s="48">
        <v>0.26900000000000002</v>
      </c>
      <c r="AM176" s="48">
        <v>0.153</v>
      </c>
      <c r="AN176" s="48">
        <v>7.5999999999999998E-2</v>
      </c>
      <c r="AO176" s="48">
        <v>4.8000000000000008E-2</v>
      </c>
      <c r="AP176" s="48">
        <v>8.9999999999999993E-3</v>
      </c>
      <c r="AQ176" s="48">
        <v>2.8000000000000001E-2</v>
      </c>
      <c r="AR176" s="48">
        <v>0.19200000000000003</v>
      </c>
      <c r="AS176" s="48">
        <v>0.39400000000000002</v>
      </c>
      <c r="AT176" s="48">
        <v>0.46100000000000008</v>
      </c>
      <c r="AU176" s="48">
        <v>0.49</v>
      </c>
      <c r="AV176" s="48">
        <v>0.54800000000000004</v>
      </c>
      <c r="AW176" s="48">
        <v>0.70099999999999996</v>
      </c>
      <c r="AX176" s="48">
        <v>0.79799999999999993</v>
      </c>
      <c r="AY176" s="48">
        <v>0.88400000000000001</v>
      </c>
      <c r="AZ176" s="48">
        <v>0.91300000000000003</v>
      </c>
      <c r="BA176" s="48">
        <v>0.92299999999999993</v>
      </c>
      <c r="BB176" s="48">
        <v>0.93200000000000005</v>
      </c>
      <c r="BC176" s="48">
        <v>0.95099999999999996</v>
      </c>
      <c r="BD176" s="48">
        <v>0.96099999999999985</v>
      </c>
      <c r="BE176" s="48">
        <v>0.98</v>
      </c>
      <c r="BF176" s="48">
        <v>1</v>
      </c>
      <c r="BG176" s="48">
        <v>0.97099999999999997</v>
      </c>
      <c r="BH176" s="48">
        <v>0.90300000000000002</v>
      </c>
      <c r="BI176" s="48">
        <v>0.84599999999999997</v>
      </c>
      <c r="BJ176" s="48">
        <v>0.81699999999999995</v>
      </c>
      <c r="BK176" s="48">
        <v>0.80700000000000005</v>
      </c>
      <c r="BL176" s="48">
        <v>0.83599999999999985</v>
      </c>
      <c r="BM176" s="48">
        <v>0.86499999999999988</v>
      </c>
      <c r="BN176" s="48">
        <v>0.89399999999999991</v>
      </c>
      <c r="BO176" s="48">
        <v>0.85499999999999998</v>
      </c>
      <c r="BP176" s="48">
        <v>0.73999999999999988</v>
      </c>
      <c r="BQ176" s="48">
        <v>0.50900000000000001</v>
      </c>
      <c r="BR176" s="48">
        <v>0.307</v>
      </c>
      <c r="BS176" s="48">
        <v>0.182</v>
      </c>
      <c r="BT176" s="48">
        <v>0.20100000000000001</v>
      </c>
      <c r="BU176" s="48">
        <v>0.21100000000000002</v>
      </c>
      <c r="BV176" s="48">
        <v>0.221</v>
      </c>
      <c r="BW176" s="48">
        <v>0.16300000000000001</v>
      </c>
      <c r="BX176" s="48">
        <v>0.115</v>
      </c>
      <c r="BY176" s="48">
        <v>3.7999999999999999E-2</v>
      </c>
      <c r="BZ176" s="48">
        <v>1.9E-2</v>
      </c>
      <c r="CA176" s="48">
        <v>6.7000000000000004E-2</v>
      </c>
      <c r="CB176" s="48">
        <v>0.24</v>
      </c>
      <c r="CC176" s="48">
        <v>0.36499999999999999</v>
      </c>
      <c r="CD176" s="48">
        <v>0.42299999999999999</v>
      </c>
      <c r="CE176" s="48">
        <v>0.48</v>
      </c>
      <c r="CF176" s="48">
        <v>0.52800000000000002</v>
      </c>
      <c r="CG176" s="48">
        <v>0.57599999999999996</v>
      </c>
      <c r="CH176" s="48">
        <v>0.625</v>
      </c>
      <c r="CI176" s="48">
        <v>0.55700000000000005</v>
      </c>
      <c r="CJ176" s="48">
        <v>0.45099999999999996</v>
      </c>
      <c r="CK176" s="48">
        <v>0.34599999999999997</v>
      </c>
      <c r="CL176" s="48">
        <v>0.25900000000000001</v>
      </c>
      <c r="CM176" s="48">
        <v>9.6000000000000016E-2</v>
      </c>
      <c r="CN176" s="48">
        <v>8.5999999999999993E-2</v>
      </c>
      <c r="CO176" s="48">
        <v>0.125</v>
      </c>
      <c r="CP176" s="48">
        <v>0.27800000000000002</v>
      </c>
      <c r="CQ176" s="48">
        <v>0.28799999999999998</v>
      </c>
      <c r="CR176" s="48">
        <v>0.33600000000000002</v>
      </c>
      <c r="CS176" s="48">
        <v>0.40299999999999997</v>
      </c>
      <c r="CT176" s="48">
        <v>0.51900000000000002</v>
      </c>
      <c r="CU176" s="48">
        <v>0.63400000000000001</v>
      </c>
      <c r="CV176" s="48">
        <v>0.64400000000000002</v>
      </c>
      <c r="CW176" s="48">
        <v>0.71099999999999997</v>
      </c>
      <c r="CX176" s="48">
        <v>0.76899999999999991</v>
      </c>
      <c r="CY176" s="48">
        <v>0.78800000000000003</v>
      </c>
      <c r="CZ176" s="48">
        <v>0.75</v>
      </c>
      <c r="DA176" s="48">
        <v>0.65300000000000002</v>
      </c>
      <c r="DB176" s="48">
        <v>0.47099999999999997</v>
      </c>
      <c r="DC176" s="48">
        <v>0.442</v>
      </c>
      <c r="DD176" s="48">
        <v>0.375</v>
      </c>
      <c r="DE176" s="48">
        <v>0.17299999999999999</v>
      </c>
      <c r="DF176" s="48">
        <v>0</v>
      </c>
    </row>
    <row r="177" spans="1:110" x14ac:dyDescent="0.2">
      <c r="A177" s="52" t="s">
        <v>19</v>
      </c>
      <c r="B177" s="47">
        <f t="shared" si="156"/>
        <v>18.300000000000004</v>
      </c>
      <c r="C177" s="47">
        <f t="shared" si="157"/>
        <v>5.8000000000000052</v>
      </c>
      <c r="D177" s="49" t="e">
        <f t="shared" ref="D177:D208" ca="1" si="162">_xludf.STDEV.P(W177:DF177)*100</f>
        <v>#NAME?</v>
      </c>
      <c r="E177" s="47"/>
      <c r="F177" s="48">
        <v>0.875</v>
      </c>
      <c r="G177" s="48">
        <v>0.85499999999999998</v>
      </c>
      <c r="H177" s="48">
        <v>0.82599999999999996</v>
      </c>
      <c r="I177" s="48">
        <v>0.81699999999999995</v>
      </c>
      <c r="J177" s="48">
        <v>0.72099999999999997</v>
      </c>
      <c r="K177" s="48">
        <v>0.61499999999999999</v>
      </c>
      <c r="L177" s="48">
        <v>0.57599999999999996</v>
      </c>
      <c r="M177" s="48">
        <v>0.52800000000000002</v>
      </c>
      <c r="N177" s="48">
        <v>0.48</v>
      </c>
      <c r="O177" s="48">
        <v>0.51900000000000002</v>
      </c>
      <c r="P177" s="48">
        <v>0.59599999999999997</v>
      </c>
      <c r="Q177" s="48">
        <v>0.69199999999999995</v>
      </c>
      <c r="R177" s="48">
        <v>0.75900000000000001</v>
      </c>
      <c r="S177" s="48">
        <v>0.83599999999999985</v>
      </c>
      <c r="T177" s="48">
        <v>0.73999999999999988</v>
      </c>
      <c r="U177" s="48">
        <v>0.68200000000000005</v>
      </c>
      <c r="V177" s="48">
        <v>0.56699999999999995</v>
      </c>
      <c r="W177" s="48">
        <v>0.47099999999999997</v>
      </c>
      <c r="X177" s="48">
        <v>0.29799999999999999</v>
      </c>
      <c r="Y177" s="48">
        <v>0.307</v>
      </c>
      <c r="Z177" s="48">
        <v>0.46100000000000008</v>
      </c>
      <c r="AA177" s="48">
        <v>0.42299999999999999</v>
      </c>
      <c r="AB177" s="48">
        <v>0.20100000000000001</v>
      </c>
      <c r="AC177" s="48">
        <v>3.7999999999999999E-2</v>
      </c>
      <c r="AD177" s="48">
        <v>2.8000000000000001E-2</v>
      </c>
      <c r="AE177" s="48">
        <v>1.9E-2</v>
      </c>
      <c r="AF177" s="48">
        <v>8.9999999999999993E-3</v>
      </c>
      <c r="AG177" s="48">
        <v>0</v>
      </c>
      <c r="AH177" s="48">
        <v>5.7000000000000002E-2</v>
      </c>
      <c r="AI177" s="48">
        <v>0.182</v>
      </c>
      <c r="AJ177" s="48">
        <v>0.28799999999999998</v>
      </c>
      <c r="AK177" s="48">
        <v>0.21100000000000002</v>
      </c>
      <c r="AL177" s="48">
        <v>0.10499999999999998</v>
      </c>
      <c r="AM177" s="48">
        <v>0.25900000000000001</v>
      </c>
      <c r="AN177" s="48">
        <v>0.35499999999999998</v>
      </c>
      <c r="AO177" s="48">
        <v>0.36499999999999999</v>
      </c>
      <c r="AP177" s="48">
        <v>0.19200000000000003</v>
      </c>
      <c r="AQ177" s="48">
        <v>0.45099999999999996</v>
      </c>
      <c r="AR177" s="48">
        <v>0.76899999999999991</v>
      </c>
      <c r="AS177" s="48">
        <v>0.95099999999999996</v>
      </c>
      <c r="AT177" s="48">
        <v>0.98</v>
      </c>
      <c r="AU177" s="48">
        <v>1</v>
      </c>
      <c r="AV177" s="48">
        <v>0.98999999999999988</v>
      </c>
      <c r="AW177" s="48">
        <v>0.97099999999999997</v>
      </c>
      <c r="AX177" s="48">
        <v>0.96099999999999985</v>
      </c>
      <c r="AY177" s="48">
        <v>0.92299999999999993</v>
      </c>
      <c r="AZ177" s="48">
        <v>0.91300000000000003</v>
      </c>
      <c r="BA177" s="48">
        <v>0.90300000000000002</v>
      </c>
      <c r="BB177" s="48">
        <v>0.94199999999999995</v>
      </c>
      <c r="BC177" s="48">
        <v>0.93200000000000005</v>
      </c>
      <c r="BD177" s="48">
        <v>0.89399999999999991</v>
      </c>
      <c r="BE177" s="48">
        <v>0.79799999999999993</v>
      </c>
      <c r="BF177" s="48">
        <v>0.60499999999999998</v>
      </c>
      <c r="BG177" s="48">
        <v>0.54800000000000004</v>
      </c>
      <c r="BH177" s="48">
        <v>0.53800000000000003</v>
      </c>
      <c r="BI177" s="48">
        <v>0.58599999999999997</v>
      </c>
      <c r="BJ177" s="48">
        <v>0.65300000000000002</v>
      </c>
      <c r="BK177" s="48">
        <v>0.67300000000000004</v>
      </c>
      <c r="BL177" s="48">
        <v>0.73</v>
      </c>
      <c r="BM177" s="48">
        <v>0.80700000000000005</v>
      </c>
      <c r="BN177" s="48">
        <v>0.77800000000000002</v>
      </c>
      <c r="BO177" s="48">
        <v>0.63400000000000001</v>
      </c>
      <c r="BP177" s="48">
        <v>0.49</v>
      </c>
      <c r="BQ177" s="48">
        <v>0.27800000000000002</v>
      </c>
      <c r="BR177" s="48">
        <v>0.153</v>
      </c>
      <c r="BS177" s="48">
        <v>0.16300000000000001</v>
      </c>
      <c r="BT177" s="48">
        <v>0.25</v>
      </c>
      <c r="BU177" s="48">
        <v>0.26900000000000002</v>
      </c>
      <c r="BV177" s="48">
        <v>0.23</v>
      </c>
      <c r="BW177" s="48">
        <v>0.125</v>
      </c>
      <c r="BX177" s="48">
        <v>9.6000000000000016E-2</v>
      </c>
      <c r="BY177" s="48">
        <v>4.8000000000000008E-2</v>
      </c>
      <c r="BZ177" s="48">
        <v>6.7000000000000004E-2</v>
      </c>
      <c r="CA177" s="48">
        <v>0.14399999999999999</v>
      </c>
      <c r="CB177" s="48">
        <v>0.317</v>
      </c>
      <c r="CC177" s="48">
        <v>0.41299999999999998</v>
      </c>
      <c r="CD177" s="48">
        <v>0.38400000000000006</v>
      </c>
      <c r="CE177" s="48">
        <v>0.33600000000000002</v>
      </c>
      <c r="CF177" s="48">
        <v>0.24</v>
      </c>
      <c r="CG177" s="48">
        <v>0.375</v>
      </c>
      <c r="CH177" s="48">
        <v>0.40299999999999997</v>
      </c>
      <c r="CI177" s="48">
        <v>0.442</v>
      </c>
      <c r="CJ177" s="48">
        <v>0.39400000000000002</v>
      </c>
      <c r="CK177" s="48">
        <v>0.32600000000000001</v>
      </c>
      <c r="CL177" s="48">
        <v>0.17299999999999999</v>
      </c>
      <c r="CM177" s="48">
        <v>7.5999999999999998E-2</v>
      </c>
      <c r="CN177" s="48">
        <v>0.115</v>
      </c>
      <c r="CO177" s="48">
        <v>0.221</v>
      </c>
      <c r="CP177" s="48">
        <v>0.5</v>
      </c>
      <c r="CQ177" s="48">
        <v>0.55700000000000005</v>
      </c>
      <c r="CR177" s="48">
        <v>0.64400000000000002</v>
      </c>
      <c r="CS177" s="48">
        <v>0.70099999999999996</v>
      </c>
      <c r="CT177" s="48">
        <v>0.71099999999999997</v>
      </c>
      <c r="CU177" s="48">
        <v>0.75</v>
      </c>
      <c r="CV177" s="48">
        <v>0.66300000000000003</v>
      </c>
      <c r="CW177" s="48">
        <v>0.78800000000000003</v>
      </c>
      <c r="CX177" s="48">
        <v>0.86499999999999988</v>
      </c>
      <c r="CY177" s="48">
        <v>0.88400000000000001</v>
      </c>
      <c r="CZ177" s="48">
        <v>0.84599999999999997</v>
      </c>
      <c r="DA177" s="48">
        <v>0.625</v>
      </c>
      <c r="DB177" s="48">
        <v>0.50900000000000001</v>
      </c>
      <c r="DC177" s="48">
        <v>0.432</v>
      </c>
      <c r="DD177" s="48">
        <v>0.34599999999999997</v>
      </c>
      <c r="DE177" s="48">
        <v>0.13400000000000001</v>
      </c>
      <c r="DF177" s="48">
        <v>8.5999999999999993E-2</v>
      </c>
    </row>
    <row r="178" spans="1:110" x14ac:dyDescent="0.2">
      <c r="A178" s="52" t="s">
        <v>22</v>
      </c>
      <c r="B178" s="47">
        <f t="shared" si="156"/>
        <v>-15.400000000000002</v>
      </c>
      <c r="C178" s="47">
        <f t="shared" si="157"/>
        <v>4.8000000000000043</v>
      </c>
      <c r="D178" s="49" t="e">
        <f t="shared" ref="D178:D209" ca="1" si="163">_xludf.STDEV.P(W178:DF178)*100</f>
        <v>#NAME?</v>
      </c>
      <c r="E178" s="47"/>
      <c r="F178" s="48">
        <v>0.61499999999999999</v>
      </c>
      <c r="G178" s="48">
        <v>0.55700000000000005</v>
      </c>
      <c r="H178" s="48">
        <v>0.52800000000000002</v>
      </c>
      <c r="I178" s="48">
        <v>0.56699999999999995</v>
      </c>
      <c r="J178" s="48">
        <v>0.625</v>
      </c>
      <c r="K178" s="48">
        <v>0.59599999999999997</v>
      </c>
      <c r="L178" s="48">
        <v>0.54800000000000004</v>
      </c>
      <c r="M178" s="48">
        <v>0.58599999999999997</v>
      </c>
      <c r="N178" s="48">
        <v>0.65300000000000002</v>
      </c>
      <c r="O178" s="48">
        <v>0.67300000000000004</v>
      </c>
      <c r="P178" s="48">
        <v>0.74</v>
      </c>
      <c r="Q178" s="48">
        <v>0.76900000000000002</v>
      </c>
      <c r="R178" s="48">
        <v>0.75</v>
      </c>
      <c r="S178" s="48">
        <v>0.71099999999999997</v>
      </c>
      <c r="T178" s="48">
        <v>0.69199999999999995</v>
      </c>
      <c r="U178" s="48">
        <v>0.68200000000000005</v>
      </c>
      <c r="V178" s="48">
        <v>0.70099999999999996</v>
      </c>
      <c r="W178" s="48">
        <v>0.72099999999999997</v>
      </c>
      <c r="X178" s="48">
        <v>0.82599999999999996</v>
      </c>
      <c r="Y178" s="48">
        <v>0.85499999999999998</v>
      </c>
      <c r="Z178" s="48">
        <v>0.90300000000000002</v>
      </c>
      <c r="AA178" s="48">
        <v>0.89400000000000002</v>
      </c>
      <c r="AB178" s="48">
        <v>0.88400000000000001</v>
      </c>
      <c r="AC178" s="48">
        <v>0.84599999999999997</v>
      </c>
      <c r="AD178" s="48">
        <v>0.875</v>
      </c>
      <c r="AE178" s="48">
        <v>0.91299999999999992</v>
      </c>
      <c r="AF178" s="48">
        <v>0.93200000000000005</v>
      </c>
      <c r="AG178" s="48">
        <v>0.95099999999999996</v>
      </c>
      <c r="AH178" s="48">
        <v>0.96099999999999997</v>
      </c>
      <c r="AI178" s="48">
        <v>0.97099999999999997</v>
      </c>
      <c r="AJ178" s="48">
        <v>0.9900000000000001</v>
      </c>
      <c r="AK178" s="48">
        <v>1</v>
      </c>
      <c r="AL178" s="48">
        <v>0.98</v>
      </c>
      <c r="AM178" s="48">
        <v>0.94200000000000006</v>
      </c>
      <c r="AN178" s="48">
        <v>0.92300000000000004</v>
      </c>
      <c r="AO178" s="48">
        <v>0.86499999999999988</v>
      </c>
      <c r="AP178" s="48">
        <v>0.83599999999999997</v>
      </c>
      <c r="AQ178" s="48">
        <v>0.81699999999999984</v>
      </c>
      <c r="AR178" s="48">
        <v>0.78800000000000003</v>
      </c>
      <c r="AS178" s="48">
        <v>0.73</v>
      </c>
      <c r="AT178" s="48">
        <v>0.75900000000000012</v>
      </c>
      <c r="AU178" s="48">
        <v>0.79800000000000004</v>
      </c>
      <c r="AV178" s="48">
        <v>0.80700000000000016</v>
      </c>
      <c r="AW178" s="48">
        <v>0.77800000000000002</v>
      </c>
      <c r="AX178" s="48">
        <v>0.66300000000000003</v>
      </c>
      <c r="AY178" s="48">
        <v>0.64400000000000002</v>
      </c>
      <c r="AZ178" s="48">
        <v>0.53800000000000003</v>
      </c>
      <c r="BA178" s="48">
        <v>0.51900000000000002</v>
      </c>
      <c r="BB178" s="48">
        <v>0.49</v>
      </c>
      <c r="BC178" s="48">
        <v>0.47100000000000003</v>
      </c>
      <c r="BD178" s="48">
        <v>0.432</v>
      </c>
      <c r="BE178" s="48">
        <v>0.35499999999999998</v>
      </c>
      <c r="BF178" s="48">
        <v>0.28799999999999998</v>
      </c>
      <c r="BG178" s="48">
        <v>0.25</v>
      </c>
      <c r="BH178" s="48">
        <v>0.25900000000000001</v>
      </c>
      <c r="BI178" s="48">
        <v>0.29799999999999999</v>
      </c>
      <c r="BJ178" s="48">
        <v>0.26900000000000002</v>
      </c>
      <c r="BK178" s="48">
        <v>0.23</v>
      </c>
      <c r="BL178" s="48">
        <v>0.317</v>
      </c>
      <c r="BM178" s="48">
        <v>0.38399999999999995</v>
      </c>
      <c r="BN178" s="48">
        <v>0.442</v>
      </c>
      <c r="BO178" s="48">
        <v>0.45100000000000001</v>
      </c>
      <c r="BP178" s="48">
        <v>0.50900000000000001</v>
      </c>
      <c r="BQ178" s="48">
        <v>0.46100000000000002</v>
      </c>
      <c r="BR178" s="48">
        <v>0.39400000000000002</v>
      </c>
      <c r="BS178" s="48">
        <v>0.17299999999999999</v>
      </c>
      <c r="BT178" s="48">
        <v>0.16300000000000001</v>
      </c>
      <c r="BU178" s="48">
        <v>0.182</v>
      </c>
      <c r="BV178" s="48">
        <v>0.21099999999999999</v>
      </c>
      <c r="BW178" s="48">
        <v>0.19199999999999998</v>
      </c>
      <c r="BX178" s="48">
        <v>0.20100000000000004</v>
      </c>
      <c r="BY178" s="48">
        <v>0.221</v>
      </c>
      <c r="BZ178" s="48">
        <v>0.24</v>
      </c>
      <c r="CA178" s="48">
        <v>0.27800000000000002</v>
      </c>
      <c r="CB178" s="48">
        <v>0.33600000000000002</v>
      </c>
      <c r="CC178" s="48">
        <v>0.34599999999999997</v>
      </c>
      <c r="CD178" s="48">
        <v>0.36499999999999999</v>
      </c>
      <c r="CE178" s="48">
        <v>0.41299999999999998</v>
      </c>
      <c r="CF178" s="48">
        <v>0.42299999999999999</v>
      </c>
      <c r="CG178" s="48">
        <v>0.40300000000000002</v>
      </c>
      <c r="CH178" s="48">
        <v>0.32600000000000001</v>
      </c>
      <c r="CI178" s="48">
        <v>0.375</v>
      </c>
      <c r="CJ178" s="48">
        <v>0.48</v>
      </c>
      <c r="CK178" s="48">
        <v>0.57599999999999996</v>
      </c>
      <c r="CL178" s="48">
        <v>0.63400000000000001</v>
      </c>
      <c r="CM178" s="48">
        <v>0.60499999999999998</v>
      </c>
      <c r="CN178" s="48">
        <v>0.5</v>
      </c>
      <c r="CO178" s="48">
        <v>0.307</v>
      </c>
      <c r="CP178" s="48">
        <v>0.153</v>
      </c>
      <c r="CQ178" s="48">
        <v>0.14399999999999999</v>
      </c>
      <c r="CR178" s="48">
        <v>0.13400000000000001</v>
      </c>
      <c r="CS178" s="48">
        <v>0.115</v>
      </c>
      <c r="CT178" s="48">
        <v>5.7000000000000002E-2</v>
      </c>
      <c r="CU178" s="48">
        <v>3.7999999999999999E-2</v>
      </c>
      <c r="CV178" s="48">
        <v>1.9E-2</v>
      </c>
      <c r="CW178" s="48">
        <v>0</v>
      </c>
      <c r="CX178" s="48">
        <v>8.9999999999999993E-3</v>
      </c>
      <c r="CY178" s="48">
        <v>2.7999999999999997E-2</v>
      </c>
      <c r="CZ178" s="48">
        <v>6.7000000000000004E-2</v>
      </c>
      <c r="DA178" s="48">
        <v>0.105</v>
      </c>
      <c r="DB178" s="48">
        <v>9.5999999999999988E-2</v>
      </c>
      <c r="DC178" s="48">
        <v>7.5999999999999998E-2</v>
      </c>
      <c r="DD178" s="48">
        <v>4.7999999999999994E-2</v>
      </c>
      <c r="DE178" s="48">
        <v>8.5999999999999993E-2</v>
      </c>
      <c r="DF178" s="48">
        <v>0.125</v>
      </c>
    </row>
    <row r="179" spans="1:110" x14ac:dyDescent="0.2">
      <c r="A179" s="52" t="s">
        <v>25</v>
      </c>
      <c r="B179" s="47">
        <f t="shared" si="156"/>
        <v>10.599999999999998</v>
      </c>
      <c r="C179" s="47">
        <f t="shared" si="157"/>
        <v>-11.5</v>
      </c>
      <c r="D179" s="49" t="e">
        <f t="shared" ref="D179:D210" ca="1" si="164">_xludf.STDEV.P(W179:DF179)*100</f>
        <v>#NAME?</v>
      </c>
      <c r="E179" s="47"/>
      <c r="F179" s="48">
        <v>0.625</v>
      </c>
      <c r="G179" s="48">
        <v>0.61499999999999999</v>
      </c>
      <c r="H179" s="48">
        <v>0.64400000000000002</v>
      </c>
      <c r="I179" s="48">
        <v>0.74</v>
      </c>
      <c r="J179" s="48">
        <v>0.75900000000000012</v>
      </c>
      <c r="K179" s="48">
        <v>0.67300000000000004</v>
      </c>
      <c r="L179" s="48">
        <v>0.53800000000000003</v>
      </c>
      <c r="M179" s="48">
        <v>0.432</v>
      </c>
      <c r="N179" s="48">
        <v>0.45100000000000001</v>
      </c>
      <c r="O179" s="48">
        <v>0.52800000000000002</v>
      </c>
      <c r="P179" s="48">
        <v>0.57599999999999996</v>
      </c>
      <c r="Q179" s="48">
        <v>0.51900000000000002</v>
      </c>
      <c r="R179" s="48">
        <v>0.48</v>
      </c>
      <c r="S179" s="48">
        <v>0.47100000000000003</v>
      </c>
      <c r="T179" s="48">
        <v>0.54800000000000004</v>
      </c>
      <c r="U179" s="48">
        <v>0.55700000000000005</v>
      </c>
      <c r="V179" s="48">
        <v>0.442</v>
      </c>
      <c r="W179" s="48">
        <v>0.34599999999999997</v>
      </c>
      <c r="X179" s="48">
        <v>0.317</v>
      </c>
      <c r="Y179" s="48">
        <v>0.35499999999999998</v>
      </c>
      <c r="Z179" s="48">
        <v>0.39400000000000002</v>
      </c>
      <c r="AA179" s="48">
        <v>0.375</v>
      </c>
      <c r="AB179" s="48">
        <v>0.33600000000000002</v>
      </c>
      <c r="AC179" s="48">
        <v>0.36499999999999999</v>
      </c>
      <c r="AD179" s="48">
        <v>0.38399999999999995</v>
      </c>
      <c r="AE179" s="48">
        <v>0.46100000000000002</v>
      </c>
      <c r="AF179" s="48">
        <v>0.49</v>
      </c>
      <c r="AG179" s="48">
        <v>0.58599999999999997</v>
      </c>
      <c r="AH179" s="48">
        <v>0.71099999999999997</v>
      </c>
      <c r="AI179" s="48">
        <v>0.76900000000000002</v>
      </c>
      <c r="AJ179" s="48">
        <v>0.81699999999999984</v>
      </c>
      <c r="AK179" s="48">
        <v>0.82599999999999996</v>
      </c>
      <c r="AL179" s="48">
        <v>0.83599999999999997</v>
      </c>
      <c r="AM179" s="48">
        <v>0.84599999999999997</v>
      </c>
      <c r="AN179" s="48">
        <v>0.86499999999999988</v>
      </c>
      <c r="AO179" s="48">
        <v>0.875</v>
      </c>
      <c r="AP179" s="48">
        <v>0.90300000000000002</v>
      </c>
      <c r="AQ179" s="48">
        <v>0.88400000000000001</v>
      </c>
      <c r="AR179" s="48">
        <v>0.85499999999999998</v>
      </c>
      <c r="AS179" s="48">
        <v>0.79800000000000004</v>
      </c>
      <c r="AT179" s="48">
        <v>0.77800000000000002</v>
      </c>
      <c r="AU179" s="48">
        <v>0.72099999999999997</v>
      </c>
      <c r="AV179" s="48">
        <v>0.59599999999999997</v>
      </c>
      <c r="AW179" s="48">
        <v>0.41299999999999998</v>
      </c>
      <c r="AX179" s="48">
        <v>0.32600000000000001</v>
      </c>
      <c r="AY179" s="48">
        <v>0.29799999999999999</v>
      </c>
      <c r="AZ179" s="48">
        <v>0.25900000000000001</v>
      </c>
      <c r="BA179" s="48">
        <v>0.307</v>
      </c>
      <c r="BB179" s="48">
        <v>0.40300000000000002</v>
      </c>
      <c r="BC179" s="48">
        <v>0.56699999999999995</v>
      </c>
      <c r="BD179" s="48">
        <v>0.42299999999999999</v>
      </c>
      <c r="BE179" s="48">
        <v>0.26900000000000002</v>
      </c>
      <c r="BF179" s="48">
        <v>0.105</v>
      </c>
      <c r="BG179" s="48">
        <v>8.5999999999999993E-2</v>
      </c>
      <c r="BH179" s="48">
        <v>0.16300000000000001</v>
      </c>
      <c r="BI179" s="48">
        <v>0.21099999999999999</v>
      </c>
      <c r="BJ179" s="48">
        <v>0.23</v>
      </c>
      <c r="BK179" s="48">
        <v>0.19199999999999998</v>
      </c>
      <c r="BL179" s="48">
        <v>0.182</v>
      </c>
      <c r="BM179" s="48">
        <v>9.5999999999999988E-2</v>
      </c>
      <c r="BN179" s="48">
        <v>5.7000000000000002E-2</v>
      </c>
      <c r="BO179" s="48">
        <v>8.9999999999999993E-3</v>
      </c>
      <c r="BP179" s="48">
        <v>0</v>
      </c>
      <c r="BQ179" s="48">
        <v>3.7999999999999999E-2</v>
      </c>
      <c r="BR179" s="48">
        <v>7.5999999999999998E-2</v>
      </c>
      <c r="BS179" s="48">
        <v>0.115</v>
      </c>
      <c r="BT179" s="48">
        <v>0.14399999999999999</v>
      </c>
      <c r="BU179" s="48">
        <v>0.13400000000000001</v>
      </c>
      <c r="BV179" s="48">
        <v>0.153</v>
      </c>
      <c r="BW179" s="48">
        <v>0.20100000000000004</v>
      </c>
      <c r="BX179" s="48">
        <v>0.25</v>
      </c>
      <c r="BY179" s="48">
        <v>0.24</v>
      </c>
      <c r="BZ179" s="48">
        <v>0.28799999999999998</v>
      </c>
      <c r="CA179" s="48">
        <v>0.50900000000000001</v>
      </c>
      <c r="CB179" s="48">
        <v>0.78800000000000003</v>
      </c>
      <c r="CC179" s="48">
        <v>0.89400000000000002</v>
      </c>
      <c r="CD179" s="48">
        <v>0.91299999999999992</v>
      </c>
      <c r="CE179" s="48">
        <v>0.92300000000000004</v>
      </c>
      <c r="CF179" s="48">
        <v>0.94200000000000006</v>
      </c>
      <c r="CG179" s="48">
        <v>0.97099999999999997</v>
      </c>
      <c r="CH179" s="48">
        <v>0.9900000000000001</v>
      </c>
      <c r="CI179" s="48">
        <v>0.98</v>
      </c>
      <c r="CJ179" s="48">
        <v>0.95099999999999996</v>
      </c>
      <c r="CK179" s="48">
        <v>1</v>
      </c>
      <c r="CL179" s="48">
        <v>0.96099999999999997</v>
      </c>
      <c r="CM179" s="48">
        <v>0.93200000000000005</v>
      </c>
      <c r="CN179" s="48">
        <v>0.80700000000000016</v>
      </c>
      <c r="CO179" s="48">
        <v>0.70099999999999996</v>
      </c>
      <c r="CP179" s="48">
        <v>0.60499999999999998</v>
      </c>
      <c r="CQ179" s="48">
        <v>0.63400000000000001</v>
      </c>
      <c r="CR179" s="48">
        <v>0.68200000000000005</v>
      </c>
      <c r="CS179" s="48">
        <v>0.66300000000000003</v>
      </c>
      <c r="CT179" s="48">
        <v>0.69199999999999995</v>
      </c>
      <c r="CU179" s="48">
        <v>0.73</v>
      </c>
      <c r="CV179" s="48">
        <v>0.75</v>
      </c>
      <c r="CW179" s="48">
        <v>0.65300000000000002</v>
      </c>
      <c r="CX179" s="48">
        <v>0.5</v>
      </c>
      <c r="CY179" s="48">
        <v>0.27800000000000002</v>
      </c>
      <c r="CZ179" s="48">
        <v>0.221</v>
      </c>
      <c r="DA179" s="48">
        <v>0.17299999999999999</v>
      </c>
      <c r="DB179" s="48">
        <v>0.125</v>
      </c>
      <c r="DC179" s="48">
        <v>6.7000000000000004E-2</v>
      </c>
      <c r="DD179" s="48">
        <v>4.7999999999999994E-2</v>
      </c>
      <c r="DE179" s="48">
        <v>2.7999999999999997E-2</v>
      </c>
      <c r="DF179" s="48">
        <v>1.9E-2</v>
      </c>
    </row>
    <row r="180" spans="1:110" x14ac:dyDescent="0.2">
      <c r="A180" s="52" t="s">
        <v>28</v>
      </c>
      <c r="B180" s="47">
        <f t="shared" si="156"/>
        <v>-43.199999999999996</v>
      </c>
      <c r="C180" s="47">
        <f t="shared" si="157"/>
        <v>-18.200000000000003</v>
      </c>
      <c r="D180" s="49" t="e">
        <f t="shared" ref="D180:D211" ca="1" si="165">_xludf.STDEV.P(W180:DF180)*100</f>
        <v>#NAME?</v>
      </c>
      <c r="E180" s="47"/>
      <c r="F180" s="48">
        <v>0.14399999999999999</v>
      </c>
      <c r="G180" s="48">
        <v>0.20100000000000004</v>
      </c>
      <c r="H180" s="48">
        <v>0.25900000000000001</v>
      </c>
      <c r="I180" s="48">
        <v>0.32600000000000001</v>
      </c>
      <c r="J180" s="48">
        <v>0.41299999999999998</v>
      </c>
      <c r="K180" s="48">
        <v>0.317</v>
      </c>
      <c r="L180" s="48">
        <v>0.125</v>
      </c>
      <c r="M180" s="48">
        <v>2.7999999999999997E-2</v>
      </c>
      <c r="N180" s="48">
        <v>3.7999999999999999E-2</v>
      </c>
      <c r="O180" s="48">
        <v>9.5999999999999988E-2</v>
      </c>
      <c r="P180" s="48">
        <v>0.221</v>
      </c>
      <c r="Q180" s="48">
        <v>0.57599999999999996</v>
      </c>
      <c r="R180" s="48">
        <v>0.77800000000000002</v>
      </c>
      <c r="S180" s="48">
        <v>0.93200000000000005</v>
      </c>
      <c r="T180" s="48">
        <v>0.91299999999999992</v>
      </c>
      <c r="U180" s="48">
        <v>0.72099999999999997</v>
      </c>
      <c r="V180" s="48">
        <v>0.59599999999999997</v>
      </c>
      <c r="W180" s="48">
        <v>0.66300000000000003</v>
      </c>
      <c r="X180" s="48">
        <v>0.94200000000000006</v>
      </c>
      <c r="Y180" s="48">
        <v>0.9900000000000001</v>
      </c>
      <c r="Z180" s="48">
        <v>1</v>
      </c>
      <c r="AA180" s="48">
        <v>0.96099999999999997</v>
      </c>
      <c r="AB180" s="48">
        <v>0.90300000000000002</v>
      </c>
      <c r="AC180" s="48">
        <v>0.69199999999999995</v>
      </c>
      <c r="AD180" s="48">
        <v>0.58599999999999997</v>
      </c>
      <c r="AE180" s="48">
        <v>0.45100000000000001</v>
      </c>
      <c r="AF180" s="48">
        <v>0.52800000000000002</v>
      </c>
      <c r="AG180" s="48">
        <v>0.64400000000000002</v>
      </c>
      <c r="AH180" s="48">
        <v>0.80700000000000016</v>
      </c>
      <c r="AI180" s="48">
        <v>0.875</v>
      </c>
      <c r="AJ180" s="48">
        <v>0.89400000000000002</v>
      </c>
      <c r="AK180" s="48">
        <v>0.85499999999999998</v>
      </c>
      <c r="AL180" s="48">
        <v>0.86499999999999988</v>
      </c>
      <c r="AM180" s="48">
        <v>0.81699999999999984</v>
      </c>
      <c r="AN180" s="48">
        <v>0.84599999999999997</v>
      </c>
      <c r="AO180" s="48">
        <v>0.92300000000000004</v>
      </c>
      <c r="AP180" s="48">
        <v>0.97099999999999997</v>
      </c>
      <c r="AQ180" s="48">
        <v>0.98</v>
      </c>
      <c r="AR180" s="48">
        <v>0.95099999999999996</v>
      </c>
      <c r="AS180" s="48">
        <v>0.82599999999999996</v>
      </c>
      <c r="AT180" s="48">
        <v>0.61499999999999999</v>
      </c>
      <c r="AU180" s="48">
        <v>0.56699999999999995</v>
      </c>
      <c r="AV180" s="48">
        <v>0.36499999999999999</v>
      </c>
      <c r="AW180" s="48">
        <v>0.26900000000000002</v>
      </c>
      <c r="AX180" s="48">
        <v>0.17299999999999999</v>
      </c>
      <c r="AY180" s="48">
        <v>0.16300000000000001</v>
      </c>
      <c r="AZ180" s="48">
        <v>0.105</v>
      </c>
      <c r="BA180" s="48">
        <v>5.7000000000000002E-2</v>
      </c>
      <c r="BB180" s="48">
        <v>8.9999999999999993E-3</v>
      </c>
      <c r="BC180" s="48">
        <v>0</v>
      </c>
      <c r="BD180" s="48">
        <v>1.9E-2</v>
      </c>
      <c r="BE180" s="48">
        <v>4.7999999999999994E-2</v>
      </c>
      <c r="BF180" s="48">
        <v>6.7000000000000004E-2</v>
      </c>
      <c r="BG180" s="48">
        <v>8.5999999999999993E-2</v>
      </c>
      <c r="BH180" s="48">
        <v>0.182</v>
      </c>
      <c r="BI180" s="48">
        <v>0.307</v>
      </c>
      <c r="BJ180" s="48">
        <v>0.29799999999999999</v>
      </c>
      <c r="BK180" s="48">
        <v>0.21099999999999999</v>
      </c>
      <c r="BL180" s="48">
        <v>0.153</v>
      </c>
      <c r="BM180" s="48">
        <v>0.25</v>
      </c>
      <c r="BN180" s="48">
        <v>0.34599999999999997</v>
      </c>
      <c r="BO180" s="48">
        <v>0.39400000000000002</v>
      </c>
      <c r="BP180" s="48">
        <v>0.46100000000000002</v>
      </c>
      <c r="BQ180" s="48">
        <v>0.49</v>
      </c>
      <c r="BR180" s="48">
        <v>0.48</v>
      </c>
      <c r="BS180" s="48">
        <v>0.442</v>
      </c>
      <c r="BT180" s="48">
        <v>0.40300000000000002</v>
      </c>
      <c r="BU180" s="48">
        <v>0.375</v>
      </c>
      <c r="BV180" s="48">
        <v>0.50900000000000001</v>
      </c>
      <c r="BW180" s="48">
        <v>0.60499999999999998</v>
      </c>
      <c r="BX180" s="48">
        <v>0.74</v>
      </c>
      <c r="BY180" s="48">
        <v>0.78800000000000003</v>
      </c>
      <c r="BZ180" s="48">
        <v>0.75900000000000012</v>
      </c>
      <c r="CA180" s="48">
        <v>0.75</v>
      </c>
      <c r="CB180" s="48">
        <v>0.83599999999999997</v>
      </c>
      <c r="CC180" s="48">
        <v>0.88400000000000001</v>
      </c>
      <c r="CD180" s="48">
        <v>0.79800000000000004</v>
      </c>
      <c r="CE180" s="48">
        <v>0.73</v>
      </c>
      <c r="CF180" s="48">
        <v>0.71099999999999997</v>
      </c>
      <c r="CG180" s="48">
        <v>0.76900000000000002</v>
      </c>
      <c r="CH180" s="48">
        <v>0.70099999999999996</v>
      </c>
      <c r="CI180" s="48">
        <v>0.67300000000000004</v>
      </c>
      <c r="CJ180" s="48">
        <v>0.63400000000000001</v>
      </c>
      <c r="CK180" s="48">
        <v>0.65300000000000002</v>
      </c>
      <c r="CL180" s="48">
        <v>0.68200000000000005</v>
      </c>
      <c r="CM180" s="48">
        <v>0.625</v>
      </c>
      <c r="CN180" s="48">
        <v>0.54800000000000004</v>
      </c>
      <c r="CO180" s="48">
        <v>0.33600000000000002</v>
      </c>
      <c r="CP180" s="48">
        <v>0.38399999999999995</v>
      </c>
      <c r="CQ180" s="48">
        <v>0.5</v>
      </c>
      <c r="CR180" s="48">
        <v>0.51900000000000002</v>
      </c>
      <c r="CS180" s="48">
        <v>0.432</v>
      </c>
      <c r="CT180" s="48">
        <v>0.47100000000000003</v>
      </c>
      <c r="CU180" s="48">
        <v>0.55700000000000005</v>
      </c>
      <c r="CV180" s="48">
        <v>0.53800000000000003</v>
      </c>
      <c r="CW180" s="48">
        <v>0.42299999999999999</v>
      </c>
      <c r="CX180" s="48">
        <v>0.35499999999999998</v>
      </c>
      <c r="CY180" s="48">
        <v>0.28799999999999998</v>
      </c>
      <c r="CZ180" s="48">
        <v>0.27800000000000002</v>
      </c>
      <c r="DA180" s="48">
        <v>0.24</v>
      </c>
      <c r="DB180" s="48">
        <v>0.23</v>
      </c>
      <c r="DC180" s="48">
        <v>0.19199999999999998</v>
      </c>
      <c r="DD180" s="48">
        <v>0.13400000000000001</v>
      </c>
      <c r="DE180" s="48">
        <v>0.115</v>
      </c>
      <c r="DF180" s="48">
        <v>7.5999999999999998E-2</v>
      </c>
    </row>
    <row r="181" spans="1:110" x14ac:dyDescent="0.2">
      <c r="A181" s="52" t="s">
        <v>31</v>
      </c>
      <c r="B181" s="47">
        <f t="shared" si="156"/>
        <v>-2.9000000000000026</v>
      </c>
      <c r="C181" s="47">
        <f t="shared" si="157"/>
        <v>-11.500000000000011</v>
      </c>
      <c r="D181" s="49" t="e">
        <f t="shared" ref="D181:D212" ca="1" si="166">_xludf.STDEV.P(W181:DF181)*100</f>
        <v>#NAME?</v>
      </c>
      <c r="E181" s="47"/>
      <c r="F181" s="48">
        <v>0.64400000000000002</v>
      </c>
      <c r="G181" s="48">
        <v>0.68200000000000005</v>
      </c>
      <c r="H181" s="48">
        <v>0.71099999999999997</v>
      </c>
      <c r="I181" s="48">
        <v>0.75900000000000012</v>
      </c>
      <c r="J181" s="48">
        <v>0.74</v>
      </c>
      <c r="K181" s="48">
        <v>0.70099999999999996</v>
      </c>
      <c r="L181" s="48">
        <v>0.59599999999999997</v>
      </c>
      <c r="M181" s="48">
        <v>0.45100000000000001</v>
      </c>
      <c r="N181" s="48">
        <v>0.39400000000000002</v>
      </c>
      <c r="O181" s="48">
        <v>0.53800000000000003</v>
      </c>
      <c r="P181" s="48">
        <v>0.625</v>
      </c>
      <c r="Q181" s="48">
        <v>0.67300000000000004</v>
      </c>
      <c r="R181" s="48">
        <v>0.66300000000000003</v>
      </c>
      <c r="S181" s="48">
        <v>0.69199999999999995</v>
      </c>
      <c r="T181" s="48">
        <v>0.58599999999999997</v>
      </c>
      <c r="U181" s="48">
        <v>0.24</v>
      </c>
      <c r="V181" s="48">
        <v>8.5999999999999993E-2</v>
      </c>
      <c r="W181" s="48">
        <v>2.7999999999999997E-2</v>
      </c>
      <c r="X181" s="48">
        <v>0</v>
      </c>
      <c r="Y181" s="48">
        <v>3.7999999999999999E-2</v>
      </c>
      <c r="Z181" s="48">
        <v>5.7000000000000002E-2</v>
      </c>
      <c r="AA181" s="48">
        <v>4.7999999999999994E-2</v>
      </c>
      <c r="AB181" s="48">
        <v>8.9999999999999993E-3</v>
      </c>
      <c r="AC181" s="48">
        <v>1.9E-2</v>
      </c>
      <c r="AD181" s="48">
        <v>6.7000000000000004E-2</v>
      </c>
      <c r="AE181" s="48">
        <v>9.5999999999999988E-2</v>
      </c>
      <c r="AF181" s="48">
        <v>0.125</v>
      </c>
      <c r="AG181" s="48">
        <v>0.57599999999999996</v>
      </c>
      <c r="AH181" s="48">
        <v>0.82599999999999996</v>
      </c>
      <c r="AI181" s="48">
        <v>0.91299999999999992</v>
      </c>
      <c r="AJ181" s="48">
        <v>0.95099999999999996</v>
      </c>
      <c r="AK181" s="48">
        <v>0.97099999999999997</v>
      </c>
      <c r="AL181" s="48">
        <v>0.98</v>
      </c>
      <c r="AM181" s="48">
        <v>1</v>
      </c>
      <c r="AN181" s="48">
        <v>0.9900000000000001</v>
      </c>
      <c r="AO181" s="48">
        <v>0.96099999999999997</v>
      </c>
      <c r="AP181" s="48">
        <v>0.94200000000000006</v>
      </c>
      <c r="AQ181" s="48">
        <v>0.90300000000000002</v>
      </c>
      <c r="AR181" s="48">
        <v>0.875</v>
      </c>
      <c r="AS181" s="48">
        <v>0.86499999999999988</v>
      </c>
      <c r="AT181" s="48">
        <v>0.83599999999999997</v>
      </c>
      <c r="AU181" s="48">
        <v>0.81699999999999984</v>
      </c>
      <c r="AV181" s="48">
        <v>0.78800000000000003</v>
      </c>
      <c r="AW181" s="48">
        <v>0.75</v>
      </c>
      <c r="AX181" s="48">
        <v>0.63400000000000001</v>
      </c>
      <c r="AY181" s="48">
        <v>0.56699999999999995</v>
      </c>
      <c r="AZ181" s="48">
        <v>0.51900000000000002</v>
      </c>
      <c r="BA181" s="48">
        <v>0.52800000000000002</v>
      </c>
      <c r="BB181" s="48">
        <v>0.54800000000000004</v>
      </c>
      <c r="BC181" s="48">
        <v>0.5</v>
      </c>
      <c r="BD181" s="48">
        <v>0.40300000000000002</v>
      </c>
      <c r="BE181" s="48">
        <v>0.307</v>
      </c>
      <c r="BF181" s="48">
        <v>0.17299999999999999</v>
      </c>
      <c r="BG181" s="48">
        <v>0.14399999999999999</v>
      </c>
      <c r="BH181" s="48">
        <v>0.13400000000000001</v>
      </c>
      <c r="BI181" s="48">
        <v>0.16300000000000001</v>
      </c>
      <c r="BJ181" s="48">
        <v>0.28799999999999998</v>
      </c>
      <c r="BK181" s="48">
        <v>0.27800000000000002</v>
      </c>
      <c r="BL181" s="48">
        <v>0.23</v>
      </c>
      <c r="BM181" s="48">
        <v>0.19199999999999998</v>
      </c>
      <c r="BN181" s="48">
        <v>0.182</v>
      </c>
      <c r="BO181" s="48">
        <v>0.20100000000000004</v>
      </c>
      <c r="BP181" s="48">
        <v>0.21099999999999999</v>
      </c>
      <c r="BQ181" s="48">
        <v>0.25</v>
      </c>
      <c r="BR181" s="48">
        <v>0.29799999999999999</v>
      </c>
      <c r="BS181" s="48">
        <v>0.317</v>
      </c>
      <c r="BT181" s="48">
        <v>0.36499999999999999</v>
      </c>
      <c r="BU181" s="48">
        <v>0.41299999999999998</v>
      </c>
      <c r="BV181" s="48">
        <v>0.49</v>
      </c>
      <c r="BW181" s="48">
        <v>0.46100000000000002</v>
      </c>
      <c r="BX181" s="48">
        <v>0.442</v>
      </c>
      <c r="BY181" s="48">
        <v>0.38399999999999995</v>
      </c>
      <c r="BZ181" s="48">
        <v>0.33600000000000002</v>
      </c>
      <c r="CA181" s="48">
        <v>0.32600000000000001</v>
      </c>
      <c r="CB181" s="48">
        <v>0.375</v>
      </c>
      <c r="CC181" s="48">
        <v>0.47100000000000003</v>
      </c>
      <c r="CD181" s="48">
        <v>0.50900000000000001</v>
      </c>
      <c r="CE181" s="48">
        <v>0.48</v>
      </c>
      <c r="CF181" s="48">
        <v>0.42299999999999999</v>
      </c>
      <c r="CG181" s="48">
        <v>0.35499999999999998</v>
      </c>
      <c r="CH181" s="48">
        <v>0.221</v>
      </c>
      <c r="CI181" s="48">
        <v>0.26900000000000002</v>
      </c>
      <c r="CJ181" s="48">
        <v>0.34599999999999997</v>
      </c>
      <c r="CK181" s="48">
        <v>0.55700000000000005</v>
      </c>
      <c r="CL181" s="48">
        <v>0.61499999999999999</v>
      </c>
      <c r="CM181" s="48">
        <v>0.65300000000000002</v>
      </c>
      <c r="CN181" s="48">
        <v>0.72099999999999997</v>
      </c>
      <c r="CO181" s="48">
        <v>0.76900000000000002</v>
      </c>
      <c r="CP181" s="48">
        <v>0.79800000000000004</v>
      </c>
      <c r="CQ181" s="48">
        <v>0.80700000000000016</v>
      </c>
      <c r="CR181" s="48">
        <v>0.84599999999999997</v>
      </c>
      <c r="CS181" s="48">
        <v>0.88400000000000001</v>
      </c>
      <c r="CT181" s="48">
        <v>0.92300000000000004</v>
      </c>
      <c r="CU181" s="48">
        <v>0.93200000000000005</v>
      </c>
      <c r="CV181" s="48">
        <v>0.89400000000000002</v>
      </c>
      <c r="CW181" s="48">
        <v>0.85499999999999998</v>
      </c>
      <c r="CX181" s="48">
        <v>0.77800000000000002</v>
      </c>
      <c r="CY181" s="48">
        <v>0.73</v>
      </c>
      <c r="CZ181" s="48">
        <v>0.60499999999999998</v>
      </c>
      <c r="DA181" s="48">
        <v>0.432</v>
      </c>
      <c r="DB181" s="48">
        <v>0.25900000000000001</v>
      </c>
      <c r="DC181" s="48">
        <v>0.153</v>
      </c>
      <c r="DD181" s="48">
        <v>0.115</v>
      </c>
      <c r="DE181" s="48">
        <v>0.105</v>
      </c>
      <c r="DF181" s="48">
        <v>7.5999999999999998E-2</v>
      </c>
    </row>
    <row r="182" spans="1:110" x14ac:dyDescent="0.2">
      <c r="A182" s="52" t="s">
        <v>34</v>
      </c>
      <c r="B182" s="47">
        <f t="shared" si="156"/>
        <v>3.7000000000000011</v>
      </c>
      <c r="C182" s="47">
        <f t="shared" si="157"/>
        <v>1.2000000000000011</v>
      </c>
      <c r="D182" s="49" t="e">
        <f t="shared" ref="D182:D213" ca="1" si="167">_xludf.STDEV.P(W182:DF182)*100</f>
        <v>#NAME?</v>
      </c>
      <c r="E182" s="47"/>
      <c r="F182" s="48">
        <v>9.8000000000000004E-2</v>
      </c>
      <c r="G182" s="48">
        <v>7.3999999999999996E-2</v>
      </c>
      <c r="H182" s="48">
        <v>4.9000000000000002E-2</v>
      </c>
      <c r="I182" s="48">
        <v>8.5999999999999993E-2</v>
      </c>
      <c r="J182" s="48">
        <v>0.13500000000000001</v>
      </c>
      <c r="K182" s="48">
        <v>0.14799999999999999</v>
      </c>
      <c r="L182" s="48">
        <v>0.111</v>
      </c>
      <c r="M182" s="48">
        <v>2.4E-2</v>
      </c>
      <c r="N182" s="48">
        <v>0</v>
      </c>
      <c r="O182" s="48">
        <v>1.2E-2</v>
      </c>
      <c r="P182" s="48">
        <v>3.6999999999999998E-2</v>
      </c>
      <c r="Q182" s="48">
        <v>6.0999999999999992E-2</v>
      </c>
      <c r="R182" s="48">
        <v>0.123</v>
      </c>
      <c r="S182" s="48">
        <v>0.222</v>
      </c>
      <c r="T182" s="48">
        <v>0.38200000000000001</v>
      </c>
      <c r="U182" s="48">
        <v>0.41899999999999998</v>
      </c>
      <c r="V182" s="48">
        <v>0.27100000000000002</v>
      </c>
      <c r="W182" s="48">
        <v>0.246</v>
      </c>
      <c r="X182" s="48">
        <v>0.50600000000000001</v>
      </c>
      <c r="Y182" s="48">
        <v>0.629</v>
      </c>
      <c r="Z182" s="48">
        <v>0.72799999999999998</v>
      </c>
      <c r="AA182" s="48">
        <v>0.79</v>
      </c>
      <c r="AB182" s="48">
        <v>0.81399999999999995</v>
      </c>
      <c r="AC182" s="48">
        <v>0.83899999999999997</v>
      </c>
      <c r="AD182" s="48">
        <v>0.85099999999999998</v>
      </c>
      <c r="AE182" s="48">
        <v>0.88800000000000001</v>
      </c>
      <c r="AF182" s="48">
        <v>0.92500000000000004</v>
      </c>
      <c r="AG182" s="48">
        <v>0.95</v>
      </c>
      <c r="AH182" s="48">
        <v>0.93799999999999994</v>
      </c>
      <c r="AI182" s="48">
        <v>0.97499999999999998</v>
      </c>
      <c r="AJ182" s="48">
        <v>0.98699999999999999</v>
      </c>
      <c r="AK182" s="48">
        <v>1</v>
      </c>
      <c r="AL182" s="48">
        <v>0.96199999999999997</v>
      </c>
      <c r="AM182" s="48">
        <v>0.91300000000000003</v>
      </c>
      <c r="AN182" s="48">
        <v>0.90100000000000002</v>
      </c>
      <c r="AO182" s="48">
        <v>0.876</v>
      </c>
      <c r="AP182" s="48">
        <v>0.86399999999999999</v>
      </c>
      <c r="AQ182" s="48">
        <v>0.82699999999999996</v>
      </c>
      <c r="AR182" s="48">
        <v>0.80200000000000005</v>
      </c>
      <c r="AS182" s="48">
        <v>0.77700000000000002</v>
      </c>
      <c r="AT182" s="48">
        <v>0.76500000000000001</v>
      </c>
      <c r="AU182" s="48">
        <v>0.753</v>
      </c>
      <c r="AV182" s="48">
        <v>0.74</v>
      </c>
      <c r="AW182" s="48">
        <v>0.71599999999999997</v>
      </c>
      <c r="AX182" s="48">
        <v>0.65400000000000003</v>
      </c>
      <c r="AY182" s="48">
        <v>0.60399999999999998</v>
      </c>
      <c r="AZ182" s="48">
        <v>0.51800000000000002</v>
      </c>
      <c r="BA182" s="48">
        <v>0.39500000000000002</v>
      </c>
      <c r="BB182" s="48">
        <v>0.32</v>
      </c>
      <c r="BC182" s="48">
        <v>0.28299999999999997</v>
      </c>
      <c r="BD182" s="48">
        <v>0.29599999999999999</v>
      </c>
      <c r="BE182" s="48">
        <v>0.308</v>
      </c>
      <c r="BF182" s="48">
        <v>0.35799999999999998</v>
      </c>
      <c r="BG182" s="48">
        <v>0.40699999999999997</v>
      </c>
      <c r="BH182" s="48">
        <v>0.432</v>
      </c>
      <c r="BI182" s="48">
        <v>0.44400000000000001</v>
      </c>
      <c r="BJ182" s="48">
        <v>0.45600000000000002</v>
      </c>
      <c r="BK182" s="48">
        <v>0.49300000000000005</v>
      </c>
      <c r="BL182" s="48">
        <v>0.54300000000000004</v>
      </c>
      <c r="BM182" s="48">
        <v>0.57999999999999996</v>
      </c>
      <c r="BN182" s="48">
        <v>0.56699999999999995</v>
      </c>
      <c r="BO182" s="48">
        <v>0.53</v>
      </c>
      <c r="BP182" s="48">
        <v>0.46899999999999997</v>
      </c>
      <c r="BQ182" s="48">
        <v>0.37</v>
      </c>
      <c r="BR182" s="48">
        <v>0.33300000000000002</v>
      </c>
      <c r="BS182" s="48">
        <v>0.25900000000000001</v>
      </c>
      <c r="BT182" s="48">
        <v>0.23400000000000001</v>
      </c>
      <c r="BU182" s="48">
        <v>0.19700000000000001</v>
      </c>
      <c r="BV182" s="48">
        <v>0.185</v>
      </c>
      <c r="BW182" s="48">
        <v>0.17199999999999999</v>
      </c>
      <c r="BX182" s="48">
        <v>0.16</v>
      </c>
      <c r="BY182" s="48">
        <v>0.20899999999999999</v>
      </c>
      <c r="BZ182" s="48">
        <v>0.34499999999999997</v>
      </c>
      <c r="CA182" s="48">
        <v>0.48099999999999998</v>
      </c>
      <c r="CB182" s="48">
        <v>0.55500000000000005</v>
      </c>
      <c r="CC182" s="48">
        <v>0.59199999999999997</v>
      </c>
      <c r="CD182" s="48">
        <v>0.61699999999999999</v>
      </c>
      <c r="CE182" s="48">
        <v>0.64100000000000001</v>
      </c>
      <c r="CF182" s="48">
        <v>0.66600000000000004</v>
      </c>
      <c r="CG182" s="48">
        <v>0.67900000000000005</v>
      </c>
      <c r="CH182" s="48">
        <v>0.69099999999999995</v>
      </c>
      <c r="CI182" s="48">
        <v>0.70299999999999996</v>
      </c>
      <c r="CJ182" s="48">
        <v>0.5</v>
      </c>
      <c r="CK182" s="48">
        <v>0.5</v>
      </c>
      <c r="CL182" s="48">
        <v>0.5</v>
      </c>
      <c r="CM182" s="48">
        <v>0.5</v>
      </c>
      <c r="CN182" s="48">
        <v>0.5</v>
      </c>
      <c r="CO182" s="48">
        <v>0.5</v>
      </c>
      <c r="CP182" s="48">
        <v>0.5</v>
      </c>
      <c r="CQ182" s="48">
        <v>0.5</v>
      </c>
      <c r="CR182" s="48">
        <v>0.5</v>
      </c>
      <c r="CS182" s="48">
        <v>0.5</v>
      </c>
      <c r="CT182" s="48">
        <v>0.5</v>
      </c>
      <c r="CU182" s="48">
        <v>0.5</v>
      </c>
      <c r="CV182" s="48">
        <v>0.5</v>
      </c>
      <c r="CW182" s="48">
        <v>0.5</v>
      </c>
      <c r="CX182" s="48">
        <v>0.5</v>
      </c>
      <c r="CY182" s="48">
        <v>0.5</v>
      </c>
      <c r="CZ182" s="48">
        <v>0.5</v>
      </c>
      <c r="DA182" s="48">
        <v>0.5</v>
      </c>
      <c r="DB182" s="48">
        <v>0.5</v>
      </c>
      <c r="DC182" s="48">
        <v>0.5</v>
      </c>
      <c r="DD182" s="48">
        <v>0.5</v>
      </c>
      <c r="DE182" s="48">
        <v>0.5</v>
      </c>
      <c r="DF182" s="48">
        <v>0.5</v>
      </c>
    </row>
    <row r="183" spans="1:110" x14ac:dyDescent="0.2">
      <c r="A183" s="52" t="s">
        <v>37</v>
      </c>
      <c r="B183" s="47">
        <f t="shared" si="156"/>
        <v>23.1</v>
      </c>
      <c r="C183" s="47">
        <f t="shared" si="157"/>
        <v>1.3000000000000012</v>
      </c>
      <c r="D183" s="49" t="e">
        <f t="shared" ref="D183:D214" ca="1" si="168">_xludf.STDEV.P(W183:DF183)*100</f>
        <v>#NAME?</v>
      </c>
      <c r="E183" s="47"/>
      <c r="F183" s="48">
        <v>0.44800000000000001</v>
      </c>
      <c r="G183" s="48">
        <v>0.371</v>
      </c>
      <c r="H183" s="48">
        <v>0.35799999999999998</v>
      </c>
      <c r="I183" s="48">
        <v>0.435</v>
      </c>
      <c r="J183" s="48">
        <v>0.51200000000000001</v>
      </c>
      <c r="K183" s="48">
        <v>0.48699999999999999</v>
      </c>
      <c r="L183" s="48">
        <v>0.47399999999999998</v>
      </c>
      <c r="M183" s="48">
        <v>0.39700000000000002</v>
      </c>
      <c r="N183" s="48">
        <v>0.33300000000000002</v>
      </c>
      <c r="O183" s="48">
        <v>0.24299999999999999</v>
      </c>
      <c r="P183" s="48">
        <v>0.20499999999999999</v>
      </c>
      <c r="Q183" s="48">
        <v>0.217</v>
      </c>
      <c r="R183" s="48">
        <v>0.26900000000000002</v>
      </c>
      <c r="S183" s="48">
        <v>0.307</v>
      </c>
      <c r="T183" s="48">
        <v>0.23</v>
      </c>
      <c r="U183" s="48">
        <v>0.153</v>
      </c>
      <c r="V183" s="48">
        <v>6.4000000000000001E-2</v>
      </c>
      <c r="W183" s="48">
        <v>0</v>
      </c>
      <c r="X183" s="48">
        <v>1.2E-2</v>
      </c>
      <c r="Y183" s="48">
        <v>7.5999999999999998E-2</v>
      </c>
      <c r="Z183" s="48">
        <v>0.115</v>
      </c>
      <c r="AA183" s="48">
        <v>0.16600000000000001</v>
      </c>
      <c r="AB183" s="48">
        <v>0.29399999999999998</v>
      </c>
      <c r="AC183" s="48">
        <v>0.38400000000000001</v>
      </c>
      <c r="AD183" s="48">
        <v>0.42299999999999999</v>
      </c>
      <c r="AE183" s="48">
        <v>0.46100000000000002</v>
      </c>
      <c r="AF183" s="48">
        <v>0.53800000000000003</v>
      </c>
      <c r="AG183" s="48">
        <v>0.67900000000000005</v>
      </c>
      <c r="AH183" s="48">
        <v>0.76900000000000002</v>
      </c>
      <c r="AI183" s="48">
        <v>0.82</v>
      </c>
      <c r="AJ183" s="48">
        <v>0.83299999999999996</v>
      </c>
      <c r="AK183" s="48">
        <v>0.85799999999999998</v>
      </c>
      <c r="AL183" s="48">
        <v>0.96099999999999997</v>
      </c>
      <c r="AM183" s="48">
        <v>1</v>
      </c>
      <c r="AN183" s="48">
        <v>0.98699999999999999</v>
      </c>
      <c r="AO183" s="48">
        <v>0.89700000000000002</v>
      </c>
      <c r="AP183" s="48">
        <v>0.84599999999999997</v>
      </c>
      <c r="AQ183" s="48">
        <v>0.88400000000000001</v>
      </c>
      <c r="AR183" s="48">
        <v>0.91</v>
      </c>
      <c r="AS183" s="48">
        <v>0.92300000000000004</v>
      </c>
      <c r="AT183" s="48">
        <v>0.93500000000000005</v>
      </c>
      <c r="AU183" s="48">
        <v>0.97399999999999998</v>
      </c>
      <c r="AV183" s="48">
        <v>0.94799999999999995</v>
      </c>
      <c r="AW183" s="48">
        <v>0.871</v>
      </c>
      <c r="AX183" s="48">
        <v>0.78200000000000003</v>
      </c>
      <c r="AY183" s="48">
        <v>0.71699999999999997</v>
      </c>
      <c r="AZ183" s="48">
        <v>0.64100000000000001</v>
      </c>
      <c r="BA183" s="48">
        <v>0.61499999999999999</v>
      </c>
      <c r="BB183" s="48">
        <v>0.66600000000000004</v>
      </c>
      <c r="BC183" s="48">
        <v>0.69199999999999995</v>
      </c>
      <c r="BD183" s="48">
        <v>0.70499999999999996</v>
      </c>
      <c r="BE183" s="48">
        <v>0.628</v>
      </c>
      <c r="BF183" s="48">
        <v>0.58899999999999997</v>
      </c>
      <c r="BG183" s="48">
        <v>0.57599999999999996</v>
      </c>
      <c r="BH183" s="48">
        <v>0.56399999999999995</v>
      </c>
      <c r="BI183" s="48">
        <v>0.52500000000000002</v>
      </c>
      <c r="BJ183" s="48">
        <v>0.41</v>
      </c>
      <c r="BK183" s="48">
        <v>0.32</v>
      </c>
      <c r="BL183" s="48">
        <v>0.28199999999999997</v>
      </c>
      <c r="BM183" s="48">
        <v>0.25600000000000001</v>
      </c>
      <c r="BN183" s="48">
        <v>0.17899999999999999</v>
      </c>
      <c r="BO183" s="48">
        <v>0.128</v>
      </c>
      <c r="BP183" s="48">
        <v>8.8999999999999996E-2</v>
      </c>
      <c r="BQ183" s="48">
        <v>2.5000000000000001E-2</v>
      </c>
      <c r="BR183" s="48">
        <v>3.7999999999999999E-2</v>
      </c>
      <c r="BS183" s="48">
        <v>5.0999999999999997E-2</v>
      </c>
      <c r="BT183" s="48">
        <v>0.10199999999999999</v>
      </c>
      <c r="BU183" s="48">
        <v>0.14099999999999999</v>
      </c>
      <c r="BV183" s="48">
        <v>0.192</v>
      </c>
      <c r="BW183" s="48">
        <v>0.34599999999999997</v>
      </c>
      <c r="BX183" s="48">
        <v>0.5</v>
      </c>
      <c r="BY183" s="48">
        <v>0.55100000000000005</v>
      </c>
      <c r="BZ183" s="48">
        <v>0.60199999999999998</v>
      </c>
      <c r="CA183" s="48">
        <v>0.65300000000000002</v>
      </c>
      <c r="CB183" s="48">
        <v>0.73</v>
      </c>
      <c r="CC183" s="48">
        <v>0.74299999999999999</v>
      </c>
      <c r="CD183" s="48">
        <v>0.79400000000000004</v>
      </c>
      <c r="CE183" s="48">
        <v>0.80700000000000005</v>
      </c>
      <c r="CF183" s="48">
        <v>0.75600000000000001</v>
      </c>
      <c r="CG183" s="48">
        <v>0.5</v>
      </c>
      <c r="CH183" s="48">
        <v>0.5</v>
      </c>
      <c r="CI183" s="48">
        <v>0.5</v>
      </c>
      <c r="CJ183" s="48">
        <v>0.5</v>
      </c>
      <c r="CK183" s="48">
        <v>0.5</v>
      </c>
      <c r="CL183" s="48">
        <v>0.5</v>
      </c>
      <c r="CM183" s="48">
        <v>0.5</v>
      </c>
      <c r="CN183" s="48">
        <v>0.5</v>
      </c>
      <c r="CO183" s="48">
        <v>0.5</v>
      </c>
      <c r="CP183" s="48">
        <v>0.5</v>
      </c>
      <c r="CQ183" s="48">
        <v>0.5</v>
      </c>
      <c r="CR183" s="48">
        <v>0.5</v>
      </c>
      <c r="CS183" s="48">
        <v>0.5</v>
      </c>
      <c r="CT183" s="48">
        <v>0.5</v>
      </c>
      <c r="CU183" s="48">
        <v>0.5</v>
      </c>
      <c r="CV183" s="48">
        <v>0.5</v>
      </c>
      <c r="CW183" s="48">
        <v>0.5</v>
      </c>
      <c r="CX183" s="48">
        <v>0.5</v>
      </c>
      <c r="CY183" s="48">
        <v>0.5</v>
      </c>
      <c r="CZ183" s="48">
        <v>0.5</v>
      </c>
      <c r="DA183" s="48">
        <v>0.5</v>
      </c>
      <c r="DB183" s="48">
        <v>0.5</v>
      </c>
      <c r="DC183" s="48">
        <v>0.5</v>
      </c>
      <c r="DD183" s="48">
        <v>0.5</v>
      </c>
      <c r="DE183" s="48">
        <v>0.5</v>
      </c>
      <c r="DF183" s="48">
        <v>0.5</v>
      </c>
    </row>
    <row r="184" spans="1:110" x14ac:dyDescent="0.2">
      <c r="A184" s="52" t="s">
        <v>40</v>
      </c>
      <c r="B184" s="47">
        <f t="shared" si="156"/>
        <v>2.9</v>
      </c>
      <c r="C184" s="47">
        <f t="shared" si="157"/>
        <v>-1.0000000000000009</v>
      </c>
      <c r="D184" s="49" t="e">
        <f t="shared" ref="D184:D215" ca="1" si="169">_xludf.STDEV.P(W184:DF184)*100</f>
        <v>#NAME?</v>
      </c>
      <c r="E184" s="47"/>
      <c r="F184" s="48">
        <v>0.182</v>
      </c>
      <c r="G184" s="48">
        <v>0.20100000000000001</v>
      </c>
      <c r="H184" s="48">
        <v>0.23</v>
      </c>
      <c r="I184" s="48">
        <v>0.192</v>
      </c>
      <c r="J184" s="48">
        <v>0.125</v>
      </c>
      <c r="K184" s="48">
        <v>6.7000000000000004E-2</v>
      </c>
      <c r="L184" s="48">
        <v>1.9E-2</v>
      </c>
      <c r="M184" s="48">
        <v>2.8000000000000001E-2</v>
      </c>
      <c r="N184" s="48">
        <v>5.7000000000000002E-2</v>
      </c>
      <c r="O184" s="48">
        <v>8.5999999999999993E-2</v>
      </c>
      <c r="P184" s="48">
        <v>9.6000000000000002E-2</v>
      </c>
      <c r="Q184" s="48">
        <v>0.153</v>
      </c>
      <c r="R184" s="48">
        <v>0.16300000000000001</v>
      </c>
      <c r="S184" s="48">
        <v>0.14399999999999999</v>
      </c>
      <c r="T184" s="48">
        <v>0.115</v>
      </c>
      <c r="U184" s="48">
        <v>0.13400000000000001</v>
      </c>
      <c r="V184" s="48">
        <v>0.17299999999999999</v>
      </c>
      <c r="W184" s="48">
        <v>0.21099999999999999</v>
      </c>
      <c r="X184" s="48">
        <v>0.307</v>
      </c>
      <c r="Y184" s="48">
        <v>0.53800000000000003</v>
      </c>
      <c r="Z184" s="48">
        <v>0.86499999999999999</v>
      </c>
      <c r="AA184" s="48">
        <v>0.94199999999999995</v>
      </c>
      <c r="AB184" s="48">
        <v>0.91300000000000003</v>
      </c>
      <c r="AC184" s="48">
        <v>0.81699999999999995</v>
      </c>
      <c r="AD184" s="48">
        <v>0.74</v>
      </c>
      <c r="AE184" s="48">
        <v>0.75900000000000001</v>
      </c>
      <c r="AF184" s="48">
        <v>0.90300000000000002</v>
      </c>
      <c r="AG184" s="48">
        <v>0.97099999999999997</v>
      </c>
      <c r="AH184" s="48">
        <v>0.99</v>
      </c>
      <c r="AI184" s="48">
        <v>1</v>
      </c>
      <c r="AJ184" s="48">
        <v>0.98000000000000009</v>
      </c>
      <c r="AK184" s="48">
        <v>0.96099999999999997</v>
      </c>
      <c r="AL184" s="48">
        <v>0.71099999999999997</v>
      </c>
      <c r="AM184" s="48">
        <v>0.67300000000000004</v>
      </c>
      <c r="AN184" s="48">
        <v>0.72099999999999997</v>
      </c>
      <c r="AO184" s="48">
        <v>0.78800000000000003</v>
      </c>
      <c r="AP184" s="48">
        <v>0.79800000000000004</v>
      </c>
      <c r="AQ184" s="48">
        <v>0.85499999999999998</v>
      </c>
      <c r="AR184" s="48">
        <v>0.88400000000000001</v>
      </c>
      <c r="AS184" s="48">
        <v>0.89400000000000002</v>
      </c>
      <c r="AT184" s="48">
        <v>0.84599999999999997</v>
      </c>
      <c r="AU184" s="48">
        <v>0.83599999999999997</v>
      </c>
      <c r="AV184" s="48">
        <v>0.875</v>
      </c>
      <c r="AW184" s="48">
        <v>0.82599999999999996</v>
      </c>
      <c r="AX184" s="48">
        <v>0.70099999999999996</v>
      </c>
      <c r="AY184" s="48">
        <v>0.5</v>
      </c>
      <c r="AZ184" s="48">
        <v>0.34599999999999997</v>
      </c>
      <c r="BA184" s="48">
        <v>0.25</v>
      </c>
      <c r="BB184" s="48">
        <v>0.24</v>
      </c>
      <c r="BC184" s="48">
        <v>0.27800000000000002</v>
      </c>
      <c r="BD184" s="48">
        <v>0.39400000000000002</v>
      </c>
      <c r="BE184" s="48">
        <v>0.42299999999999999</v>
      </c>
      <c r="BF184" s="48">
        <v>0.40300000000000002</v>
      </c>
      <c r="BG184" s="48">
        <v>0.35499999999999998</v>
      </c>
      <c r="BH184" s="48">
        <v>0.38400000000000001</v>
      </c>
      <c r="BI184" s="48">
        <v>0.45100000000000001</v>
      </c>
      <c r="BJ184" s="48">
        <v>0.58599999999999997</v>
      </c>
      <c r="BK184" s="48">
        <v>0.69199999999999995</v>
      </c>
      <c r="BL184" s="48">
        <v>0.75</v>
      </c>
      <c r="BM184" s="48">
        <v>0.80700000000000005</v>
      </c>
      <c r="BN184" s="48">
        <v>0.66300000000000003</v>
      </c>
      <c r="BO184" s="48">
        <v>0.52800000000000002</v>
      </c>
      <c r="BP184" s="48">
        <v>0.28799999999999998</v>
      </c>
      <c r="BQ184" s="48">
        <v>0.25900000000000001</v>
      </c>
      <c r="BR184" s="48">
        <v>0.26900000000000002</v>
      </c>
      <c r="BS184" s="48">
        <v>0.317</v>
      </c>
      <c r="BT184" s="48">
        <v>0.375</v>
      </c>
      <c r="BU184" s="48">
        <v>0.32600000000000001</v>
      </c>
      <c r="BV184" s="48">
        <v>0.29799999999999999</v>
      </c>
      <c r="BW184" s="48">
        <v>0.33600000000000002</v>
      </c>
      <c r="BX184" s="48">
        <v>0.432</v>
      </c>
      <c r="BY184" s="48">
        <v>0.51900000000000002</v>
      </c>
      <c r="BZ184" s="48">
        <v>0.61499999999999999</v>
      </c>
      <c r="CA184" s="48">
        <v>0.76900000000000002</v>
      </c>
      <c r="CB184" s="48">
        <v>0.93200000000000005</v>
      </c>
      <c r="CC184" s="48">
        <v>0.95099999999999996</v>
      </c>
      <c r="CD184" s="48">
        <v>0.92300000000000004</v>
      </c>
      <c r="CE184" s="48">
        <v>0.77800000000000002</v>
      </c>
      <c r="CF184" s="48">
        <v>0.63400000000000001</v>
      </c>
      <c r="CG184" s="48">
        <v>0.625</v>
      </c>
      <c r="CH184" s="48">
        <v>0.55700000000000005</v>
      </c>
      <c r="CI184" s="48">
        <v>0.50900000000000001</v>
      </c>
      <c r="CJ184" s="48">
        <v>0.48</v>
      </c>
      <c r="CK184" s="48">
        <v>0.56699999999999995</v>
      </c>
      <c r="CL184" s="48">
        <v>0.57599999999999996</v>
      </c>
      <c r="CM184" s="48">
        <v>0.47099999999999997</v>
      </c>
      <c r="CN184" s="48">
        <v>0.442</v>
      </c>
      <c r="CO184" s="48">
        <v>0.46100000000000002</v>
      </c>
      <c r="CP184" s="48">
        <v>0.54800000000000004</v>
      </c>
      <c r="CQ184" s="48">
        <v>0.59599999999999997</v>
      </c>
      <c r="CR184" s="48">
        <v>0.64400000000000002</v>
      </c>
      <c r="CS184" s="48">
        <v>0.65300000000000002</v>
      </c>
      <c r="CT184" s="48">
        <v>0.73</v>
      </c>
      <c r="CU184" s="48">
        <v>0.68200000000000005</v>
      </c>
      <c r="CV184" s="48">
        <v>0.60499999999999998</v>
      </c>
      <c r="CW184" s="48">
        <v>0.49000000000000005</v>
      </c>
      <c r="CX184" s="48">
        <v>0.41299999999999998</v>
      </c>
      <c r="CY184" s="48">
        <v>0.36499999999999999</v>
      </c>
      <c r="CZ184" s="48">
        <v>0.221</v>
      </c>
      <c r="DA184" s="48">
        <v>0.105</v>
      </c>
      <c r="DB184" s="48">
        <v>7.5999999999999998E-2</v>
      </c>
      <c r="DC184" s="48">
        <v>4.8000000000000001E-2</v>
      </c>
      <c r="DD184" s="48">
        <v>3.7999999999999999E-2</v>
      </c>
      <c r="DE184" s="48">
        <v>8.9999999999999993E-3</v>
      </c>
      <c r="DF184" s="48">
        <v>0</v>
      </c>
    </row>
    <row r="185" spans="1:110" x14ac:dyDescent="0.2">
      <c r="A185" s="52" t="s">
        <v>43</v>
      </c>
      <c r="B185" s="47">
        <f t="shared" si="156"/>
        <v>4.7999999999999989</v>
      </c>
      <c r="C185" s="47">
        <f t="shared" si="157"/>
        <v>9.5999999999999979</v>
      </c>
      <c r="D185" s="49" t="e">
        <f t="shared" ref="D185:D216" ca="1" si="170">_xludf.STDEV.P(W185:DF185)*100</f>
        <v>#NAME?</v>
      </c>
      <c r="E185" s="47"/>
      <c r="F185" s="48">
        <v>0.21099999999999999</v>
      </c>
      <c r="G185" s="48">
        <v>0.153</v>
      </c>
      <c r="H185" s="48">
        <v>0.125</v>
      </c>
      <c r="I185" s="48">
        <v>0.11500000000000002</v>
      </c>
      <c r="J185" s="48">
        <v>0.105</v>
      </c>
      <c r="K185" s="48">
        <v>6.7000000000000004E-2</v>
      </c>
      <c r="L185" s="48">
        <v>2.8000000000000001E-2</v>
      </c>
      <c r="M185" s="48">
        <v>0</v>
      </c>
      <c r="N185" s="48">
        <v>8.9999999999999993E-3</v>
      </c>
      <c r="O185" s="48">
        <v>3.7999999999999999E-2</v>
      </c>
      <c r="P185" s="48">
        <v>7.5999999999999998E-2</v>
      </c>
      <c r="Q185" s="48">
        <v>0.16300000000000001</v>
      </c>
      <c r="R185" s="48">
        <v>0.221</v>
      </c>
      <c r="S185" s="48">
        <v>0.20100000000000001</v>
      </c>
      <c r="T185" s="48">
        <v>0.17299999999999999</v>
      </c>
      <c r="U185" s="48">
        <v>0.18200000000000002</v>
      </c>
      <c r="V185" s="48">
        <v>9.6000000000000002E-2</v>
      </c>
      <c r="W185" s="48">
        <v>4.8000000000000001E-2</v>
      </c>
      <c r="X185" s="48">
        <v>1.9E-2</v>
      </c>
      <c r="Y185" s="48">
        <v>5.7000000000000002E-2</v>
      </c>
      <c r="Z185" s="48">
        <v>0.13400000000000001</v>
      </c>
      <c r="AA185" s="48">
        <v>0.23000000000000004</v>
      </c>
      <c r="AB185" s="48">
        <v>0.33600000000000002</v>
      </c>
      <c r="AC185" s="48">
        <v>0.51900000000000002</v>
      </c>
      <c r="AD185" s="48">
        <v>0.65300000000000002</v>
      </c>
      <c r="AE185" s="48">
        <v>0.71099999999999997</v>
      </c>
      <c r="AF185" s="48">
        <v>0.79800000000000004</v>
      </c>
      <c r="AG185" s="48">
        <v>0.85499999999999998</v>
      </c>
      <c r="AH185" s="48">
        <v>0.84599999999999997</v>
      </c>
      <c r="AI185" s="48">
        <v>0.82599999999999996</v>
      </c>
      <c r="AJ185" s="48">
        <v>0.90300000000000002</v>
      </c>
      <c r="AK185" s="48">
        <v>0.96099999999999997</v>
      </c>
      <c r="AL185" s="48">
        <v>1</v>
      </c>
      <c r="AM185" s="48">
        <v>0.99</v>
      </c>
      <c r="AN185" s="48">
        <v>0.97099999999999997</v>
      </c>
      <c r="AO185" s="48">
        <v>0.94199999999999995</v>
      </c>
      <c r="AP185" s="48">
        <v>0.92300000000000004</v>
      </c>
      <c r="AQ185" s="48">
        <v>0.91300000000000003</v>
      </c>
      <c r="AR185" s="48">
        <v>0.87500000000000011</v>
      </c>
      <c r="AS185" s="48">
        <v>0.88400000000000001</v>
      </c>
      <c r="AT185" s="48">
        <v>0.93200000000000005</v>
      </c>
      <c r="AU185" s="48">
        <v>0.98</v>
      </c>
      <c r="AV185" s="48">
        <v>0.95099999999999996</v>
      </c>
      <c r="AW185" s="48">
        <v>0.86499999999999999</v>
      </c>
      <c r="AX185" s="48">
        <v>0.80700000000000005</v>
      </c>
      <c r="AY185" s="48">
        <v>0.77800000000000002</v>
      </c>
      <c r="AZ185" s="48">
        <v>0.74</v>
      </c>
      <c r="BA185" s="48">
        <v>0.67300000000000004</v>
      </c>
      <c r="BB185" s="48">
        <v>0.62499999999999989</v>
      </c>
      <c r="BC185" s="48">
        <v>0.56699999999999995</v>
      </c>
      <c r="BD185" s="48">
        <v>0.432</v>
      </c>
      <c r="BE185" s="48">
        <v>0.29799999999999999</v>
      </c>
      <c r="BF185" s="48">
        <v>0.34599999999999997</v>
      </c>
      <c r="BG185" s="48">
        <v>0.442</v>
      </c>
      <c r="BH185" s="48">
        <v>0.41299999999999998</v>
      </c>
      <c r="BI185" s="48">
        <v>0.36499999999999999</v>
      </c>
      <c r="BJ185" s="48">
        <v>0.35499999999999998</v>
      </c>
      <c r="BK185" s="48">
        <v>0.32600000000000001</v>
      </c>
      <c r="BL185" s="48">
        <v>0.39400000000000002</v>
      </c>
      <c r="BM185" s="48">
        <v>0.45100000000000001</v>
      </c>
      <c r="BN185" s="48">
        <v>0.5</v>
      </c>
      <c r="BO185" s="48">
        <v>0.49</v>
      </c>
      <c r="BP185" s="48">
        <v>0.52800000000000002</v>
      </c>
      <c r="BQ185" s="48">
        <v>0.46100000000000002</v>
      </c>
      <c r="BR185" s="48">
        <v>0.307</v>
      </c>
      <c r="BS185" s="48">
        <v>0.24</v>
      </c>
      <c r="BT185" s="48">
        <v>0.25</v>
      </c>
      <c r="BU185" s="48">
        <v>0.317</v>
      </c>
      <c r="BV185" s="48">
        <v>0.48</v>
      </c>
      <c r="BW185" s="48">
        <v>0.42299999999999999</v>
      </c>
      <c r="BX185" s="48">
        <v>0.26900000000000002</v>
      </c>
      <c r="BY185" s="48">
        <v>0.14399999999999999</v>
      </c>
      <c r="BZ185" s="48">
        <v>8.5999999999999993E-2</v>
      </c>
      <c r="CA185" s="48">
        <v>0.192</v>
      </c>
      <c r="CB185" s="48">
        <v>0.38400000000000001</v>
      </c>
      <c r="CC185" s="48">
        <v>0.61499999999999999</v>
      </c>
      <c r="CD185" s="48">
        <v>0.68200000000000005</v>
      </c>
      <c r="CE185" s="48">
        <v>0.70099999999999996</v>
      </c>
      <c r="CF185" s="48">
        <v>0.73</v>
      </c>
      <c r="CG185" s="48">
        <v>0.75</v>
      </c>
      <c r="CH185" s="48">
        <v>0.72099999999999997</v>
      </c>
      <c r="CI185" s="48">
        <v>0.75900000000000001</v>
      </c>
      <c r="CJ185" s="48">
        <v>0.78800000000000003</v>
      </c>
      <c r="CK185" s="48">
        <v>0.83599999999999997</v>
      </c>
      <c r="CL185" s="48">
        <v>0.89400000000000002</v>
      </c>
      <c r="CM185" s="48">
        <v>0.81699999999999995</v>
      </c>
      <c r="CN185" s="48">
        <v>0.76900000000000002</v>
      </c>
      <c r="CO185" s="48">
        <v>0.69199999999999995</v>
      </c>
      <c r="CP185" s="48">
        <v>0.66300000000000003</v>
      </c>
      <c r="CQ185" s="48">
        <v>0.63400000000000001</v>
      </c>
      <c r="CR185" s="48">
        <v>0.60499999999999998</v>
      </c>
      <c r="CS185" s="48">
        <v>0.57599999999999996</v>
      </c>
      <c r="CT185" s="48">
        <v>0.54800000000000004</v>
      </c>
      <c r="CU185" s="48">
        <v>0.50900000000000001</v>
      </c>
      <c r="CV185" s="48">
        <v>0.47099999999999997</v>
      </c>
      <c r="CW185" s="48">
        <v>0.55700000000000005</v>
      </c>
      <c r="CX185" s="48">
        <v>0.59599999999999997</v>
      </c>
      <c r="CY185" s="48">
        <v>0.64400000000000002</v>
      </c>
      <c r="CZ185" s="48">
        <v>0.58599999999999997</v>
      </c>
      <c r="DA185" s="48">
        <v>0.53800000000000003</v>
      </c>
      <c r="DB185" s="48">
        <v>0.40300000000000002</v>
      </c>
      <c r="DC185" s="48">
        <v>0.28799999999999998</v>
      </c>
      <c r="DD185" s="48">
        <v>0.25900000000000001</v>
      </c>
      <c r="DE185" s="48">
        <v>0.27800000000000002</v>
      </c>
      <c r="DF185" s="48">
        <v>0.375</v>
      </c>
    </row>
    <row r="186" spans="1:110" x14ac:dyDescent="0.2">
      <c r="A186" s="52" t="s">
        <v>46</v>
      </c>
      <c r="B186" s="47">
        <f t="shared" si="156"/>
        <v>-69.200000000000017</v>
      </c>
      <c r="C186" s="47">
        <f t="shared" si="157"/>
        <v>-49.500000000000007</v>
      </c>
      <c r="D186" s="49" t="e">
        <f t="shared" ref="D186:D217" ca="1" si="171">_xludf.STDEV.P(W186:DF186)*100</f>
        <v>#NAME?</v>
      </c>
      <c r="E186" s="47"/>
      <c r="F186" s="48">
        <v>9.4999999999999998E-3</v>
      </c>
      <c r="G186" s="48">
        <v>7.1499999999999994E-2</v>
      </c>
      <c r="H186" s="48">
        <v>0.30249999999999999</v>
      </c>
      <c r="I186" s="48">
        <v>0.50450000000000006</v>
      </c>
      <c r="J186" s="48">
        <v>0.41749999999999998</v>
      </c>
      <c r="K186" s="48">
        <v>0.27350000000000002</v>
      </c>
      <c r="L186" s="48">
        <v>0.23</v>
      </c>
      <c r="M186" s="48">
        <v>0.29800000000000004</v>
      </c>
      <c r="N186" s="48">
        <v>0.49950000000000006</v>
      </c>
      <c r="O186" s="48">
        <v>0.5714999999999999</v>
      </c>
      <c r="P186" s="48">
        <v>0.64849999999999997</v>
      </c>
      <c r="Q186" s="48">
        <v>0.70150000000000012</v>
      </c>
      <c r="R186" s="48">
        <v>0.74</v>
      </c>
      <c r="S186" s="48">
        <v>0.60550000000000004</v>
      </c>
      <c r="T186" s="48">
        <v>0.39849999999999997</v>
      </c>
      <c r="U186" s="48">
        <v>0.34099999999999997</v>
      </c>
      <c r="V186" s="48">
        <v>0.49950000000000006</v>
      </c>
      <c r="W186" s="48">
        <v>0.71099999999999997</v>
      </c>
      <c r="X186" s="48">
        <v>0.80249999999999999</v>
      </c>
      <c r="Y186" s="48">
        <v>0.81699999999999995</v>
      </c>
      <c r="Z186" s="48">
        <v>0.73549999999999993</v>
      </c>
      <c r="AA186" s="48">
        <v>0.58150000000000002</v>
      </c>
      <c r="AB186" s="48">
        <v>0.41300000000000003</v>
      </c>
      <c r="AC186" s="48">
        <v>0.41300000000000003</v>
      </c>
      <c r="AD186" s="48">
        <v>0.5714999999999999</v>
      </c>
      <c r="AE186" s="48">
        <v>0.754</v>
      </c>
      <c r="AF186" s="48">
        <v>0.83600000000000008</v>
      </c>
      <c r="AG186" s="48">
        <v>0.89350000000000007</v>
      </c>
      <c r="AH186" s="48">
        <v>0.88900000000000012</v>
      </c>
      <c r="AI186" s="48">
        <v>0.86</v>
      </c>
      <c r="AJ186" s="48">
        <v>0.85499999999999998</v>
      </c>
      <c r="AK186" s="48">
        <v>0.81200000000000006</v>
      </c>
      <c r="AL186" s="48">
        <v>0.88400000000000001</v>
      </c>
      <c r="AM186" s="48">
        <v>0.96100000000000008</v>
      </c>
      <c r="AN186" s="48">
        <v>1</v>
      </c>
      <c r="AO186" s="48">
        <v>0.98049999999999993</v>
      </c>
      <c r="AP186" s="48">
        <v>0.9085000000000002</v>
      </c>
      <c r="AQ186" s="48">
        <v>0.83150000000000002</v>
      </c>
      <c r="AR186" s="48">
        <v>0.76400000000000001</v>
      </c>
      <c r="AS186" s="48">
        <v>0.68199999999999994</v>
      </c>
      <c r="AT186" s="48">
        <v>0.62</v>
      </c>
      <c r="AU186" s="48">
        <v>0.57199999999999995</v>
      </c>
      <c r="AV186" s="48">
        <v>0.49450000000000005</v>
      </c>
      <c r="AW186" s="48">
        <v>0.35049999999999998</v>
      </c>
      <c r="AX186" s="48">
        <v>0.19650000000000001</v>
      </c>
      <c r="AY186" s="48">
        <v>0.19650000000000001</v>
      </c>
      <c r="AZ186" s="48">
        <v>0.37</v>
      </c>
      <c r="BA186" s="48">
        <v>0.55249999999999999</v>
      </c>
      <c r="BB186" s="48">
        <v>0.60050000000000003</v>
      </c>
      <c r="BC186" s="48">
        <v>0.317</v>
      </c>
      <c r="BD186" s="48">
        <v>9.1000000000000011E-2</v>
      </c>
      <c r="BE186" s="48">
        <v>4.4999999999999997E-3</v>
      </c>
      <c r="BF186" s="48">
        <v>1.4E-2</v>
      </c>
      <c r="BG186" s="48">
        <v>8.5999999999999993E-2</v>
      </c>
      <c r="BH186" s="48">
        <v>0.13899999999999998</v>
      </c>
      <c r="BI186" s="48">
        <v>0.14400000000000002</v>
      </c>
      <c r="BJ186" s="48">
        <v>0.12</v>
      </c>
      <c r="BK186" s="48">
        <v>0.13849999999999998</v>
      </c>
      <c r="BL186" s="48">
        <v>0.19650000000000001</v>
      </c>
      <c r="BM186" s="48">
        <v>0.33149999999999996</v>
      </c>
      <c r="BN186" s="48">
        <v>0.379</v>
      </c>
      <c r="BO186" s="48">
        <v>0.34549999999999997</v>
      </c>
      <c r="BP186" s="48">
        <v>0.33149999999999996</v>
      </c>
      <c r="BQ186" s="48">
        <v>0.32200000000000001</v>
      </c>
      <c r="BR186" s="48">
        <v>0.35549999999999998</v>
      </c>
      <c r="BS186" s="48">
        <v>0.437</v>
      </c>
      <c r="BT186" s="48">
        <v>0.51850000000000007</v>
      </c>
      <c r="BU186" s="48">
        <v>0.60050000000000003</v>
      </c>
      <c r="BV186" s="48">
        <v>0.62949999999999995</v>
      </c>
      <c r="BW186" s="48">
        <v>0.60050000000000003</v>
      </c>
      <c r="BX186" s="48">
        <v>0.42249999999999999</v>
      </c>
      <c r="BY186" s="48">
        <v>0.3165</v>
      </c>
      <c r="BZ186" s="48">
        <v>0.34100000000000003</v>
      </c>
      <c r="CA186" s="48">
        <v>0.48000000000000009</v>
      </c>
      <c r="CB186" s="48">
        <v>0.63850000000000007</v>
      </c>
      <c r="CC186" s="48">
        <v>0.68199999999999994</v>
      </c>
      <c r="CD186" s="48">
        <v>0.71599999999999997</v>
      </c>
      <c r="CE186" s="48">
        <v>0.60050000000000003</v>
      </c>
      <c r="CF186" s="48">
        <v>0.41749999999999998</v>
      </c>
      <c r="CG186" s="48">
        <v>0.26850000000000002</v>
      </c>
      <c r="CH186" s="48">
        <v>0.375</v>
      </c>
      <c r="CI186" s="48">
        <v>0.67749999999999988</v>
      </c>
      <c r="CJ186" s="48">
        <v>0.82650000000000001</v>
      </c>
      <c r="CK186" s="48">
        <v>0.88400000000000001</v>
      </c>
      <c r="CL186" s="48">
        <v>0.78799999999999981</v>
      </c>
      <c r="CM186" s="48">
        <v>0.65349999999999997</v>
      </c>
      <c r="CN186" s="48">
        <v>0.50950000000000006</v>
      </c>
      <c r="CO186" s="48">
        <v>0.50900000000000001</v>
      </c>
      <c r="CP186" s="48">
        <v>0.48049999999999998</v>
      </c>
      <c r="CQ186" s="48">
        <v>0.49949999999999994</v>
      </c>
      <c r="CR186" s="48">
        <v>0.66300000000000003</v>
      </c>
      <c r="CS186" s="48">
        <v>0.78299999999999992</v>
      </c>
      <c r="CT186" s="48">
        <v>0.84100000000000008</v>
      </c>
      <c r="CU186" s="48">
        <v>0.72550000000000003</v>
      </c>
      <c r="CV186" s="48">
        <v>0.53800000000000003</v>
      </c>
      <c r="CW186" s="48">
        <v>0.40300000000000002</v>
      </c>
      <c r="CX186" s="48">
        <v>0.317</v>
      </c>
      <c r="CY186" s="48">
        <v>0.216</v>
      </c>
      <c r="CZ186" s="48">
        <v>0.1535</v>
      </c>
      <c r="DA186" s="48">
        <v>0.14349999999999999</v>
      </c>
      <c r="DB186" s="48">
        <v>0.19650000000000001</v>
      </c>
      <c r="DC186" s="48">
        <v>0.32150000000000001</v>
      </c>
      <c r="DD186" s="48">
        <v>0.37950000000000006</v>
      </c>
      <c r="DE186" s="48">
        <v>0.33149999999999996</v>
      </c>
      <c r="DF186" s="48">
        <v>0.23050000000000001</v>
      </c>
    </row>
    <row r="187" spans="1:110" x14ac:dyDescent="0.2">
      <c r="A187" s="52" t="s">
        <v>49</v>
      </c>
      <c r="B187" s="47">
        <f t="shared" si="156"/>
        <v>-11.999999999999996</v>
      </c>
      <c r="C187" s="47">
        <f t="shared" si="157"/>
        <v>-19.2</v>
      </c>
      <c r="D187" s="49" t="e">
        <f t="shared" ref="D187:D218" ca="1" si="172">_xludf.STDEV.P(W187:DF187)*100</f>
        <v>#NAME?</v>
      </c>
      <c r="E187" s="47"/>
      <c r="F187" s="48">
        <v>0.22550000000000001</v>
      </c>
      <c r="G187" s="48">
        <v>0.24</v>
      </c>
      <c r="H187" s="48">
        <v>0.30249999999999999</v>
      </c>
      <c r="I187" s="48">
        <v>0.41749999999999998</v>
      </c>
      <c r="J187" s="48">
        <v>0.47099999999999997</v>
      </c>
      <c r="K187" s="48">
        <v>0.36499999999999999</v>
      </c>
      <c r="L187" s="48">
        <v>0.22050000000000003</v>
      </c>
      <c r="M187" s="48">
        <v>0.16300000000000001</v>
      </c>
      <c r="N187" s="48">
        <v>0.187</v>
      </c>
      <c r="O187" s="48">
        <v>0.21149999999999999</v>
      </c>
      <c r="P187" s="48">
        <v>0.31200000000000006</v>
      </c>
      <c r="Q187" s="48">
        <v>0.34549999999999997</v>
      </c>
      <c r="R187" s="48">
        <v>0.307</v>
      </c>
      <c r="S187" s="48">
        <v>0.2545</v>
      </c>
      <c r="T187" s="48">
        <v>0.19649999999999998</v>
      </c>
      <c r="U187" s="48">
        <v>0.14849999999999999</v>
      </c>
      <c r="V187" s="48">
        <v>8.6500000000000007E-2</v>
      </c>
      <c r="W187" s="48">
        <v>7.1500000000000008E-2</v>
      </c>
      <c r="X187" s="48">
        <v>9.5499999999999988E-2</v>
      </c>
      <c r="Y187" s="48">
        <v>8.5999999999999993E-2</v>
      </c>
      <c r="Z187" s="48">
        <v>6.2E-2</v>
      </c>
      <c r="AA187" s="48">
        <v>3.8000000000000006E-2</v>
      </c>
      <c r="AB187" s="48">
        <v>1.4E-2</v>
      </c>
      <c r="AC187" s="48">
        <v>9.4999999999999998E-3</v>
      </c>
      <c r="AD187" s="48">
        <v>1.8499999999999999E-2</v>
      </c>
      <c r="AE187" s="48">
        <v>3.3499999999999995E-2</v>
      </c>
      <c r="AF187" s="48">
        <v>9.0999999999999984E-2</v>
      </c>
      <c r="AG187" s="48">
        <v>0.13899999999999998</v>
      </c>
      <c r="AH187" s="48">
        <v>0.30249999999999999</v>
      </c>
      <c r="AI187" s="48">
        <v>0.46600000000000003</v>
      </c>
      <c r="AJ187" s="48">
        <v>0.52349999999999997</v>
      </c>
      <c r="AK187" s="48">
        <v>0.50900000000000001</v>
      </c>
      <c r="AL187" s="48">
        <v>0.48</v>
      </c>
      <c r="AM187" s="48">
        <v>0.45650000000000007</v>
      </c>
      <c r="AN187" s="48">
        <v>0.45599999999999996</v>
      </c>
      <c r="AO187" s="48">
        <v>0.504</v>
      </c>
      <c r="AP187" s="48">
        <v>0.52349999999999997</v>
      </c>
      <c r="AQ187" s="48">
        <v>0.5575</v>
      </c>
      <c r="AR187" s="48">
        <v>0.59099999999999997</v>
      </c>
      <c r="AS187" s="48">
        <v>0.65849999999999997</v>
      </c>
      <c r="AT187" s="48">
        <v>0.74949999999999994</v>
      </c>
      <c r="AU187" s="48">
        <v>0.71150000000000002</v>
      </c>
      <c r="AV187" s="48">
        <v>0.76900000000000002</v>
      </c>
      <c r="AW187" s="48">
        <v>0.69699999999999995</v>
      </c>
      <c r="AX187" s="48">
        <v>0.73050000000000004</v>
      </c>
      <c r="AY187" s="48">
        <v>0.68199999999999994</v>
      </c>
      <c r="AZ187" s="48">
        <v>0.76900000000000002</v>
      </c>
      <c r="BA187" s="48">
        <v>0.7639999999999999</v>
      </c>
      <c r="BB187" s="48">
        <v>0.66749999999999987</v>
      </c>
      <c r="BC187" s="48">
        <v>0.63400000000000001</v>
      </c>
      <c r="BD187" s="48">
        <v>0.55249999999999999</v>
      </c>
      <c r="BE187" s="48">
        <v>0.44650000000000001</v>
      </c>
      <c r="BF187" s="48">
        <v>0.28799999999999998</v>
      </c>
      <c r="BG187" s="48">
        <v>0.24</v>
      </c>
      <c r="BH187" s="48">
        <v>0.2545</v>
      </c>
      <c r="BI187" s="48">
        <v>0.40300000000000002</v>
      </c>
      <c r="BJ187" s="48">
        <v>0.73499999999999999</v>
      </c>
      <c r="BK187" s="48">
        <v>0.81199999999999994</v>
      </c>
      <c r="BL187" s="48">
        <v>0.79250000000000009</v>
      </c>
      <c r="BM187" s="48">
        <v>0.70600000000000007</v>
      </c>
      <c r="BN187" s="48">
        <v>0.53350000000000009</v>
      </c>
      <c r="BO187" s="48">
        <v>0.4995</v>
      </c>
      <c r="BP187" s="48">
        <v>0.56699999999999995</v>
      </c>
      <c r="BQ187" s="48">
        <v>0.68249999999999988</v>
      </c>
      <c r="BR187" s="48">
        <v>0.67749999999999999</v>
      </c>
      <c r="BS187" s="48">
        <v>0.63400000000000001</v>
      </c>
      <c r="BT187" s="48">
        <v>0.5575</v>
      </c>
      <c r="BU187" s="48">
        <v>0.60049999999999992</v>
      </c>
      <c r="BV187" s="48">
        <v>0.65349999999999997</v>
      </c>
      <c r="BW187" s="48">
        <v>0.66300000000000003</v>
      </c>
      <c r="BX187" s="48">
        <v>0.59599999999999997</v>
      </c>
      <c r="BY187" s="48">
        <v>0.504</v>
      </c>
      <c r="BZ187" s="48">
        <v>0.45099999999999996</v>
      </c>
      <c r="CA187" s="48">
        <v>0.55249999999999999</v>
      </c>
      <c r="CB187" s="48">
        <v>0.71600000000000008</v>
      </c>
      <c r="CC187" s="48">
        <v>0.77349999999999985</v>
      </c>
      <c r="CD187" s="48">
        <v>0.79300000000000004</v>
      </c>
      <c r="CE187" s="48">
        <v>0.73499999999999999</v>
      </c>
      <c r="CF187" s="48">
        <v>0.65800000000000003</v>
      </c>
      <c r="CG187" s="48">
        <v>0.61499999999999999</v>
      </c>
      <c r="CH187" s="48">
        <v>0.59550000000000003</v>
      </c>
      <c r="CI187" s="48">
        <v>0.38400000000000006</v>
      </c>
      <c r="CJ187" s="48">
        <v>0.307</v>
      </c>
      <c r="CK187" s="48">
        <v>0.41299999999999998</v>
      </c>
      <c r="CL187" s="48">
        <v>0.81199999999999994</v>
      </c>
      <c r="CM187" s="48">
        <v>0.90800000000000003</v>
      </c>
      <c r="CN187" s="48">
        <v>0.89399999999999991</v>
      </c>
      <c r="CO187" s="48">
        <v>0.77800000000000002</v>
      </c>
      <c r="CP187" s="48">
        <v>0.66300000000000003</v>
      </c>
      <c r="CQ187" s="48">
        <v>0.72099999999999997</v>
      </c>
      <c r="CR187" s="48">
        <v>0.80200000000000005</v>
      </c>
      <c r="CS187" s="48">
        <v>0.87</v>
      </c>
      <c r="CT187" s="48">
        <v>0.89399999999999991</v>
      </c>
      <c r="CU187" s="48">
        <v>0.93700000000000006</v>
      </c>
      <c r="CV187" s="48">
        <v>0.97100000000000009</v>
      </c>
      <c r="CW187" s="48">
        <v>0.97049999999999992</v>
      </c>
      <c r="CX187" s="48">
        <v>0.90350000000000008</v>
      </c>
      <c r="CY187" s="48">
        <v>0.75900000000000012</v>
      </c>
      <c r="CZ187" s="48">
        <v>0.58150000000000002</v>
      </c>
      <c r="DA187" s="48">
        <v>0.42749999999999999</v>
      </c>
      <c r="DB187" s="48">
        <v>0.36</v>
      </c>
      <c r="DC187" s="48">
        <v>0.37949999999999995</v>
      </c>
      <c r="DD187" s="48">
        <v>0.41800000000000004</v>
      </c>
      <c r="DE187" s="48">
        <v>0.40300000000000002</v>
      </c>
      <c r="DF187" s="48">
        <v>0.29299999999999998</v>
      </c>
    </row>
    <row r="188" spans="1:110" x14ac:dyDescent="0.2">
      <c r="A188" s="52" t="s">
        <v>52</v>
      </c>
      <c r="B188" s="47">
        <f t="shared" si="156"/>
        <v>-51.9</v>
      </c>
      <c r="C188" s="47">
        <f t="shared" si="157"/>
        <v>-16.400000000000002</v>
      </c>
      <c r="D188" s="49" t="e">
        <f t="shared" ref="D188:D219" ca="1" si="173">_xludf.STDEV.P(W188:DF188)*100</f>
        <v>#NAME?</v>
      </c>
      <c r="E188" s="47"/>
      <c r="F188" s="48">
        <v>8.5999999999999993E-2</v>
      </c>
      <c r="G188" s="48">
        <v>0.115</v>
      </c>
      <c r="H188" s="48">
        <v>0.17299999999999999</v>
      </c>
      <c r="I188" s="48">
        <v>0.25</v>
      </c>
      <c r="J188" s="48">
        <v>0.32600000000000001</v>
      </c>
      <c r="K188" s="48">
        <v>0.37499999999999994</v>
      </c>
      <c r="L188" s="48">
        <v>0.40300000000000002</v>
      </c>
      <c r="M188" s="48">
        <v>0.39400000000000002</v>
      </c>
      <c r="N188" s="48">
        <v>0.48</v>
      </c>
      <c r="O188" s="48">
        <v>0.54800000000000004</v>
      </c>
      <c r="P188" s="48">
        <v>0.57599999999999996</v>
      </c>
      <c r="Q188" s="48">
        <v>0.60499999999999998</v>
      </c>
      <c r="R188" s="48">
        <v>0.64400000000000002</v>
      </c>
      <c r="S188" s="48">
        <v>0.66300000000000003</v>
      </c>
      <c r="T188" s="48">
        <v>0.36499999999999999</v>
      </c>
      <c r="U188" s="48">
        <v>0.307</v>
      </c>
      <c r="V188" s="48">
        <v>0.33600000000000002</v>
      </c>
      <c r="W188" s="48">
        <v>0.47099999999999997</v>
      </c>
      <c r="X188" s="48">
        <v>0.50900000000000001</v>
      </c>
      <c r="Y188" s="48">
        <v>0.45100000000000001</v>
      </c>
      <c r="Z188" s="48">
        <v>0.53800000000000003</v>
      </c>
      <c r="AA188" s="48">
        <v>0.56699999999999995</v>
      </c>
      <c r="AB188" s="48">
        <v>0.61499999999999999</v>
      </c>
      <c r="AC188" s="48">
        <v>0.74</v>
      </c>
      <c r="AD188" s="48">
        <v>0.80700000000000005</v>
      </c>
      <c r="AE188" s="48">
        <v>0.82599999999999996</v>
      </c>
      <c r="AF188" s="48">
        <v>0.86499999999999999</v>
      </c>
      <c r="AG188" s="48">
        <v>0.88400000000000001</v>
      </c>
      <c r="AH188" s="48">
        <v>0.875</v>
      </c>
      <c r="AI188" s="48">
        <v>0.83599999999999997</v>
      </c>
      <c r="AJ188" s="48">
        <v>0.84599999999999997</v>
      </c>
      <c r="AK188" s="48">
        <v>0.89400000000000002</v>
      </c>
      <c r="AL188" s="48">
        <v>0.90300000000000002</v>
      </c>
      <c r="AM188" s="48">
        <v>0.91300000000000003</v>
      </c>
      <c r="AN188" s="48">
        <v>0.95099999999999996</v>
      </c>
      <c r="AO188" s="48">
        <v>0.99</v>
      </c>
      <c r="AP188" s="48">
        <v>0.97099999999999997</v>
      </c>
      <c r="AQ188" s="48">
        <v>0.93200000000000005</v>
      </c>
      <c r="AR188" s="48">
        <v>0.92300000000000004</v>
      </c>
      <c r="AS188" s="48">
        <v>0.94199999999999995</v>
      </c>
      <c r="AT188" s="48">
        <v>0.98</v>
      </c>
      <c r="AU188" s="48">
        <v>1</v>
      </c>
      <c r="AV188" s="48">
        <v>0.96099999999999997</v>
      </c>
      <c r="AW188" s="48">
        <v>0.85499999999999998</v>
      </c>
      <c r="AX188" s="48">
        <v>0.34599999999999997</v>
      </c>
      <c r="AY188" s="48">
        <v>0.105</v>
      </c>
      <c r="AZ188" s="48">
        <v>5.7000000000000002E-2</v>
      </c>
      <c r="BA188" s="48">
        <v>1.9E-2</v>
      </c>
      <c r="BB188" s="48">
        <v>8.9999999999999993E-3</v>
      </c>
      <c r="BC188" s="48">
        <v>0</v>
      </c>
      <c r="BD188" s="48">
        <v>4.8000000000000001E-2</v>
      </c>
      <c r="BE188" s="48">
        <v>7.5999999999999998E-2</v>
      </c>
      <c r="BF188" s="48">
        <v>6.7000000000000004E-2</v>
      </c>
      <c r="BG188" s="48">
        <v>2.8000000000000001E-2</v>
      </c>
      <c r="BH188" s="48">
        <v>3.7999999999999999E-2</v>
      </c>
      <c r="BI188" s="48">
        <v>9.6000000000000002E-2</v>
      </c>
      <c r="BJ188" s="48">
        <v>0.28799999999999998</v>
      </c>
      <c r="BK188" s="48">
        <v>0.625</v>
      </c>
      <c r="BL188" s="48">
        <v>0.55700000000000005</v>
      </c>
      <c r="BM188" s="48">
        <v>0.38400000000000001</v>
      </c>
      <c r="BN188" s="48">
        <v>0.21099999999999999</v>
      </c>
      <c r="BO188" s="48">
        <v>0.317</v>
      </c>
      <c r="BP188" s="48">
        <v>0.29799999999999999</v>
      </c>
      <c r="BQ188" s="48">
        <v>0.221</v>
      </c>
      <c r="BR188" s="48">
        <v>0.153</v>
      </c>
      <c r="BS188" s="48">
        <v>0.16300000000000001</v>
      </c>
      <c r="BT188" s="48">
        <v>0.23</v>
      </c>
      <c r="BU188" s="48">
        <v>0.24</v>
      </c>
      <c r="BV188" s="48">
        <v>0.25900000000000001</v>
      </c>
      <c r="BW188" s="48">
        <v>0.192</v>
      </c>
      <c r="BX188" s="48">
        <v>0.27800000000000002</v>
      </c>
      <c r="BY188" s="48">
        <v>0.59599999999999997</v>
      </c>
      <c r="BZ188" s="48">
        <v>0.79800000000000004</v>
      </c>
      <c r="CA188" s="48">
        <v>0.81699999999999995</v>
      </c>
      <c r="CB188" s="48">
        <v>0.78800000000000003</v>
      </c>
      <c r="CC188" s="48">
        <v>0.77800000000000002</v>
      </c>
      <c r="CD188" s="48">
        <v>0.76900000000000002</v>
      </c>
      <c r="CE188" s="48">
        <v>0.74999999999999989</v>
      </c>
      <c r="CF188" s="48">
        <v>0.71099999999999997</v>
      </c>
      <c r="CG188" s="48">
        <v>0.75900000000000001</v>
      </c>
      <c r="CH188" s="48">
        <v>0.68200000000000005</v>
      </c>
      <c r="CI188" s="48">
        <v>0.72099999999999997</v>
      </c>
      <c r="CJ188" s="48">
        <v>0.70099999999999996</v>
      </c>
      <c r="CK188" s="48">
        <v>0.63400000000000001</v>
      </c>
      <c r="CL188" s="48">
        <v>0.51900000000000002</v>
      </c>
      <c r="CM188" s="48">
        <v>0.41299999999999998</v>
      </c>
      <c r="CN188" s="48">
        <v>0.42299999999999999</v>
      </c>
      <c r="CO188" s="48">
        <v>0.442</v>
      </c>
      <c r="CP188" s="48">
        <v>0.432</v>
      </c>
      <c r="CQ188" s="48">
        <v>0.5</v>
      </c>
      <c r="CR188" s="48">
        <v>0.65300000000000002</v>
      </c>
      <c r="CS188" s="48">
        <v>0.67300000000000004</v>
      </c>
      <c r="CT188" s="48">
        <v>0.73</v>
      </c>
      <c r="CU188" s="48">
        <v>0.69199999999999995</v>
      </c>
      <c r="CV188" s="48">
        <v>0.58599999999999997</v>
      </c>
      <c r="CW188" s="48">
        <v>0.49</v>
      </c>
      <c r="CX188" s="48">
        <v>0.46100000000000002</v>
      </c>
      <c r="CY188" s="48">
        <v>0.52800000000000002</v>
      </c>
      <c r="CZ188" s="48">
        <v>0.35499999999999998</v>
      </c>
      <c r="DA188" s="48">
        <v>0.20100000000000001</v>
      </c>
      <c r="DB188" s="48">
        <v>0.13400000000000001</v>
      </c>
      <c r="DC188" s="48">
        <v>0.14399999999999999</v>
      </c>
      <c r="DD188" s="48">
        <v>0.125</v>
      </c>
      <c r="DE188" s="48">
        <v>0.182</v>
      </c>
      <c r="DF188" s="48">
        <v>0.26900000000000002</v>
      </c>
    </row>
    <row r="189" spans="1:110" x14ac:dyDescent="0.2">
      <c r="A189" s="52" t="s">
        <v>55</v>
      </c>
      <c r="B189" s="47">
        <f t="shared" si="156"/>
        <v>-7.7499999999999956</v>
      </c>
      <c r="C189" s="47">
        <f t="shared" si="157"/>
        <v>-32.749999999999993</v>
      </c>
      <c r="D189" s="49" t="e">
        <f t="shared" ref="D189:D220" ca="1" si="174">_xludf.STDEV.P(W189:DF189)*100</f>
        <v>#NAME?</v>
      </c>
      <c r="E189" s="47"/>
      <c r="F189" s="48">
        <v>0.26850000000000002</v>
      </c>
      <c r="G189" s="48">
        <v>0.312</v>
      </c>
      <c r="H189" s="48">
        <v>0.43199999999999994</v>
      </c>
      <c r="I189" s="48">
        <v>0.59599999999999997</v>
      </c>
      <c r="J189" s="48">
        <v>0.61</v>
      </c>
      <c r="K189" s="48">
        <v>0.50950000000000006</v>
      </c>
      <c r="L189" s="48">
        <v>0.3745</v>
      </c>
      <c r="M189" s="48">
        <v>0.26850000000000002</v>
      </c>
      <c r="N189" s="48">
        <v>0.28299999999999997</v>
      </c>
      <c r="O189" s="48">
        <v>0.29250000000000004</v>
      </c>
      <c r="P189" s="48">
        <v>0.33100000000000002</v>
      </c>
      <c r="Q189" s="48">
        <v>0.34599999999999997</v>
      </c>
      <c r="R189" s="48">
        <v>0.4375</v>
      </c>
      <c r="S189" s="48">
        <v>0.45150000000000001</v>
      </c>
      <c r="T189" s="48">
        <v>0.36950000000000005</v>
      </c>
      <c r="U189" s="48">
        <v>0.17299999999999999</v>
      </c>
      <c r="V189" s="48">
        <v>0.115</v>
      </c>
      <c r="W189" s="48">
        <v>0.1535</v>
      </c>
      <c r="X189" s="48">
        <v>0.33600000000000002</v>
      </c>
      <c r="Y189" s="48">
        <v>0.43199999999999994</v>
      </c>
      <c r="Z189" s="48">
        <v>0.50449999999999995</v>
      </c>
      <c r="AA189" s="48">
        <v>0.53799999999999992</v>
      </c>
      <c r="AB189" s="48">
        <v>0.46599999999999997</v>
      </c>
      <c r="AC189" s="48">
        <v>0.37</v>
      </c>
      <c r="AD189" s="48">
        <v>0.28799999999999998</v>
      </c>
      <c r="AE189" s="48">
        <v>0.28799999999999998</v>
      </c>
      <c r="AF189" s="48">
        <v>0.40299999999999997</v>
      </c>
      <c r="AG189" s="48">
        <v>0.53299999999999992</v>
      </c>
      <c r="AH189" s="48">
        <v>0.6964999999999999</v>
      </c>
      <c r="AI189" s="48">
        <v>0.77849999999999997</v>
      </c>
      <c r="AJ189" s="48">
        <v>0.8025000000000001</v>
      </c>
      <c r="AK189" s="48">
        <v>0.78800000000000003</v>
      </c>
      <c r="AL189" s="48">
        <v>0.75900000000000001</v>
      </c>
      <c r="AM189" s="48">
        <v>0.79800000000000004</v>
      </c>
      <c r="AN189" s="48">
        <v>0.86499999999999988</v>
      </c>
      <c r="AO189" s="48">
        <v>0.93700000000000006</v>
      </c>
      <c r="AP189" s="48">
        <v>0.97100000000000009</v>
      </c>
      <c r="AQ189" s="48">
        <v>0.98499999999999999</v>
      </c>
      <c r="AR189" s="48">
        <v>0.96599999999999997</v>
      </c>
      <c r="AS189" s="48">
        <v>0.98499999999999999</v>
      </c>
      <c r="AT189" s="48">
        <v>0.95600000000000007</v>
      </c>
      <c r="AU189" s="48">
        <v>0.92249999999999988</v>
      </c>
      <c r="AV189" s="48">
        <v>0.84099999999999997</v>
      </c>
      <c r="AW189" s="48">
        <v>0.74950000000000006</v>
      </c>
      <c r="AX189" s="48">
        <v>0.63900000000000001</v>
      </c>
      <c r="AY189" s="48">
        <v>0.60049999999999992</v>
      </c>
      <c r="AZ189" s="48">
        <v>0.5714999999999999</v>
      </c>
      <c r="BA189" s="48">
        <v>0.46099999999999991</v>
      </c>
      <c r="BB189" s="48">
        <v>0.35049999999999998</v>
      </c>
      <c r="BC189" s="48">
        <v>0.26849999999999996</v>
      </c>
      <c r="BD189" s="48">
        <v>0.22049999999999995</v>
      </c>
      <c r="BE189" s="48">
        <v>0.14350000000000002</v>
      </c>
      <c r="BF189" s="48">
        <v>0.10050000000000001</v>
      </c>
      <c r="BG189" s="48">
        <v>8.1499999999999989E-2</v>
      </c>
      <c r="BH189" s="48">
        <v>0.14399999999999999</v>
      </c>
      <c r="BI189" s="48">
        <v>0.22099999999999997</v>
      </c>
      <c r="BJ189" s="48">
        <v>0.32650000000000001</v>
      </c>
      <c r="BK189" s="48">
        <v>0.29299999999999998</v>
      </c>
      <c r="BL189" s="48">
        <v>0.17299999999999999</v>
      </c>
      <c r="BM189" s="48">
        <v>0.10049999999999999</v>
      </c>
      <c r="BN189" s="48">
        <v>0.10549999999999998</v>
      </c>
      <c r="BO189" s="48">
        <v>0.16300000000000001</v>
      </c>
      <c r="BP189" s="48">
        <v>0.20599999999999999</v>
      </c>
      <c r="BQ189" s="48">
        <v>0.2495</v>
      </c>
      <c r="BR189" s="48">
        <v>0.27850000000000003</v>
      </c>
      <c r="BS189" s="48">
        <v>0.34550000000000003</v>
      </c>
      <c r="BT189" s="48">
        <v>0.35499999999999998</v>
      </c>
      <c r="BU189" s="48">
        <v>0.34549999999999997</v>
      </c>
      <c r="BV189" s="48">
        <v>0.27849999999999997</v>
      </c>
      <c r="BW189" s="48">
        <v>0.312</v>
      </c>
      <c r="BX189" s="48">
        <v>0.44199999999999995</v>
      </c>
      <c r="BY189" s="48">
        <v>0.59550000000000003</v>
      </c>
      <c r="BZ189" s="48">
        <v>0.73</v>
      </c>
      <c r="CA189" s="48">
        <v>0.76400000000000001</v>
      </c>
      <c r="CB189" s="48">
        <v>0.77350000000000008</v>
      </c>
      <c r="CC189" s="48">
        <v>0.78800000000000003</v>
      </c>
      <c r="CD189" s="48">
        <v>0.78799999999999992</v>
      </c>
      <c r="CE189" s="48">
        <v>0.73049999999999993</v>
      </c>
      <c r="CF189" s="48">
        <v>0.64849999999999997</v>
      </c>
      <c r="CG189" s="48">
        <v>0.59550000000000003</v>
      </c>
      <c r="CH189" s="48">
        <v>0.57650000000000001</v>
      </c>
      <c r="CI189" s="48">
        <v>0.64400000000000002</v>
      </c>
      <c r="CJ189" s="48">
        <v>0.6775000000000001</v>
      </c>
      <c r="CK189" s="48">
        <v>0.81200000000000006</v>
      </c>
      <c r="CL189" s="48">
        <v>0.86</v>
      </c>
      <c r="CM189" s="48">
        <v>0.88450000000000006</v>
      </c>
      <c r="CN189" s="48">
        <v>0.86499999999999988</v>
      </c>
      <c r="CO189" s="48">
        <v>0.81699999999999995</v>
      </c>
      <c r="CP189" s="48">
        <v>0.78800000000000014</v>
      </c>
      <c r="CQ189" s="48">
        <v>0.76400000000000001</v>
      </c>
      <c r="CR189" s="48">
        <v>0.79749999999999999</v>
      </c>
      <c r="CS189" s="48">
        <v>0.87</v>
      </c>
      <c r="CT189" s="48">
        <v>0.94200000000000006</v>
      </c>
      <c r="CU189" s="48">
        <v>0.84050000000000002</v>
      </c>
      <c r="CV189" s="48">
        <v>0.74950000000000006</v>
      </c>
      <c r="CW189" s="48">
        <v>0.56200000000000006</v>
      </c>
      <c r="CX189" s="48">
        <v>0.40349999999999997</v>
      </c>
      <c r="CY189" s="48">
        <v>0.23050000000000001</v>
      </c>
      <c r="CZ189" s="48">
        <v>0.13899999999999998</v>
      </c>
      <c r="DA189" s="48">
        <v>8.5999999999999993E-2</v>
      </c>
      <c r="DB189" s="48">
        <v>7.6499999999999999E-2</v>
      </c>
      <c r="DC189" s="48">
        <v>0.11</v>
      </c>
      <c r="DD189" s="48">
        <v>0.1295</v>
      </c>
      <c r="DE189" s="48">
        <v>0.16300000000000001</v>
      </c>
      <c r="DF189" s="48">
        <v>0.19199999999999998</v>
      </c>
    </row>
    <row r="190" spans="1:110" x14ac:dyDescent="0.2">
      <c r="A190" s="52" t="s">
        <v>58</v>
      </c>
      <c r="B190" s="47">
        <f t="shared" si="156"/>
        <v>-36.999999999999986</v>
      </c>
      <c r="C190" s="47">
        <f t="shared" si="157"/>
        <v>-14.399999999999999</v>
      </c>
      <c r="D190" s="49" t="e">
        <f t="shared" ref="D190:D221" ca="1" si="175">_xludf.STDEV.P(W190:DF190)*100</f>
        <v>#NAME?</v>
      </c>
      <c r="E190" s="47"/>
      <c r="F190" s="48">
        <v>0.22550000000000001</v>
      </c>
      <c r="G190" s="48">
        <v>0.25</v>
      </c>
      <c r="H190" s="48">
        <v>0.30249999999999999</v>
      </c>
      <c r="I190" s="48">
        <v>0.3695</v>
      </c>
      <c r="J190" s="48">
        <v>0.44199999999999995</v>
      </c>
      <c r="K190" s="48">
        <v>0.54249999999999998</v>
      </c>
      <c r="L190" s="48">
        <v>0.57650000000000001</v>
      </c>
      <c r="M190" s="48">
        <v>0.53350000000000009</v>
      </c>
      <c r="N190" s="48">
        <v>0.51900000000000002</v>
      </c>
      <c r="O190" s="48">
        <v>0.52849999999999997</v>
      </c>
      <c r="P190" s="48">
        <v>0.5714999999999999</v>
      </c>
      <c r="Q190" s="48">
        <v>0.59549999999999992</v>
      </c>
      <c r="R190" s="48">
        <v>0.51899999999999991</v>
      </c>
      <c r="S190" s="48">
        <v>0.40799999999999997</v>
      </c>
      <c r="T190" s="48">
        <v>0.22050000000000006</v>
      </c>
      <c r="U190" s="48">
        <v>0.20149999999999998</v>
      </c>
      <c r="V190" s="48">
        <v>0.20600000000000002</v>
      </c>
      <c r="W190" s="48">
        <v>0.19200000000000003</v>
      </c>
      <c r="X190" s="48">
        <v>0.1535</v>
      </c>
      <c r="Y190" s="48">
        <v>0.1295</v>
      </c>
      <c r="Z190" s="48">
        <v>9.5500000000000002E-2</v>
      </c>
      <c r="AA190" s="48">
        <v>8.5999999999999993E-2</v>
      </c>
      <c r="AB190" s="48">
        <v>8.6499999999999994E-2</v>
      </c>
      <c r="AC190" s="48">
        <v>0.10049999999999999</v>
      </c>
      <c r="AD190" s="48">
        <v>0.16300000000000001</v>
      </c>
      <c r="AE190" s="48">
        <v>0.33599999999999997</v>
      </c>
      <c r="AF190" s="48">
        <v>0.48</v>
      </c>
      <c r="AG190" s="48">
        <v>0.64849999999999997</v>
      </c>
      <c r="AH190" s="48">
        <v>0.69199999999999995</v>
      </c>
      <c r="AI190" s="48">
        <v>0.745</v>
      </c>
      <c r="AJ190" s="48">
        <v>0.79299999999999993</v>
      </c>
      <c r="AK190" s="48">
        <v>0.83100000000000007</v>
      </c>
      <c r="AL190" s="48">
        <v>0.83599999999999997</v>
      </c>
      <c r="AM190" s="48">
        <v>0.85049999999999992</v>
      </c>
      <c r="AN190" s="48">
        <v>0.90850000000000009</v>
      </c>
      <c r="AO190" s="48">
        <v>0.93199999999999994</v>
      </c>
      <c r="AP190" s="48">
        <v>0.92249999999999988</v>
      </c>
      <c r="AQ190" s="48">
        <v>0.90849999999999986</v>
      </c>
      <c r="AR190" s="48">
        <v>0.95149999999999979</v>
      </c>
      <c r="AS190" s="48">
        <v>0.97050000000000003</v>
      </c>
      <c r="AT190" s="48">
        <v>0.95650000000000002</v>
      </c>
      <c r="AU190" s="48">
        <v>0.87949999999999984</v>
      </c>
      <c r="AV190" s="48">
        <v>0.82599999999999996</v>
      </c>
      <c r="AW190" s="48">
        <v>0.69200000000000006</v>
      </c>
      <c r="AX190" s="48">
        <v>0.62949999999999995</v>
      </c>
      <c r="AY190" s="48">
        <v>0.51400000000000001</v>
      </c>
      <c r="AZ190" s="48">
        <v>0.38900000000000001</v>
      </c>
      <c r="BA190" s="48">
        <v>0.17299999999999999</v>
      </c>
      <c r="BB190" s="48">
        <v>0.10050000000000001</v>
      </c>
      <c r="BC190" s="48">
        <v>8.1500000000000003E-2</v>
      </c>
      <c r="BD190" s="48">
        <v>6.2E-2</v>
      </c>
      <c r="BE190" s="48">
        <v>6.6500000000000004E-2</v>
      </c>
      <c r="BF190" s="48">
        <v>9.0499999999999997E-2</v>
      </c>
      <c r="BG190" s="48">
        <v>0.14849999999999997</v>
      </c>
      <c r="BH190" s="48">
        <v>0.21599999999999997</v>
      </c>
      <c r="BI190" s="48">
        <v>0.29299999999999998</v>
      </c>
      <c r="BJ190" s="48">
        <v>0.33600000000000002</v>
      </c>
      <c r="BK190" s="48">
        <v>0.312</v>
      </c>
      <c r="BL190" s="48">
        <v>0.3075</v>
      </c>
      <c r="BM190" s="48">
        <v>0.3165</v>
      </c>
      <c r="BN190" s="48">
        <v>0.34099999999999997</v>
      </c>
      <c r="BO190" s="48">
        <v>0.32650000000000001</v>
      </c>
      <c r="BP190" s="48">
        <v>0.39350000000000007</v>
      </c>
      <c r="BQ190" s="48">
        <v>0.44700000000000001</v>
      </c>
      <c r="BR190" s="48">
        <v>0.50399999999999989</v>
      </c>
      <c r="BS190" s="48">
        <v>0.504</v>
      </c>
      <c r="BT190" s="48">
        <v>0.50449999999999995</v>
      </c>
      <c r="BU190" s="48">
        <v>0.48499999999999993</v>
      </c>
      <c r="BV190" s="48">
        <v>0.46099999999999991</v>
      </c>
      <c r="BW190" s="48">
        <v>0.4995</v>
      </c>
      <c r="BX190" s="48">
        <v>0.53800000000000003</v>
      </c>
      <c r="BY190" s="48">
        <v>0.55699999999999994</v>
      </c>
      <c r="BZ190" s="48">
        <v>0.58600000000000008</v>
      </c>
      <c r="CA190" s="48">
        <v>0.60050000000000003</v>
      </c>
      <c r="CB190" s="48">
        <v>0.60050000000000014</v>
      </c>
      <c r="CC190" s="48">
        <v>0.5575</v>
      </c>
      <c r="CD190" s="48">
        <v>0.51899999999999991</v>
      </c>
      <c r="CE190" s="48">
        <v>0.55200000000000005</v>
      </c>
      <c r="CF190" s="48">
        <v>0.64400000000000002</v>
      </c>
      <c r="CG190" s="48">
        <v>0.66299999999999992</v>
      </c>
      <c r="CH190" s="48">
        <v>0.68199999999999994</v>
      </c>
      <c r="CI190" s="48">
        <v>0.71099999999999997</v>
      </c>
      <c r="CJ190" s="48">
        <v>0.75900000000000001</v>
      </c>
      <c r="CK190" s="48">
        <v>0.79249999999999998</v>
      </c>
      <c r="CL190" s="48">
        <v>0.77849999999999997</v>
      </c>
      <c r="CM190" s="48">
        <v>0.77849999999999997</v>
      </c>
      <c r="CN190" s="48">
        <v>0.81200000000000006</v>
      </c>
      <c r="CO190" s="48">
        <v>0.85049999999999992</v>
      </c>
      <c r="CP190" s="48">
        <v>0.89400000000000002</v>
      </c>
      <c r="CQ190" s="48">
        <v>0.92300000000000004</v>
      </c>
      <c r="CR190" s="48">
        <v>0.90349999999999997</v>
      </c>
      <c r="CS190" s="48">
        <v>0.81200000000000006</v>
      </c>
      <c r="CT190" s="48">
        <v>0.76400000000000001</v>
      </c>
      <c r="CU190" s="48">
        <v>0.72550000000000003</v>
      </c>
      <c r="CV190" s="48">
        <v>0.64850000000000008</v>
      </c>
      <c r="CW190" s="48">
        <v>0.58099999999999996</v>
      </c>
      <c r="CX190" s="48">
        <v>0.52350000000000008</v>
      </c>
      <c r="CY190" s="48">
        <v>0.47549999999999998</v>
      </c>
      <c r="CZ190" s="48">
        <v>0.43200000000000005</v>
      </c>
      <c r="DA190" s="48">
        <v>0.33100000000000002</v>
      </c>
      <c r="DB190" s="48">
        <v>0.22550000000000001</v>
      </c>
      <c r="DC190" s="48">
        <v>0.13900000000000001</v>
      </c>
      <c r="DD190" s="48">
        <v>0.15349999999999997</v>
      </c>
      <c r="DE190" s="48">
        <v>0.15349999999999997</v>
      </c>
      <c r="DF190" s="48">
        <v>8.6499999999999994E-2</v>
      </c>
    </row>
    <row r="191" spans="1:110" x14ac:dyDescent="0.2">
      <c r="A191" s="52" t="s">
        <v>61</v>
      </c>
      <c r="B191" s="47">
        <f t="shared" si="156"/>
        <v>54.400000000000006</v>
      </c>
      <c r="C191" s="47">
        <f t="shared" si="157"/>
        <v>-8.7999999999999972</v>
      </c>
      <c r="D191" s="49" t="e">
        <f t="shared" ref="D191:D222" ca="1" si="176">_xludf.STDEV.P(W191:DF191)*100</f>
        <v>#NAME?</v>
      </c>
      <c r="E191" s="47"/>
      <c r="F191" s="48">
        <v>0.754</v>
      </c>
      <c r="G191" s="48">
        <v>0.78900000000000003</v>
      </c>
      <c r="H191" s="48">
        <v>0.82399999999999995</v>
      </c>
      <c r="I191" s="48">
        <v>0.84199999999999997</v>
      </c>
      <c r="J191" s="48">
        <v>0.80700000000000005</v>
      </c>
      <c r="K191" s="48">
        <v>0.54300000000000004</v>
      </c>
      <c r="L191" s="48">
        <v>0.42099999999999999</v>
      </c>
      <c r="M191" s="48">
        <v>0.29799999999999999</v>
      </c>
      <c r="N191" s="48">
        <v>0.40300000000000002</v>
      </c>
      <c r="O191" s="48">
        <v>0.36799999999999999</v>
      </c>
      <c r="P191" s="48">
        <v>0.315</v>
      </c>
      <c r="Q191" s="48">
        <v>0.21</v>
      </c>
      <c r="R191" s="48">
        <v>0.245</v>
      </c>
      <c r="S191" s="48">
        <v>0.22800000000000001</v>
      </c>
      <c r="T191" s="48">
        <v>0.192</v>
      </c>
      <c r="U191" s="48">
        <v>8.6999999999999994E-2</v>
      </c>
      <c r="V191" s="48">
        <v>0</v>
      </c>
      <c r="W191" s="48">
        <v>3.5000000000000003E-2</v>
      </c>
      <c r="X191" s="48">
        <v>0.105</v>
      </c>
      <c r="Y191" s="48">
        <v>0.122</v>
      </c>
      <c r="Z191" s="48">
        <v>0.14000000000000001</v>
      </c>
      <c r="AA191" s="48">
        <v>0.157</v>
      </c>
      <c r="AB191" s="48">
        <v>1.7000000000000001E-2</v>
      </c>
      <c r="AC191" s="48">
        <v>5.1999999999999998E-2</v>
      </c>
      <c r="AD191" s="48">
        <v>7.0000000000000007E-2</v>
      </c>
      <c r="AE191" s="48">
        <v>0.17499999999999999</v>
      </c>
      <c r="AF191" s="48">
        <v>0.38500000000000001</v>
      </c>
      <c r="AG191" s="48">
        <v>0.61399999999999999</v>
      </c>
      <c r="AH191" s="48">
        <v>0.877</v>
      </c>
      <c r="AI191" s="48">
        <v>0.77100000000000002</v>
      </c>
      <c r="AJ191" s="48">
        <v>0.57799999999999996</v>
      </c>
      <c r="AK191" s="48">
        <v>0.63100000000000001</v>
      </c>
      <c r="AL191" s="48">
        <v>0.64900000000000002</v>
      </c>
      <c r="AM191" s="48">
        <v>0.70099999999999996</v>
      </c>
      <c r="AN191" s="48">
        <v>0.94699999999999995</v>
      </c>
      <c r="AO191" s="48">
        <v>1</v>
      </c>
      <c r="AP191" s="48">
        <v>0.98199999999999998</v>
      </c>
      <c r="AQ191" s="48">
        <v>0.89400000000000002</v>
      </c>
      <c r="AR191" s="48">
        <v>0.438</v>
      </c>
      <c r="AS191" s="48">
        <v>0.28000000000000003</v>
      </c>
      <c r="AT191" s="48">
        <v>0.47299999999999998</v>
      </c>
      <c r="AU191" s="48">
        <v>0.92900000000000005</v>
      </c>
      <c r="AV191" s="48">
        <v>0.96399999999999997</v>
      </c>
      <c r="AW191" s="48">
        <v>0.91200000000000003</v>
      </c>
      <c r="AX191" s="48">
        <v>0.50800000000000001</v>
      </c>
      <c r="AY191" s="48">
        <v>0.33300000000000002</v>
      </c>
      <c r="AZ191" s="48">
        <v>0.45600000000000002</v>
      </c>
      <c r="BA191" s="48">
        <v>0.49099999999999999</v>
      </c>
      <c r="BB191" s="48">
        <v>0.59599999999999997</v>
      </c>
      <c r="BC191" s="48">
        <v>0.56100000000000005</v>
      </c>
      <c r="BD191" s="48">
        <v>0.68400000000000005</v>
      </c>
      <c r="BE191" s="48">
        <v>0.71899999999999997</v>
      </c>
      <c r="BF191" s="48">
        <v>0.66600000000000004</v>
      </c>
      <c r="BG191" s="48">
        <v>0.35</v>
      </c>
      <c r="BH191" s="48">
        <v>0.26300000000000001</v>
      </c>
      <c r="BI191" s="48">
        <v>0.52600000000000002</v>
      </c>
      <c r="BJ191" s="48">
        <v>0.73599999999999999</v>
      </c>
      <c r="BK191" s="48">
        <v>0.85899999999999999</v>
      </c>
      <c r="BL191" s="48">
        <v>0.5</v>
      </c>
      <c r="BM191" s="48">
        <v>0.5</v>
      </c>
      <c r="BN191" s="48">
        <v>0.5</v>
      </c>
      <c r="BO191" s="48">
        <v>0.5</v>
      </c>
      <c r="BP191" s="48">
        <v>0.5</v>
      </c>
      <c r="BQ191" s="48">
        <v>0.5</v>
      </c>
      <c r="BR191" s="48">
        <v>0.5</v>
      </c>
      <c r="BS191" s="48">
        <v>0.5</v>
      </c>
      <c r="BT191" s="48">
        <v>0.5</v>
      </c>
      <c r="BU191" s="48">
        <v>0.5</v>
      </c>
      <c r="BV191" s="48">
        <v>0.5</v>
      </c>
      <c r="BW191" s="48">
        <v>0.5</v>
      </c>
      <c r="BX191" s="48">
        <v>0.5</v>
      </c>
      <c r="BY191" s="48">
        <v>0.5</v>
      </c>
      <c r="BZ191" s="48">
        <v>0.5</v>
      </c>
      <c r="CA191" s="48">
        <v>0.5</v>
      </c>
      <c r="CB191" s="48">
        <v>0.5</v>
      </c>
      <c r="CC191" s="48">
        <v>0.5</v>
      </c>
      <c r="CD191" s="48">
        <v>0.5</v>
      </c>
      <c r="CE191" s="48">
        <v>0.5</v>
      </c>
      <c r="CF191" s="48">
        <v>0.5</v>
      </c>
      <c r="CG191" s="48">
        <v>0.5</v>
      </c>
      <c r="CH191" s="48">
        <v>0.5</v>
      </c>
      <c r="CI191" s="48">
        <v>0.5</v>
      </c>
      <c r="CJ191" s="48">
        <v>0.5</v>
      </c>
      <c r="CK191" s="48">
        <v>0.5</v>
      </c>
      <c r="CL191" s="48">
        <v>0.5</v>
      </c>
      <c r="CM191" s="48">
        <v>0.5</v>
      </c>
      <c r="CN191" s="48">
        <v>0.5</v>
      </c>
      <c r="CO191" s="48">
        <v>0.5</v>
      </c>
      <c r="CP191" s="48">
        <v>0.5</v>
      </c>
      <c r="CQ191" s="48">
        <v>0.5</v>
      </c>
      <c r="CR191" s="48">
        <v>0.5</v>
      </c>
      <c r="CS191" s="48">
        <v>0.5</v>
      </c>
      <c r="CT191" s="48">
        <v>0.5</v>
      </c>
      <c r="CU191" s="48">
        <v>0.5</v>
      </c>
      <c r="CV191" s="48">
        <v>0.5</v>
      </c>
      <c r="CW191" s="48">
        <v>0.5</v>
      </c>
      <c r="CX191" s="48">
        <v>0.5</v>
      </c>
      <c r="CY191" s="48">
        <v>0.5</v>
      </c>
      <c r="CZ191" s="48">
        <v>0.5</v>
      </c>
      <c r="DA191" s="48">
        <v>0.5</v>
      </c>
      <c r="DB191" s="48">
        <v>0.5</v>
      </c>
      <c r="DC191" s="48">
        <v>0.5</v>
      </c>
      <c r="DD191" s="48">
        <v>0.5</v>
      </c>
      <c r="DE191" s="48">
        <v>0.5</v>
      </c>
      <c r="DF191" s="48">
        <v>0.5</v>
      </c>
    </row>
    <row r="192" spans="1:110" x14ac:dyDescent="0.2">
      <c r="A192" s="52" t="s">
        <v>64</v>
      </c>
      <c r="B192" s="47">
        <f t="shared" si="156"/>
        <v>-29.800000000000004</v>
      </c>
      <c r="C192" s="47">
        <f t="shared" si="157"/>
        <v>-41.400000000000006</v>
      </c>
      <c r="D192" s="49" t="e">
        <f t="shared" ref="D192:D223" ca="1" si="177">_xludf.STDEV.P(W192:DF192)*100</f>
        <v>#NAME?</v>
      </c>
      <c r="E192" s="47"/>
      <c r="F192" s="48">
        <v>0.105</v>
      </c>
      <c r="G192" s="48">
        <v>0.16300000000000001</v>
      </c>
      <c r="H192" s="48">
        <v>0.33600000000000002</v>
      </c>
      <c r="I192" s="48">
        <v>0.51900000000000002</v>
      </c>
      <c r="J192" s="48">
        <v>0.58599999999999997</v>
      </c>
      <c r="K192" s="48">
        <v>0.57599999999999996</v>
      </c>
      <c r="L192" s="48">
        <v>0.53800000000000003</v>
      </c>
      <c r="M192" s="48">
        <v>0.46100000000000002</v>
      </c>
      <c r="N192" s="48">
        <v>0.55700000000000005</v>
      </c>
      <c r="O192" s="48">
        <v>0.52800000000000002</v>
      </c>
      <c r="P192" s="48">
        <v>0.442</v>
      </c>
      <c r="Q192" s="48">
        <v>0.40300000000000002</v>
      </c>
      <c r="R192" s="48">
        <v>0.432</v>
      </c>
      <c r="S192" s="48">
        <v>0.54800000000000004</v>
      </c>
      <c r="T192" s="48">
        <v>0.307</v>
      </c>
      <c r="U192" s="48">
        <v>0.25</v>
      </c>
      <c r="V192" s="48">
        <v>0.221</v>
      </c>
      <c r="W192" s="48">
        <v>0.317</v>
      </c>
      <c r="X192" s="48">
        <v>0.50900000000000001</v>
      </c>
      <c r="Y192" s="48">
        <v>0.67300000000000004</v>
      </c>
      <c r="Z192" s="48">
        <v>0.75</v>
      </c>
      <c r="AA192" s="48">
        <v>0.81699999999999995</v>
      </c>
      <c r="AB192" s="48">
        <v>0.77800000000000002</v>
      </c>
      <c r="AC192" s="48">
        <v>0.76900000000000002</v>
      </c>
      <c r="AD192" s="48">
        <v>0.80700000000000005</v>
      </c>
      <c r="AE192" s="48">
        <v>0.86499999999999999</v>
      </c>
      <c r="AF192" s="48">
        <v>0.875</v>
      </c>
      <c r="AG192" s="48">
        <v>0.85499999999999998</v>
      </c>
      <c r="AH192" s="48">
        <v>0.88400000000000001</v>
      </c>
      <c r="AI192" s="48">
        <v>0.90300000000000014</v>
      </c>
      <c r="AJ192" s="48">
        <v>0.82599999999999996</v>
      </c>
      <c r="AK192" s="48">
        <v>0.83599999999999997</v>
      </c>
      <c r="AL192" s="48">
        <v>0.89399999999999991</v>
      </c>
      <c r="AM192" s="48">
        <v>0.91300000000000003</v>
      </c>
      <c r="AN192" s="48">
        <v>0.97999999999999987</v>
      </c>
      <c r="AO192" s="48">
        <v>0.9900000000000001</v>
      </c>
      <c r="AP192" s="48">
        <v>1</v>
      </c>
      <c r="AQ192" s="48">
        <v>0.96099999999999997</v>
      </c>
      <c r="AR192" s="48">
        <v>0.95099999999999985</v>
      </c>
      <c r="AS192" s="48">
        <v>0.94199999999999995</v>
      </c>
      <c r="AT192" s="48">
        <v>0.93199999999999994</v>
      </c>
      <c r="AU192" s="48">
        <v>0.97099999999999997</v>
      </c>
      <c r="AV192" s="48">
        <v>0.92299999999999993</v>
      </c>
      <c r="AW192" s="48">
        <v>0.78800000000000003</v>
      </c>
      <c r="AX192" s="48">
        <v>0.24000000000000002</v>
      </c>
      <c r="AY192" s="48">
        <v>7.5999999999999998E-2</v>
      </c>
      <c r="AZ192" s="48">
        <v>4.8000000000000001E-2</v>
      </c>
      <c r="BA192" s="48">
        <v>1.9E-2</v>
      </c>
      <c r="BB192" s="48">
        <v>0</v>
      </c>
      <c r="BC192" s="48">
        <v>8.9999999999999993E-3</v>
      </c>
      <c r="BD192" s="48">
        <v>2.8000000000000004E-2</v>
      </c>
      <c r="BE192" s="48">
        <v>5.7000000000000002E-2</v>
      </c>
      <c r="BF192" s="48">
        <v>6.7000000000000004E-2</v>
      </c>
      <c r="BG192" s="48">
        <v>3.7999999999999999E-2</v>
      </c>
      <c r="BH192" s="48">
        <v>8.5999999999999993E-2</v>
      </c>
      <c r="BI192" s="48">
        <v>0.182</v>
      </c>
      <c r="BJ192" s="48">
        <v>0.59599999999999997</v>
      </c>
      <c r="BK192" s="48">
        <v>0.65300000000000002</v>
      </c>
      <c r="BL192" s="48">
        <v>0.36499999999999999</v>
      </c>
      <c r="BM192" s="48">
        <v>0.26900000000000002</v>
      </c>
      <c r="BN192" s="48">
        <v>0.115</v>
      </c>
      <c r="BO192" s="48">
        <v>0.192</v>
      </c>
      <c r="BP192" s="48">
        <v>0.14399999999999999</v>
      </c>
      <c r="BQ192" s="48">
        <v>0.13400000000000001</v>
      </c>
      <c r="BR192" s="48">
        <v>0.17299999999999999</v>
      </c>
      <c r="BS192" s="48">
        <v>0.23</v>
      </c>
      <c r="BT192" s="48">
        <v>0.29799999999999999</v>
      </c>
      <c r="BU192" s="48">
        <v>0.28799999999999998</v>
      </c>
      <c r="BV192" s="48">
        <v>0.21099999999999999</v>
      </c>
      <c r="BW192" s="48">
        <v>0.20100000000000001</v>
      </c>
      <c r="BX192" s="48">
        <v>0.60499999999999998</v>
      </c>
      <c r="BY192" s="48">
        <v>0.74</v>
      </c>
      <c r="BZ192" s="48">
        <v>0.84599999999999997</v>
      </c>
      <c r="CA192" s="48">
        <v>0.79800000000000004</v>
      </c>
      <c r="CB192" s="48">
        <v>0.75900000000000001</v>
      </c>
      <c r="CC192" s="48">
        <v>0.73</v>
      </c>
      <c r="CD192" s="48">
        <v>0.70099999999999996</v>
      </c>
      <c r="CE192" s="48">
        <v>0.625</v>
      </c>
      <c r="CF192" s="48">
        <v>0.48000000000000004</v>
      </c>
      <c r="CG192" s="48">
        <v>0.34599999999999997</v>
      </c>
      <c r="CH192" s="48">
        <v>0.39400000000000002</v>
      </c>
      <c r="CI192" s="48">
        <v>0.47099999999999997</v>
      </c>
      <c r="CJ192" s="48">
        <v>0.5</v>
      </c>
      <c r="CK192" s="48">
        <v>0.45099999999999996</v>
      </c>
      <c r="CL192" s="48">
        <v>0.42299999999999999</v>
      </c>
      <c r="CM192" s="48">
        <v>0.56699999999999995</v>
      </c>
      <c r="CN192" s="48">
        <v>0.61499999999999999</v>
      </c>
      <c r="CO192" s="48">
        <v>0.64400000000000002</v>
      </c>
      <c r="CP192" s="48">
        <v>0.63400000000000001</v>
      </c>
      <c r="CQ192" s="48">
        <v>0.66300000000000003</v>
      </c>
      <c r="CR192" s="48">
        <v>0.69199999999999995</v>
      </c>
      <c r="CS192" s="48">
        <v>0.72099999999999997</v>
      </c>
      <c r="CT192" s="48">
        <v>0.71099999999999997</v>
      </c>
      <c r="CU192" s="48">
        <v>0.68200000000000005</v>
      </c>
      <c r="CV192" s="48">
        <v>0.48999999999999994</v>
      </c>
      <c r="CW192" s="48">
        <v>0.38400000000000001</v>
      </c>
      <c r="CX192" s="48">
        <v>0.41299999999999998</v>
      </c>
      <c r="CY192" s="48">
        <v>0.32600000000000001</v>
      </c>
      <c r="CZ192" s="48">
        <v>0.27800000000000002</v>
      </c>
      <c r="DA192" s="48">
        <v>0.125</v>
      </c>
      <c r="DB192" s="48">
        <v>9.6000000000000002E-2</v>
      </c>
      <c r="DC192" s="48">
        <v>0.153</v>
      </c>
      <c r="DD192" s="48">
        <v>0.25900000000000001</v>
      </c>
      <c r="DE192" s="48">
        <v>0.35499999999999998</v>
      </c>
      <c r="DF192" s="48">
        <v>0.375</v>
      </c>
    </row>
    <row r="193" spans="1:110" x14ac:dyDescent="0.2">
      <c r="A193" s="52" t="s">
        <v>67</v>
      </c>
      <c r="B193" s="47">
        <f t="shared" si="156"/>
        <v>10.299999999999992</v>
      </c>
      <c r="C193" s="47">
        <f t="shared" si="157"/>
        <v>15.949999999999998</v>
      </c>
      <c r="D193" s="49" t="e">
        <f t="shared" ref="D193:D224" ca="1" si="178">_xludf.STDEV.P(W193:DF193)*100</f>
        <v>#NAME?</v>
      </c>
      <c r="E193" s="47"/>
      <c r="F193" s="48">
        <v>0.58499999999999996</v>
      </c>
      <c r="G193" s="48">
        <v>0.55100000000000005</v>
      </c>
      <c r="H193" s="48">
        <v>0.47850000000000004</v>
      </c>
      <c r="I193" s="48">
        <v>0.42549999999999999</v>
      </c>
      <c r="J193" s="48">
        <v>0.42599999999999999</v>
      </c>
      <c r="K193" s="48">
        <v>0.42100000000000004</v>
      </c>
      <c r="L193" s="48">
        <v>0.41099999999999998</v>
      </c>
      <c r="M193" s="48">
        <v>0.41049999999999998</v>
      </c>
      <c r="N193" s="48">
        <v>0.39050000000000001</v>
      </c>
      <c r="O193" s="48">
        <v>0.41000000000000003</v>
      </c>
      <c r="P193" s="48">
        <v>0.4479999999999999</v>
      </c>
      <c r="Q193" s="48">
        <v>0.48200000000000004</v>
      </c>
      <c r="R193" s="48">
        <v>0.48150000000000004</v>
      </c>
      <c r="S193" s="48">
        <v>0.50550000000000006</v>
      </c>
      <c r="T193" s="48">
        <v>0.30800000000000005</v>
      </c>
      <c r="U193" s="48">
        <v>0.154</v>
      </c>
      <c r="V193" s="48">
        <v>9.5500000000000002E-2</v>
      </c>
      <c r="W193" s="48">
        <v>0.11499999999999999</v>
      </c>
      <c r="X193" s="48">
        <v>0.18699999999999997</v>
      </c>
      <c r="Y193" s="48">
        <v>0.26450000000000001</v>
      </c>
      <c r="Z193" s="48">
        <v>0.3805</v>
      </c>
      <c r="AA193" s="48">
        <v>0.40499999999999997</v>
      </c>
      <c r="AB193" s="48">
        <v>0.40550000000000003</v>
      </c>
      <c r="AC193" s="48">
        <v>0.41599999999999998</v>
      </c>
      <c r="AD193" s="48">
        <v>0.40649999999999997</v>
      </c>
      <c r="AE193" s="48">
        <v>0.43099999999999999</v>
      </c>
      <c r="AF193" s="48">
        <v>0.39300000000000002</v>
      </c>
      <c r="AG193" s="48">
        <v>0.40199999999999997</v>
      </c>
      <c r="AH193" s="48">
        <v>0.39750000000000002</v>
      </c>
      <c r="AI193" s="48">
        <v>0.46500000000000002</v>
      </c>
      <c r="AJ193" s="48">
        <v>0.45550000000000002</v>
      </c>
      <c r="AK193" s="48">
        <v>0.45600000000000002</v>
      </c>
      <c r="AL193" s="48">
        <v>0.44099999999999995</v>
      </c>
      <c r="AM193" s="48">
        <v>0.57550000000000001</v>
      </c>
      <c r="AN193" s="48">
        <v>0.72499999999999998</v>
      </c>
      <c r="AO193" s="48">
        <v>0.75850000000000006</v>
      </c>
      <c r="AP193" s="48">
        <v>0.7400000000000001</v>
      </c>
      <c r="AQ193" s="48">
        <v>0.72500000000000009</v>
      </c>
      <c r="AR193" s="48">
        <v>0.74449999999999994</v>
      </c>
      <c r="AS193" s="48">
        <v>0.69550000000000001</v>
      </c>
      <c r="AT193" s="48">
        <v>0.71950000000000003</v>
      </c>
      <c r="AU193" s="48">
        <v>0.71950000000000003</v>
      </c>
      <c r="AV193" s="48">
        <v>0.76249999999999996</v>
      </c>
      <c r="AW193" s="48">
        <v>0.63700000000000001</v>
      </c>
      <c r="AX193" s="48">
        <v>0.64150000000000007</v>
      </c>
      <c r="AY193" s="48">
        <v>0.56500000000000006</v>
      </c>
      <c r="AZ193" s="48">
        <v>0.5645</v>
      </c>
      <c r="BA193" s="48">
        <v>0.52150000000000007</v>
      </c>
      <c r="BB193" s="48">
        <v>0.45350000000000001</v>
      </c>
      <c r="BC193" s="48">
        <v>0.4385</v>
      </c>
      <c r="BD193" s="48">
        <v>0.439</v>
      </c>
      <c r="BE193" s="48">
        <v>0.47800000000000004</v>
      </c>
      <c r="BF193" s="48">
        <v>0.45900000000000002</v>
      </c>
      <c r="BG193" s="48">
        <v>0.36199999999999999</v>
      </c>
      <c r="BH193" s="48">
        <v>0.29899999999999993</v>
      </c>
      <c r="BI193" s="48">
        <v>0.2555</v>
      </c>
      <c r="BJ193" s="48">
        <v>0.255</v>
      </c>
      <c r="BK193" s="48">
        <v>0.33250000000000002</v>
      </c>
      <c r="BL193" s="48">
        <v>0.40949999999999998</v>
      </c>
      <c r="BM193" s="48">
        <v>0.44800000000000006</v>
      </c>
      <c r="BN193" s="48">
        <v>0.43800000000000006</v>
      </c>
      <c r="BO193" s="48">
        <v>0.40849999999999997</v>
      </c>
      <c r="BP193" s="48">
        <v>0.42350000000000004</v>
      </c>
      <c r="BQ193" s="48">
        <v>0.42749999999999999</v>
      </c>
      <c r="BR193" s="48">
        <v>0.40350000000000003</v>
      </c>
      <c r="BS193" s="48">
        <v>0.39900000000000002</v>
      </c>
      <c r="BT193" s="48">
        <v>0.42749999999999999</v>
      </c>
      <c r="BU193" s="48">
        <v>0.46149999999999991</v>
      </c>
      <c r="BV193" s="48">
        <v>0.47149999999999997</v>
      </c>
      <c r="BW193" s="48">
        <v>0.47149999999999997</v>
      </c>
      <c r="BX193" s="48">
        <v>0.40899999999999997</v>
      </c>
      <c r="BY193" s="48">
        <v>0.50049999999999994</v>
      </c>
      <c r="BZ193" s="48">
        <v>0.49549999999999994</v>
      </c>
      <c r="CA193" s="48">
        <v>0.495</v>
      </c>
      <c r="CB193" s="48">
        <v>0.505</v>
      </c>
      <c r="CC193" s="48">
        <v>0.54799999999999993</v>
      </c>
      <c r="CD193" s="48">
        <v>0.62099999999999989</v>
      </c>
      <c r="CE193" s="48">
        <v>0.64999999999999991</v>
      </c>
      <c r="CF193" s="48">
        <v>0.70400000000000007</v>
      </c>
      <c r="CG193" s="48">
        <v>0.63600000000000001</v>
      </c>
      <c r="CH193" s="48">
        <v>0.62149999999999994</v>
      </c>
      <c r="CI193" s="48">
        <v>0.63150000000000006</v>
      </c>
      <c r="CJ193" s="48">
        <v>0.72300000000000009</v>
      </c>
      <c r="CK193" s="48">
        <v>0.752</v>
      </c>
      <c r="CL193" s="48">
        <v>0.80049999999999999</v>
      </c>
      <c r="CM193" s="48">
        <v>0.90750000000000008</v>
      </c>
      <c r="CN193" s="48">
        <v>0.93199999999999994</v>
      </c>
      <c r="CO193" s="48">
        <v>0.94650000000000001</v>
      </c>
      <c r="CP193" s="48">
        <v>0.94700000000000006</v>
      </c>
      <c r="CQ193" s="48">
        <v>0.92749999999999977</v>
      </c>
      <c r="CR193" s="48">
        <v>0.77300000000000002</v>
      </c>
      <c r="CS193" s="48">
        <v>0.62949999999999995</v>
      </c>
      <c r="CT193" s="48">
        <v>0.59050000000000002</v>
      </c>
      <c r="CU193" s="48">
        <v>0.57600000000000007</v>
      </c>
      <c r="CV193" s="48">
        <v>0.54150000000000009</v>
      </c>
      <c r="CW193" s="48">
        <v>0.50849999999999995</v>
      </c>
      <c r="CX193" s="48">
        <v>0.44550000000000001</v>
      </c>
      <c r="CY193" s="48">
        <v>0.378</v>
      </c>
      <c r="CZ193" s="48">
        <v>0.36299999999999999</v>
      </c>
      <c r="DA193" s="48">
        <v>0.31900000000000001</v>
      </c>
      <c r="DB193" s="48">
        <v>0.28049999999999997</v>
      </c>
      <c r="DC193" s="48">
        <v>0.3</v>
      </c>
      <c r="DD193" s="48">
        <v>0.29499999999999998</v>
      </c>
      <c r="DE193" s="48">
        <v>0.314</v>
      </c>
      <c r="DF193" s="48">
        <v>0.29300000000000004</v>
      </c>
    </row>
    <row r="194" spans="1:110" x14ac:dyDescent="0.2">
      <c r="A194" s="52" t="s">
        <v>70</v>
      </c>
      <c r="B194" s="47">
        <f t="shared" si="156"/>
        <v>0.45000000000001705</v>
      </c>
      <c r="C194" s="47">
        <f t="shared" si="157"/>
        <v>-6.25</v>
      </c>
      <c r="D194" s="49" t="e">
        <f t="shared" ref="D194:D225" ca="1" si="179">_xludf.STDEV.P(W194:DF194)*100</f>
        <v>#NAME?</v>
      </c>
      <c r="E194" s="47"/>
      <c r="F194" s="48">
        <v>0.56200000000000006</v>
      </c>
      <c r="G194" s="48">
        <v>0.58099999999999996</v>
      </c>
      <c r="H194" s="48">
        <v>0.60549999999999993</v>
      </c>
      <c r="I194" s="48">
        <v>0.62450000000000006</v>
      </c>
      <c r="J194" s="48">
        <v>0.66800000000000004</v>
      </c>
      <c r="K194" s="48">
        <v>0.59050000000000002</v>
      </c>
      <c r="L194" s="48">
        <v>0.48499999999999999</v>
      </c>
      <c r="M194" s="48">
        <v>0.3745</v>
      </c>
      <c r="N194" s="48">
        <v>0.33100000000000002</v>
      </c>
      <c r="O194" s="48">
        <v>0.46150000000000002</v>
      </c>
      <c r="P194" s="48">
        <v>0.49949999999999994</v>
      </c>
      <c r="Q194" s="48">
        <v>0.55749999999999988</v>
      </c>
      <c r="R194" s="48">
        <v>0.45150000000000001</v>
      </c>
      <c r="S194" s="48">
        <v>0.27800000000000002</v>
      </c>
      <c r="T194" s="48">
        <v>0.18749999999999997</v>
      </c>
      <c r="U194" s="48">
        <v>0.192</v>
      </c>
      <c r="V194" s="48">
        <v>0.23499999999999999</v>
      </c>
      <c r="W194" s="48">
        <v>0.26899999999999996</v>
      </c>
      <c r="X194" s="48">
        <v>0.28300000000000003</v>
      </c>
      <c r="Y194" s="48">
        <v>0.33599999999999997</v>
      </c>
      <c r="Z194" s="48">
        <v>0.51400000000000001</v>
      </c>
      <c r="AA194" s="48">
        <v>0.60499999999999998</v>
      </c>
      <c r="AB194" s="48">
        <v>0.68699999999999994</v>
      </c>
      <c r="AC194" s="48">
        <v>0.6825</v>
      </c>
      <c r="AD194" s="48">
        <v>0.6825</v>
      </c>
      <c r="AE194" s="48">
        <v>0.68699999999999994</v>
      </c>
      <c r="AF194" s="48">
        <v>0.6825</v>
      </c>
      <c r="AG194" s="48">
        <v>0.75399999999999989</v>
      </c>
      <c r="AH194" s="48">
        <v>0.76899999999999991</v>
      </c>
      <c r="AI194" s="48">
        <v>0.81699999999999995</v>
      </c>
      <c r="AJ194" s="48">
        <v>0.86950000000000005</v>
      </c>
      <c r="AK194" s="48">
        <v>0.87450000000000006</v>
      </c>
      <c r="AL194" s="48">
        <v>0.88900000000000012</v>
      </c>
      <c r="AM194" s="48">
        <v>0.8650000000000001</v>
      </c>
      <c r="AN194" s="48">
        <v>0.80699999999999994</v>
      </c>
      <c r="AO194" s="48">
        <v>0.68699999999999994</v>
      </c>
      <c r="AP194" s="48">
        <v>0.57150000000000001</v>
      </c>
      <c r="AQ194" s="48">
        <v>0.49</v>
      </c>
      <c r="AR194" s="48">
        <v>0.48049999999999998</v>
      </c>
      <c r="AS194" s="48">
        <v>0.48499999999999999</v>
      </c>
      <c r="AT194" s="48">
        <v>0.34599999999999997</v>
      </c>
      <c r="AU194" s="48">
        <v>0.20150000000000001</v>
      </c>
      <c r="AV194" s="48">
        <v>0.16299999999999998</v>
      </c>
      <c r="AW194" s="48">
        <v>0.12449999999999999</v>
      </c>
      <c r="AX194" s="48">
        <v>0.1195</v>
      </c>
      <c r="AY194" s="48">
        <v>0.1055</v>
      </c>
      <c r="AZ194" s="48">
        <v>0.11</v>
      </c>
      <c r="BA194" s="48">
        <v>0.13850000000000001</v>
      </c>
      <c r="BB194" s="48">
        <v>0.19650000000000001</v>
      </c>
      <c r="BC194" s="48">
        <v>0.29749999999999999</v>
      </c>
      <c r="BD194" s="48">
        <v>0.26400000000000001</v>
      </c>
      <c r="BE194" s="48">
        <v>0.22550000000000001</v>
      </c>
      <c r="BF194" s="48">
        <v>0.15799999999999997</v>
      </c>
      <c r="BG194" s="48">
        <v>0.1295</v>
      </c>
      <c r="BH194" s="48">
        <v>0.12000000000000001</v>
      </c>
      <c r="BI194" s="48">
        <v>0.1585</v>
      </c>
      <c r="BJ194" s="48">
        <v>0.24450000000000002</v>
      </c>
      <c r="BK194" s="48">
        <v>0.47549999999999998</v>
      </c>
      <c r="BL194" s="48">
        <v>0.63400000000000001</v>
      </c>
      <c r="BM194" s="48">
        <v>0.65799999999999992</v>
      </c>
      <c r="BN194" s="48">
        <v>0.45150000000000001</v>
      </c>
      <c r="BO194" s="48">
        <v>0.317</v>
      </c>
      <c r="BP194" s="48">
        <v>0.33600000000000002</v>
      </c>
      <c r="BQ194" s="48">
        <v>0.46100000000000002</v>
      </c>
      <c r="BR194" s="48">
        <v>0.71100000000000008</v>
      </c>
      <c r="BS194" s="48">
        <v>0.74950000000000006</v>
      </c>
      <c r="BT194" s="48">
        <v>0.77849999999999986</v>
      </c>
      <c r="BU194" s="48">
        <v>0.79300000000000004</v>
      </c>
      <c r="BV194" s="48">
        <v>0.81699999999999995</v>
      </c>
      <c r="BW194" s="48">
        <v>0.78350000000000009</v>
      </c>
      <c r="BX194" s="48">
        <v>0.62450000000000006</v>
      </c>
      <c r="BY194" s="48">
        <v>0.54250000000000009</v>
      </c>
      <c r="BZ194" s="48">
        <v>0.7639999999999999</v>
      </c>
      <c r="CA194" s="48">
        <v>0.87</v>
      </c>
      <c r="CB194" s="48">
        <v>0.96550000000000002</v>
      </c>
      <c r="CC194" s="48">
        <v>0.98550000000000004</v>
      </c>
      <c r="CD194" s="48">
        <v>0.98499999999999999</v>
      </c>
      <c r="CE194" s="48">
        <v>0.98550000000000004</v>
      </c>
      <c r="CF194" s="48">
        <v>0.97050000000000003</v>
      </c>
      <c r="CG194" s="48">
        <v>0.93200000000000005</v>
      </c>
      <c r="CH194" s="48">
        <v>0.84099999999999997</v>
      </c>
      <c r="CI194" s="48">
        <v>0.74500000000000011</v>
      </c>
      <c r="CJ194" s="48">
        <v>0.79249999999999998</v>
      </c>
      <c r="CK194" s="48">
        <v>0.8889999999999999</v>
      </c>
      <c r="CL194" s="48">
        <v>0.88400000000000001</v>
      </c>
      <c r="CM194" s="48">
        <v>0.82650000000000012</v>
      </c>
      <c r="CN194" s="48">
        <v>0.73049999999999993</v>
      </c>
      <c r="CO194" s="48">
        <v>0.62450000000000006</v>
      </c>
      <c r="CP194" s="48">
        <v>0.48049999999999998</v>
      </c>
      <c r="CQ194" s="48">
        <v>0.35049999999999998</v>
      </c>
      <c r="CR194" s="48">
        <v>0.21099999999999999</v>
      </c>
      <c r="CS194" s="48">
        <v>0.20150000000000001</v>
      </c>
      <c r="CT194" s="48">
        <v>0.16750000000000004</v>
      </c>
      <c r="CU194" s="48">
        <v>0.13900000000000001</v>
      </c>
      <c r="CV194" s="48">
        <v>0.192</v>
      </c>
      <c r="CW194" s="48">
        <v>0.2545</v>
      </c>
      <c r="CX194" s="48">
        <v>0.26400000000000001</v>
      </c>
      <c r="CY194" s="48">
        <v>0.21099999999999999</v>
      </c>
      <c r="CZ194" s="48">
        <v>0.192</v>
      </c>
      <c r="DA194" s="48">
        <v>0.16300000000000001</v>
      </c>
      <c r="DB194" s="48">
        <v>0.17749999999999999</v>
      </c>
      <c r="DC194" s="48">
        <v>0.20149999999999998</v>
      </c>
      <c r="DD194" s="48">
        <v>0.23500000000000001</v>
      </c>
      <c r="DE194" s="48">
        <v>0.216</v>
      </c>
      <c r="DF194" s="48">
        <v>0.24499999999999997</v>
      </c>
    </row>
    <row r="195" spans="1:110" x14ac:dyDescent="0.2">
      <c r="A195" s="52" t="s">
        <v>73</v>
      </c>
      <c r="B195" s="47">
        <f t="shared" si="156"/>
        <v>-32.199999999999996</v>
      </c>
      <c r="C195" s="47">
        <f t="shared" si="157"/>
        <v>-2.8499999999999943</v>
      </c>
      <c r="D195" s="49" t="e">
        <f t="shared" ref="D195:D226" ca="1" si="180">_xludf.STDEV.P(W195:DF195)*100</f>
        <v>#NAME?</v>
      </c>
      <c r="E195" s="47"/>
      <c r="F195" s="48">
        <v>0.24000000000000002</v>
      </c>
      <c r="G195" s="48">
        <v>0.23499999999999999</v>
      </c>
      <c r="H195" s="48">
        <v>0.25950000000000001</v>
      </c>
      <c r="I195" s="48">
        <v>0.26849999999999996</v>
      </c>
      <c r="J195" s="48">
        <v>0.30249999999999999</v>
      </c>
      <c r="K195" s="48">
        <v>0.35049999999999998</v>
      </c>
      <c r="L195" s="48">
        <v>0.40349999999999997</v>
      </c>
      <c r="M195" s="48">
        <v>0.46099999999999997</v>
      </c>
      <c r="N195" s="48">
        <v>0.51900000000000002</v>
      </c>
      <c r="O195" s="48">
        <v>0.56700000000000006</v>
      </c>
      <c r="P195" s="48">
        <v>0.57150000000000001</v>
      </c>
      <c r="Q195" s="48">
        <v>0.56199999999999994</v>
      </c>
      <c r="R195" s="48">
        <v>0.5625</v>
      </c>
      <c r="S195" s="48">
        <v>0.56199999999999994</v>
      </c>
      <c r="T195" s="48">
        <v>0.50449999999999995</v>
      </c>
      <c r="U195" s="48">
        <v>0.437</v>
      </c>
      <c r="V195" s="48">
        <v>0.34550000000000003</v>
      </c>
      <c r="W195" s="48">
        <v>0.29300000000000004</v>
      </c>
      <c r="X195" s="48">
        <v>0.24950000000000003</v>
      </c>
      <c r="Y195" s="48">
        <v>0.26400000000000001</v>
      </c>
      <c r="Z195" s="48">
        <v>0.27800000000000002</v>
      </c>
      <c r="AA195" s="48">
        <v>0.23049999999999998</v>
      </c>
      <c r="AB195" s="48">
        <v>0.24450000000000002</v>
      </c>
      <c r="AC195" s="48">
        <v>0.32199999999999995</v>
      </c>
      <c r="AD195" s="48">
        <v>0.36000000000000004</v>
      </c>
      <c r="AE195" s="48">
        <v>0.32650000000000001</v>
      </c>
      <c r="AF195" s="48">
        <v>0.38850000000000007</v>
      </c>
      <c r="AG195" s="48">
        <v>0.44700000000000006</v>
      </c>
      <c r="AH195" s="48">
        <v>0.50449999999999995</v>
      </c>
      <c r="AI195" s="48">
        <v>0.48950000000000005</v>
      </c>
      <c r="AJ195" s="48">
        <v>0.52800000000000002</v>
      </c>
      <c r="AK195" s="48">
        <v>0.52350000000000008</v>
      </c>
      <c r="AL195" s="48">
        <v>0.49</v>
      </c>
      <c r="AM195" s="48">
        <v>0.47050000000000003</v>
      </c>
      <c r="AN195" s="48">
        <v>0.43699999999999994</v>
      </c>
      <c r="AO195" s="48">
        <v>0.5</v>
      </c>
      <c r="AP195" s="48">
        <v>0.5665</v>
      </c>
      <c r="AQ195" s="48">
        <v>0.68700000000000006</v>
      </c>
      <c r="AR195" s="48">
        <v>0.70150000000000001</v>
      </c>
      <c r="AS195" s="48">
        <v>0.70150000000000001</v>
      </c>
      <c r="AT195" s="48">
        <v>0.61499999999999999</v>
      </c>
      <c r="AU195" s="48">
        <v>0.68700000000000006</v>
      </c>
      <c r="AV195" s="48">
        <v>0.82650000000000001</v>
      </c>
      <c r="AW195" s="48">
        <v>0.85050000000000003</v>
      </c>
      <c r="AX195" s="48">
        <v>0.84100000000000008</v>
      </c>
      <c r="AY195" s="48">
        <v>0.77849999999999997</v>
      </c>
      <c r="AZ195" s="48">
        <v>0.88450000000000006</v>
      </c>
      <c r="BA195" s="48">
        <v>0.85050000000000003</v>
      </c>
      <c r="BB195" s="48">
        <v>0.77849999999999997</v>
      </c>
      <c r="BC195" s="48">
        <v>0.39400000000000002</v>
      </c>
      <c r="BD195" s="48">
        <v>0.153</v>
      </c>
      <c r="BE195" s="48">
        <v>5.7500000000000002E-2</v>
      </c>
      <c r="BF195" s="48">
        <v>3.7999999999999999E-2</v>
      </c>
      <c r="BG195" s="48">
        <v>2.4E-2</v>
      </c>
      <c r="BH195" s="48">
        <v>3.7999999999999999E-2</v>
      </c>
      <c r="BI195" s="48">
        <v>8.1000000000000003E-2</v>
      </c>
      <c r="BJ195" s="48">
        <v>8.1500000000000003E-2</v>
      </c>
      <c r="BK195" s="48">
        <v>0.1295</v>
      </c>
      <c r="BL195" s="48">
        <v>0.18699999999999997</v>
      </c>
      <c r="BM195" s="48">
        <v>0.17749999999999999</v>
      </c>
      <c r="BN195" s="48">
        <v>0.192</v>
      </c>
      <c r="BO195" s="48">
        <v>0.216</v>
      </c>
      <c r="BP195" s="48">
        <v>0.2155</v>
      </c>
      <c r="BQ195" s="48">
        <v>0.25899999999999995</v>
      </c>
      <c r="BR195" s="48">
        <v>0.35049999999999998</v>
      </c>
      <c r="BS195" s="48">
        <v>0.44650000000000001</v>
      </c>
      <c r="BT195" s="48">
        <v>0.45149999999999996</v>
      </c>
      <c r="BU195" s="48">
        <v>0.36500000000000005</v>
      </c>
      <c r="BV195" s="48">
        <v>0.33150000000000002</v>
      </c>
      <c r="BW195" s="48">
        <v>0.38400000000000006</v>
      </c>
      <c r="BX195" s="48">
        <v>0.40800000000000003</v>
      </c>
      <c r="BY195" s="48">
        <v>0.437</v>
      </c>
      <c r="BZ195" s="48">
        <v>0.50449999999999995</v>
      </c>
      <c r="CA195" s="48">
        <v>0.66800000000000004</v>
      </c>
      <c r="CB195" s="48">
        <v>0.76850000000000007</v>
      </c>
      <c r="CC195" s="48">
        <v>0.81200000000000006</v>
      </c>
      <c r="CD195" s="48">
        <v>0.80700000000000005</v>
      </c>
      <c r="CE195" s="48">
        <v>0.7639999999999999</v>
      </c>
      <c r="CF195" s="48">
        <v>0.81699999999999995</v>
      </c>
      <c r="CG195" s="48">
        <v>0.86</v>
      </c>
      <c r="CH195" s="48">
        <v>0.87949999999999995</v>
      </c>
      <c r="CI195" s="48">
        <v>0.84550000000000003</v>
      </c>
      <c r="CJ195" s="48">
        <v>0.81699999999999995</v>
      </c>
      <c r="CK195" s="48">
        <v>0.86499999999999988</v>
      </c>
      <c r="CL195" s="48">
        <v>0.93699999999999994</v>
      </c>
      <c r="CM195" s="48">
        <v>0.95649999999999991</v>
      </c>
      <c r="CN195" s="48">
        <v>0.86450000000000005</v>
      </c>
      <c r="CO195" s="48">
        <v>0.76849999999999996</v>
      </c>
      <c r="CP195" s="48">
        <v>0.80249999999999999</v>
      </c>
      <c r="CQ195" s="48">
        <v>0.91750000000000009</v>
      </c>
      <c r="CR195" s="48">
        <v>0.92749999999999988</v>
      </c>
      <c r="CS195" s="48">
        <v>0.91799999999999993</v>
      </c>
      <c r="CT195" s="48">
        <v>0.84550000000000003</v>
      </c>
      <c r="CU195" s="48">
        <v>0.80700000000000005</v>
      </c>
      <c r="CV195" s="48">
        <v>0.87449999999999994</v>
      </c>
      <c r="CW195" s="48">
        <v>0.81699999999999995</v>
      </c>
      <c r="CX195" s="48">
        <v>0.71100000000000008</v>
      </c>
      <c r="CY195" s="48">
        <v>0.46600000000000008</v>
      </c>
      <c r="CZ195" s="48">
        <v>0.36500000000000005</v>
      </c>
      <c r="DA195" s="48">
        <v>0.34599999999999997</v>
      </c>
      <c r="DB195" s="48">
        <v>0.32649999999999996</v>
      </c>
      <c r="DC195" s="48">
        <v>0.25900000000000001</v>
      </c>
      <c r="DD195" s="48">
        <v>0.182</v>
      </c>
      <c r="DE195" s="48">
        <v>0.14400000000000002</v>
      </c>
      <c r="DF195" s="48">
        <v>0.12450000000000001</v>
      </c>
    </row>
    <row r="196" spans="1:110" x14ac:dyDescent="0.2">
      <c r="A196" s="52" t="s">
        <v>76</v>
      </c>
      <c r="B196" s="47">
        <f t="shared" si="156"/>
        <v>36.200000000000003</v>
      </c>
      <c r="C196" s="47">
        <f t="shared" si="157"/>
        <v>10.700000000000005</v>
      </c>
      <c r="D196" s="49" t="e">
        <f t="shared" ref="D196:D227" ca="1" si="181">_xludf.STDEV.P(W196:DF196)*100</f>
        <v>#NAME?</v>
      </c>
      <c r="E196" s="47"/>
      <c r="F196" s="48">
        <v>0.46800000000000003</v>
      </c>
      <c r="G196" s="48">
        <v>0.44600000000000001</v>
      </c>
      <c r="H196" s="48">
        <v>0.40400000000000008</v>
      </c>
      <c r="I196" s="48">
        <v>0.36099999999999999</v>
      </c>
      <c r="J196" s="48">
        <v>0.29699999999999999</v>
      </c>
      <c r="K196" s="48">
        <v>0.255</v>
      </c>
      <c r="L196" s="48">
        <v>0.21199999999999997</v>
      </c>
      <c r="M196" s="48">
        <v>0.17</v>
      </c>
      <c r="N196" s="48">
        <v>6.3E-2</v>
      </c>
      <c r="O196" s="48">
        <v>2.1000000000000001E-2</v>
      </c>
      <c r="P196" s="48">
        <v>0</v>
      </c>
      <c r="Q196" s="48">
        <v>0.10599999999999998</v>
      </c>
      <c r="R196" s="48">
        <v>8.5000000000000006E-2</v>
      </c>
      <c r="S196" s="48">
        <v>0.127</v>
      </c>
      <c r="T196" s="48">
        <v>4.2000000000000003E-2</v>
      </c>
      <c r="U196" s="48">
        <v>0.14799999999999999</v>
      </c>
      <c r="V196" s="48">
        <v>0.191</v>
      </c>
      <c r="W196" s="48">
        <v>0.23400000000000001</v>
      </c>
      <c r="X196" s="48">
        <v>0.27600000000000002</v>
      </c>
      <c r="Y196" s="48">
        <v>0.31900000000000001</v>
      </c>
      <c r="Z196" s="48">
        <v>0.34</v>
      </c>
      <c r="AA196" s="48">
        <v>0.38200000000000001</v>
      </c>
      <c r="AB196" s="48">
        <v>0.42499999999999999</v>
      </c>
      <c r="AC196" s="48">
        <v>0.48900000000000005</v>
      </c>
      <c r="AD196" s="48">
        <v>0.72299999999999998</v>
      </c>
      <c r="AE196" s="48">
        <v>0.78700000000000003</v>
      </c>
      <c r="AF196" s="48">
        <v>0.80800000000000016</v>
      </c>
      <c r="AG196" s="48">
        <v>0.82899999999999985</v>
      </c>
      <c r="AH196" s="48">
        <v>0.87199999999999989</v>
      </c>
      <c r="AI196" s="48">
        <v>0.89300000000000002</v>
      </c>
      <c r="AJ196" s="48">
        <v>0.93600000000000005</v>
      </c>
      <c r="AK196" s="48">
        <v>0.95699999999999996</v>
      </c>
      <c r="AL196" s="48">
        <v>1</v>
      </c>
      <c r="AM196" s="48">
        <v>0.97800000000000009</v>
      </c>
      <c r="AN196" s="48">
        <v>0.91400000000000015</v>
      </c>
      <c r="AO196" s="48">
        <v>0.85099999999999998</v>
      </c>
      <c r="AP196" s="48">
        <v>0.76500000000000012</v>
      </c>
      <c r="AQ196" s="48">
        <v>0.61699999999999999</v>
      </c>
      <c r="AR196" s="48">
        <v>0.55300000000000005</v>
      </c>
      <c r="AS196" s="48">
        <v>0.53100000000000003</v>
      </c>
      <c r="AT196" s="48">
        <v>0.51</v>
      </c>
      <c r="AU196" s="48">
        <v>0.57399999999999995</v>
      </c>
      <c r="AV196" s="48">
        <v>0.59499999999999997</v>
      </c>
      <c r="AW196" s="48">
        <v>0.63800000000000001</v>
      </c>
      <c r="AX196" s="48">
        <v>0.65900000000000003</v>
      </c>
      <c r="AY196" s="48">
        <v>0.68</v>
      </c>
      <c r="AZ196" s="48">
        <v>0.70199999999999996</v>
      </c>
      <c r="BA196" s="48">
        <v>0.74399999999999999</v>
      </c>
      <c r="BB196" s="48">
        <v>0.5</v>
      </c>
      <c r="BC196" s="48">
        <v>0.5</v>
      </c>
      <c r="BD196" s="48">
        <v>0.5</v>
      </c>
      <c r="BE196" s="48">
        <v>0.5</v>
      </c>
      <c r="BF196" s="48">
        <v>0.5</v>
      </c>
      <c r="BG196" s="48">
        <v>0.5</v>
      </c>
      <c r="BH196" s="48">
        <v>0.5</v>
      </c>
      <c r="BI196" s="48">
        <v>0.5</v>
      </c>
      <c r="BJ196" s="48">
        <v>0.5</v>
      </c>
      <c r="BK196" s="48">
        <v>0.5</v>
      </c>
      <c r="BL196" s="48">
        <v>0.5</v>
      </c>
      <c r="BM196" s="48">
        <v>0.5</v>
      </c>
      <c r="BN196" s="48">
        <v>0.5</v>
      </c>
      <c r="BO196" s="48">
        <v>0.5</v>
      </c>
      <c r="BP196" s="48">
        <v>0.5</v>
      </c>
      <c r="BQ196" s="48">
        <v>0.5</v>
      </c>
      <c r="BR196" s="48">
        <v>0.5</v>
      </c>
      <c r="BS196" s="48">
        <v>0.5</v>
      </c>
      <c r="BT196" s="48">
        <v>0.5</v>
      </c>
      <c r="BU196" s="48">
        <v>0.5</v>
      </c>
      <c r="BV196" s="48">
        <v>0.5</v>
      </c>
      <c r="BW196" s="48">
        <v>0.5</v>
      </c>
      <c r="BX196" s="48">
        <v>0.5</v>
      </c>
      <c r="BY196" s="48">
        <v>0.5</v>
      </c>
      <c r="BZ196" s="48">
        <v>0.5</v>
      </c>
      <c r="CA196" s="48">
        <v>0.5</v>
      </c>
      <c r="CB196" s="48">
        <v>0.5</v>
      </c>
      <c r="CC196" s="48">
        <v>0.5</v>
      </c>
      <c r="CD196" s="48">
        <v>0.5</v>
      </c>
      <c r="CE196" s="48">
        <v>0.5</v>
      </c>
      <c r="CF196" s="48">
        <v>0.5</v>
      </c>
      <c r="CG196" s="48">
        <v>0.5</v>
      </c>
      <c r="CH196" s="48">
        <v>0.5</v>
      </c>
      <c r="CI196" s="48">
        <v>0.5</v>
      </c>
      <c r="CJ196" s="48">
        <v>0.5</v>
      </c>
      <c r="CK196" s="48">
        <v>0.5</v>
      </c>
      <c r="CL196" s="48">
        <v>0.5</v>
      </c>
      <c r="CM196" s="48">
        <v>0.5</v>
      </c>
      <c r="CN196" s="48">
        <v>0.5</v>
      </c>
      <c r="CO196" s="48">
        <v>0.5</v>
      </c>
      <c r="CP196" s="48">
        <v>0.5</v>
      </c>
      <c r="CQ196" s="48">
        <v>0.5</v>
      </c>
      <c r="CR196" s="48">
        <v>0.5</v>
      </c>
      <c r="CS196" s="48">
        <v>0.5</v>
      </c>
      <c r="CT196" s="48">
        <v>0.5</v>
      </c>
      <c r="CU196" s="48">
        <v>0.5</v>
      </c>
      <c r="CV196" s="48">
        <v>0.5</v>
      </c>
      <c r="CW196" s="48">
        <v>0.5</v>
      </c>
      <c r="CX196" s="48">
        <v>0.5</v>
      </c>
      <c r="CY196" s="48">
        <v>0.5</v>
      </c>
      <c r="CZ196" s="48">
        <v>0.5</v>
      </c>
      <c r="DA196" s="48">
        <v>0.5</v>
      </c>
      <c r="DB196" s="48">
        <v>0.5</v>
      </c>
      <c r="DC196" s="48">
        <v>0.5</v>
      </c>
      <c r="DD196" s="48">
        <v>0.5</v>
      </c>
      <c r="DE196" s="48">
        <v>0.5</v>
      </c>
      <c r="DF196" s="48">
        <v>0.5</v>
      </c>
    </row>
    <row r="197" spans="1:110" x14ac:dyDescent="0.2">
      <c r="A197" s="52" t="s">
        <v>79</v>
      </c>
      <c r="B197" s="47">
        <f t="shared" si="156"/>
        <v>23.450000000000003</v>
      </c>
      <c r="C197" s="47">
        <f t="shared" si="157"/>
        <v>8.5500000000000025</v>
      </c>
      <c r="D197" s="49" t="e">
        <f t="shared" ref="D197:D228" ca="1" si="182">_xludf.STDEV.P(W197:DF197)*100</f>
        <v>#NAME?</v>
      </c>
      <c r="E197" s="47"/>
      <c r="F197" s="48">
        <v>0.39150000000000001</v>
      </c>
      <c r="G197" s="48">
        <v>0.375</v>
      </c>
      <c r="H197" s="48">
        <v>0.33200000000000002</v>
      </c>
      <c r="I197" s="48">
        <v>0.30599999999999999</v>
      </c>
      <c r="J197" s="48">
        <v>0.24149999999999999</v>
      </c>
      <c r="K197" s="48">
        <v>0.27150000000000002</v>
      </c>
      <c r="L197" s="48">
        <v>0.30049999999999999</v>
      </c>
      <c r="M197" s="48">
        <v>0.33599999999999997</v>
      </c>
      <c r="N197" s="48">
        <v>0.22199999999999998</v>
      </c>
      <c r="O197" s="48">
        <v>0.14849999999999999</v>
      </c>
      <c r="P197" s="48">
        <v>0.13650000000000001</v>
      </c>
      <c r="Q197" s="48">
        <v>0.157</v>
      </c>
      <c r="R197" s="48">
        <v>0.12400000000000001</v>
      </c>
      <c r="S197" s="48">
        <v>8.1500000000000003E-2</v>
      </c>
      <c r="T197" s="48">
        <v>7.3499999999999996E-2</v>
      </c>
      <c r="U197" s="48">
        <v>0.11499999999999999</v>
      </c>
      <c r="V197" s="48">
        <v>0.13150000000000001</v>
      </c>
      <c r="W197" s="48">
        <v>0.13349999999999998</v>
      </c>
      <c r="X197" s="48">
        <v>0.1265</v>
      </c>
      <c r="Y197" s="48">
        <v>0.14499999999999999</v>
      </c>
      <c r="Z197" s="48">
        <v>0.17149999999999999</v>
      </c>
      <c r="AA197" s="48">
        <v>0.217</v>
      </c>
      <c r="AB197" s="48">
        <v>0.27450000000000002</v>
      </c>
      <c r="AC197" s="48">
        <v>0.50050000000000006</v>
      </c>
      <c r="AD197" s="48">
        <v>0.61450000000000005</v>
      </c>
      <c r="AE197" s="48">
        <v>0.6835</v>
      </c>
      <c r="AF197" s="48">
        <v>0.71199999999999997</v>
      </c>
      <c r="AG197" s="48">
        <v>0.75149999999999995</v>
      </c>
      <c r="AH197" s="48">
        <v>0.77450000000000008</v>
      </c>
      <c r="AI197" s="48">
        <v>0.90150000000000008</v>
      </c>
      <c r="AJ197" s="48">
        <v>0.96150000000000002</v>
      </c>
      <c r="AK197" s="48">
        <v>0.96450000000000002</v>
      </c>
      <c r="AL197" s="48">
        <v>0.94550000000000012</v>
      </c>
      <c r="AM197" s="48">
        <v>0.97799999999999998</v>
      </c>
      <c r="AN197" s="48">
        <v>0.96150000000000002</v>
      </c>
      <c r="AO197" s="48">
        <v>0.95150000000000001</v>
      </c>
      <c r="AP197" s="48">
        <v>0.91900000000000004</v>
      </c>
      <c r="AQ197" s="48">
        <v>0.86199999999999988</v>
      </c>
      <c r="AR197" s="48">
        <v>0.79700000000000004</v>
      </c>
      <c r="AS197" s="48">
        <v>0.75149999999999995</v>
      </c>
      <c r="AT197" s="48">
        <v>0.77800000000000002</v>
      </c>
      <c r="AU197" s="48">
        <v>0.78750000000000009</v>
      </c>
      <c r="AV197" s="48">
        <v>0.72100000000000009</v>
      </c>
      <c r="AW197" s="48">
        <v>0.623</v>
      </c>
      <c r="AX197" s="48">
        <v>0.55249999999999999</v>
      </c>
      <c r="AY197" s="48">
        <v>0.61250000000000004</v>
      </c>
      <c r="AZ197" s="48">
        <v>0.61799999999999999</v>
      </c>
      <c r="BA197" s="48">
        <v>0.45649999999999996</v>
      </c>
      <c r="BB197" s="48">
        <v>0.29050000000000004</v>
      </c>
      <c r="BC197" s="48">
        <v>0.34500000000000003</v>
      </c>
      <c r="BD197" s="48">
        <v>0.4395</v>
      </c>
      <c r="BE197" s="48">
        <v>0.45450000000000007</v>
      </c>
      <c r="BF197" s="48">
        <v>0.39300000000000002</v>
      </c>
      <c r="BG197" s="48">
        <v>0.38250000000000001</v>
      </c>
      <c r="BH197" s="48">
        <v>0.32850000000000001</v>
      </c>
      <c r="BI197" s="48">
        <v>0.3725</v>
      </c>
      <c r="BJ197" s="48">
        <v>0.28899999999999998</v>
      </c>
      <c r="BK197" s="48">
        <v>0.23949999999999996</v>
      </c>
      <c r="BL197" s="48">
        <v>0.24150000000000002</v>
      </c>
      <c r="BM197" s="48">
        <v>0.35699999999999998</v>
      </c>
      <c r="BN197" s="48">
        <v>0.39299999999999996</v>
      </c>
      <c r="BO197" s="48">
        <v>0.372</v>
      </c>
      <c r="BP197" s="48">
        <v>0.25</v>
      </c>
      <c r="BQ197" s="48">
        <v>0.311</v>
      </c>
      <c r="BR197" s="48">
        <v>0.40250000000000002</v>
      </c>
      <c r="BS197" s="48">
        <v>0.42450000000000004</v>
      </c>
      <c r="BT197" s="48">
        <v>0.39250000000000002</v>
      </c>
      <c r="BU197" s="48">
        <v>0.50450000000000006</v>
      </c>
      <c r="BV197" s="48">
        <v>0.60399999999999998</v>
      </c>
      <c r="BW197" s="48">
        <v>0.71650000000000003</v>
      </c>
      <c r="BX197" s="48">
        <v>0.75400000000000011</v>
      </c>
      <c r="BY197" s="48">
        <v>0.73699999999999999</v>
      </c>
      <c r="BZ197" s="48">
        <v>0.64900000000000002</v>
      </c>
      <c r="CA197" s="48">
        <v>0.625</v>
      </c>
      <c r="CB197" s="48">
        <v>0.63449999999999995</v>
      </c>
      <c r="CC197" s="48">
        <v>0.65849999999999986</v>
      </c>
      <c r="CD197" s="48">
        <v>0.6825</v>
      </c>
      <c r="CE197" s="48">
        <v>0.70650000000000002</v>
      </c>
      <c r="CF197" s="48">
        <v>0.73049999999999993</v>
      </c>
      <c r="CG197" s="48">
        <v>0.72100000000000009</v>
      </c>
      <c r="CH197" s="48">
        <v>0.6875</v>
      </c>
      <c r="CI197" s="48">
        <v>0.63900000000000001</v>
      </c>
      <c r="CJ197" s="48">
        <v>0.64400000000000002</v>
      </c>
      <c r="CK197" s="48">
        <v>0.66300000000000003</v>
      </c>
      <c r="CL197" s="48">
        <v>0.66799999999999993</v>
      </c>
      <c r="CM197" s="48">
        <v>0.65350000000000008</v>
      </c>
      <c r="CN197" s="48">
        <v>0.62000000000000011</v>
      </c>
      <c r="CO197" s="48">
        <v>0.58650000000000002</v>
      </c>
      <c r="CP197" s="48">
        <v>0.57650000000000001</v>
      </c>
      <c r="CQ197" s="48">
        <v>0.5625</v>
      </c>
      <c r="CR197" s="48">
        <v>0.55249999999999999</v>
      </c>
      <c r="CS197" s="48">
        <v>0.53800000000000003</v>
      </c>
      <c r="CT197" s="48">
        <v>0.52400000000000002</v>
      </c>
      <c r="CU197" s="48">
        <v>0.50450000000000006</v>
      </c>
      <c r="CV197" s="48">
        <v>0.46149999999999997</v>
      </c>
      <c r="CW197" s="48">
        <v>0.44700000000000001</v>
      </c>
      <c r="CX197" s="48">
        <v>0.44200000000000006</v>
      </c>
      <c r="CY197" s="48">
        <v>0.40349999999999997</v>
      </c>
      <c r="CZ197" s="48">
        <v>0.39399999999999996</v>
      </c>
      <c r="DA197" s="48">
        <v>0.38900000000000001</v>
      </c>
      <c r="DB197" s="48">
        <v>0.41299999999999998</v>
      </c>
      <c r="DC197" s="48">
        <v>0.43749999999999994</v>
      </c>
      <c r="DD197" s="48">
        <v>0.42750000000000005</v>
      </c>
      <c r="DE197" s="48">
        <v>0.39900000000000002</v>
      </c>
      <c r="DF197" s="48">
        <v>0.4325</v>
      </c>
    </row>
    <row r="198" spans="1:110" x14ac:dyDescent="0.2">
      <c r="A198" s="52" t="s">
        <v>82</v>
      </c>
      <c r="B198" s="47">
        <f t="shared" si="156"/>
        <v>-14.899999999999999</v>
      </c>
      <c r="C198" s="47">
        <f t="shared" si="157"/>
        <v>-22.599999999999994</v>
      </c>
      <c r="D198" s="49" t="e">
        <f t="shared" ref="D198:D229" ca="1" si="183">_xludf.STDEV.P(W198:DF198)*100</f>
        <v>#NAME?</v>
      </c>
      <c r="E198" s="47"/>
      <c r="F198" s="48">
        <v>9.5500000000000002E-2</v>
      </c>
      <c r="G198" s="48">
        <v>0.14349999999999999</v>
      </c>
      <c r="H198" s="48">
        <v>0.19199999999999998</v>
      </c>
      <c r="I198" s="48">
        <v>0.32149999999999995</v>
      </c>
      <c r="J198" s="48">
        <v>0.30249999999999999</v>
      </c>
      <c r="K198" s="48">
        <v>0.26400000000000001</v>
      </c>
      <c r="L198" s="48">
        <v>0.2495</v>
      </c>
      <c r="M198" s="48">
        <v>0.26400000000000001</v>
      </c>
      <c r="N198" s="48">
        <v>0.36499999999999999</v>
      </c>
      <c r="O198" s="48">
        <v>0.41749999999999998</v>
      </c>
      <c r="P198" s="48">
        <v>0.35549999999999998</v>
      </c>
      <c r="Q198" s="48">
        <v>0.2445</v>
      </c>
      <c r="R198" s="48">
        <v>0.1585</v>
      </c>
      <c r="S198" s="48">
        <v>0.16299999999999998</v>
      </c>
      <c r="T198" s="48">
        <v>0.14399999999999999</v>
      </c>
      <c r="U198" s="48">
        <v>0.1535</v>
      </c>
      <c r="V198" s="48">
        <v>0.1825</v>
      </c>
      <c r="W198" s="48">
        <v>0.22550000000000001</v>
      </c>
      <c r="X198" s="48">
        <v>0.1915</v>
      </c>
      <c r="Y198" s="48">
        <v>0.22100000000000003</v>
      </c>
      <c r="Z198" s="48">
        <v>0.26400000000000001</v>
      </c>
      <c r="AA198" s="48">
        <v>0.38400000000000001</v>
      </c>
      <c r="AB198" s="48">
        <v>0.3695</v>
      </c>
      <c r="AC198" s="48">
        <v>0.50449999999999995</v>
      </c>
      <c r="AD198" s="48">
        <v>0.65300000000000002</v>
      </c>
      <c r="AE198" s="48">
        <v>0.68700000000000006</v>
      </c>
      <c r="AF198" s="48">
        <v>0.62949999999999995</v>
      </c>
      <c r="AG198" s="48">
        <v>0.5665</v>
      </c>
      <c r="AH198" s="48">
        <v>0.72549999999999992</v>
      </c>
      <c r="AI198" s="48">
        <v>0.59550000000000003</v>
      </c>
      <c r="AJ198" s="48">
        <v>0.49</v>
      </c>
      <c r="AK198" s="48">
        <v>0.54249999999999998</v>
      </c>
      <c r="AL198" s="48">
        <v>0.57150000000000001</v>
      </c>
      <c r="AM198" s="48">
        <v>0.71600000000000008</v>
      </c>
      <c r="AN198" s="48">
        <v>0.66749999999999998</v>
      </c>
      <c r="AO198" s="48">
        <v>0.70150000000000001</v>
      </c>
      <c r="AP198" s="48">
        <v>0.64850000000000008</v>
      </c>
      <c r="AQ198" s="48">
        <v>0.65349999999999997</v>
      </c>
      <c r="AR198" s="48">
        <v>0.60549999999999993</v>
      </c>
      <c r="AS198" s="48">
        <v>0.63900000000000001</v>
      </c>
      <c r="AT198" s="48">
        <v>0.60050000000000003</v>
      </c>
      <c r="AU198" s="48">
        <v>0.55249999999999999</v>
      </c>
      <c r="AV198" s="48">
        <v>0.46100000000000008</v>
      </c>
      <c r="AW198" s="48">
        <v>0.27849999999999997</v>
      </c>
      <c r="AX198" s="48">
        <v>0.23549999999999999</v>
      </c>
      <c r="AY198" s="48">
        <v>0.33600000000000002</v>
      </c>
      <c r="AZ198" s="48">
        <v>0.38900000000000001</v>
      </c>
      <c r="BA198" s="48">
        <v>0.3695</v>
      </c>
      <c r="BB198" s="48">
        <v>0.36950000000000005</v>
      </c>
      <c r="BC198" s="48">
        <v>0.33599999999999997</v>
      </c>
      <c r="BD198" s="48">
        <v>0.33149999999999996</v>
      </c>
      <c r="BE198" s="48">
        <v>0.3695</v>
      </c>
      <c r="BF198" s="48">
        <v>0.3745</v>
      </c>
      <c r="BG198" s="48">
        <v>0.36049999999999999</v>
      </c>
      <c r="BH198" s="48">
        <v>0.2495</v>
      </c>
      <c r="BI198" s="48">
        <v>0.24</v>
      </c>
      <c r="BJ198" s="48">
        <v>0.23050000000000001</v>
      </c>
      <c r="BK198" s="48">
        <v>0.28799999999999998</v>
      </c>
      <c r="BL198" s="48">
        <v>0.30749999999999994</v>
      </c>
      <c r="BM198" s="48">
        <v>0.36499999999999999</v>
      </c>
      <c r="BN198" s="48">
        <v>0.41299999999999998</v>
      </c>
      <c r="BO198" s="48">
        <v>0.52350000000000008</v>
      </c>
      <c r="BP198" s="48">
        <v>0.58599999999999997</v>
      </c>
      <c r="BQ198" s="48">
        <v>0.67749999999999988</v>
      </c>
      <c r="BR198" s="48">
        <v>0.76900000000000002</v>
      </c>
      <c r="BS198" s="48">
        <v>0.79749999999999988</v>
      </c>
      <c r="BT198" s="48">
        <v>0.81699999999999995</v>
      </c>
      <c r="BU198" s="48">
        <v>0.75950000000000006</v>
      </c>
      <c r="BV198" s="48">
        <v>0.70150000000000001</v>
      </c>
      <c r="BW198" s="48">
        <v>0.79249999999999998</v>
      </c>
      <c r="BX198" s="48">
        <v>0.77350000000000008</v>
      </c>
      <c r="BY198" s="48">
        <v>0.79800000000000004</v>
      </c>
      <c r="BZ198" s="48">
        <v>0.96149999999999991</v>
      </c>
      <c r="CA198" s="48">
        <v>0.96550000000000002</v>
      </c>
      <c r="CB198" s="48">
        <v>0.91299999999999992</v>
      </c>
      <c r="CC198" s="48">
        <v>0.76899999999999991</v>
      </c>
      <c r="CD198" s="48">
        <v>0.74950000000000006</v>
      </c>
      <c r="CE198" s="48">
        <v>0.74950000000000006</v>
      </c>
      <c r="CF198" s="48">
        <v>0.745</v>
      </c>
      <c r="CG198" s="48">
        <v>0.71599999999999997</v>
      </c>
      <c r="CH198" s="48">
        <v>0.73499999999999999</v>
      </c>
      <c r="CI198" s="48">
        <v>0.71550000000000002</v>
      </c>
      <c r="CJ198" s="48">
        <v>0.71099999999999997</v>
      </c>
      <c r="CK198" s="48">
        <v>0.73499999999999999</v>
      </c>
      <c r="CL198" s="48">
        <v>0.75449999999999995</v>
      </c>
      <c r="CM198" s="48">
        <v>0.77350000000000008</v>
      </c>
      <c r="CN198" s="48">
        <v>0.69199999999999995</v>
      </c>
      <c r="CO198" s="48">
        <v>0.59550000000000003</v>
      </c>
      <c r="CP198" s="48">
        <v>0.39850000000000002</v>
      </c>
      <c r="CQ198" s="48">
        <v>0.42749999999999999</v>
      </c>
      <c r="CR198" s="48">
        <v>0.55249999999999999</v>
      </c>
      <c r="CS198" s="48">
        <v>0.70150000000000001</v>
      </c>
      <c r="CT198" s="48">
        <v>0.69200000000000006</v>
      </c>
      <c r="CU198" s="48">
        <v>0.65349999999999997</v>
      </c>
      <c r="CV198" s="48">
        <v>0.54749999999999999</v>
      </c>
      <c r="CW198" s="48">
        <v>0.48549999999999999</v>
      </c>
      <c r="CX198" s="48">
        <v>0.46100000000000002</v>
      </c>
      <c r="CY198" s="48">
        <v>0.42749999999999999</v>
      </c>
      <c r="CZ198" s="48">
        <v>0.41749999999999998</v>
      </c>
      <c r="DA198" s="48">
        <v>0.3695</v>
      </c>
      <c r="DB198" s="48">
        <v>0.47050000000000003</v>
      </c>
      <c r="DC198" s="48">
        <v>0.48049999999999998</v>
      </c>
      <c r="DD198" s="48">
        <v>0.50900000000000001</v>
      </c>
      <c r="DE198" s="48">
        <v>0.45150000000000001</v>
      </c>
      <c r="DF198" s="48">
        <v>0.40349999999999997</v>
      </c>
    </row>
    <row r="199" spans="1:110" x14ac:dyDescent="0.2">
      <c r="A199" s="52" t="s">
        <v>85</v>
      </c>
      <c r="B199" s="47">
        <f t="shared" si="156"/>
        <v>18.55</v>
      </c>
      <c r="C199" s="47">
        <f t="shared" si="157"/>
        <v>2.9000000000000026</v>
      </c>
      <c r="D199" s="49" t="e">
        <f t="shared" ref="D199:D230" ca="1" si="184">_xludf.STDEV.P(W199:DF199)*100</f>
        <v>#NAME?</v>
      </c>
      <c r="E199" s="47"/>
      <c r="F199" s="48">
        <v>0.8115</v>
      </c>
      <c r="G199" s="48">
        <v>0.80149999999999999</v>
      </c>
      <c r="H199" s="48">
        <v>0.77750000000000008</v>
      </c>
      <c r="I199" s="48">
        <v>0.78249999999999997</v>
      </c>
      <c r="J199" s="48">
        <v>0.77699999999999991</v>
      </c>
      <c r="K199" s="48">
        <v>0.69900000000000007</v>
      </c>
      <c r="L199" s="48">
        <v>0.64949999999999997</v>
      </c>
      <c r="M199" s="48">
        <v>0.57600000000000007</v>
      </c>
      <c r="N199" s="48">
        <v>0.65849999999999997</v>
      </c>
      <c r="O199" s="48">
        <v>0.50249999999999995</v>
      </c>
      <c r="P199" s="48">
        <v>0.58199999999999996</v>
      </c>
      <c r="Q199" s="48">
        <v>0.626</v>
      </c>
      <c r="R199" s="48">
        <v>0.69450000000000001</v>
      </c>
      <c r="S199" s="48">
        <v>0.69950000000000001</v>
      </c>
      <c r="T199" s="48">
        <v>0.71400000000000008</v>
      </c>
      <c r="U199" s="48">
        <v>0.72350000000000003</v>
      </c>
      <c r="V199" s="48">
        <v>0.78699999999999992</v>
      </c>
      <c r="W199" s="48">
        <v>0.82650000000000012</v>
      </c>
      <c r="X199" s="48">
        <v>0.85150000000000003</v>
      </c>
      <c r="Y199" s="48">
        <v>0.82750000000000001</v>
      </c>
      <c r="Z199" s="48">
        <v>0.84300000000000008</v>
      </c>
      <c r="AA199" s="48">
        <v>0.83350000000000002</v>
      </c>
      <c r="AB199" s="48">
        <v>0.85350000000000004</v>
      </c>
      <c r="AC199" s="48">
        <v>0.84400000000000008</v>
      </c>
      <c r="AD199" s="48">
        <v>0.84449999999999992</v>
      </c>
      <c r="AE199" s="48">
        <v>0.84949999999999992</v>
      </c>
      <c r="AF199" s="48">
        <v>0.85499999999999998</v>
      </c>
      <c r="AG199" s="48">
        <v>0.82150000000000012</v>
      </c>
      <c r="AH199" s="48">
        <v>0.73050000000000004</v>
      </c>
      <c r="AI199" s="48">
        <v>0.69199999999999995</v>
      </c>
      <c r="AJ199" s="48">
        <v>0.624</v>
      </c>
      <c r="AK199" s="48">
        <v>0.64799999999999991</v>
      </c>
      <c r="AL199" s="48">
        <v>0.65700000000000003</v>
      </c>
      <c r="AM199" s="48">
        <v>0.5605</v>
      </c>
      <c r="AN199" s="48">
        <v>0.45500000000000002</v>
      </c>
      <c r="AO199" s="48">
        <v>0.4355</v>
      </c>
      <c r="AP199" s="48">
        <v>0.43</v>
      </c>
      <c r="AQ199" s="48">
        <v>0.41500000000000004</v>
      </c>
      <c r="AR199" s="48">
        <v>0.40399999999999997</v>
      </c>
      <c r="AS199" s="48">
        <v>0.41299999999999998</v>
      </c>
      <c r="AT199" s="48">
        <v>0.27550000000000002</v>
      </c>
      <c r="AU199" s="48">
        <v>0.27999999999999997</v>
      </c>
      <c r="AV199" s="48">
        <v>0.19</v>
      </c>
      <c r="AW199" s="48">
        <v>0.20399999999999999</v>
      </c>
      <c r="AX199" s="48">
        <v>0.23649999999999999</v>
      </c>
      <c r="AY199" s="48">
        <v>0.27</v>
      </c>
      <c r="AZ199" s="48">
        <v>0.20750000000000002</v>
      </c>
      <c r="BA199" s="48">
        <v>0.17799999999999999</v>
      </c>
      <c r="BB199" s="48">
        <v>0.14399999999999999</v>
      </c>
      <c r="BC199" s="48">
        <v>0.17749999999999999</v>
      </c>
      <c r="BD199" s="48">
        <v>0.2505</v>
      </c>
      <c r="BE199" s="48">
        <v>0.28450000000000003</v>
      </c>
      <c r="BF199" s="48">
        <v>0.31850000000000001</v>
      </c>
      <c r="BG199" s="48">
        <v>0.314</v>
      </c>
      <c r="BH199" s="48">
        <v>0.32899999999999996</v>
      </c>
      <c r="BI199" s="48">
        <v>0.35349999999999998</v>
      </c>
      <c r="BJ199" s="48">
        <v>0.36750000000000005</v>
      </c>
      <c r="BK199" s="48">
        <v>0.38750000000000001</v>
      </c>
      <c r="BL199" s="48">
        <v>0.42699999999999994</v>
      </c>
      <c r="BM199" s="48">
        <v>0.48599999999999999</v>
      </c>
      <c r="BN199" s="48">
        <v>0.46599999999999997</v>
      </c>
      <c r="BO199" s="48">
        <v>0.49049999999999999</v>
      </c>
      <c r="BP199" s="48">
        <v>0.51</v>
      </c>
      <c r="BQ199" s="48">
        <v>0.50049999999999994</v>
      </c>
      <c r="BR199" s="48">
        <v>0.4945</v>
      </c>
      <c r="BS199" s="48">
        <v>0.59600000000000009</v>
      </c>
      <c r="BT199" s="48">
        <v>0.60549999999999993</v>
      </c>
      <c r="BU199" s="48">
        <v>0.49899999999999994</v>
      </c>
      <c r="BV199" s="48">
        <v>0.46950000000000003</v>
      </c>
      <c r="BW199" s="48">
        <v>0.44550000000000001</v>
      </c>
      <c r="BX199" s="48">
        <v>0.40250000000000002</v>
      </c>
      <c r="BY199" s="48">
        <v>0.38399999999999995</v>
      </c>
      <c r="BZ199" s="48">
        <v>0.35050000000000003</v>
      </c>
      <c r="CA199" s="48">
        <v>0.29099999999999998</v>
      </c>
      <c r="CB199" s="48">
        <v>0.27550000000000002</v>
      </c>
      <c r="CC199" s="48">
        <v>0.24100000000000002</v>
      </c>
      <c r="CD199" s="48">
        <v>0.21600000000000003</v>
      </c>
      <c r="CE199" s="48">
        <v>0.1585</v>
      </c>
      <c r="CF199" s="48">
        <v>0.15849999999999997</v>
      </c>
      <c r="CG199" s="48">
        <v>0.18400000000000002</v>
      </c>
      <c r="CH199" s="48">
        <v>0.23299999999999998</v>
      </c>
      <c r="CI199" s="48">
        <v>0.2535</v>
      </c>
      <c r="CJ199" s="48">
        <v>0.27399999999999997</v>
      </c>
      <c r="CK199" s="48">
        <v>0.29399999999999998</v>
      </c>
      <c r="CL199" s="48">
        <v>0.28499999999999998</v>
      </c>
      <c r="CM199" s="48">
        <v>0.34449999999999997</v>
      </c>
      <c r="CN199" s="48">
        <v>0.41799999999999998</v>
      </c>
      <c r="CO199" s="48">
        <v>0.47250000000000003</v>
      </c>
      <c r="CP199" s="48">
        <v>0.53100000000000003</v>
      </c>
      <c r="CQ199" s="48">
        <v>0.53100000000000003</v>
      </c>
      <c r="CR199" s="48">
        <v>0.48749999999999999</v>
      </c>
      <c r="CS199" s="48">
        <v>0.40449999999999997</v>
      </c>
      <c r="CT199" s="48">
        <v>0.36549999999999994</v>
      </c>
      <c r="CU199" s="48">
        <v>0.30599999999999994</v>
      </c>
      <c r="CV199" s="48">
        <v>0.29050000000000004</v>
      </c>
      <c r="CW199" s="48">
        <v>0.29000000000000004</v>
      </c>
      <c r="CX199" s="48">
        <v>0.3725</v>
      </c>
      <c r="CY199" s="48">
        <v>0.46799999999999997</v>
      </c>
      <c r="CZ199" s="48">
        <v>0.53549999999999998</v>
      </c>
      <c r="DA199" s="48">
        <v>0.58999999999999986</v>
      </c>
      <c r="DB199" s="48">
        <v>0.65849999999999997</v>
      </c>
      <c r="DC199" s="48">
        <v>0.6925</v>
      </c>
      <c r="DD199" s="48">
        <v>0.74149999999999994</v>
      </c>
      <c r="DE199" s="48">
        <v>0.76100000000000001</v>
      </c>
      <c r="DF199" s="48">
        <v>0.77049999999999996</v>
      </c>
    </row>
    <row r="200" spans="1:110" x14ac:dyDescent="0.2">
      <c r="A200" s="52" t="s">
        <v>88</v>
      </c>
      <c r="B200" s="47">
        <f t="shared" si="156"/>
        <v>-16.299999999999994</v>
      </c>
      <c r="C200" s="47">
        <f t="shared" si="157"/>
        <v>-12.000000000000002</v>
      </c>
      <c r="D200" s="49" t="e">
        <f t="shared" ref="D200:D231" ca="1" si="185">_xludf.STDEV.P(W200:DF200)*100</f>
        <v>#NAME?</v>
      </c>
      <c r="E200" s="47"/>
      <c r="F200" s="48">
        <v>0.14399999999999999</v>
      </c>
      <c r="G200" s="48">
        <v>0.16750000000000001</v>
      </c>
      <c r="H200" s="48">
        <v>0.23950000000000005</v>
      </c>
      <c r="I200" s="48">
        <v>0.26400000000000001</v>
      </c>
      <c r="J200" s="48">
        <v>0.29750000000000004</v>
      </c>
      <c r="K200" s="48">
        <v>0.2545</v>
      </c>
      <c r="L200" s="48">
        <v>0.221</v>
      </c>
      <c r="M200" s="48">
        <v>0.21099999999999999</v>
      </c>
      <c r="N200" s="48">
        <v>0.21099999999999999</v>
      </c>
      <c r="O200" s="48">
        <v>0.27849999999999997</v>
      </c>
      <c r="P200" s="48">
        <v>0.29300000000000004</v>
      </c>
      <c r="Q200" s="48">
        <v>0.30699999999999994</v>
      </c>
      <c r="R200" s="48">
        <v>0.34549999999999997</v>
      </c>
      <c r="S200" s="48">
        <v>0.34600000000000003</v>
      </c>
      <c r="T200" s="48">
        <v>0.3165</v>
      </c>
      <c r="U200" s="48">
        <v>0.14849999999999999</v>
      </c>
      <c r="V200" s="48">
        <v>0.14899999999999997</v>
      </c>
      <c r="W200" s="48">
        <v>0.16300000000000001</v>
      </c>
      <c r="X200" s="48">
        <v>0.32649999999999996</v>
      </c>
      <c r="Y200" s="48">
        <v>0.39849999999999997</v>
      </c>
      <c r="Z200" s="48">
        <v>0.40850000000000003</v>
      </c>
      <c r="AA200" s="48">
        <v>0.33650000000000002</v>
      </c>
      <c r="AB200" s="48">
        <v>0.25449999999999995</v>
      </c>
      <c r="AC200" s="48">
        <v>0.13450000000000001</v>
      </c>
      <c r="AD200" s="48">
        <v>0.105</v>
      </c>
      <c r="AE200" s="48">
        <v>5.7500000000000002E-2</v>
      </c>
      <c r="AF200" s="48">
        <v>1.8499999999999999E-2</v>
      </c>
      <c r="AG200" s="48">
        <v>2.8500000000000004E-2</v>
      </c>
      <c r="AH200" s="48">
        <v>5.7499999999999996E-2</v>
      </c>
      <c r="AI200" s="48">
        <v>0.19650000000000001</v>
      </c>
      <c r="AJ200" s="48">
        <v>0.45150000000000001</v>
      </c>
      <c r="AK200" s="48">
        <v>0.74450000000000005</v>
      </c>
      <c r="AL200" s="48">
        <v>0.84099999999999997</v>
      </c>
      <c r="AM200" s="48">
        <v>0.90300000000000002</v>
      </c>
      <c r="AN200" s="48">
        <v>0.93249999999999988</v>
      </c>
      <c r="AO200" s="48">
        <v>0.95599999999999996</v>
      </c>
      <c r="AP200" s="48">
        <v>0.97550000000000003</v>
      </c>
      <c r="AQ200" s="48">
        <v>0.99500000000000011</v>
      </c>
      <c r="AR200" s="48">
        <v>0.99500000000000011</v>
      </c>
      <c r="AS200" s="48">
        <v>0.97550000000000003</v>
      </c>
      <c r="AT200" s="48">
        <v>0.95599999999999996</v>
      </c>
      <c r="AU200" s="48">
        <v>0.93699999999999994</v>
      </c>
      <c r="AV200" s="48">
        <v>0.92749999999999999</v>
      </c>
      <c r="AW200" s="48">
        <v>0.91300000000000003</v>
      </c>
      <c r="AX200" s="48">
        <v>0.89400000000000002</v>
      </c>
      <c r="AY200" s="48">
        <v>0.88400000000000001</v>
      </c>
      <c r="AZ200" s="48">
        <v>0.85049999999999992</v>
      </c>
      <c r="BA200" s="48">
        <v>0.77400000000000002</v>
      </c>
      <c r="BB200" s="48">
        <v>0.53799999999999992</v>
      </c>
      <c r="BC200" s="48">
        <v>0.45150000000000001</v>
      </c>
      <c r="BD200" s="48">
        <v>0.45600000000000007</v>
      </c>
      <c r="BE200" s="48">
        <v>0.49449999999999994</v>
      </c>
      <c r="BF200" s="48">
        <v>0.53349999999999997</v>
      </c>
      <c r="BG200" s="48">
        <v>0.48499999999999999</v>
      </c>
      <c r="BH200" s="48">
        <v>0.46600000000000003</v>
      </c>
      <c r="BI200" s="48">
        <v>0.40800000000000003</v>
      </c>
      <c r="BJ200" s="48">
        <v>0.442</v>
      </c>
      <c r="BK200" s="48">
        <v>0.39400000000000002</v>
      </c>
      <c r="BL200" s="48">
        <v>0.39400000000000002</v>
      </c>
      <c r="BM200" s="48">
        <v>0.3745</v>
      </c>
      <c r="BN200" s="48">
        <v>0.35050000000000003</v>
      </c>
      <c r="BO200" s="48">
        <v>0.29750000000000004</v>
      </c>
      <c r="BP200" s="48">
        <v>0.27350000000000002</v>
      </c>
      <c r="BQ200" s="48">
        <v>0.29249999999999998</v>
      </c>
      <c r="BR200" s="48">
        <v>0.36449999999999999</v>
      </c>
      <c r="BS200" s="48">
        <v>0.39849999999999997</v>
      </c>
      <c r="BT200" s="48">
        <v>0.45150000000000001</v>
      </c>
      <c r="BU200" s="48">
        <v>0.48</v>
      </c>
      <c r="BV200" s="48">
        <v>0.54249999999999998</v>
      </c>
      <c r="BW200" s="48">
        <v>0.53349999999999997</v>
      </c>
      <c r="BX200" s="48">
        <v>0.4995</v>
      </c>
      <c r="BY200" s="48">
        <v>0.45150000000000001</v>
      </c>
      <c r="BZ200" s="48">
        <v>0.54299999999999993</v>
      </c>
      <c r="CA200" s="48">
        <v>0.53800000000000003</v>
      </c>
      <c r="CB200" s="48">
        <v>0.53349999999999997</v>
      </c>
      <c r="CC200" s="48">
        <v>0.57150000000000001</v>
      </c>
      <c r="CD200" s="48">
        <v>0.59050000000000002</v>
      </c>
      <c r="CE200" s="48">
        <v>0.66800000000000004</v>
      </c>
      <c r="CF200" s="48">
        <v>0.71599999999999997</v>
      </c>
      <c r="CG200" s="48">
        <v>0.73499999999999999</v>
      </c>
      <c r="CH200" s="48">
        <v>0.74450000000000005</v>
      </c>
      <c r="CI200" s="48">
        <v>0.82150000000000012</v>
      </c>
      <c r="CJ200" s="48">
        <v>0.85999999999999988</v>
      </c>
      <c r="CK200" s="48">
        <v>0.87</v>
      </c>
      <c r="CL200" s="48">
        <v>0.84049999999999991</v>
      </c>
      <c r="CM200" s="48">
        <v>0.72099999999999997</v>
      </c>
      <c r="CN200" s="48">
        <v>0.64400000000000002</v>
      </c>
      <c r="CO200" s="48">
        <v>0.67249999999999999</v>
      </c>
      <c r="CP200" s="48">
        <v>0.78800000000000003</v>
      </c>
      <c r="CQ200" s="48">
        <v>0.82650000000000001</v>
      </c>
      <c r="CR200" s="48">
        <v>0.79749999999999999</v>
      </c>
      <c r="CS200" s="48">
        <v>0.75449999999999995</v>
      </c>
      <c r="CT200" s="48">
        <v>0.67749999999999999</v>
      </c>
      <c r="CU200" s="48">
        <v>0.5139999999999999</v>
      </c>
      <c r="CV200" s="48">
        <v>0.39400000000000002</v>
      </c>
      <c r="CW200" s="48">
        <v>0.29299999999999998</v>
      </c>
      <c r="CX200" s="48">
        <v>0.3745</v>
      </c>
      <c r="CY200" s="48">
        <v>0.41300000000000003</v>
      </c>
      <c r="CZ200" s="48">
        <v>0.39400000000000002</v>
      </c>
      <c r="DA200" s="48">
        <v>0.35550000000000004</v>
      </c>
      <c r="DB200" s="48">
        <v>0.33600000000000002</v>
      </c>
      <c r="DC200" s="48">
        <v>0.2545</v>
      </c>
      <c r="DD200" s="48">
        <v>0.35999999999999993</v>
      </c>
      <c r="DE200" s="48">
        <v>0.42249999999999993</v>
      </c>
      <c r="DF200" s="48">
        <v>0.46550000000000002</v>
      </c>
    </row>
    <row r="201" spans="1:110" x14ac:dyDescent="0.2">
      <c r="A201" s="52" t="s">
        <v>91</v>
      </c>
      <c r="B201" s="47">
        <f t="shared" si="156"/>
        <v>-14.45</v>
      </c>
      <c r="C201" s="47">
        <f t="shared" si="157"/>
        <v>-10.55</v>
      </c>
      <c r="D201" s="49" t="e">
        <f t="shared" ref="D201:D232" ca="1" si="186">_xludf.STDEV.P(W201:DF201)*100</f>
        <v>#NAME?</v>
      </c>
      <c r="E201" s="47"/>
      <c r="F201" s="48">
        <v>0.216</v>
      </c>
      <c r="G201" s="48">
        <v>0.23500000000000001</v>
      </c>
      <c r="H201" s="48">
        <v>0.27850000000000003</v>
      </c>
      <c r="I201" s="48">
        <v>0.32150000000000001</v>
      </c>
      <c r="J201" s="48">
        <v>0.32150000000000001</v>
      </c>
      <c r="K201" s="48">
        <v>0.27850000000000003</v>
      </c>
      <c r="L201" s="48">
        <v>0.29750000000000004</v>
      </c>
      <c r="M201" s="48">
        <v>0.33599999999999997</v>
      </c>
      <c r="N201" s="48">
        <v>0.53299999999999992</v>
      </c>
      <c r="O201" s="48">
        <v>0.51849999999999996</v>
      </c>
      <c r="P201" s="48">
        <v>0.432</v>
      </c>
      <c r="Q201" s="48">
        <v>0.36049999999999999</v>
      </c>
      <c r="R201" s="48">
        <v>0.33600000000000002</v>
      </c>
      <c r="S201" s="48">
        <v>0.3695</v>
      </c>
      <c r="T201" s="48">
        <v>0.3695</v>
      </c>
      <c r="U201" s="48">
        <v>0.36049999999999999</v>
      </c>
      <c r="V201" s="48">
        <v>0.32150000000000001</v>
      </c>
      <c r="W201" s="48">
        <v>0.2495</v>
      </c>
      <c r="X201" s="48">
        <v>0.26899999999999996</v>
      </c>
      <c r="Y201" s="48">
        <v>0.29250000000000004</v>
      </c>
      <c r="Z201" s="48">
        <v>0.432</v>
      </c>
      <c r="AA201" s="48">
        <v>0.4945</v>
      </c>
      <c r="AB201" s="48">
        <v>0.50449999999999995</v>
      </c>
      <c r="AC201" s="48">
        <v>0.46600000000000003</v>
      </c>
      <c r="AD201" s="48">
        <v>0.37949999999999995</v>
      </c>
      <c r="AE201" s="48">
        <v>0.24450000000000002</v>
      </c>
      <c r="AF201" s="48">
        <v>0.221</v>
      </c>
      <c r="AG201" s="48">
        <v>0.317</v>
      </c>
      <c r="AH201" s="48">
        <v>0.40799999999999992</v>
      </c>
      <c r="AI201" s="48">
        <v>0.51400000000000001</v>
      </c>
      <c r="AJ201" s="48">
        <v>0.39849999999999997</v>
      </c>
      <c r="AK201" s="48">
        <v>0.55249999999999999</v>
      </c>
      <c r="AL201" s="48">
        <v>0.65850000000000009</v>
      </c>
      <c r="AM201" s="48">
        <v>0.73499999999999999</v>
      </c>
      <c r="AN201" s="48">
        <v>0.79249999999999998</v>
      </c>
      <c r="AO201" s="48">
        <v>0.86949999999999994</v>
      </c>
      <c r="AP201" s="48">
        <v>0.84600000000000009</v>
      </c>
      <c r="AQ201" s="48">
        <v>0.81700000000000006</v>
      </c>
      <c r="AR201" s="48">
        <v>0.73550000000000004</v>
      </c>
      <c r="AS201" s="48">
        <v>0.62449999999999994</v>
      </c>
      <c r="AT201" s="48">
        <v>0.57650000000000001</v>
      </c>
      <c r="AU201" s="48">
        <v>0.67249999999999999</v>
      </c>
      <c r="AV201" s="48">
        <v>0.74450000000000005</v>
      </c>
      <c r="AW201" s="48">
        <v>0.70650000000000002</v>
      </c>
      <c r="AX201" s="48">
        <v>0.629</v>
      </c>
      <c r="AY201" s="48">
        <v>0.50900000000000001</v>
      </c>
      <c r="AZ201" s="48">
        <v>0.48500000000000004</v>
      </c>
      <c r="BA201" s="48">
        <v>0.35549999999999998</v>
      </c>
      <c r="BB201" s="48">
        <v>0.23049999999999998</v>
      </c>
      <c r="BC201" s="48">
        <v>0.23499999999999996</v>
      </c>
      <c r="BD201" s="48">
        <v>0.33600000000000002</v>
      </c>
      <c r="BE201" s="48">
        <v>0.37899999999999995</v>
      </c>
      <c r="BF201" s="48">
        <v>0.29299999999999998</v>
      </c>
      <c r="BG201" s="48">
        <v>0.1535</v>
      </c>
      <c r="BH201" s="48">
        <v>6.7000000000000004E-2</v>
      </c>
      <c r="BI201" s="48">
        <v>8.1500000000000003E-2</v>
      </c>
      <c r="BJ201" s="48">
        <v>0.16800000000000001</v>
      </c>
      <c r="BK201" s="48">
        <v>0.20150000000000004</v>
      </c>
      <c r="BL201" s="48">
        <v>0.16300000000000001</v>
      </c>
      <c r="BM201" s="48">
        <v>0.23500000000000001</v>
      </c>
      <c r="BN201" s="48">
        <v>0.30249999999999999</v>
      </c>
      <c r="BO201" s="48">
        <v>0.32650000000000001</v>
      </c>
      <c r="BP201" s="48">
        <v>0.34550000000000003</v>
      </c>
      <c r="BQ201" s="48">
        <v>0.3745</v>
      </c>
      <c r="BR201" s="48">
        <v>0.50900000000000001</v>
      </c>
      <c r="BS201" s="48">
        <v>0.58150000000000002</v>
      </c>
      <c r="BT201" s="48">
        <v>0.64850000000000008</v>
      </c>
      <c r="BU201" s="48">
        <v>0.54749999999999999</v>
      </c>
      <c r="BV201" s="48">
        <v>0.49950000000000006</v>
      </c>
      <c r="BW201" s="48">
        <v>0.47549999999999998</v>
      </c>
      <c r="BX201" s="48">
        <v>0.55249999999999999</v>
      </c>
      <c r="BY201" s="48">
        <v>0.70599999999999996</v>
      </c>
      <c r="BZ201" s="48">
        <v>0.83650000000000002</v>
      </c>
      <c r="CA201" s="48">
        <v>0.85050000000000003</v>
      </c>
      <c r="CB201" s="48">
        <v>0.84099999999999997</v>
      </c>
      <c r="CC201" s="48">
        <v>0.85050000000000003</v>
      </c>
      <c r="CD201" s="48">
        <v>0.8264999999999999</v>
      </c>
      <c r="CE201" s="48">
        <v>0.87</v>
      </c>
      <c r="CF201" s="48">
        <v>0.78300000000000014</v>
      </c>
      <c r="CG201" s="48">
        <v>0.71099999999999997</v>
      </c>
      <c r="CH201" s="48">
        <v>0.61</v>
      </c>
      <c r="CI201" s="48">
        <v>0.68750000000000011</v>
      </c>
      <c r="CJ201" s="48">
        <v>0.89400000000000013</v>
      </c>
      <c r="CK201" s="48">
        <v>0.93200000000000005</v>
      </c>
      <c r="CL201" s="48">
        <v>0.88449999999999995</v>
      </c>
      <c r="CM201" s="48">
        <v>0.81700000000000006</v>
      </c>
      <c r="CN201" s="48">
        <v>0.75900000000000001</v>
      </c>
      <c r="CO201" s="48">
        <v>0.74450000000000005</v>
      </c>
      <c r="CP201" s="48">
        <v>0.62</v>
      </c>
      <c r="CQ201" s="48">
        <v>0.55700000000000005</v>
      </c>
      <c r="CR201" s="48">
        <v>0.80700000000000005</v>
      </c>
      <c r="CS201" s="48">
        <v>0.91299999999999992</v>
      </c>
      <c r="CT201" s="48">
        <v>0.98550000000000004</v>
      </c>
      <c r="CU201" s="48">
        <v>0.89349999999999996</v>
      </c>
      <c r="CV201" s="48">
        <v>0.77350000000000008</v>
      </c>
      <c r="CW201" s="48">
        <v>0.58599999999999997</v>
      </c>
      <c r="CX201" s="48">
        <v>0.49950000000000006</v>
      </c>
      <c r="CY201" s="48">
        <v>0.51400000000000001</v>
      </c>
      <c r="CZ201" s="48">
        <v>0.4325</v>
      </c>
      <c r="DA201" s="48">
        <v>0.24450000000000002</v>
      </c>
      <c r="DB201" s="48">
        <v>0.13900000000000001</v>
      </c>
      <c r="DC201" s="48">
        <v>0.17750000000000002</v>
      </c>
      <c r="DD201" s="48">
        <v>0.221</v>
      </c>
      <c r="DE201" s="48">
        <v>0.20149999999999998</v>
      </c>
      <c r="DF201" s="48">
        <v>0.192</v>
      </c>
    </row>
    <row r="202" spans="1:110" x14ac:dyDescent="0.2">
      <c r="A202" s="52" t="s">
        <v>93</v>
      </c>
      <c r="B202" s="47">
        <f t="shared" si="156"/>
        <v>-63.4</v>
      </c>
      <c r="C202" s="47">
        <f t="shared" si="157"/>
        <v>-41.300000000000004</v>
      </c>
      <c r="D202" s="49" t="e">
        <f t="shared" ref="D202:D233" ca="1" si="187">_xludf.STDEV.P(W202:DF202)*100</f>
        <v>#NAME?</v>
      </c>
      <c r="E202" s="47"/>
      <c r="F202" s="48">
        <v>4.8000000000000001E-2</v>
      </c>
      <c r="G202" s="48">
        <v>0.18200000000000002</v>
      </c>
      <c r="H202" s="48">
        <v>0.307</v>
      </c>
      <c r="I202" s="48">
        <v>0.46100000000000002</v>
      </c>
      <c r="J202" s="48">
        <v>0.49</v>
      </c>
      <c r="K202" s="48">
        <v>0.50900000000000001</v>
      </c>
      <c r="L202" s="48">
        <v>0.61499999999999999</v>
      </c>
      <c r="M202" s="48">
        <v>0.69199999999999995</v>
      </c>
      <c r="N202" s="48">
        <v>0.74</v>
      </c>
      <c r="O202" s="48">
        <v>0.72100000000000009</v>
      </c>
      <c r="P202" s="48">
        <v>0.71099999999999997</v>
      </c>
      <c r="Q202" s="48">
        <v>0.68200000000000005</v>
      </c>
      <c r="R202" s="48">
        <v>0.75900000000000001</v>
      </c>
      <c r="S202" s="48">
        <v>0.78800000000000014</v>
      </c>
      <c r="T202" s="48">
        <v>0.73</v>
      </c>
      <c r="U202" s="48">
        <v>0.47100000000000003</v>
      </c>
      <c r="V202" s="48">
        <v>0.26900000000000002</v>
      </c>
      <c r="W202" s="48">
        <v>0.221</v>
      </c>
      <c r="X202" s="48">
        <v>0.20100000000000001</v>
      </c>
      <c r="Y202" s="48">
        <v>0.25</v>
      </c>
      <c r="Z202" s="48">
        <v>0.32600000000000001</v>
      </c>
      <c r="AA202" s="48">
        <v>0.34599999999999997</v>
      </c>
      <c r="AB202" s="48">
        <v>0.29799999999999999</v>
      </c>
      <c r="AC202" s="48">
        <v>0.16300000000000001</v>
      </c>
      <c r="AD202" s="48">
        <v>1.9E-2</v>
      </c>
      <c r="AE202" s="48">
        <v>0</v>
      </c>
      <c r="AF202" s="48">
        <v>8.9999999999999993E-3</v>
      </c>
      <c r="AG202" s="48">
        <v>5.7000000000000002E-2</v>
      </c>
      <c r="AH202" s="48">
        <v>0.28799999999999998</v>
      </c>
      <c r="AI202" s="48">
        <v>0.41299999999999992</v>
      </c>
      <c r="AJ202" s="48">
        <v>0.35499999999999993</v>
      </c>
      <c r="AK202" s="48">
        <v>0.5</v>
      </c>
      <c r="AL202" s="48">
        <v>0.45100000000000001</v>
      </c>
      <c r="AM202" s="48">
        <v>0.63400000000000001</v>
      </c>
      <c r="AN202" s="48">
        <v>0.79800000000000004</v>
      </c>
      <c r="AO202" s="48">
        <v>0.91300000000000003</v>
      </c>
      <c r="AP202" s="48">
        <v>0.95099999999999996</v>
      </c>
      <c r="AQ202" s="48">
        <v>1</v>
      </c>
      <c r="AR202" s="48">
        <v>0.98</v>
      </c>
      <c r="AS202" s="48">
        <v>0.96099999999999997</v>
      </c>
      <c r="AT202" s="48">
        <v>0.94200000000000006</v>
      </c>
      <c r="AU202" s="48">
        <v>0.97099999999999997</v>
      </c>
      <c r="AV202" s="48">
        <v>0.99</v>
      </c>
      <c r="AW202" s="48">
        <v>0.93200000000000016</v>
      </c>
      <c r="AX202" s="48">
        <v>0.92300000000000004</v>
      </c>
      <c r="AY202" s="48">
        <v>0.875</v>
      </c>
      <c r="AZ202" s="48">
        <v>0.82599999999999985</v>
      </c>
      <c r="BA202" s="48">
        <v>0.64400000000000013</v>
      </c>
      <c r="BB202" s="48">
        <v>0.38400000000000001</v>
      </c>
      <c r="BC202" s="48">
        <v>0.375</v>
      </c>
      <c r="BD202" s="48">
        <v>0.442</v>
      </c>
      <c r="BE202" s="48">
        <v>0.432</v>
      </c>
      <c r="BF202" s="48">
        <v>0.317</v>
      </c>
      <c r="BG202" s="48">
        <v>0.115</v>
      </c>
      <c r="BH202" s="48">
        <v>9.6000000000000002E-2</v>
      </c>
      <c r="BI202" s="48">
        <v>0.192</v>
      </c>
      <c r="BJ202" s="48">
        <v>0.27800000000000002</v>
      </c>
      <c r="BK202" s="48">
        <v>0.23</v>
      </c>
      <c r="BL202" s="48">
        <v>0.153</v>
      </c>
      <c r="BM202" s="48">
        <v>0.125</v>
      </c>
      <c r="BN202" s="48">
        <v>0.10499999999999998</v>
      </c>
      <c r="BO202" s="48">
        <v>0.14399999999999999</v>
      </c>
      <c r="BP202" s="48">
        <v>0.17299999999999999</v>
      </c>
      <c r="BQ202" s="48">
        <v>0.21100000000000002</v>
      </c>
      <c r="BR202" s="48">
        <v>0.25900000000000001</v>
      </c>
      <c r="BS202" s="48">
        <v>0.33599999999999997</v>
      </c>
      <c r="BT202" s="48">
        <v>0.39400000000000007</v>
      </c>
      <c r="BU202" s="48">
        <v>0.40300000000000002</v>
      </c>
      <c r="BV202" s="48">
        <v>0.42299999999999999</v>
      </c>
      <c r="BW202" s="48">
        <v>0.48</v>
      </c>
      <c r="BX202" s="48">
        <v>0.58599999999999997</v>
      </c>
      <c r="BY202" s="48">
        <v>0.65300000000000002</v>
      </c>
      <c r="BZ202" s="48">
        <v>0.66300000000000003</v>
      </c>
      <c r="CA202" s="48">
        <v>0.53800000000000003</v>
      </c>
      <c r="CB202" s="48">
        <v>0.54800000000000004</v>
      </c>
      <c r="CC202" s="48">
        <v>0.59599999999999997</v>
      </c>
      <c r="CD202" s="48">
        <v>0.67300000000000004</v>
      </c>
      <c r="CE202" s="48">
        <v>0.625</v>
      </c>
      <c r="CF202" s="48">
        <v>0.55700000000000005</v>
      </c>
      <c r="CG202" s="48">
        <v>0.52800000000000002</v>
      </c>
      <c r="CH202" s="48">
        <v>0.51900000000000002</v>
      </c>
      <c r="CI202" s="48">
        <v>0.56699999999999995</v>
      </c>
      <c r="CJ202" s="48">
        <v>0.57599999999999996</v>
      </c>
      <c r="CK202" s="48">
        <v>0.70099999999999996</v>
      </c>
      <c r="CL202" s="48">
        <v>0.77800000000000002</v>
      </c>
      <c r="CM202" s="48">
        <v>0.85499999999999998</v>
      </c>
      <c r="CN202" s="48">
        <v>0.84599999999999997</v>
      </c>
      <c r="CO202" s="48">
        <v>0.81699999999999995</v>
      </c>
      <c r="CP202" s="48">
        <v>0.75</v>
      </c>
      <c r="CQ202" s="48">
        <v>0.76900000000000002</v>
      </c>
      <c r="CR202" s="48">
        <v>0.83599999999999997</v>
      </c>
      <c r="CS202" s="48">
        <v>0.88400000000000001</v>
      </c>
      <c r="CT202" s="48">
        <v>0.89400000000000002</v>
      </c>
      <c r="CU202" s="48">
        <v>0.90300000000000002</v>
      </c>
      <c r="CV202" s="48">
        <v>0.8650000000000001</v>
      </c>
      <c r="CW202" s="48">
        <v>0.80700000000000005</v>
      </c>
      <c r="CX202" s="48">
        <v>0.60499999999999998</v>
      </c>
      <c r="CY202" s="48">
        <v>0.36499999999999999</v>
      </c>
      <c r="CZ202" s="48">
        <v>0.24</v>
      </c>
      <c r="DA202" s="48">
        <v>0.13400000000000001</v>
      </c>
      <c r="DB202" s="48">
        <v>7.5999999999999998E-2</v>
      </c>
      <c r="DC202" s="48">
        <v>8.5999999999999993E-2</v>
      </c>
      <c r="DD202" s="48">
        <v>6.7000000000000004E-2</v>
      </c>
      <c r="DE202" s="48">
        <v>3.7999999999999999E-2</v>
      </c>
      <c r="DF202" s="48">
        <v>2.8000000000000001E-2</v>
      </c>
    </row>
    <row r="203" spans="1:110" x14ac:dyDescent="0.2">
      <c r="A203" s="52" t="s">
        <v>95</v>
      </c>
      <c r="B203" s="47">
        <f t="shared" si="156"/>
        <v>-4.2999999999999927</v>
      </c>
      <c r="C203" s="47">
        <f t="shared" si="157"/>
        <v>-7.6999999999999957</v>
      </c>
      <c r="D203" s="49" t="e">
        <f t="shared" ref="D203:D234" ca="1" si="188">_xludf.STDEV.P(W203:DF203)*100</f>
        <v>#NAME?</v>
      </c>
      <c r="E203" s="47"/>
      <c r="F203" s="48">
        <v>0.36499999999999999</v>
      </c>
      <c r="G203" s="48">
        <v>0.38900000000000001</v>
      </c>
      <c r="H203" s="48">
        <v>0.40799999999999992</v>
      </c>
      <c r="I203" s="48">
        <v>0.44199999999999995</v>
      </c>
      <c r="J203" s="48">
        <v>0.49500000000000005</v>
      </c>
      <c r="K203" s="48">
        <v>0.53800000000000003</v>
      </c>
      <c r="L203" s="48">
        <v>0.4995</v>
      </c>
      <c r="M203" s="48">
        <v>0.4945</v>
      </c>
      <c r="N203" s="48">
        <v>0.48500000000000004</v>
      </c>
      <c r="O203" s="48">
        <v>0.50450000000000006</v>
      </c>
      <c r="P203" s="48">
        <v>0.4995</v>
      </c>
      <c r="Q203" s="48">
        <v>0.40799999999999992</v>
      </c>
      <c r="R203" s="48">
        <v>0.36499999999999999</v>
      </c>
      <c r="S203" s="48">
        <v>0.28300000000000003</v>
      </c>
      <c r="T203" s="48">
        <v>0.34050000000000002</v>
      </c>
      <c r="U203" s="48">
        <v>0.26900000000000002</v>
      </c>
      <c r="V203" s="48">
        <v>0.22050000000000003</v>
      </c>
      <c r="W203" s="48">
        <v>0.17749999999999999</v>
      </c>
      <c r="X203" s="48">
        <v>0.17749999999999999</v>
      </c>
      <c r="Y203" s="48">
        <v>0.27350000000000002</v>
      </c>
      <c r="Z203" s="48">
        <v>0.34100000000000003</v>
      </c>
      <c r="AA203" s="48">
        <v>0.35049999999999998</v>
      </c>
      <c r="AB203" s="48">
        <v>0.2495</v>
      </c>
      <c r="AC203" s="48">
        <v>0.115</v>
      </c>
      <c r="AD203" s="48">
        <v>7.1500000000000008E-2</v>
      </c>
      <c r="AE203" s="48">
        <v>0.1145</v>
      </c>
      <c r="AF203" s="48">
        <v>0.3075</v>
      </c>
      <c r="AG203" s="48">
        <v>0.39849999999999997</v>
      </c>
      <c r="AH203" s="48">
        <v>0.40849999999999997</v>
      </c>
      <c r="AI203" s="48">
        <v>0.45150000000000007</v>
      </c>
      <c r="AJ203" s="48">
        <v>0.41299999999999992</v>
      </c>
      <c r="AK203" s="48">
        <v>0.30249999999999999</v>
      </c>
      <c r="AL203" s="48">
        <v>0.27850000000000003</v>
      </c>
      <c r="AM203" s="48">
        <v>0.51849999999999996</v>
      </c>
      <c r="AN203" s="48">
        <v>0.68200000000000005</v>
      </c>
      <c r="AO203" s="48">
        <v>0.77849999999999997</v>
      </c>
      <c r="AP203" s="48">
        <v>0.70649999999999991</v>
      </c>
      <c r="AQ203" s="48">
        <v>0.50900000000000001</v>
      </c>
      <c r="AR203" s="48">
        <v>0.61499999999999999</v>
      </c>
      <c r="AS203" s="48">
        <v>0.82150000000000001</v>
      </c>
      <c r="AT203" s="48">
        <v>0.80249999999999999</v>
      </c>
      <c r="AU203" s="48">
        <v>0.59599999999999997</v>
      </c>
      <c r="AV203" s="48">
        <v>0.48549999999999993</v>
      </c>
      <c r="AW203" s="48">
        <v>0.52849999999999997</v>
      </c>
      <c r="AX203" s="48">
        <v>0.68250000000000011</v>
      </c>
      <c r="AY203" s="48">
        <v>0.74950000000000006</v>
      </c>
      <c r="AZ203" s="48">
        <v>0.66299999999999992</v>
      </c>
      <c r="BA203" s="48">
        <v>0.37950000000000006</v>
      </c>
      <c r="BB203" s="48">
        <v>0.29299999999999998</v>
      </c>
      <c r="BC203" s="48">
        <v>0.23500000000000004</v>
      </c>
      <c r="BD203" s="48">
        <v>0.26399999999999996</v>
      </c>
      <c r="BE203" s="48">
        <v>0.2205</v>
      </c>
      <c r="BF203" s="48">
        <v>0.20650000000000002</v>
      </c>
      <c r="BG203" s="48">
        <v>0.216</v>
      </c>
      <c r="BH203" s="48">
        <v>0.20600000000000002</v>
      </c>
      <c r="BI203" s="48">
        <v>0.187</v>
      </c>
      <c r="BJ203" s="48">
        <v>0.1915</v>
      </c>
      <c r="BK203" s="48">
        <v>0.245</v>
      </c>
      <c r="BL203" s="48">
        <v>0.317</v>
      </c>
      <c r="BM203" s="48">
        <v>0.39850000000000002</v>
      </c>
      <c r="BN203" s="48">
        <v>0.38849999999999996</v>
      </c>
      <c r="BO203" s="48">
        <v>0.32650000000000001</v>
      </c>
      <c r="BP203" s="48">
        <v>0.21099999999999999</v>
      </c>
      <c r="BQ203" s="48">
        <v>9.1000000000000011E-2</v>
      </c>
      <c r="BR203" s="48">
        <v>9.0999999999999984E-2</v>
      </c>
      <c r="BS203" s="48">
        <v>0.13900000000000001</v>
      </c>
      <c r="BT203" s="48">
        <v>0.20649999999999996</v>
      </c>
      <c r="BU203" s="48">
        <v>0.23999999999999996</v>
      </c>
      <c r="BV203" s="48">
        <v>0.28800000000000003</v>
      </c>
      <c r="BW203" s="48">
        <v>0.307</v>
      </c>
      <c r="BX203" s="48">
        <v>0.35049999999999998</v>
      </c>
      <c r="BY203" s="48">
        <v>0.432</v>
      </c>
      <c r="BZ203" s="48">
        <v>0.51400000000000001</v>
      </c>
      <c r="CA203" s="48">
        <v>0.66800000000000004</v>
      </c>
      <c r="CB203" s="48">
        <v>0.72550000000000014</v>
      </c>
      <c r="CC203" s="48">
        <v>0.77849999999999997</v>
      </c>
      <c r="CD203" s="48">
        <v>0.82150000000000001</v>
      </c>
      <c r="CE203" s="48">
        <v>0.82650000000000001</v>
      </c>
      <c r="CF203" s="48">
        <v>0.81699999999999995</v>
      </c>
      <c r="CG203" s="48">
        <v>0.84549999999999992</v>
      </c>
      <c r="CH203" s="48">
        <v>0.86050000000000004</v>
      </c>
      <c r="CI203" s="48">
        <v>0.86499999999999999</v>
      </c>
      <c r="CJ203" s="48">
        <v>0.88449999999999995</v>
      </c>
      <c r="CK203" s="48">
        <v>0.8839999999999999</v>
      </c>
      <c r="CL203" s="48">
        <v>0.90799999999999992</v>
      </c>
      <c r="CM203" s="48">
        <v>0.88900000000000001</v>
      </c>
      <c r="CN203" s="48">
        <v>0.8600000000000001</v>
      </c>
      <c r="CO203" s="48">
        <v>0.79749999999999988</v>
      </c>
      <c r="CP203" s="48">
        <v>0.79749999999999988</v>
      </c>
      <c r="CQ203" s="48">
        <v>0.82150000000000001</v>
      </c>
      <c r="CR203" s="48">
        <v>0.85550000000000004</v>
      </c>
      <c r="CS203" s="48">
        <v>0.87000000000000011</v>
      </c>
      <c r="CT203" s="48">
        <v>0.90350000000000008</v>
      </c>
      <c r="CU203" s="48">
        <v>0.89350000000000007</v>
      </c>
      <c r="CV203" s="48">
        <v>0.84099999999999997</v>
      </c>
      <c r="CW203" s="48">
        <v>0.78800000000000003</v>
      </c>
      <c r="CX203" s="48">
        <v>0.72550000000000003</v>
      </c>
      <c r="CY203" s="48">
        <v>0.69650000000000001</v>
      </c>
      <c r="CZ203" s="48">
        <v>0.70150000000000001</v>
      </c>
      <c r="DA203" s="48">
        <v>0.63900000000000012</v>
      </c>
      <c r="DB203" s="48">
        <v>0.59599999999999997</v>
      </c>
      <c r="DC203" s="48">
        <v>0.60049999999999992</v>
      </c>
      <c r="DD203" s="48">
        <v>0.61950000000000005</v>
      </c>
      <c r="DE203" s="48">
        <v>0.61</v>
      </c>
      <c r="DF203" s="48">
        <v>0.54249999999999998</v>
      </c>
    </row>
    <row r="204" spans="1:110" x14ac:dyDescent="0.2">
      <c r="A204" s="52" t="s">
        <v>97</v>
      </c>
      <c r="B204" s="47">
        <f t="shared" si="156"/>
        <v>5.2999999999999936</v>
      </c>
      <c r="C204" s="47">
        <f t="shared" si="157"/>
        <v>0.24999999999999467</v>
      </c>
      <c r="D204" s="49" t="e">
        <f t="shared" ref="D204:D235" ca="1" si="189">_xludf.STDEV.P(W204:DF204)*100</f>
        <v>#NAME?</v>
      </c>
      <c r="E204" s="47"/>
      <c r="F204" s="48">
        <v>0.745</v>
      </c>
      <c r="G204" s="48">
        <v>0.76349999999999996</v>
      </c>
      <c r="H204" s="48">
        <v>0.69750000000000001</v>
      </c>
      <c r="I204" s="48">
        <v>0.74250000000000005</v>
      </c>
      <c r="J204" s="48">
        <v>0.66399999999999992</v>
      </c>
      <c r="K204" s="48">
        <v>0.75600000000000001</v>
      </c>
      <c r="L204" s="48">
        <v>0.64049999999999996</v>
      </c>
      <c r="M204" s="48">
        <v>0.67600000000000005</v>
      </c>
      <c r="N204" s="48">
        <v>0.52349999999999997</v>
      </c>
      <c r="O204" s="48">
        <v>0.55149999999999999</v>
      </c>
      <c r="P204" s="48">
        <v>0.68</v>
      </c>
      <c r="Q204" s="48">
        <v>0.69200000000000006</v>
      </c>
      <c r="R204" s="48">
        <v>0.44900000000000001</v>
      </c>
      <c r="S204" s="48">
        <v>0.30149999999999999</v>
      </c>
      <c r="T204" s="48">
        <v>0.17299999999999996</v>
      </c>
      <c r="U204" s="48">
        <v>0.17799999999999999</v>
      </c>
      <c r="V204" s="48">
        <v>0.15150000000000002</v>
      </c>
      <c r="W204" s="48">
        <v>0.1885</v>
      </c>
      <c r="X204" s="48">
        <v>0.25</v>
      </c>
      <c r="Y204" s="48">
        <v>0.45150000000000001</v>
      </c>
      <c r="Z204" s="48">
        <v>0.6</v>
      </c>
      <c r="AA204" s="48">
        <v>0.67100000000000004</v>
      </c>
      <c r="AB204" s="48">
        <v>0.69850000000000001</v>
      </c>
      <c r="AC204" s="48">
        <v>0.64950000000000008</v>
      </c>
      <c r="AD204" s="48">
        <v>0.4210000000000001</v>
      </c>
      <c r="AE204" s="48">
        <v>0.40250000000000002</v>
      </c>
      <c r="AF204" s="48">
        <v>0.373</v>
      </c>
      <c r="AG204" s="48">
        <v>0.36149999999999999</v>
      </c>
      <c r="AH204" s="48">
        <v>0.29050000000000004</v>
      </c>
      <c r="AI204" s="48">
        <v>0.249</v>
      </c>
      <c r="AJ204" s="48">
        <v>0.41799999999999998</v>
      </c>
      <c r="AK204" s="48">
        <v>0.4325</v>
      </c>
      <c r="AL204" s="48">
        <v>0.46149999999999997</v>
      </c>
      <c r="AM204" s="48">
        <v>0.47549999999999998</v>
      </c>
      <c r="AN204" s="48">
        <v>0.51900000000000002</v>
      </c>
      <c r="AO204" s="48">
        <v>0.5625</v>
      </c>
      <c r="AP204" s="48">
        <v>0.59599999999999997</v>
      </c>
      <c r="AQ204" s="48">
        <v>0.61050000000000004</v>
      </c>
      <c r="AR204" s="48">
        <v>0.59099999999999997</v>
      </c>
      <c r="AS204" s="48">
        <v>0.625</v>
      </c>
      <c r="AT204" s="48">
        <v>0.65350000000000008</v>
      </c>
      <c r="AU204" s="48">
        <v>0.71600000000000008</v>
      </c>
      <c r="AV204" s="48">
        <v>0.66299999999999992</v>
      </c>
      <c r="AW204" s="48">
        <v>0.62949999999999995</v>
      </c>
      <c r="AX204" s="48">
        <v>0.58650000000000002</v>
      </c>
      <c r="AY204" s="48">
        <v>0.57650000000000001</v>
      </c>
      <c r="AZ204" s="48">
        <v>0.55249999999999999</v>
      </c>
      <c r="BA204" s="48">
        <v>0.50450000000000006</v>
      </c>
      <c r="BB204" s="48">
        <v>0.40349999999999997</v>
      </c>
      <c r="BC204" s="48">
        <v>0.38900000000000001</v>
      </c>
      <c r="BD204" s="48">
        <v>0.39899999999999997</v>
      </c>
      <c r="BE204" s="48">
        <v>0.36049999999999999</v>
      </c>
      <c r="BF204" s="48">
        <v>0.33150000000000007</v>
      </c>
      <c r="BG204" s="48">
        <v>0.29799999999999999</v>
      </c>
      <c r="BH204" s="48">
        <v>0.28799999999999998</v>
      </c>
      <c r="BI204" s="48">
        <v>0.30249999999999999</v>
      </c>
      <c r="BJ204" s="48">
        <v>0.29299999999999998</v>
      </c>
      <c r="BK204" s="48">
        <v>0.28349999999999997</v>
      </c>
      <c r="BL204" s="48">
        <v>0.27849999999999997</v>
      </c>
      <c r="BM204" s="48">
        <v>0.27400000000000002</v>
      </c>
      <c r="BN204" s="48">
        <v>0.26400000000000001</v>
      </c>
      <c r="BO204" s="48">
        <v>0.2545</v>
      </c>
      <c r="BP204" s="48">
        <v>0.25</v>
      </c>
      <c r="BQ204" s="48">
        <v>0.25950000000000001</v>
      </c>
      <c r="BR204" s="48">
        <v>0.26900000000000002</v>
      </c>
      <c r="BS204" s="48">
        <v>0.3075</v>
      </c>
      <c r="BT204" s="48">
        <v>0.32649999999999996</v>
      </c>
      <c r="BU204" s="48">
        <v>0.34100000000000003</v>
      </c>
      <c r="BV204" s="48">
        <v>0.34600000000000003</v>
      </c>
      <c r="BW204" s="48">
        <v>0.36499999999999999</v>
      </c>
      <c r="BX204" s="48">
        <v>0.44199999999999995</v>
      </c>
      <c r="BY204" s="48">
        <v>0.52400000000000002</v>
      </c>
      <c r="BZ204" s="48">
        <v>0.53800000000000003</v>
      </c>
      <c r="CA204" s="48">
        <v>0.57200000000000006</v>
      </c>
      <c r="CB204" s="48">
        <v>0.60049999999999992</v>
      </c>
      <c r="CC204" s="48">
        <v>0.63900000000000001</v>
      </c>
      <c r="CD204" s="48">
        <v>0.65849999999999997</v>
      </c>
      <c r="CE204" s="48">
        <v>0.67749999999999999</v>
      </c>
      <c r="CF204" s="48">
        <v>0.66799999999999993</v>
      </c>
      <c r="CG204" s="48">
        <v>0.6875</v>
      </c>
      <c r="CH204" s="48">
        <v>0.70649999999999991</v>
      </c>
      <c r="CI204" s="48">
        <v>0.72550000000000003</v>
      </c>
      <c r="CJ204" s="48">
        <v>0.73049999999999993</v>
      </c>
      <c r="CK204" s="48">
        <v>0.73550000000000004</v>
      </c>
      <c r="CL204" s="48">
        <v>0.745</v>
      </c>
      <c r="CM204" s="48">
        <v>0.75000000000000011</v>
      </c>
      <c r="CN204" s="48">
        <v>0.73999999999999988</v>
      </c>
      <c r="CO204" s="48">
        <v>0.72099999999999997</v>
      </c>
      <c r="CP204" s="48">
        <v>0.69200000000000006</v>
      </c>
      <c r="CQ204" s="48">
        <v>0.69699999999999995</v>
      </c>
      <c r="CR204" s="48">
        <v>0.71150000000000002</v>
      </c>
      <c r="CS204" s="48">
        <v>0.70150000000000001</v>
      </c>
      <c r="CT204" s="48">
        <v>0.64900000000000002</v>
      </c>
      <c r="CU204" s="48">
        <v>0.63449999999999995</v>
      </c>
      <c r="CV204" s="48">
        <v>0.60549999999999993</v>
      </c>
      <c r="CW204" s="48">
        <v>0.5575</v>
      </c>
      <c r="CX204" s="48">
        <v>0.51400000000000001</v>
      </c>
      <c r="CY204" s="48">
        <v>0.42749999999999999</v>
      </c>
      <c r="CZ204" s="48">
        <v>0.37500000000000006</v>
      </c>
      <c r="DA204" s="48">
        <v>0.35549999999999998</v>
      </c>
      <c r="DB204" s="48">
        <v>0.35049999999999998</v>
      </c>
      <c r="DC204" s="48">
        <v>0.33649999999999997</v>
      </c>
      <c r="DD204" s="48">
        <v>0.32200000000000001</v>
      </c>
      <c r="DE204" s="48">
        <v>0.317</v>
      </c>
      <c r="DF204" s="48">
        <v>0.3125</v>
      </c>
    </row>
    <row r="205" spans="1:110" x14ac:dyDescent="0.2">
      <c r="A205" s="52" t="s">
        <v>99</v>
      </c>
      <c r="B205" s="47">
        <f t="shared" si="156"/>
        <v>-25</v>
      </c>
      <c r="C205" s="47">
        <f t="shared" si="157"/>
        <v>-21.199999999999996</v>
      </c>
      <c r="D205" s="49" t="e">
        <f t="shared" ref="D205:D236" ca="1" si="190">_xludf.STDEV.P(W205:DF205)*100</f>
        <v>#NAME?</v>
      </c>
      <c r="E205" s="47"/>
      <c r="F205" s="48">
        <v>0.27800000000000002</v>
      </c>
      <c r="G205" s="48">
        <v>0.32600000000000001</v>
      </c>
      <c r="H205" s="48">
        <v>0.45100000000000001</v>
      </c>
      <c r="I205" s="48">
        <v>0.49</v>
      </c>
      <c r="J205" s="48">
        <v>0.432</v>
      </c>
      <c r="K205" s="48">
        <v>0.41299999999999992</v>
      </c>
      <c r="L205" s="48">
        <v>0.47999999999999993</v>
      </c>
      <c r="M205" s="48">
        <v>0.50900000000000001</v>
      </c>
      <c r="N205" s="48">
        <v>0.55700000000000005</v>
      </c>
      <c r="O205" s="48">
        <v>0.54800000000000004</v>
      </c>
      <c r="P205" s="48">
        <v>0.44200000000000006</v>
      </c>
      <c r="Q205" s="48">
        <v>0.52800000000000002</v>
      </c>
      <c r="R205" s="48">
        <v>0.5</v>
      </c>
      <c r="S205" s="48">
        <v>0.38400000000000001</v>
      </c>
      <c r="T205" s="48">
        <v>0.17299999999999996</v>
      </c>
      <c r="U205" s="48">
        <v>0.13400000000000001</v>
      </c>
      <c r="V205" s="48">
        <v>0.18200000000000002</v>
      </c>
      <c r="W205" s="48">
        <v>0.317</v>
      </c>
      <c r="X205" s="48">
        <v>0.29799999999999999</v>
      </c>
      <c r="Y205" s="48">
        <v>0.33599999999999997</v>
      </c>
      <c r="Z205" s="48">
        <v>0.39400000000000002</v>
      </c>
      <c r="AA205" s="48">
        <v>0.46100000000000002</v>
      </c>
      <c r="AB205" s="48">
        <v>0.47099999999999997</v>
      </c>
      <c r="AC205" s="48">
        <v>0.56699999999999995</v>
      </c>
      <c r="AD205" s="48">
        <v>0.59599999999999997</v>
      </c>
      <c r="AE205" s="48">
        <v>0.65300000000000002</v>
      </c>
      <c r="AF205" s="48">
        <v>0.74</v>
      </c>
      <c r="AG205" s="48">
        <v>0.84599999999999997</v>
      </c>
      <c r="AH205" s="48">
        <v>0.875</v>
      </c>
      <c r="AI205" s="48">
        <v>0.86499999999999999</v>
      </c>
      <c r="AJ205" s="48">
        <v>0.73</v>
      </c>
      <c r="AK205" s="48">
        <v>0.75900000000000001</v>
      </c>
      <c r="AL205" s="48">
        <v>0.79800000000000004</v>
      </c>
      <c r="AM205" s="48">
        <v>0.92300000000000004</v>
      </c>
      <c r="AN205" s="48">
        <v>0.96100000000000008</v>
      </c>
      <c r="AO205" s="48">
        <v>0.99</v>
      </c>
      <c r="AP205" s="48">
        <v>0.98</v>
      </c>
      <c r="AQ205" s="48">
        <v>0.97099999999999986</v>
      </c>
      <c r="AR205" s="48">
        <v>0.95099999999999996</v>
      </c>
      <c r="AS205" s="48">
        <v>0.91300000000000003</v>
      </c>
      <c r="AT205" s="48">
        <v>0.89399999999999991</v>
      </c>
      <c r="AU205" s="48">
        <v>0.90300000000000002</v>
      </c>
      <c r="AV205" s="48">
        <v>0.82599999999999985</v>
      </c>
      <c r="AW205" s="48">
        <v>0.57599999999999996</v>
      </c>
      <c r="AX205" s="48">
        <v>0.23</v>
      </c>
      <c r="AY205" s="48">
        <v>0.14399999999999999</v>
      </c>
      <c r="AZ205" s="48">
        <v>0.125</v>
      </c>
      <c r="BA205" s="48">
        <v>9.6000000000000002E-2</v>
      </c>
      <c r="BB205" s="48">
        <v>7.5999999999999998E-2</v>
      </c>
      <c r="BC205" s="48">
        <v>4.8000000000000001E-2</v>
      </c>
      <c r="BD205" s="48">
        <v>2.8000000000000004E-2</v>
      </c>
      <c r="BE205" s="48">
        <v>3.7999999999999999E-2</v>
      </c>
      <c r="BF205" s="48">
        <v>8.9999999999999993E-3</v>
      </c>
      <c r="BG205" s="48">
        <v>0</v>
      </c>
      <c r="BH205" s="48">
        <v>1.9E-2</v>
      </c>
      <c r="BI205" s="48">
        <v>8.5999999999999993E-2</v>
      </c>
      <c r="BJ205" s="48">
        <v>0.16300000000000001</v>
      </c>
      <c r="BK205" s="48">
        <v>0.153</v>
      </c>
      <c r="BL205" s="48">
        <v>0.115</v>
      </c>
      <c r="BM205" s="48">
        <v>6.7000000000000004E-2</v>
      </c>
      <c r="BN205" s="48">
        <v>5.7000000000000002E-2</v>
      </c>
      <c r="BO205" s="48">
        <v>0.105</v>
      </c>
      <c r="BP205" s="48">
        <v>0.192</v>
      </c>
      <c r="BQ205" s="48">
        <v>0.25900000000000001</v>
      </c>
      <c r="BR205" s="48">
        <v>0.28799999999999998</v>
      </c>
      <c r="BS205" s="48">
        <v>0.307</v>
      </c>
      <c r="BT205" s="48">
        <v>0.35499999999999998</v>
      </c>
      <c r="BU205" s="48">
        <v>0.36499999999999999</v>
      </c>
      <c r="BV205" s="48">
        <v>0.37500000000000006</v>
      </c>
      <c r="BW205" s="48">
        <v>0.40299999999999997</v>
      </c>
      <c r="BX205" s="48">
        <v>0.625</v>
      </c>
      <c r="BY205" s="48">
        <v>0.71099999999999997</v>
      </c>
      <c r="BZ205" s="48">
        <v>0.88400000000000012</v>
      </c>
      <c r="CA205" s="48">
        <v>0.85499999999999998</v>
      </c>
      <c r="CB205" s="48">
        <v>0.76900000000000002</v>
      </c>
      <c r="CC205" s="48">
        <v>0.69199999999999984</v>
      </c>
      <c r="CD205" s="48">
        <v>0.75000000000000011</v>
      </c>
      <c r="CE205" s="48">
        <v>0.72099999999999997</v>
      </c>
      <c r="CF205" s="48">
        <v>0.64400000000000002</v>
      </c>
      <c r="CG205" s="48">
        <v>0.58599999999999997</v>
      </c>
      <c r="CH205" s="48">
        <v>0.53800000000000003</v>
      </c>
      <c r="CI205" s="48">
        <v>0.61499999999999999</v>
      </c>
      <c r="CJ205" s="48">
        <v>0.68200000000000005</v>
      </c>
      <c r="CK205" s="48">
        <v>0.78800000000000003</v>
      </c>
      <c r="CL205" s="48">
        <v>0.80700000000000016</v>
      </c>
      <c r="CM205" s="48">
        <v>0.77800000000000002</v>
      </c>
      <c r="CN205" s="48">
        <v>0.70099999999999996</v>
      </c>
      <c r="CO205" s="48">
        <v>0.67299999999999993</v>
      </c>
      <c r="CP205" s="48">
        <v>0.63400000000000001</v>
      </c>
      <c r="CQ205" s="48">
        <v>0.66300000000000014</v>
      </c>
      <c r="CR205" s="48">
        <v>0.83599999999999997</v>
      </c>
      <c r="CS205" s="48">
        <v>0.94199999999999995</v>
      </c>
      <c r="CT205" s="48">
        <v>1</v>
      </c>
      <c r="CU205" s="48">
        <v>0.93200000000000005</v>
      </c>
      <c r="CV205" s="48">
        <v>0.81699999999999995</v>
      </c>
      <c r="CW205" s="48">
        <v>0.60499999999999998</v>
      </c>
      <c r="CX205" s="48">
        <v>0.51900000000000002</v>
      </c>
      <c r="CY205" s="48">
        <v>0.42299999999999999</v>
      </c>
      <c r="CZ205" s="48">
        <v>0.34599999999999992</v>
      </c>
      <c r="DA205" s="48">
        <v>0.26900000000000002</v>
      </c>
      <c r="DB205" s="48">
        <v>0.21099999999999999</v>
      </c>
      <c r="DC205" s="48">
        <v>0.25</v>
      </c>
      <c r="DD205" s="48">
        <v>0.22100000000000003</v>
      </c>
      <c r="DE205" s="48">
        <v>0.23999999999999996</v>
      </c>
      <c r="DF205" s="48">
        <v>0.20100000000000001</v>
      </c>
    </row>
    <row r="206" spans="1:110" x14ac:dyDescent="0.2">
      <c r="A206" s="52" t="s">
        <v>101</v>
      </c>
      <c r="B206" s="47">
        <f t="shared" si="156"/>
        <v>22.099999999999987</v>
      </c>
      <c r="C206" s="47">
        <f t="shared" si="157"/>
        <v>8.5999999999999961</v>
      </c>
      <c r="D206" s="49" t="e">
        <f t="shared" ref="D206:D237" ca="1" si="191">_xludf.STDEV.P(W206:DF206)*100</f>
        <v>#NAME?</v>
      </c>
      <c r="E206" s="47"/>
      <c r="F206" s="48">
        <v>0.90299999999999991</v>
      </c>
      <c r="G206" s="48">
        <v>0.87500000000000011</v>
      </c>
      <c r="H206" s="48">
        <v>0.79800000000000004</v>
      </c>
      <c r="I206" s="48">
        <v>0.81699999999999995</v>
      </c>
      <c r="J206" s="48">
        <v>0.82599999999999996</v>
      </c>
      <c r="K206" s="48">
        <v>0.80700000000000005</v>
      </c>
      <c r="L206" s="48">
        <v>0.74</v>
      </c>
      <c r="M206" s="48">
        <v>0.66300000000000003</v>
      </c>
      <c r="N206" s="48">
        <v>0.57599999999999996</v>
      </c>
      <c r="O206" s="48">
        <v>0.53800000000000003</v>
      </c>
      <c r="P206" s="48">
        <v>0.67300000000000004</v>
      </c>
      <c r="Q206" s="48">
        <v>0.68200000000000005</v>
      </c>
      <c r="R206" s="48">
        <v>0.65300000000000002</v>
      </c>
      <c r="S206" s="48">
        <v>0.51900000000000002</v>
      </c>
      <c r="T206" s="48">
        <v>0.432</v>
      </c>
      <c r="U206" s="48">
        <v>0.375</v>
      </c>
      <c r="V206" s="48">
        <v>0.307</v>
      </c>
      <c r="W206" s="48">
        <v>0.23</v>
      </c>
      <c r="X206" s="48">
        <v>0.25</v>
      </c>
      <c r="Y206" s="48">
        <v>0.28799999999999998</v>
      </c>
      <c r="Z206" s="48">
        <v>0.29799999999999999</v>
      </c>
      <c r="AA206" s="48">
        <v>0.26900000000000002</v>
      </c>
      <c r="AB206" s="48">
        <v>0.105</v>
      </c>
      <c r="AC206" s="48">
        <v>0.115</v>
      </c>
      <c r="AD206" s="48">
        <v>0.182</v>
      </c>
      <c r="AE206" s="48">
        <v>0.33600000000000002</v>
      </c>
      <c r="AF206" s="48">
        <v>0.40300000000000002</v>
      </c>
      <c r="AG206" s="48">
        <v>0.45099999999999996</v>
      </c>
      <c r="AH206" s="48">
        <v>0.442</v>
      </c>
      <c r="AI206" s="48">
        <v>0.42299999999999999</v>
      </c>
      <c r="AJ206" s="48">
        <v>0.34599999999999997</v>
      </c>
      <c r="AK206" s="48">
        <v>0.36499999999999999</v>
      </c>
      <c r="AL206" s="48">
        <v>0.38400000000000001</v>
      </c>
      <c r="AM206" s="48">
        <v>0.47099999999999997</v>
      </c>
      <c r="AN206" s="48">
        <v>0.46100000000000002</v>
      </c>
      <c r="AO206" s="48">
        <v>0.5</v>
      </c>
      <c r="AP206" s="48">
        <v>0.56699999999999995</v>
      </c>
      <c r="AQ206" s="48">
        <v>0.71099999999999997</v>
      </c>
      <c r="AR206" s="48">
        <v>0.77800000000000002</v>
      </c>
      <c r="AS206" s="48">
        <v>0.88400000000000001</v>
      </c>
      <c r="AT206" s="48">
        <v>0.91300000000000003</v>
      </c>
      <c r="AU206" s="48">
        <v>0.94199999999999995</v>
      </c>
      <c r="AV206" s="48">
        <v>0.95099999999999985</v>
      </c>
      <c r="AW206" s="48">
        <v>0.92300000000000004</v>
      </c>
      <c r="AX206" s="48">
        <v>0.84599999999999997</v>
      </c>
      <c r="AY206" s="48">
        <v>0.75</v>
      </c>
      <c r="AZ206" s="48">
        <v>0.85499999999999998</v>
      </c>
      <c r="BA206" s="48">
        <v>0.86499999999999999</v>
      </c>
      <c r="BB206" s="48">
        <v>0.78800000000000003</v>
      </c>
      <c r="BC206" s="48">
        <v>0.64400000000000002</v>
      </c>
      <c r="BD206" s="48">
        <v>0.50900000000000001</v>
      </c>
      <c r="BE206" s="48">
        <v>0.32600000000000001</v>
      </c>
      <c r="BF206" s="48">
        <v>0.192</v>
      </c>
      <c r="BG206" s="48">
        <v>0.17299999999999999</v>
      </c>
      <c r="BH206" s="48">
        <v>0.221</v>
      </c>
      <c r="BI206" s="48">
        <v>0.39400000000000002</v>
      </c>
      <c r="BJ206" s="48">
        <v>0.58599999999999997</v>
      </c>
      <c r="BK206" s="48">
        <v>0.72099999999999997</v>
      </c>
      <c r="BL206" s="48">
        <v>0.70099999999999996</v>
      </c>
      <c r="BM206" s="48">
        <v>0.61499999999999999</v>
      </c>
      <c r="BN206" s="48">
        <v>0.55700000000000005</v>
      </c>
      <c r="BO206" s="48">
        <v>0.52800000000000002</v>
      </c>
      <c r="BP206" s="48">
        <v>0.60499999999999998</v>
      </c>
      <c r="BQ206" s="48">
        <v>0.625</v>
      </c>
      <c r="BR206" s="48">
        <v>0.59599999999999997</v>
      </c>
      <c r="BS206" s="48">
        <v>0.54800000000000004</v>
      </c>
      <c r="BT206" s="48">
        <v>0.48999999999999994</v>
      </c>
      <c r="BU206" s="48">
        <v>0.41299999999999998</v>
      </c>
      <c r="BV206" s="48">
        <v>0.35499999999999998</v>
      </c>
      <c r="BW206" s="48">
        <v>0.24000000000000002</v>
      </c>
      <c r="BX206" s="48">
        <v>0.21099999999999999</v>
      </c>
      <c r="BY206" s="48">
        <v>0.27800000000000002</v>
      </c>
      <c r="BZ206" s="48">
        <v>0.20100000000000001</v>
      </c>
      <c r="CA206" s="48">
        <v>0.125</v>
      </c>
      <c r="CB206" s="48">
        <v>4.8000000000000001E-2</v>
      </c>
      <c r="CC206" s="48">
        <v>9.6000000000000002E-2</v>
      </c>
      <c r="CD206" s="48">
        <v>6.7000000000000004E-2</v>
      </c>
      <c r="CE206" s="48">
        <v>5.7000000000000009E-2</v>
      </c>
      <c r="CF206" s="48">
        <v>2.8000000000000001E-2</v>
      </c>
      <c r="CG206" s="48">
        <v>0</v>
      </c>
      <c r="CH206" s="48">
        <v>8.9999999999999993E-3</v>
      </c>
      <c r="CI206" s="48">
        <v>1.9E-2</v>
      </c>
      <c r="CJ206" s="48">
        <v>7.5999999999999998E-2</v>
      </c>
      <c r="CK206" s="48">
        <v>0.25900000000000001</v>
      </c>
      <c r="CL206" s="48">
        <v>0.63400000000000001</v>
      </c>
      <c r="CM206" s="48">
        <v>0.73</v>
      </c>
      <c r="CN206" s="48">
        <v>0.83599999999999997</v>
      </c>
      <c r="CO206" s="48">
        <v>0.75900000000000001</v>
      </c>
      <c r="CP206" s="48">
        <v>0.76900000000000002</v>
      </c>
      <c r="CQ206" s="48">
        <v>0.89400000000000002</v>
      </c>
      <c r="CR206" s="48">
        <v>0.96099999999999997</v>
      </c>
      <c r="CS206" s="48">
        <v>0.97999999999999987</v>
      </c>
      <c r="CT206" s="48">
        <v>1</v>
      </c>
      <c r="CU206" s="48">
        <v>0.9900000000000001</v>
      </c>
      <c r="CV206" s="48">
        <v>0.97099999999999997</v>
      </c>
      <c r="CW206" s="48">
        <v>0.93199999999999994</v>
      </c>
      <c r="CX206" s="48">
        <v>0.69199999999999995</v>
      </c>
      <c r="CY206" s="48">
        <v>0.48000000000000004</v>
      </c>
      <c r="CZ206" s="48">
        <v>0.317</v>
      </c>
      <c r="DA206" s="48">
        <v>0.13400000000000001</v>
      </c>
      <c r="DB206" s="48">
        <v>0.16300000000000001</v>
      </c>
      <c r="DC206" s="48">
        <v>0.14399999999999999</v>
      </c>
      <c r="DD206" s="48">
        <v>0.153</v>
      </c>
      <c r="DE206" s="48">
        <v>8.5999999999999993E-2</v>
      </c>
      <c r="DF206" s="48">
        <v>3.7999999999999999E-2</v>
      </c>
    </row>
    <row r="207" spans="1:110" x14ac:dyDescent="0.2">
      <c r="A207" s="52" t="s">
        <v>103</v>
      </c>
      <c r="B207" s="47">
        <f t="shared" si="156"/>
        <v>-0.8999999999999897</v>
      </c>
      <c r="C207" s="47">
        <f t="shared" si="157"/>
        <v>24.099999999999998</v>
      </c>
      <c r="D207" s="49" t="e">
        <f t="shared" ref="D207:D238" ca="1" si="192">_xludf.STDEV.P(W207:DF207)*100</f>
        <v>#NAME?</v>
      </c>
      <c r="E207" s="47"/>
      <c r="F207" s="48">
        <v>0.97099999999999997</v>
      </c>
      <c r="G207" s="48">
        <v>0.92300000000000004</v>
      </c>
      <c r="H207" s="48">
        <v>0.84599999999999997</v>
      </c>
      <c r="I207" s="48">
        <v>0.73</v>
      </c>
      <c r="J207" s="48">
        <v>0.69199999999999995</v>
      </c>
      <c r="K207" s="48">
        <v>0.70099999999999996</v>
      </c>
      <c r="L207" s="48">
        <v>0.77800000000000002</v>
      </c>
      <c r="M207" s="48">
        <v>0.86499999999999999</v>
      </c>
      <c r="N207" s="48">
        <v>0.85499999999999987</v>
      </c>
      <c r="O207" s="48">
        <v>0.89400000000000002</v>
      </c>
      <c r="P207" s="48">
        <v>0.90300000000000002</v>
      </c>
      <c r="Q207" s="48">
        <v>0.97999999999999987</v>
      </c>
      <c r="R207" s="48">
        <v>1</v>
      </c>
      <c r="S207" s="48">
        <v>0.93200000000000005</v>
      </c>
      <c r="T207" s="48">
        <v>0.83599999999999997</v>
      </c>
      <c r="U207" s="48">
        <v>0.7589999999999999</v>
      </c>
      <c r="V207" s="48">
        <v>0.94199999999999995</v>
      </c>
      <c r="W207" s="48">
        <v>0.96099999999999997</v>
      </c>
      <c r="X207" s="48">
        <v>0.95099999999999985</v>
      </c>
      <c r="Y207" s="48">
        <v>0.91300000000000014</v>
      </c>
      <c r="Z207" s="48">
        <v>0.81699999999999995</v>
      </c>
      <c r="AA207" s="48">
        <v>0.82599999999999985</v>
      </c>
      <c r="AB207" s="48">
        <v>0.64400000000000002</v>
      </c>
      <c r="AC207" s="48">
        <v>0.63400000000000001</v>
      </c>
      <c r="AD207" s="48">
        <v>0.59599999999999997</v>
      </c>
      <c r="AE207" s="48">
        <v>0.61499999999999999</v>
      </c>
      <c r="AF207" s="48">
        <v>0.60499999999999998</v>
      </c>
      <c r="AG207" s="48">
        <v>0.67300000000000004</v>
      </c>
      <c r="AH207" s="48">
        <v>0.74</v>
      </c>
      <c r="AI207" s="48">
        <v>0.875</v>
      </c>
      <c r="AJ207" s="48">
        <v>0.76900000000000002</v>
      </c>
      <c r="AK207" s="48">
        <v>0.66300000000000003</v>
      </c>
      <c r="AL207" s="48">
        <v>0.625</v>
      </c>
      <c r="AM207" s="48">
        <v>0.72099999999999997</v>
      </c>
      <c r="AN207" s="48">
        <v>0.80700000000000005</v>
      </c>
      <c r="AO207" s="48">
        <v>0.78800000000000014</v>
      </c>
      <c r="AP207" s="48">
        <v>0.71099999999999997</v>
      </c>
      <c r="AQ207" s="48">
        <v>0.65300000000000002</v>
      </c>
      <c r="AR207" s="48">
        <v>0.68200000000000005</v>
      </c>
      <c r="AS207" s="48">
        <v>0.75</v>
      </c>
      <c r="AT207" s="48">
        <v>0.79800000000000004</v>
      </c>
      <c r="AU207" s="48">
        <v>0.8839999999999999</v>
      </c>
      <c r="AV207" s="48">
        <v>0.99</v>
      </c>
      <c r="AW207" s="48">
        <v>0.58599999999999997</v>
      </c>
      <c r="AX207" s="48">
        <v>0.57599999999999996</v>
      </c>
      <c r="AY207" s="48">
        <v>0.21099999999999997</v>
      </c>
      <c r="AZ207" s="48">
        <v>0.307</v>
      </c>
      <c r="BA207" s="48">
        <v>0.36499999999999999</v>
      </c>
      <c r="BB207" s="48">
        <v>0.38400000000000001</v>
      </c>
      <c r="BC207" s="48">
        <v>0.42299999999999999</v>
      </c>
      <c r="BD207" s="48">
        <v>0.40300000000000008</v>
      </c>
      <c r="BE207" s="48">
        <v>0.432</v>
      </c>
      <c r="BF207" s="48">
        <v>0.44199999999999995</v>
      </c>
      <c r="BG207" s="48">
        <v>0.47099999999999997</v>
      </c>
      <c r="BH207" s="48">
        <v>0.45099999999999996</v>
      </c>
      <c r="BI207" s="48">
        <v>0.41299999999999992</v>
      </c>
      <c r="BJ207" s="48">
        <v>0.375</v>
      </c>
      <c r="BK207" s="48">
        <v>0.35499999999999998</v>
      </c>
      <c r="BL207" s="48">
        <v>0.34599999999999997</v>
      </c>
      <c r="BM207" s="48">
        <v>0.33600000000000002</v>
      </c>
      <c r="BN207" s="48">
        <v>0.317</v>
      </c>
      <c r="BO207" s="48">
        <v>0.29799999999999999</v>
      </c>
      <c r="BP207" s="48">
        <v>0.22099999999999997</v>
      </c>
      <c r="BQ207" s="48">
        <v>0.182</v>
      </c>
      <c r="BR207" s="48">
        <v>0.125</v>
      </c>
      <c r="BS207" s="48">
        <v>0.153</v>
      </c>
      <c r="BT207" s="48">
        <v>0.14399999999999999</v>
      </c>
      <c r="BU207" s="48">
        <v>0.16300000000000001</v>
      </c>
      <c r="BV207" s="48">
        <v>7.5999999999999998E-2</v>
      </c>
      <c r="BW207" s="48">
        <v>0.17299999999999999</v>
      </c>
      <c r="BX207" s="48">
        <v>1.9E-2</v>
      </c>
      <c r="BY207" s="48">
        <v>8.9999999999999993E-3</v>
      </c>
      <c r="BZ207" s="48">
        <v>0</v>
      </c>
      <c r="CA207" s="48">
        <v>2.8000000000000001E-2</v>
      </c>
      <c r="CB207" s="48">
        <v>0.13400000000000001</v>
      </c>
      <c r="CC207" s="48">
        <v>0.105</v>
      </c>
      <c r="CD207" s="48">
        <v>6.7000000000000004E-2</v>
      </c>
      <c r="CE207" s="48">
        <v>3.7999999999999999E-2</v>
      </c>
      <c r="CF207" s="48">
        <v>9.6000000000000002E-2</v>
      </c>
      <c r="CG207" s="48">
        <v>0.105</v>
      </c>
      <c r="CH207" s="48">
        <v>0.192</v>
      </c>
      <c r="CI207" s="48">
        <v>4.8000000000000001E-2</v>
      </c>
      <c r="CJ207" s="48">
        <v>8.5999999999999993E-2</v>
      </c>
      <c r="CK207" s="48">
        <v>5.7000000000000002E-2</v>
      </c>
      <c r="CL207" s="48">
        <v>0.20100000000000001</v>
      </c>
      <c r="CM207" s="48">
        <v>0.22999999999999998</v>
      </c>
      <c r="CN207" s="48">
        <v>0.25900000000000001</v>
      </c>
      <c r="CO207" s="48">
        <v>0.27800000000000002</v>
      </c>
      <c r="CP207" s="48">
        <v>0.25</v>
      </c>
      <c r="CQ207" s="48">
        <v>0.32600000000000001</v>
      </c>
      <c r="CR207" s="48">
        <v>0.24</v>
      </c>
      <c r="CS207" s="48">
        <v>0.26900000000000002</v>
      </c>
      <c r="CT207" s="48">
        <v>0.28799999999999998</v>
      </c>
      <c r="CU207" s="48">
        <v>0.39400000000000007</v>
      </c>
      <c r="CV207" s="48">
        <v>0.46100000000000002</v>
      </c>
      <c r="CW207" s="48">
        <v>0.48</v>
      </c>
      <c r="CX207" s="48">
        <v>0.48999999999999994</v>
      </c>
      <c r="CY207" s="48">
        <v>0.51900000000000002</v>
      </c>
      <c r="CZ207" s="48">
        <v>0.52800000000000002</v>
      </c>
      <c r="DA207" s="48">
        <v>0.48999999999999994</v>
      </c>
      <c r="DB207" s="48">
        <v>0.50900000000000001</v>
      </c>
      <c r="DC207" s="48">
        <v>0.53800000000000003</v>
      </c>
      <c r="DD207" s="48">
        <v>0.54800000000000004</v>
      </c>
      <c r="DE207" s="48">
        <v>0.56699999999999995</v>
      </c>
      <c r="DF207" s="48">
        <v>0.55700000000000005</v>
      </c>
    </row>
    <row r="208" spans="1:110" x14ac:dyDescent="0.2">
      <c r="A208" s="52" t="s">
        <v>105</v>
      </c>
      <c r="B208" s="47">
        <f t="shared" si="156"/>
        <v>-40.075000000000003</v>
      </c>
      <c r="C208" s="47">
        <f t="shared" si="157"/>
        <v>-44.887500000000003</v>
      </c>
      <c r="D208" s="49" t="e">
        <f t="shared" ref="D208:D239" ca="1" si="193">_xludf.STDEV.P(W208:DF208)*100</f>
        <v>#NAME?</v>
      </c>
      <c r="E208" s="47"/>
      <c r="F208" s="48">
        <v>4.8500000000000001E-2</v>
      </c>
      <c r="G208" s="48">
        <v>9.2250000000000013E-2</v>
      </c>
      <c r="H208" s="48">
        <v>0.30212500000000003</v>
      </c>
      <c r="I208" s="48">
        <v>0.49737500000000001</v>
      </c>
      <c r="J208" s="48">
        <v>0.54025000000000001</v>
      </c>
      <c r="K208" s="48">
        <v>0.40499999999999997</v>
      </c>
      <c r="L208" s="48">
        <v>0.237125</v>
      </c>
      <c r="M208" s="48">
        <v>0.12175</v>
      </c>
      <c r="N208" s="48">
        <v>0.18687500000000001</v>
      </c>
      <c r="O208" s="48">
        <v>0.24812500000000001</v>
      </c>
      <c r="P208" s="48">
        <v>0.40087500000000004</v>
      </c>
      <c r="Q208" s="48">
        <v>0.44925000000000004</v>
      </c>
      <c r="R208" s="48">
        <v>0.54925000000000002</v>
      </c>
      <c r="S208" s="48">
        <v>0.57062499999999994</v>
      </c>
      <c r="T208" s="48">
        <v>0.46549999999999997</v>
      </c>
      <c r="U208" s="48">
        <v>0.19700000000000001</v>
      </c>
      <c r="V208" s="48">
        <v>6.25E-2</v>
      </c>
      <c r="W208" s="48">
        <v>0.11837500000000001</v>
      </c>
      <c r="X208" s="48">
        <v>0.37074999999999997</v>
      </c>
      <c r="Y208" s="48">
        <v>0.504</v>
      </c>
      <c r="Z208" s="48">
        <v>0.57887500000000003</v>
      </c>
      <c r="AA208" s="48">
        <v>0.59525000000000006</v>
      </c>
      <c r="AB208" s="48">
        <v>0.43837500000000001</v>
      </c>
      <c r="AC208" s="48">
        <v>0.33037499999999992</v>
      </c>
      <c r="AD208" s="48">
        <v>0.24462500000000001</v>
      </c>
      <c r="AE208" s="48">
        <v>0.26537500000000003</v>
      </c>
      <c r="AF208" s="48">
        <v>0.37787500000000002</v>
      </c>
      <c r="AG208" s="48">
        <v>0.63049999999999995</v>
      </c>
      <c r="AH208" s="48">
        <v>0.84774999999999989</v>
      </c>
      <c r="AI208" s="48">
        <v>0.93799999999999994</v>
      </c>
      <c r="AJ208" s="48">
        <v>0.91900000000000004</v>
      </c>
      <c r="AK208" s="48">
        <v>0.85075000000000012</v>
      </c>
      <c r="AL208" s="48">
        <v>0.871</v>
      </c>
      <c r="AM208" s="48">
        <v>0.9108750000000001</v>
      </c>
      <c r="AN208" s="48">
        <v>0.90349999999999997</v>
      </c>
      <c r="AO208" s="48">
        <v>0.91287499999999999</v>
      </c>
      <c r="AP208" s="48">
        <v>0.94574999999999987</v>
      </c>
      <c r="AQ208" s="48">
        <v>0.97637499999999988</v>
      </c>
      <c r="AR208" s="48">
        <v>0.99637500000000001</v>
      </c>
      <c r="AS208" s="48">
        <v>0.99</v>
      </c>
      <c r="AT208" s="48">
        <v>0.94750000000000001</v>
      </c>
      <c r="AU208" s="48">
        <v>0.88737499999999991</v>
      </c>
      <c r="AV208" s="48">
        <v>0.79800000000000004</v>
      </c>
      <c r="AW208" s="48">
        <v>0.71375</v>
      </c>
      <c r="AX208" s="48">
        <v>0.61987500000000006</v>
      </c>
      <c r="AY208" s="48">
        <v>0.56899999999999995</v>
      </c>
      <c r="AZ208" s="48">
        <v>0.54049999999999998</v>
      </c>
      <c r="BA208" s="48">
        <v>0.45837500000000003</v>
      </c>
      <c r="BB208" s="48">
        <v>0.40487500000000004</v>
      </c>
      <c r="BC208" s="48">
        <v>0.314</v>
      </c>
      <c r="BD208" s="48">
        <v>0.28325</v>
      </c>
      <c r="BE208" s="48">
        <v>0.233625</v>
      </c>
      <c r="BF208" s="48">
        <v>0.17862500000000001</v>
      </c>
      <c r="BG208" s="48">
        <v>0.17162499999999997</v>
      </c>
      <c r="BH208" s="48">
        <v>0.24374999999999999</v>
      </c>
      <c r="BI208" s="48">
        <v>0.26800000000000002</v>
      </c>
      <c r="BJ208" s="48">
        <v>0.30762499999999998</v>
      </c>
      <c r="BK208" s="48">
        <v>0.25075000000000003</v>
      </c>
      <c r="BL208" s="48">
        <v>0.18737499999999996</v>
      </c>
      <c r="BM208" s="48">
        <v>0.177125</v>
      </c>
      <c r="BN208" s="48">
        <v>0.232625</v>
      </c>
      <c r="BO208" s="48">
        <v>0.33024999999999999</v>
      </c>
      <c r="BP208" s="48">
        <v>0.39362500000000006</v>
      </c>
      <c r="BQ208" s="48">
        <v>0.42499999999999993</v>
      </c>
      <c r="BR208" s="48">
        <v>0.489875</v>
      </c>
      <c r="BS208" s="48">
        <v>0.58587500000000003</v>
      </c>
      <c r="BT208" s="48">
        <v>0.55449999999999999</v>
      </c>
      <c r="BU208" s="48">
        <v>0.51037499999999991</v>
      </c>
      <c r="BV208" s="48">
        <v>0.44400000000000001</v>
      </c>
      <c r="BW208" s="48">
        <v>0.55762500000000004</v>
      </c>
      <c r="BX208" s="48">
        <v>0.63187499999999996</v>
      </c>
      <c r="BY208" s="48">
        <v>0.68587500000000001</v>
      </c>
      <c r="BZ208" s="48">
        <v>0.7649999999999999</v>
      </c>
      <c r="CA208" s="48">
        <v>0.77362500000000012</v>
      </c>
      <c r="CB208" s="48">
        <v>0.75637500000000013</v>
      </c>
      <c r="CC208" s="48">
        <v>0.7367499999999999</v>
      </c>
      <c r="CD208" s="48">
        <v>0.73762499999999998</v>
      </c>
      <c r="CE208" s="48">
        <v>0.69662499999999994</v>
      </c>
      <c r="CF208" s="48">
        <v>0.67637499999999995</v>
      </c>
      <c r="CG208" s="48">
        <v>0.63624999999999998</v>
      </c>
      <c r="CH208" s="48">
        <v>0.628</v>
      </c>
      <c r="CI208" s="48">
        <v>0.60687499999999994</v>
      </c>
      <c r="CJ208" s="48">
        <v>0.64287500000000009</v>
      </c>
      <c r="CK208" s="48">
        <v>0.74812499999999993</v>
      </c>
      <c r="CL208" s="48">
        <v>0.77324999999999999</v>
      </c>
      <c r="CM208" s="48">
        <v>0.79662500000000003</v>
      </c>
      <c r="CN208" s="48">
        <v>0.77875000000000005</v>
      </c>
      <c r="CO208" s="48">
        <v>0.74824999999999986</v>
      </c>
      <c r="CP208" s="48">
        <v>0.69325000000000003</v>
      </c>
      <c r="CQ208" s="48">
        <v>0.612375</v>
      </c>
      <c r="CR208" s="48">
        <v>0.63249999999999995</v>
      </c>
      <c r="CS208" s="48">
        <v>0.73762499999999998</v>
      </c>
      <c r="CT208" s="48">
        <v>0.799875</v>
      </c>
      <c r="CU208" s="48">
        <v>0.66037499999999993</v>
      </c>
      <c r="CV208" s="48">
        <v>0.53099999999999992</v>
      </c>
      <c r="CW208" s="48">
        <v>0.32287499999999997</v>
      </c>
      <c r="CX208" s="48">
        <v>0.169125</v>
      </c>
      <c r="CY208" s="48">
        <v>3.3249999999999995E-2</v>
      </c>
      <c r="CZ208" s="48">
        <v>1.9E-2</v>
      </c>
      <c r="DA208" s="48">
        <v>1.2624999999999999E-2</v>
      </c>
      <c r="DB208" s="48">
        <v>4.8000000000000008E-2</v>
      </c>
      <c r="DC208" s="48">
        <v>0.10262499999999999</v>
      </c>
      <c r="DD208" s="48">
        <v>0.111375</v>
      </c>
      <c r="DE208" s="48">
        <v>8.237499999999999E-2</v>
      </c>
      <c r="DF208" s="48">
        <v>9.1124999999999998E-2</v>
      </c>
    </row>
    <row r="209" spans="1:110" x14ac:dyDescent="0.2">
      <c r="A209" s="52" t="s">
        <v>107</v>
      </c>
      <c r="B209" s="47">
        <f t="shared" si="156"/>
        <v>-8.6500000000000021</v>
      </c>
      <c r="C209" s="47">
        <f t="shared" si="157"/>
        <v>-27.400000000000002</v>
      </c>
      <c r="D209" s="49" t="e">
        <f t="shared" ref="D209:D240" ca="1" si="194">_xludf.STDEV.P(W209:DF209)*100</f>
        <v>#NAME?</v>
      </c>
      <c r="E209" s="47"/>
      <c r="F209" s="48">
        <v>0.51400000000000001</v>
      </c>
      <c r="G209" s="48">
        <v>0.65800000000000003</v>
      </c>
      <c r="H209" s="48">
        <v>0.78800000000000003</v>
      </c>
      <c r="I209" s="48">
        <v>0.78800000000000003</v>
      </c>
      <c r="J209" s="48">
        <v>0.56200000000000006</v>
      </c>
      <c r="K209" s="48">
        <v>0.34099999999999997</v>
      </c>
      <c r="L209" s="48">
        <v>0.28299999999999997</v>
      </c>
      <c r="M209" s="48">
        <v>0.3165</v>
      </c>
      <c r="N209" s="48">
        <v>0.56700000000000006</v>
      </c>
      <c r="O209" s="48">
        <v>0.63900000000000001</v>
      </c>
      <c r="P209" s="48">
        <v>0.67300000000000004</v>
      </c>
      <c r="Q209" s="48">
        <v>0.60050000000000003</v>
      </c>
      <c r="R209" s="48">
        <v>0.57650000000000001</v>
      </c>
      <c r="S209" s="48">
        <v>0.27849999999999997</v>
      </c>
      <c r="T209" s="48">
        <v>5.7500000000000002E-2</v>
      </c>
      <c r="U209" s="48">
        <v>0</v>
      </c>
      <c r="V209" s="48">
        <v>8.9999999999999993E-3</v>
      </c>
      <c r="W209" s="48">
        <v>3.3499999999999995E-2</v>
      </c>
      <c r="X209" s="48">
        <v>0.38400000000000001</v>
      </c>
      <c r="Y209" s="48">
        <v>0.72100000000000009</v>
      </c>
      <c r="Z209" s="48">
        <v>0.83599999999999985</v>
      </c>
      <c r="AA209" s="48">
        <v>0.82650000000000001</v>
      </c>
      <c r="AB209" s="48">
        <v>0.754</v>
      </c>
      <c r="AC209" s="48">
        <v>0.61</v>
      </c>
      <c r="AD209" s="48">
        <v>0.50900000000000001</v>
      </c>
      <c r="AE209" s="48">
        <v>0.58100000000000007</v>
      </c>
      <c r="AF209" s="48">
        <v>0.79749999999999988</v>
      </c>
      <c r="AG209" s="48">
        <v>0.94200000000000006</v>
      </c>
      <c r="AH209" s="48">
        <v>0.95100000000000007</v>
      </c>
      <c r="AI209" s="48">
        <v>0.89349999999999996</v>
      </c>
      <c r="AJ209" s="48">
        <v>0.83149999999999991</v>
      </c>
      <c r="AK209" s="48">
        <v>0.74499999999999988</v>
      </c>
      <c r="AL209" s="48">
        <v>0.66300000000000003</v>
      </c>
      <c r="AM209" s="48">
        <v>0.78350000000000009</v>
      </c>
      <c r="AN209" s="48">
        <v>0.8650000000000001</v>
      </c>
      <c r="AO209" s="48">
        <v>0.91300000000000003</v>
      </c>
      <c r="AP209" s="48">
        <v>0.95150000000000001</v>
      </c>
      <c r="AQ209" s="48">
        <v>0.97100000000000009</v>
      </c>
      <c r="AR209" s="48">
        <v>0.95150000000000001</v>
      </c>
      <c r="AS209" s="48">
        <v>0.92300000000000004</v>
      </c>
      <c r="AT209" s="48">
        <v>0.8839999999999999</v>
      </c>
      <c r="AU209" s="48">
        <v>0.81200000000000006</v>
      </c>
      <c r="AV209" s="48">
        <v>0.75449999999999995</v>
      </c>
      <c r="AW209" s="48">
        <v>0.70649999999999991</v>
      </c>
      <c r="AX209" s="48">
        <v>0.64900000000000002</v>
      </c>
      <c r="AY209" s="48">
        <v>0.61499999999999999</v>
      </c>
      <c r="AZ209" s="48">
        <v>0.5575</v>
      </c>
      <c r="BA209" s="48">
        <v>0.48500000000000004</v>
      </c>
      <c r="BB209" s="48">
        <v>0.36499999999999999</v>
      </c>
      <c r="BC209" s="48">
        <v>0.35499999999999998</v>
      </c>
      <c r="BD209" s="48">
        <v>0.379</v>
      </c>
      <c r="BE209" s="48">
        <v>0.39849999999999997</v>
      </c>
      <c r="BF209" s="48">
        <v>0.35050000000000003</v>
      </c>
      <c r="BG209" s="48">
        <v>0.38900000000000001</v>
      </c>
      <c r="BH209" s="48">
        <v>0.45650000000000002</v>
      </c>
      <c r="BI209" s="48">
        <v>0.3745</v>
      </c>
      <c r="BJ209" s="48">
        <v>0.307</v>
      </c>
      <c r="BK209" s="48">
        <v>0.24</v>
      </c>
      <c r="BL209" s="48">
        <v>0.22550000000000001</v>
      </c>
      <c r="BM209" s="48">
        <v>0.24</v>
      </c>
      <c r="BN209" s="48">
        <v>0.27850000000000003</v>
      </c>
      <c r="BO209" s="48">
        <v>0.35050000000000003</v>
      </c>
      <c r="BP209" s="48">
        <v>0.33599999999999997</v>
      </c>
      <c r="BQ209" s="48">
        <v>0.33600000000000002</v>
      </c>
      <c r="BR209" s="48">
        <v>0.25</v>
      </c>
      <c r="BS209" s="48">
        <v>0.18699999999999997</v>
      </c>
      <c r="BT209" s="48">
        <v>0.16750000000000001</v>
      </c>
      <c r="BU209" s="48">
        <v>0.21099999999999999</v>
      </c>
      <c r="BV209" s="48">
        <v>0.29249999999999998</v>
      </c>
      <c r="BW209" s="48">
        <v>0.35499999999999998</v>
      </c>
      <c r="BX209" s="48">
        <v>0.432</v>
      </c>
      <c r="BY209" s="48">
        <v>0.52350000000000008</v>
      </c>
      <c r="BZ209" s="48">
        <v>0.53300000000000003</v>
      </c>
      <c r="CA209" s="48">
        <v>0.53300000000000003</v>
      </c>
      <c r="CB209" s="48">
        <v>0.54749999999999999</v>
      </c>
      <c r="CC209" s="48">
        <v>0.55750000000000011</v>
      </c>
      <c r="CD209" s="48">
        <v>0.72050000000000003</v>
      </c>
      <c r="CE209" s="48">
        <v>0.78300000000000003</v>
      </c>
      <c r="CF209" s="48">
        <v>0.83149999999999991</v>
      </c>
      <c r="CG209" s="48">
        <v>0.76400000000000001</v>
      </c>
      <c r="CH209" s="48">
        <v>0.71599999999999997</v>
      </c>
      <c r="CI209" s="48">
        <v>0.74450000000000005</v>
      </c>
      <c r="CJ209" s="48">
        <v>0.73950000000000005</v>
      </c>
      <c r="CK209" s="48">
        <v>0.63400000000000001</v>
      </c>
      <c r="CL209" s="48">
        <v>0.49</v>
      </c>
      <c r="CM209" s="48">
        <v>0.4325</v>
      </c>
      <c r="CN209" s="48">
        <v>0.42749999999999999</v>
      </c>
      <c r="CO209" s="48">
        <v>0.36499999999999999</v>
      </c>
      <c r="CP209" s="48">
        <v>0.33150000000000002</v>
      </c>
      <c r="CQ209" s="48">
        <v>0.28349999999999997</v>
      </c>
      <c r="CR209" s="48">
        <v>0.32200000000000006</v>
      </c>
      <c r="CS209" s="48">
        <v>0.45150000000000001</v>
      </c>
      <c r="CT209" s="48">
        <v>0.60549999999999993</v>
      </c>
      <c r="CU209" s="48">
        <v>0.41300000000000003</v>
      </c>
      <c r="CV209" s="48">
        <v>0.1535</v>
      </c>
      <c r="CW209" s="48">
        <v>2.8000000000000001E-2</v>
      </c>
      <c r="CX209" s="48">
        <v>2.8499999999999998E-2</v>
      </c>
      <c r="CY209" s="48">
        <v>4.7500000000000001E-2</v>
      </c>
      <c r="CZ209" s="48">
        <v>6.2E-2</v>
      </c>
      <c r="DA209" s="48">
        <v>8.5999999999999993E-2</v>
      </c>
      <c r="DB209" s="48">
        <v>0.10050000000000001</v>
      </c>
      <c r="DC209" s="48">
        <v>0.153</v>
      </c>
      <c r="DD209" s="48">
        <v>0.23500000000000001</v>
      </c>
      <c r="DE209" s="48">
        <v>0.47550000000000003</v>
      </c>
      <c r="DF209" s="48">
        <v>0.50450000000000006</v>
      </c>
    </row>
    <row r="210" spans="1:110" x14ac:dyDescent="0.2">
      <c r="A210" s="52" t="s">
        <v>109</v>
      </c>
      <c r="B210" s="47">
        <f t="shared" si="156"/>
        <v>1.9500000000000004</v>
      </c>
      <c r="C210" s="47">
        <f t="shared" si="157"/>
        <v>-20.150000000000006</v>
      </c>
      <c r="D210" s="49" t="e">
        <f t="shared" ref="D210:D241" ca="1" si="195">_xludf.STDEV.P(W210:DF210)*100</f>
        <v>#NAME?</v>
      </c>
      <c r="E210" s="47"/>
      <c r="F210" s="48">
        <v>8.6499999999999994E-2</v>
      </c>
      <c r="G210" s="48">
        <v>9.5500000000000002E-2</v>
      </c>
      <c r="H210" s="48">
        <v>0.17249999999999999</v>
      </c>
      <c r="I210" s="48">
        <v>0.28800000000000003</v>
      </c>
      <c r="J210" s="48">
        <v>0.30249999999999999</v>
      </c>
      <c r="K210" s="48">
        <v>0.16800000000000001</v>
      </c>
      <c r="L210" s="48">
        <v>9.5500000000000002E-2</v>
      </c>
      <c r="M210" s="48">
        <v>7.2000000000000008E-2</v>
      </c>
      <c r="N210" s="48">
        <v>5.6999999999999995E-2</v>
      </c>
      <c r="O210" s="48">
        <v>5.2499999999999998E-2</v>
      </c>
      <c r="P210" s="48">
        <v>7.1500000000000008E-2</v>
      </c>
      <c r="Q210" s="48">
        <v>6.699999999999999E-2</v>
      </c>
      <c r="R210" s="48">
        <v>0.13399999999999998</v>
      </c>
      <c r="S210" s="48">
        <v>0.17749999999999999</v>
      </c>
      <c r="T210" s="48">
        <v>0.17250000000000001</v>
      </c>
      <c r="U210" s="48">
        <v>5.7500000000000002E-2</v>
      </c>
      <c r="V210" s="48">
        <v>8.0999999999999989E-2</v>
      </c>
      <c r="W210" s="48">
        <v>0.23</v>
      </c>
      <c r="X210" s="48">
        <v>0.42750000000000005</v>
      </c>
      <c r="Y210" s="48">
        <v>0.45150000000000001</v>
      </c>
      <c r="Z210" s="48">
        <v>0.47550000000000003</v>
      </c>
      <c r="AA210" s="48">
        <v>0.49</v>
      </c>
      <c r="AB210" s="48">
        <v>0.50449999999999995</v>
      </c>
      <c r="AC210" s="48">
        <v>0.51900000000000002</v>
      </c>
      <c r="AD210" s="48">
        <v>0.65300000000000002</v>
      </c>
      <c r="AE210" s="48">
        <v>0.77350000000000008</v>
      </c>
      <c r="AF210" s="48">
        <v>0.82650000000000001</v>
      </c>
      <c r="AG210" s="48">
        <v>0.87450000000000006</v>
      </c>
      <c r="AH210" s="48">
        <v>0.89900000000000002</v>
      </c>
      <c r="AI210" s="48">
        <v>0.88400000000000001</v>
      </c>
      <c r="AJ210" s="48">
        <v>0.91300000000000003</v>
      </c>
      <c r="AK210" s="48">
        <v>0.93700000000000006</v>
      </c>
      <c r="AL210" s="48">
        <v>0.96599999999999997</v>
      </c>
      <c r="AM210" s="48">
        <v>0.98</v>
      </c>
      <c r="AN210" s="48">
        <v>0.99499999999999988</v>
      </c>
      <c r="AO210" s="48">
        <v>0.99499999999999988</v>
      </c>
      <c r="AP210" s="48">
        <v>0.93250000000000011</v>
      </c>
      <c r="AQ210" s="48">
        <v>0.90300000000000002</v>
      </c>
      <c r="AR210" s="48">
        <v>0.87900000000000011</v>
      </c>
      <c r="AS210" s="48">
        <v>0.86999999999999988</v>
      </c>
      <c r="AT210" s="48">
        <v>0.85499999999999998</v>
      </c>
      <c r="AU210" s="48">
        <v>0.84099999999999997</v>
      </c>
      <c r="AV210" s="48">
        <v>0.79299999999999993</v>
      </c>
      <c r="AW210" s="48">
        <v>0.74950000000000006</v>
      </c>
      <c r="AX210" s="48">
        <v>0.73050000000000004</v>
      </c>
      <c r="AY210" s="48">
        <v>0.70600000000000007</v>
      </c>
      <c r="AZ210" s="48">
        <v>0.62450000000000006</v>
      </c>
      <c r="BA210" s="48">
        <v>0.5665</v>
      </c>
      <c r="BB210" s="48">
        <v>0.4945</v>
      </c>
      <c r="BC210" s="48">
        <v>0.42749999999999999</v>
      </c>
      <c r="BD210" s="48">
        <v>0.379</v>
      </c>
      <c r="BE210" s="48">
        <v>0.32650000000000001</v>
      </c>
      <c r="BF210" s="48">
        <v>0.32199999999999995</v>
      </c>
      <c r="BG210" s="48">
        <v>0.28800000000000003</v>
      </c>
      <c r="BH210" s="48">
        <v>0.254</v>
      </c>
      <c r="BI210" s="48">
        <v>0.216</v>
      </c>
      <c r="BJ210" s="48">
        <v>0.16300000000000001</v>
      </c>
      <c r="BK210" s="48">
        <v>0.16300000000000001</v>
      </c>
      <c r="BL210" s="48">
        <v>0.1825</v>
      </c>
      <c r="BM210" s="48">
        <v>0.24</v>
      </c>
      <c r="BN210" s="48">
        <v>0.307</v>
      </c>
      <c r="BO210" s="48">
        <v>0.39850000000000002</v>
      </c>
      <c r="BP210" s="48">
        <v>0.42749999999999999</v>
      </c>
      <c r="BQ210" s="48">
        <v>0.40349999999999997</v>
      </c>
      <c r="BR210" s="48">
        <v>0.39850000000000002</v>
      </c>
      <c r="BS210" s="48">
        <v>0.45150000000000001</v>
      </c>
      <c r="BT210" s="48">
        <v>0.51900000000000002</v>
      </c>
      <c r="BU210" s="48">
        <v>0.53350000000000009</v>
      </c>
      <c r="BV210" s="48">
        <v>0.52850000000000008</v>
      </c>
      <c r="BW210" s="48">
        <v>0.504</v>
      </c>
      <c r="BX210" s="48">
        <v>0.5475000000000001</v>
      </c>
      <c r="BY210" s="48">
        <v>0.61050000000000004</v>
      </c>
      <c r="BZ210" s="48">
        <v>0.66799999999999993</v>
      </c>
      <c r="CA210" s="48">
        <v>0.68700000000000006</v>
      </c>
      <c r="CB210" s="48">
        <v>0.71099999999999985</v>
      </c>
      <c r="CC210" s="48">
        <v>0.67749999999999999</v>
      </c>
      <c r="CD210" s="48">
        <v>0.54749999999999999</v>
      </c>
      <c r="CE210" s="48">
        <v>0.45150000000000001</v>
      </c>
      <c r="CF210" s="48">
        <v>0.42249999999999999</v>
      </c>
      <c r="CG210" s="48">
        <v>0.48949999999999999</v>
      </c>
      <c r="CH210" s="48">
        <v>0.58149999999999991</v>
      </c>
      <c r="CI210" s="48">
        <v>0.66799999999999993</v>
      </c>
      <c r="CJ210" s="48">
        <v>0.74949999999999983</v>
      </c>
      <c r="CK210" s="48">
        <v>0.79299999999999993</v>
      </c>
      <c r="CL210" s="48">
        <v>0.77350000000000008</v>
      </c>
      <c r="CM210" s="48">
        <v>0.62450000000000006</v>
      </c>
      <c r="CN210" s="48">
        <v>0.49</v>
      </c>
      <c r="CO210" s="48">
        <v>0.49</v>
      </c>
      <c r="CP210" s="48">
        <v>0.50449999999999995</v>
      </c>
      <c r="CQ210" s="48">
        <v>0.58600000000000008</v>
      </c>
      <c r="CR210" s="48">
        <v>0.65849999999999986</v>
      </c>
      <c r="CS210" s="48">
        <v>0.72049999999999992</v>
      </c>
      <c r="CT210" s="48">
        <v>0.78300000000000003</v>
      </c>
      <c r="CU210" s="48">
        <v>0.7350000000000001</v>
      </c>
      <c r="CV210" s="48">
        <v>0.64349999999999996</v>
      </c>
      <c r="CW210" s="48">
        <v>0.5575</v>
      </c>
      <c r="CX210" s="48">
        <v>0.51849999999999996</v>
      </c>
      <c r="CY210" s="48">
        <v>0.46100000000000002</v>
      </c>
      <c r="CZ210" s="48">
        <v>0.40849999999999997</v>
      </c>
      <c r="DA210" s="48">
        <v>0.35550000000000004</v>
      </c>
      <c r="DB210" s="48">
        <v>0.28800000000000003</v>
      </c>
      <c r="DC210" s="48">
        <v>0.23550000000000001</v>
      </c>
      <c r="DD210" s="48">
        <v>0.2155</v>
      </c>
      <c r="DE210" s="48">
        <v>0.22550000000000001</v>
      </c>
      <c r="DF210" s="48">
        <v>0.24949999999999997</v>
      </c>
    </row>
    <row r="211" spans="1:110" x14ac:dyDescent="0.2">
      <c r="A211" s="52" t="s">
        <v>111</v>
      </c>
      <c r="B211" s="47">
        <f t="shared" si="156"/>
        <v>21.099999999999998</v>
      </c>
      <c r="C211" s="47">
        <f t="shared" si="157"/>
        <v>-20.200000000000003</v>
      </c>
      <c r="D211" s="49" t="e">
        <f t="shared" ref="D211:D242" ca="1" si="196">_xludf.STDEV.P(W211:DF211)*100</f>
        <v>#NAME?</v>
      </c>
      <c r="E211" s="47"/>
      <c r="F211" s="48">
        <v>0.307</v>
      </c>
      <c r="G211" s="48">
        <v>0.432</v>
      </c>
      <c r="H211" s="48">
        <v>0.54800000000000004</v>
      </c>
      <c r="I211" s="48">
        <v>0.50900000000000001</v>
      </c>
      <c r="J211" s="48">
        <v>0.28799999999999998</v>
      </c>
      <c r="K211" s="48">
        <v>0.115</v>
      </c>
      <c r="L211" s="48">
        <v>6.7000000000000004E-2</v>
      </c>
      <c r="M211" s="48">
        <v>4.8000000000000001E-2</v>
      </c>
      <c r="N211" s="48">
        <v>8.5999999999999993E-2</v>
      </c>
      <c r="O211" s="48">
        <v>0.105</v>
      </c>
      <c r="P211" s="48">
        <v>0.125</v>
      </c>
      <c r="Q211" s="48">
        <v>9.6000000000000002E-2</v>
      </c>
      <c r="R211" s="48">
        <v>5.7000000000000002E-2</v>
      </c>
      <c r="S211" s="48">
        <v>2.8000000000000001E-2</v>
      </c>
      <c r="T211" s="48">
        <v>8.9999999999999993E-3</v>
      </c>
      <c r="U211" s="48">
        <v>0</v>
      </c>
      <c r="V211" s="48">
        <v>1.9E-2</v>
      </c>
      <c r="W211" s="48">
        <v>3.7999999999999999E-2</v>
      </c>
      <c r="X211" s="48">
        <v>7.5999999999999998E-2</v>
      </c>
      <c r="Y211" s="48">
        <v>0.16300000000000001</v>
      </c>
      <c r="Z211" s="48">
        <v>0.32600000000000001</v>
      </c>
      <c r="AA211" s="48">
        <v>0.35499999999999998</v>
      </c>
      <c r="AB211" s="48">
        <v>0.46100000000000002</v>
      </c>
      <c r="AC211" s="48">
        <v>0.57599999999999996</v>
      </c>
      <c r="AD211" s="48">
        <v>0.76900000000000013</v>
      </c>
      <c r="AE211" s="48">
        <v>0.82600000000000007</v>
      </c>
      <c r="AF211" s="48">
        <v>0.86499999999999999</v>
      </c>
      <c r="AG211" s="48">
        <v>0.88400000000000001</v>
      </c>
      <c r="AH211" s="48">
        <v>0.93200000000000005</v>
      </c>
      <c r="AI211" s="48">
        <v>0.98</v>
      </c>
      <c r="AJ211" s="48">
        <v>1</v>
      </c>
      <c r="AK211" s="48">
        <v>0.96100000000000008</v>
      </c>
      <c r="AL211" s="48">
        <v>0.95100000000000007</v>
      </c>
      <c r="AM211" s="48">
        <v>0.92300000000000004</v>
      </c>
      <c r="AN211" s="48">
        <v>0.90300000000000002</v>
      </c>
      <c r="AO211" s="48">
        <v>0.91300000000000003</v>
      </c>
      <c r="AP211" s="48">
        <v>0.94199999999999995</v>
      </c>
      <c r="AQ211" s="48">
        <v>0.99</v>
      </c>
      <c r="AR211" s="48">
        <v>0.97099999999999986</v>
      </c>
      <c r="AS211" s="48">
        <v>0.89400000000000013</v>
      </c>
      <c r="AT211" s="48">
        <v>0.875</v>
      </c>
      <c r="AU211" s="48">
        <v>0.85499999999999998</v>
      </c>
      <c r="AV211" s="48">
        <v>0.80700000000000005</v>
      </c>
      <c r="AW211" s="48">
        <v>0.77800000000000002</v>
      </c>
      <c r="AX211" s="48">
        <v>0.48</v>
      </c>
      <c r="AY211" s="48">
        <v>0.42299999999999993</v>
      </c>
      <c r="AZ211" s="48">
        <v>0.34599999999999997</v>
      </c>
      <c r="BA211" s="48">
        <v>0.25900000000000001</v>
      </c>
      <c r="BB211" s="48">
        <v>0.18200000000000002</v>
      </c>
      <c r="BC211" s="48">
        <v>0.153</v>
      </c>
      <c r="BD211" s="48">
        <v>0.14399999999999999</v>
      </c>
      <c r="BE211" s="48">
        <v>0.13400000000000001</v>
      </c>
      <c r="BF211" s="48">
        <v>0.17299999999999999</v>
      </c>
      <c r="BG211" s="48">
        <v>0.192</v>
      </c>
      <c r="BH211" s="48">
        <v>0.25</v>
      </c>
      <c r="BI211" s="48">
        <v>0.24</v>
      </c>
      <c r="BJ211" s="48">
        <v>0.20100000000000001</v>
      </c>
      <c r="BK211" s="48">
        <v>0.20100000000000001</v>
      </c>
      <c r="BL211" s="48">
        <v>0.26900000000000002</v>
      </c>
      <c r="BM211" s="48">
        <v>0.29799999999999999</v>
      </c>
      <c r="BN211" s="48">
        <v>0.36499999999999999</v>
      </c>
      <c r="BO211" s="48">
        <v>0.40299999999999997</v>
      </c>
      <c r="BP211" s="48">
        <v>0.53800000000000003</v>
      </c>
      <c r="BQ211" s="48">
        <v>0.64400000000000013</v>
      </c>
      <c r="BR211" s="48">
        <v>0.70100000000000007</v>
      </c>
      <c r="BS211" s="48">
        <v>0.68200000000000005</v>
      </c>
      <c r="BT211" s="48">
        <v>0.67300000000000004</v>
      </c>
      <c r="BU211" s="48">
        <v>0.72099999999999986</v>
      </c>
      <c r="BV211" s="48">
        <v>0.75900000000000001</v>
      </c>
      <c r="BW211" s="48">
        <v>0.78800000000000003</v>
      </c>
      <c r="BX211" s="48">
        <v>0.81699999999999995</v>
      </c>
      <c r="BY211" s="48">
        <v>0.84599999999999986</v>
      </c>
      <c r="BZ211" s="48">
        <v>0.83600000000000008</v>
      </c>
      <c r="CA211" s="48">
        <v>0.79800000000000004</v>
      </c>
      <c r="CB211" s="48">
        <v>0.75</v>
      </c>
      <c r="CC211" s="48">
        <v>0.63400000000000001</v>
      </c>
      <c r="CD211" s="48">
        <v>0.60499999999999998</v>
      </c>
      <c r="CE211" s="48">
        <v>0.66300000000000003</v>
      </c>
      <c r="CF211" s="48">
        <v>0.71100000000000008</v>
      </c>
      <c r="CG211" s="48">
        <v>0.74</v>
      </c>
      <c r="CH211" s="48">
        <v>0.73</v>
      </c>
      <c r="CI211" s="48">
        <v>0.69199999999999995</v>
      </c>
      <c r="CJ211" s="48">
        <v>0.65300000000000002</v>
      </c>
      <c r="CK211" s="48">
        <v>0.61499999999999999</v>
      </c>
      <c r="CL211" s="48">
        <v>0.58599999999999997</v>
      </c>
      <c r="CM211" s="48">
        <v>0.55700000000000005</v>
      </c>
      <c r="CN211" s="48">
        <v>0.5</v>
      </c>
      <c r="CO211" s="48">
        <v>0.45100000000000001</v>
      </c>
      <c r="CP211" s="48">
        <v>0.442</v>
      </c>
      <c r="CQ211" s="48">
        <v>0.41300000000000003</v>
      </c>
      <c r="CR211" s="48">
        <v>0.39400000000000002</v>
      </c>
      <c r="CS211" s="48">
        <v>0.38400000000000001</v>
      </c>
      <c r="CT211" s="48">
        <v>0.375</v>
      </c>
      <c r="CU211" s="48">
        <v>0.317</v>
      </c>
      <c r="CV211" s="48">
        <v>0.27800000000000002</v>
      </c>
      <c r="CW211" s="48">
        <v>0.23</v>
      </c>
      <c r="CX211" s="48">
        <v>0.221</v>
      </c>
      <c r="CY211" s="48">
        <v>0.33600000000000002</v>
      </c>
      <c r="CZ211" s="48">
        <v>0.47099999999999997</v>
      </c>
      <c r="DA211" s="48">
        <v>0.59599999999999997</v>
      </c>
      <c r="DB211" s="48">
        <v>0.625</v>
      </c>
      <c r="DC211" s="48">
        <v>0.56699999999999995</v>
      </c>
      <c r="DD211" s="48">
        <v>0.51900000000000002</v>
      </c>
      <c r="DE211" s="48">
        <v>0.49</v>
      </c>
      <c r="DF211" s="48">
        <v>0.52800000000000002</v>
      </c>
    </row>
    <row r="212" spans="1:110" x14ac:dyDescent="0.2">
      <c r="A212" s="52" t="s">
        <v>113</v>
      </c>
      <c r="B212" s="47">
        <f t="shared" si="156"/>
        <v>19.3</v>
      </c>
      <c r="C212" s="47">
        <f t="shared" si="157"/>
        <v>-24</v>
      </c>
      <c r="D212" s="49" t="e">
        <f t="shared" ref="D212:D243" ca="1" si="197">_xludf.STDEV.P(W212:DF212)*100</f>
        <v>#NAME?</v>
      </c>
      <c r="E212" s="47"/>
      <c r="F212" s="48">
        <v>0.39400000000000002</v>
      </c>
      <c r="G212" s="48">
        <v>0.47099999999999997</v>
      </c>
      <c r="H212" s="48">
        <v>0.65300000000000002</v>
      </c>
      <c r="I212" s="48">
        <v>0.63400000000000001</v>
      </c>
      <c r="J212" s="48">
        <v>0.45100000000000001</v>
      </c>
      <c r="K212" s="48">
        <v>0.21099999999999999</v>
      </c>
      <c r="L212" s="48">
        <v>0.17299999999999999</v>
      </c>
      <c r="M212" s="48">
        <v>0.192</v>
      </c>
      <c r="N212" s="48">
        <v>0.221</v>
      </c>
      <c r="O212" s="48">
        <v>0.27800000000000002</v>
      </c>
      <c r="P212" s="48">
        <v>0.26900000000000002</v>
      </c>
      <c r="Q212" s="48">
        <v>0.20100000000000001</v>
      </c>
      <c r="R212" s="48">
        <v>0.153</v>
      </c>
      <c r="S212" s="48">
        <v>9.6000000000000002E-2</v>
      </c>
      <c r="T212" s="48">
        <v>8.9999999999999993E-3</v>
      </c>
      <c r="U212" s="48">
        <v>0</v>
      </c>
      <c r="V212" s="48">
        <v>5.7000000000000002E-2</v>
      </c>
      <c r="W212" s="48">
        <v>0.125</v>
      </c>
      <c r="X212" s="48">
        <v>0.33600000000000002</v>
      </c>
      <c r="Y212" s="48">
        <v>0.53800000000000003</v>
      </c>
      <c r="Z212" s="48">
        <v>0.67300000000000004</v>
      </c>
      <c r="AA212" s="48">
        <v>0.66300000000000003</v>
      </c>
      <c r="AB212" s="48">
        <v>0.64400000000000013</v>
      </c>
      <c r="AC212" s="48">
        <v>0.69199999999999995</v>
      </c>
      <c r="AD212" s="48">
        <v>0.79800000000000004</v>
      </c>
      <c r="AE212" s="48">
        <v>0.85499999999999998</v>
      </c>
      <c r="AF212" s="48">
        <v>0.875</v>
      </c>
      <c r="AG212" s="48">
        <v>0.92300000000000004</v>
      </c>
      <c r="AH212" s="48">
        <v>0.98</v>
      </c>
      <c r="AI212" s="48">
        <v>0.99</v>
      </c>
      <c r="AJ212" s="48">
        <v>0.93200000000000005</v>
      </c>
      <c r="AK212" s="48">
        <v>0.90300000000000002</v>
      </c>
      <c r="AL212" s="48">
        <v>0.89400000000000013</v>
      </c>
      <c r="AM212" s="48">
        <v>0.91300000000000003</v>
      </c>
      <c r="AN212" s="48">
        <v>0.94199999999999995</v>
      </c>
      <c r="AO212" s="48">
        <v>0.96100000000000008</v>
      </c>
      <c r="AP212" s="48">
        <v>0.97099999999999986</v>
      </c>
      <c r="AQ212" s="48">
        <v>1</v>
      </c>
      <c r="AR212" s="48">
        <v>0.95100000000000007</v>
      </c>
      <c r="AS212" s="48">
        <v>0.88400000000000001</v>
      </c>
      <c r="AT212" s="48">
        <v>0.86499999999999999</v>
      </c>
      <c r="AU212" s="48">
        <v>0.80700000000000005</v>
      </c>
      <c r="AV212" s="48">
        <v>0.75</v>
      </c>
      <c r="AW212" s="48">
        <v>0.68200000000000005</v>
      </c>
      <c r="AX212" s="48">
        <v>0.625</v>
      </c>
      <c r="AY212" s="48">
        <v>0.58599999999999997</v>
      </c>
      <c r="AZ212" s="48">
        <v>0.5</v>
      </c>
      <c r="BA212" s="48">
        <v>0.41300000000000003</v>
      </c>
      <c r="BB212" s="48">
        <v>0.36499999999999999</v>
      </c>
      <c r="BC212" s="48">
        <v>0.34599999999999997</v>
      </c>
      <c r="BD212" s="48">
        <v>0.25900000000000001</v>
      </c>
      <c r="BE212" s="48">
        <v>0.23</v>
      </c>
      <c r="BF212" s="48">
        <v>0.24</v>
      </c>
      <c r="BG212" s="48">
        <v>0.35499999999999998</v>
      </c>
      <c r="BH212" s="48">
        <v>0.38400000000000001</v>
      </c>
      <c r="BI212" s="48">
        <v>0.375</v>
      </c>
      <c r="BJ212" s="48">
        <v>0.32600000000000001</v>
      </c>
      <c r="BK212" s="48">
        <v>0.25</v>
      </c>
      <c r="BL212" s="48">
        <v>0.317</v>
      </c>
      <c r="BM212" s="48">
        <v>0.40299999999999997</v>
      </c>
      <c r="BN212" s="48">
        <v>0.442</v>
      </c>
      <c r="BO212" s="48">
        <v>0.46100000000000002</v>
      </c>
      <c r="BP212" s="48">
        <v>0.49</v>
      </c>
      <c r="BQ212" s="48">
        <v>0.51900000000000002</v>
      </c>
      <c r="BR212" s="48">
        <v>0.54800000000000004</v>
      </c>
      <c r="BS212" s="48">
        <v>0.50900000000000001</v>
      </c>
      <c r="BT212" s="48">
        <v>0.48</v>
      </c>
      <c r="BU212" s="48">
        <v>0.432</v>
      </c>
      <c r="BV212" s="48">
        <v>0.55700000000000005</v>
      </c>
      <c r="BW212" s="48">
        <v>0.71100000000000008</v>
      </c>
      <c r="BX212" s="48">
        <v>0.84599999999999986</v>
      </c>
      <c r="BY212" s="48">
        <v>0.83600000000000008</v>
      </c>
      <c r="BZ212" s="48">
        <v>0.81699999999999995</v>
      </c>
      <c r="CA212" s="48">
        <v>0.78800000000000003</v>
      </c>
      <c r="CB212" s="48">
        <v>0.75900000000000001</v>
      </c>
      <c r="CC212" s="48">
        <v>0.72099999999999986</v>
      </c>
      <c r="CD212" s="48">
        <v>0.70100000000000007</v>
      </c>
      <c r="CE212" s="48">
        <v>0.74</v>
      </c>
      <c r="CF212" s="48">
        <v>0.76900000000000013</v>
      </c>
      <c r="CG212" s="48">
        <v>0.82600000000000007</v>
      </c>
      <c r="CH212" s="48">
        <v>0.77800000000000002</v>
      </c>
      <c r="CI212" s="48">
        <v>0.73</v>
      </c>
      <c r="CJ212" s="48">
        <v>0.61499999999999999</v>
      </c>
      <c r="CK212" s="48">
        <v>0.59599999999999997</v>
      </c>
      <c r="CL212" s="48">
        <v>0.56699999999999995</v>
      </c>
      <c r="CM212" s="48">
        <v>0.56699999999999995</v>
      </c>
      <c r="CN212" s="48">
        <v>0.60499999999999998</v>
      </c>
      <c r="CO212" s="48">
        <v>0.52800000000000002</v>
      </c>
      <c r="CP212" s="48">
        <v>0.42299999999999993</v>
      </c>
      <c r="CQ212" s="48">
        <v>0.29799999999999999</v>
      </c>
      <c r="CR212" s="48">
        <v>0.29799999999999999</v>
      </c>
      <c r="CS212" s="48">
        <v>0.16300000000000001</v>
      </c>
      <c r="CT212" s="48">
        <v>0.115</v>
      </c>
      <c r="CU212" s="48">
        <v>7.5999999999999998E-2</v>
      </c>
      <c r="CV212" s="48">
        <v>6.7000000000000004E-2</v>
      </c>
      <c r="CW212" s="48">
        <v>4.8000000000000001E-2</v>
      </c>
      <c r="CX212" s="48">
        <v>1.9E-2</v>
      </c>
      <c r="CY212" s="48">
        <v>1.9E-2</v>
      </c>
      <c r="CZ212" s="48">
        <v>3.7999999999999999E-2</v>
      </c>
      <c r="DA212" s="48">
        <v>8.5999999999999993E-2</v>
      </c>
      <c r="DB212" s="48">
        <v>0.105</v>
      </c>
      <c r="DC212" s="48">
        <v>0.13400000000000001</v>
      </c>
      <c r="DD212" s="48">
        <v>0.13400000000000001</v>
      </c>
      <c r="DE212" s="48">
        <v>0.18200000000000002</v>
      </c>
      <c r="DF212" s="48">
        <v>0.28799999999999998</v>
      </c>
    </row>
    <row r="213" spans="1:110" x14ac:dyDescent="0.2">
      <c r="A213" s="52" t="s">
        <v>115</v>
      </c>
      <c r="B213" s="47">
        <f t="shared" si="156"/>
        <v>14.440924159306112</v>
      </c>
      <c r="C213" s="47">
        <f t="shared" si="157"/>
        <v>11.289907221710028</v>
      </c>
      <c r="D213" s="49" t="e">
        <f t="shared" ref="D213:D244" ca="1" si="198">_xludf.STDEV.P(W213:DF213)*100</f>
        <v>#NAME?</v>
      </c>
      <c r="E213" s="47"/>
      <c r="F213" s="48">
        <v>0.85818020729814104</v>
      </c>
      <c r="G213" s="48">
        <v>0.89161549928426265</v>
      </c>
      <c r="H213" s="48">
        <v>0.81892137524262676</v>
      </c>
      <c r="I213" s="48">
        <v>0.74528113508104077</v>
      </c>
      <c r="J213" s="48">
        <v>0.66469168618983854</v>
      </c>
      <c r="K213" s="48">
        <v>0.49492203000049523</v>
      </c>
      <c r="L213" s="48">
        <v>0.49295051824535263</v>
      </c>
      <c r="M213" s="48">
        <v>0.43159075840693883</v>
      </c>
      <c r="N213" s="48">
        <v>0.69051147889169739</v>
      </c>
      <c r="O213" s="48">
        <v>0.78674491531201962</v>
      </c>
      <c r="P213" s="48">
        <v>0.76074182270235402</v>
      </c>
      <c r="Q213" s="48">
        <v>0.71377096570507992</v>
      </c>
      <c r="R213" s="48">
        <v>0.55510223729863628</v>
      </c>
      <c r="S213" s="48">
        <v>0.4411777694463439</v>
      </c>
      <c r="T213" s="48">
        <v>0.36225639420371714</v>
      </c>
      <c r="U213" s="48">
        <v>0.16725573944584871</v>
      </c>
      <c r="V213" s="48">
        <v>0.17658944889120218</v>
      </c>
      <c r="W213" s="48">
        <v>0.23153865762081821</v>
      </c>
      <c r="X213" s="48">
        <v>0.35582223055365603</v>
      </c>
      <c r="Y213" s="48">
        <v>0.43115415690508074</v>
      </c>
      <c r="Z213" s="48">
        <v>0.30938450071573742</v>
      </c>
      <c r="AA213" s="48">
        <v>0.20284584309491926</v>
      </c>
      <c r="AB213" s="48">
        <v>0.27805013651251564</v>
      </c>
      <c r="AC213" s="48">
        <v>0.29943463722825309</v>
      </c>
      <c r="AD213" s="48">
        <v>0.41233370944535347</v>
      </c>
      <c r="AE213" s="48">
        <v>0.37092381309442402</v>
      </c>
      <c r="AF213" s="48">
        <v>0.35276965618934325</v>
      </c>
      <c r="AG213" s="48">
        <v>0.48053687452688942</v>
      </c>
      <c r="AH213" s="48">
        <v>0.58559075840693897</v>
      </c>
      <c r="AI213" s="48">
        <v>0.66953996713655473</v>
      </c>
      <c r="AJ213" s="48">
        <v>0.61499999999999988</v>
      </c>
      <c r="AK213" s="48">
        <v>0.57605013651251558</v>
      </c>
      <c r="AL213" s="48">
        <v>0.59187367658190837</v>
      </c>
      <c r="AM213" s="48">
        <v>0.53525639420371707</v>
      </c>
      <c r="AN213" s="48">
        <v>0.582230998568525</v>
      </c>
      <c r="AO213" s="48">
        <v>0.68146134237918188</v>
      </c>
      <c r="AP213" s="48">
        <v>0.78679505182453524</v>
      </c>
      <c r="AQ213" s="48">
        <v>0.82317711468847565</v>
      </c>
      <c r="AR213" s="48">
        <v>0.86925573944584866</v>
      </c>
      <c r="AS213" s="48">
        <v>0.91725573944584871</v>
      </c>
      <c r="AT213" s="48">
        <v>0.9506910314319702</v>
      </c>
      <c r="AU213" s="48">
        <v>0.97323034381065665</v>
      </c>
      <c r="AV213" s="48">
        <v>0.9675901036490705</v>
      </c>
      <c r="AW213" s="48">
        <v>0.99323034381065667</v>
      </c>
      <c r="AX213" s="48">
        <v>0.9474606876213133</v>
      </c>
      <c r="AY213" s="48">
        <v>0.9624383845957869</v>
      </c>
      <c r="AZ213" s="48">
        <v>0.93864024016158631</v>
      </c>
      <c r="BA213" s="48">
        <v>0.82515415690508065</v>
      </c>
      <c r="BB213" s="48">
        <v>0.6733089685680298</v>
      </c>
      <c r="BC213" s="48">
        <v>0.63548852110830256</v>
      </c>
      <c r="BD213" s="48">
        <v>0.55494920872961606</v>
      </c>
      <c r="BE213" s="48">
        <v>0.47794920872961605</v>
      </c>
      <c r="BF213" s="48">
        <v>0.45100000000000001</v>
      </c>
      <c r="BG213" s="48">
        <v>0.25282288531152436</v>
      </c>
      <c r="BH213" s="48">
        <v>0.2514346372282531</v>
      </c>
      <c r="BI213" s="48">
        <v>0.11428357293283782</v>
      </c>
      <c r="BJ213" s="48">
        <v>0.43266629055464656</v>
      </c>
      <c r="BK213" s="48">
        <v>0.37153996713655485</v>
      </c>
      <c r="BL213" s="48">
        <v>0.35702539563519192</v>
      </c>
      <c r="BM213" s="48">
        <v>0.30359010364907052</v>
      </c>
      <c r="BN213" s="48">
        <v>0.22982044745972724</v>
      </c>
      <c r="BO213" s="48">
        <v>0.22641055110879782</v>
      </c>
      <c r="BP213" s="48">
        <v>0.30784584309491919</v>
      </c>
      <c r="BQ213" s="48">
        <v>0.28015481166294909</v>
      </c>
      <c r="BR213" s="48">
        <v>0.13969412404163561</v>
      </c>
      <c r="BS213" s="48">
        <v>0.10715481166294909</v>
      </c>
      <c r="BT213" s="48">
        <v>0.12705079127038399</v>
      </c>
      <c r="BU213" s="48">
        <v>0.30202605039306035</v>
      </c>
      <c r="BV213" s="48">
        <v>5.2435291986121457E-2</v>
      </c>
      <c r="BW213" s="48">
        <v>4.5974604364808005E-2</v>
      </c>
      <c r="BX213" s="48">
        <v>7.8564053256010208E-2</v>
      </c>
      <c r="BY213" s="48">
        <v>8.9639585403717845E-2</v>
      </c>
      <c r="BZ213" s="48">
        <v>8.1794397066666927E-2</v>
      </c>
      <c r="CA213" s="48">
        <v>7.6050136512515645E-2</v>
      </c>
      <c r="CB213" s="48">
        <v>7.7308968568029823E-2</v>
      </c>
      <c r="CC213" s="48">
        <v>0.17694855397174766</v>
      </c>
      <c r="CD213" s="48">
        <v>0.22512810651202039</v>
      </c>
      <c r="CE213" s="48">
        <v>0.27107731524163642</v>
      </c>
      <c r="CF213" s="48">
        <v>0.2809732948490713</v>
      </c>
      <c r="CG213" s="48">
        <v>0.29805191960644445</v>
      </c>
      <c r="CH213" s="48">
        <v>0.36600178309392878</v>
      </c>
      <c r="CI213" s="48">
        <v>0.44510271087682834</v>
      </c>
      <c r="CJ213" s="48">
        <v>0.42269281452589896</v>
      </c>
      <c r="CK213" s="48">
        <v>0.47938384595786909</v>
      </c>
      <c r="CL213" s="48">
        <v>0.5243869385675346</v>
      </c>
      <c r="CM213" s="48">
        <v>0.59640924159306119</v>
      </c>
      <c r="CN213" s="48">
        <v>0.64687302182404005</v>
      </c>
      <c r="CO213" s="48">
        <v>0.72117955254027277</v>
      </c>
      <c r="CP213" s="48">
        <v>0.73340989635092935</v>
      </c>
      <c r="CQ213" s="48">
        <v>0.72099999999999986</v>
      </c>
      <c r="CR213" s="48">
        <v>0.67528048032317234</v>
      </c>
      <c r="CS213" s="48">
        <v>0.62710092778289972</v>
      </c>
      <c r="CT213" s="48">
        <v>0.73646068762131334</v>
      </c>
      <c r="CU213" s="48">
        <v>0.79543594674398976</v>
      </c>
      <c r="CV213" s="48">
        <v>0.74989972697496865</v>
      </c>
      <c r="CW213" s="48">
        <v>0.81425639420371709</v>
      </c>
      <c r="CX213" s="48">
        <v>0.77848673801437374</v>
      </c>
      <c r="CY213" s="48">
        <v>0.71502605039306033</v>
      </c>
      <c r="CZ213" s="48">
        <v>0.56748673801437377</v>
      </c>
      <c r="DA213" s="48">
        <v>0.44051147889169745</v>
      </c>
      <c r="DB213" s="48">
        <v>0.40269103143197016</v>
      </c>
      <c r="DC213" s="48">
        <v>0.42864024016158619</v>
      </c>
      <c r="DD213" s="48">
        <v>0.44625573944584873</v>
      </c>
      <c r="DE213" s="48">
        <v>0.47556470801387851</v>
      </c>
      <c r="DF213" s="48">
        <v>0.21561484452639418</v>
      </c>
    </row>
    <row r="214" spans="1:110" x14ac:dyDescent="0.2">
      <c r="A214" s="52" t="s">
        <v>117</v>
      </c>
      <c r="B214" s="47">
        <f t="shared" si="156"/>
        <v>25.550000000000022</v>
      </c>
      <c r="C214" s="47">
        <f t="shared" si="157"/>
        <v>0.38333333333334108</v>
      </c>
      <c r="D214" s="49" t="e">
        <f t="shared" ref="D214:D245" ca="1" si="199">_xludf.STDEV.P(W214:DF214)*100</f>
        <v>#NAME?</v>
      </c>
      <c r="E214" s="47"/>
      <c r="F214" s="48">
        <v>0.41166666666666679</v>
      </c>
      <c r="G214" s="48">
        <v>0.40716666666666684</v>
      </c>
      <c r="H214" s="48">
        <v>0.44633333333333342</v>
      </c>
      <c r="I214" s="48">
        <v>0.40783333333333338</v>
      </c>
      <c r="J214" s="48">
        <v>0.42816666666666675</v>
      </c>
      <c r="K214" s="48">
        <v>0.35483333333333344</v>
      </c>
      <c r="L214" s="48">
        <v>0.28316666666666684</v>
      </c>
      <c r="M214" s="48">
        <v>0.31383333333333335</v>
      </c>
      <c r="N214" s="48">
        <v>0.3183333333333333</v>
      </c>
      <c r="O214" s="48">
        <v>0.32716666666666661</v>
      </c>
      <c r="P214" s="48">
        <v>0.25833333333333325</v>
      </c>
      <c r="Q214" s="48">
        <v>0.15616666666666656</v>
      </c>
      <c r="R214" s="48">
        <v>0.17066666666666658</v>
      </c>
      <c r="S214" s="48">
        <v>0.18999999999999989</v>
      </c>
      <c r="T214" s="48">
        <v>0.16766666666666655</v>
      </c>
      <c r="U214" s="48">
        <v>0.22316666666666665</v>
      </c>
      <c r="V214" s="48">
        <v>0.39883333333333332</v>
      </c>
      <c r="W214" s="48">
        <v>0.50266666666666648</v>
      </c>
      <c r="X214" s="48">
        <v>0.43033333333333312</v>
      </c>
      <c r="Y214" s="48">
        <v>0.35549999999999982</v>
      </c>
      <c r="Z214" s="48">
        <v>0.23349999999999987</v>
      </c>
      <c r="AA214" s="48">
        <v>0.26616666666666661</v>
      </c>
      <c r="AB214" s="48">
        <v>0.36699999999999999</v>
      </c>
      <c r="AC214" s="48">
        <v>0.42416666666666669</v>
      </c>
      <c r="AD214" s="48">
        <v>0.44999999999999996</v>
      </c>
      <c r="AE214" s="48">
        <v>0.3793333333333333</v>
      </c>
      <c r="AF214" s="48">
        <v>0.40433333333333327</v>
      </c>
      <c r="AG214" s="48">
        <v>0.29533333333333328</v>
      </c>
      <c r="AH214" s="48">
        <v>0.17700000000000005</v>
      </c>
      <c r="AI214" s="48">
        <v>0.24500000000000005</v>
      </c>
      <c r="AJ214" s="48">
        <v>0.39883333333333332</v>
      </c>
      <c r="AK214" s="48">
        <v>0.54400000000000004</v>
      </c>
      <c r="AL214" s="48">
        <v>0.52833333333333332</v>
      </c>
      <c r="AM214" s="48">
        <v>0.52583333333333349</v>
      </c>
      <c r="AN214" s="48">
        <v>0.44500000000000012</v>
      </c>
      <c r="AO214" s="48">
        <v>0.45583333333333342</v>
      </c>
      <c r="AP214" s="48">
        <v>0.54266666666666685</v>
      </c>
      <c r="AQ214" s="48">
        <v>0.68850000000000011</v>
      </c>
      <c r="AR214" s="48">
        <v>0.68883333333333352</v>
      </c>
      <c r="AS214" s="48">
        <v>0.72516666666666674</v>
      </c>
      <c r="AT214" s="48">
        <v>0.7958333333333335</v>
      </c>
      <c r="AU214" s="48">
        <v>0.91550000000000009</v>
      </c>
      <c r="AV214" s="48">
        <v>0.95200000000000007</v>
      </c>
      <c r="AW214" s="48">
        <v>0.99199999999999999</v>
      </c>
      <c r="AX214" s="48">
        <v>0.8194999999999999</v>
      </c>
      <c r="AY214" s="48">
        <v>0.7679999999999999</v>
      </c>
      <c r="AZ214" s="48">
        <v>0.73050000000000004</v>
      </c>
      <c r="BA214" s="48">
        <v>0.73483333333333345</v>
      </c>
      <c r="BB214" s="48">
        <v>0.7400000000000001</v>
      </c>
      <c r="BC214" s="48">
        <v>0.7054999999999999</v>
      </c>
      <c r="BD214" s="48">
        <v>0.65683333333333327</v>
      </c>
      <c r="BE214" s="48">
        <v>0.70650000000000002</v>
      </c>
      <c r="BF214" s="48">
        <v>0.72599999999999998</v>
      </c>
      <c r="BG214" s="48">
        <v>0.54733333333333345</v>
      </c>
      <c r="BH214" s="48">
        <v>0.41083333333333349</v>
      </c>
      <c r="BI214" s="48">
        <v>0.30183333333333345</v>
      </c>
      <c r="BJ214" s="48">
        <v>0.30850000000000011</v>
      </c>
      <c r="BK214" s="48">
        <v>0.39033333333333337</v>
      </c>
      <c r="BL214" s="48">
        <v>0.42949999999999994</v>
      </c>
      <c r="BM214" s="48">
        <v>0.3904999999999999</v>
      </c>
      <c r="BN214" s="48">
        <v>0.30299999999999983</v>
      </c>
      <c r="BO214" s="48">
        <v>0.27899999999999986</v>
      </c>
      <c r="BP214" s="48">
        <v>0.28349999999999986</v>
      </c>
      <c r="BQ214" s="48">
        <v>0.3274999999999999</v>
      </c>
      <c r="BR214" s="48">
        <v>0.3224999999999999</v>
      </c>
      <c r="BS214" s="48">
        <v>0.31299999999999989</v>
      </c>
      <c r="BT214" s="48">
        <v>0.30799999999999988</v>
      </c>
      <c r="BU214" s="48">
        <v>0.27399999999999985</v>
      </c>
      <c r="BV214" s="48">
        <v>0.29349999999999982</v>
      </c>
      <c r="BW214" s="48">
        <v>0.31749999999999989</v>
      </c>
      <c r="BX214" s="48">
        <v>0.34199999999999986</v>
      </c>
      <c r="BY214" s="48">
        <v>0.33699999999999986</v>
      </c>
      <c r="BZ214" s="48">
        <v>0.37599999999999989</v>
      </c>
      <c r="CA214" s="48">
        <v>0.41</v>
      </c>
      <c r="CB214" s="48">
        <v>0.43399999999999994</v>
      </c>
      <c r="CC214" s="48">
        <v>0.48300000000000004</v>
      </c>
      <c r="CD214" s="48">
        <v>0.56050000000000011</v>
      </c>
      <c r="CE214" s="48">
        <v>0.61400000000000021</v>
      </c>
      <c r="CF214" s="48">
        <v>0.60900000000000021</v>
      </c>
      <c r="CG214" s="48">
        <v>0.59450000000000014</v>
      </c>
      <c r="CH214" s="48">
        <v>0.69650000000000034</v>
      </c>
      <c r="CI214" s="48">
        <v>0.6625000000000002</v>
      </c>
      <c r="CJ214" s="48">
        <v>0.68650000000000022</v>
      </c>
      <c r="CK214" s="48">
        <v>0.72550000000000037</v>
      </c>
      <c r="CL214" s="48">
        <v>0.73500000000000032</v>
      </c>
      <c r="CM214" s="48">
        <v>0.75000000000000033</v>
      </c>
      <c r="CN214" s="48">
        <v>0.73050000000000037</v>
      </c>
      <c r="CO214" s="48">
        <v>0.71600000000000041</v>
      </c>
      <c r="CP214" s="48">
        <v>0.68200000000000027</v>
      </c>
      <c r="CQ214" s="48">
        <v>0.70600000000000041</v>
      </c>
      <c r="CR214" s="48">
        <v>0.72050000000000036</v>
      </c>
      <c r="CS214" s="48">
        <v>0.74000000000000032</v>
      </c>
      <c r="CT214" s="48">
        <v>0.6525000000000003</v>
      </c>
      <c r="CU214" s="48">
        <v>0.66700000000000026</v>
      </c>
      <c r="CV214" s="48">
        <v>0.62350000000000017</v>
      </c>
      <c r="CW214" s="48">
        <v>0.6040000000000002</v>
      </c>
      <c r="CX214" s="48">
        <v>0.61850000000000016</v>
      </c>
      <c r="CY214" s="48">
        <v>0.64800000000000024</v>
      </c>
      <c r="CZ214" s="48">
        <v>0.69150000000000034</v>
      </c>
      <c r="DA214" s="48">
        <v>0.62850000000000028</v>
      </c>
      <c r="DB214" s="48">
        <v>0.57500000000000018</v>
      </c>
      <c r="DC214" s="48">
        <v>0.49249999999999999</v>
      </c>
      <c r="DD214" s="48">
        <v>0.51200000000000012</v>
      </c>
      <c r="DE214" s="48">
        <v>0.54100000000000004</v>
      </c>
      <c r="DF214" s="48">
        <v>0.5</v>
      </c>
    </row>
    <row r="215" spans="1:110" x14ac:dyDescent="0.2">
      <c r="A215" s="52" t="s">
        <v>264</v>
      </c>
      <c r="B215" s="47">
        <f t="shared" si="156"/>
        <v>-58.699999999999996</v>
      </c>
      <c r="C215" s="47">
        <f t="shared" si="157"/>
        <v>-4.8</v>
      </c>
      <c r="D215" s="49" t="e">
        <f t="shared" ref="D215:D246" ca="1" si="200">_xludf.STDEV.P(W215:DF215)*100</f>
        <v>#NAME?</v>
      </c>
      <c r="E215" s="47"/>
      <c r="F215" s="48">
        <v>8.9999999999999993E-3</v>
      </c>
      <c r="G215" s="48">
        <v>2.8000000000000001E-2</v>
      </c>
      <c r="H215" s="48">
        <v>4.8000000000000001E-2</v>
      </c>
      <c r="I215" s="48">
        <v>5.7000000000000002E-2</v>
      </c>
      <c r="J215" s="48">
        <v>0.17299999999999999</v>
      </c>
      <c r="K215" s="48">
        <v>0.21099999999999999</v>
      </c>
      <c r="L215" s="48">
        <v>0.27800000000000002</v>
      </c>
      <c r="M215" s="48">
        <v>0.221</v>
      </c>
      <c r="N215" s="48">
        <v>0.192</v>
      </c>
      <c r="O215" s="48">
        <v>0.20100000000000001</v>
      </c>
      <c r="P215" s="48">
        <v>0.32600000000000001</v>
      </c>
      <c r="Q215" s="48">
        <v>0.59599999999999997</v>
      </c>
      <c r="R215" s="48">
        <v>0.66300000000000003</v>
      </c>
      <c r="S215" s="48">
        <v>0.69199999999999995</v>
      </c>
      <c r="T215" s="48">
        <v>0.68200000000000005</v>
      </c>
      <c r="U215" s="48">
        <v>0.67300000000000004</v>
      </c>
      <c r="V215" s="48">
        <v>0.70099999999999996</v>
      </c>
      <c r="W215" s="48">
        <v>0.74</v>
      </c>
      <c r="X215" s="48">
        <v>0.78800000000000003</v>
      </c>
      <c r="Y215" s="48">
        <v>0.75</v>
      </c>
      <c r="Z215" s="48">
        <v>0.71099999999999997</v>
      </c>
      <c r="AA215" s="48">
        <v>0.73</v>
      </c>
      <c r="AB215" s="48">
        <v>0.80700000000000005</v>
      </c>
      <c r="AC215" s="48">
        <v>0.88400000000000001</v>
      </c>
      <c r="AD215" s="48">
        <v>0.91300000000000003</v>
      </c>
      <c r="AE215" s="48">
        <v>0.93200000000000005</v>
      </c>
      <c r="AF215" s="48">
        <v>0.96099999999999997</v>
      </c>
      <c r="AG215" s="48">
        <v>0.98999999999999988</v>
      </c>
      <c r="AH215" s="48">
        <v>1</v>
      </c>
      <c r="AI215" s="48">
        <v>0.97100000000000009</v>
      </c>
      <c r="AJ215" s="48">
        <v>0.92300000000000004</v>
      </c>
      <c r="AK215" s="48">
        <v>0.86499999999999999</v>
      </c>
      <c r="AL215" s="48">
        <v>0.83599999999999997</v>
      </c>
      <c r="AM215" s="48">
        <v>0.89400000000000002</v>
      </c>
      <c r="AN215" s="48">
        <v>0.94199999999999995</v>
      </c>
      <c r="AO215" s="48">
        <v>0.98000000000000009</v>
      </c>
      <c r="AP215" s="48">
        <v>0.95099999999999996</v>
      </c>
      <c r="AQ215" s="48">
        <v>0.90300000000000002</v>
      </c>
      <c r="AR215" s="48">
        <v>0.82599999999999996</v>
      </c>
      <c r="AS215" s="48">
        <v>0.84599999999999997</v>
      </c>
      <c r="AT215" s="48">
        <v>0.85499999999999998</v>
      </c>
      <c r="AU215" s="48">
        <v>0.875</v>
      </c>
      <c r="AV215" s="48">
        <v>0.81699999999999995</v>
      </c>
      <c r="AW215" s="48">
        <v>0.79800000000000004</v>
      </c>
      <c r="AX215" s="48">
        <v>0.76900000000000002</v>
      </c>
      <c r="AY215" s="48">
        <v>0.77800000000000002</v>
      </c>
      <c r="AZ215" s="48">
        <v>0.75900000000000001</v>
      </c>
      <c r="BA215" s="48">
        <v>0.72099999999999997</v>
      </c>
      <c r="BB215" s="48">
        <v>0.442</v>
      </c>
      <c r="BC215" s="48">
        <v>6.7000000000000004E-2</v>
      </c>
      <c r="BD215" s="48">
        <v>1.9E-2</v>
      </c>
      <c r="BE215" s="48">
        <v>0</v>
      </c>
      <c r="BF215" s="48">
        <v>3.7999999999999999E-2</v>
      </c>
      <c r="BG215" s="48">
        <v>9.6000000000000002E-2</v>
      </c>
      <c r="BH215" s="48">
        <v>0.34599999999999997</v>
      </c>
      <c r="BI215" s="48">
        <v>0.58599999999999997</v>
      </c>
      <c r="BJ215" s="48">
        <v>0.60499999999999998</v>
      </c>
      <c r="BK215" s="48">
        <v>0.61499999999999999</v>
      </c>
      <c r="BL215" s="48">
        <v>0.63400000000000001</v>
      </c>
      <c r="BM215" s="48">
        <v>0.57599999999999996</v>
      </c>
      <c r="BN215" s="48">
        <v>0.45100000000000001</v>
      </c>
      <c r="BO215" s="48">
        <v>0.375</v>
      </c>
      <c r="BP215" s="48">
        <v>0.40300000000000002</v>
      </c>
      <c r="BQ215" s="48">
        <v>0.49000000000000005</v>
      </c>
      <c r="BR215" s="48">
        <v>0.54800000000000004</v>
      </c>
      <c r="BS215" s="48">
        <v>0.55700000000000005</v>
      </c>
      <c r="BT215" s="48">
        <v>0.52800000000000002</v>
      </c>
      <c r="BU215" s="48">
        <v>0.56699999999999995</v>
      </c>
      <c r="BV215" s="48">
        <v>0.625</v>
      </c>
      <c r="BW215" s="48">
        <v>0.65300000000000002</v>
      </c>
      <c r="BX215" s="48">
        <v>0.64400000000000002</v>
      </c>
      <c r="BY215" s="48">
        <v>0.53800000000000003</v>
      </c>
      <c r="BZ215" s="48">
        <v>0.47099999999999997</v>
      </c>
      <c r="CA215" s="48">
        <v>0.42299999999999999</v>
      </c>
      <c r="CB215" s="48">
        <v>0.36499999999999999</v>
      </c>
      <c r="CC215" s="48">
        <v>0.307</v>
      </c>
      <c r="CD215" s="48">
        <v>0.25</v>
      </c>
      <c r="CE215" s="48">
        <v>0.23</v>
      </c>
      <c r="CF215" s="48">
        <v>0.23</v>
      </c>
      <c r="CG215" s="48">
        <v>0.29799999999999999</v>
      </c>
      <c r="CH215" s="48">
        <v>0.35499999999999998</v>
      </c>
      <c r="CI215" s="48">
        <v>0.432</v>
      </c>
      <c r="CJ215" s="48">
        <v>0.46100000000000002</v>
      </c>
      <c r="CK215" s="48">
        <v>0.38400000000000001</v>
      </c>
      <c r="CL215" s="48">
        <v>0.317</v>
      </c>
      <c r="CM215" s="48">
        <v>0.25900000000000001</v>
      </c>
      <c r="CN215" s="48">
        <v>0.26900000000000002</v>
      </c>
      <c r="CO215" s="48">
        <v>0.33600000000000002</v>
      </c>
      <c r="CP215" s="48">
        <v>0.39400000000000002</v>
      </c>
      <c r="CQ215" s="48">
        <v>0.5</v>
      </c>
      <c r="CR215" s="48">
        <v>0.51900000000000002</v>
      </c>
      <c r="CS215" s="48">
        <v>0.50900000000000001</v>
      </c>
      <c r="CT215" s="48">
        <v>0.48</v>
      </c>
      <c r="CU215" s="48">
        <v>0.41299999999999998</v>
      </c>
      <c r="CV215" s="48">
        <v>0.28799999999999998</v>
      </c>
      <c r="CW215" s="48">
        <v>0.182</v>
      </c>
      <c r="CX215" s="48">
        <v>0.115</v>
      </c>
      <c r="CY215" s="48">
        <v>7.5999999999999998E-2</v>
      </c>
      <c r="CZ215" s="48">
        <v>7.5999999999999998E-2</v>
      </c>
      <c r="DA215" s="48">
        <v>0.105</v>
      </c>
      <c r="DB215" s="48">
        <v>0.14399999999999999</v>
      </c>
      <c r="DC215" s="48">
        <v>0.16300000000000001</v>
      </c>
      <c r="DD215" s="48">
        <v>0.13400000000000001</v>
      </c>
      <c r="DE215" s="48">
        <v>0.125</v>
      </c>
      <c r="DF215" s="48">
        <v>0.153</v>
      </c>
    </row>
    <row r="216" spans="1:110" x14ac:dyDescent="0.2">
      <c r="A216" s="52" t="s">
        <v>265</v>
      </c>
      <c r="B216" s="47">
        <f t="shared" si="156"/>
        <v>-21.199999999999992</v>
      </c>
      <c r="C216" s="47">
        <f t="shared" si="157"/>
        <v>-3.8000000000000007</v>
      </c>
      <c r="D216" s="49" t="e">
        <f t="shared" ref="D216:D247" ca="1" si="201">_xludf.STDEV.P(W216:DF216)*100</f>
        <v>#NAME?</v>
      </c>
      <c r="E216" s="47"/>
      <c r="F216" s="48">
        <v>0.23</v>
      </c>
      <c r="G216" s="48">
        <v>0.33749999999999997</v>
      </c>
      <c r="H216" s="48">
        <v>0.309</v>
      </c>
      <c r="I216" s="48">
        <v>0.26800000000000002</v>
      </c>
      <c r="J216" s="48">
        <v>0.16549999999999998</v>
      </c>
      <c r="K216" s="48">
        <v>0.125</v>
      </c>
      <c r="L216" s="48">
        <v>0.16399999999999998</v>
      </c>
      <c r="M216" s="48">
        <v>0.19800000000000001</v>
      </c>
      <c r="N216" s="48">
        <v>0.43250000000000005</v>
      </c>
      <c r="O216" s="48">
        <v>0.49150000000000005</v>
      </c>
      <c r="P216" s="48">
        <v>0.42199999999999999</v>
      </c>
      <c r="Q216" s="48">
        <v>0.44199999999999995</v>
      </c>
      <c r="R216" s="48">
        <v>0.28449999999999998</v>
      </c>
      <c r="S216" s="48">
        <v>0.28250000000000003</v>
      </c>
      <c r="T216" s="48">
        <v>0.18849999999999997</v>
      </c>
      <c r="U216" s="48">
        <v>0.28250000000000003</v>
      </c>
      <c r="V216" s="48">
        <v>0.50900000000000001</v>
      </c>
      <c r="W216" s="48">
        <v>0.6845</v>
      </c>
      <c r="X216" s="48">
        <v>0.67300000000000004</v>
      </c>
      <c r="Y216" s="48">
        <v>0.60049999999999992</v>
      </c>
      <c r="Z216" s="48">
        <v>0.46900000000000003</v>
      </c>
      <c r="AA216" s="48">
        <v>0.29899999999999999</v>
      </c>
      <c r="AB216" s="48">
        <v>0.30050000000000004</v>
      </c>
      <c r="AC216" s="48">
        <v>0.35049999999999998</v>
      </c>
      <c r="AD216" s="48">
        <v>0.47449999999999998</v>
      </c>
      <c r="AE216" s="48">
        <v>0.76900000000000002</v>
      </c>
      <c r="AF216" s="48">
        <v>0.83899999999999997</v>
      </c>
      <c r="AG216" s="48">
        <v>0.94750000000000001</v>
      </c>
      <c r="AH216" s="48">
        <v>0.89150000000000007</v>
      </c>
      <c r="AI216" s="48">
        <v>0.88800000000000012</v>
      </c>
      <c r="AJ216" s="48">
        <v>0.94399999999999995</v>
      </c>
      <c r="AK216" s="48">
        <v>1</v>
      </c>
      <c r="AL216" s="48">
        <v>0.96</v>
      </c>
      <c r="AM216" s="48">
        <v>0.79249999999999998</v>
      </c>
      <c r="AN216" s="48">
        <v>0.63300000000000001</v>
      </c>
      <c r="AO216" s="48">
        <v>0.50800000000000001</v>
      </c>
      <c r="AP216" s="48">
        <v>0.69299999999999995</v>
      </c>
      <c r="AQ216" s="48">
        <v>0.62949999999999995</v>
      </c>
      <c r="AR216" s="48">
        <v>0.70399999999999996</v>
      </c>
      <c r="AS216" s="48">
        <v>0.58150000000000002</v>
      </c>
      <c r="AT216" s="48">
        <v>0.52100000000000002</v>
      </c>
      <c r="AU216" s="48">
        <v>0.36649999999999994</v>
      </c>
      <c r="AV216" s="48">
        <v>0.57350000000000001</v>
      </c>
      <c r="AW216" s="48">
        <v>0.61950000000000005</v>
      </c>
      <c r="AX216" s="48">
        <v>0.67200000000000004</v>
      </c>
      <c r="AY216" s="48">
        <v>0.58950000000000002</v>
      </c>
      <c r="AZ216" s="48">
        <v>0.56149999999999989</v>
      </c>
      <c r="BA216" s="48">
        <v>0.48649999999999999</v>
      </c>
      <c r="BB216" s="48">
        <v>0.31</v>
      </c>
      <c r="BC216" s="48">
        <v>0.24350000000000002</v>
      </c>
      <c r="BD216" s="48">
        <v>0.19450000000000001</v>
      </c>
      <c r="BE216" s="48">
        <v>0.15299999999999997</v>
      </c>
      <c r="BF216" s="48">
        <v>0.1835</v>
      </c>
      <c r="BG216" s="48">
        <v>0.17849999999999999</v>
      </c>
      <c r="BH216" s="48">
        <v>0.18200000000000002</v>
      </c>
      <c r="BI216" s="48">
        <v>0.11550000000000001</v>
      </c>
      <c r="BJ216" s="48">
        <v>0.11850000000000001</v>
      </c>
      <c r="BK216" s="48">
        <v>0.373</v>
      </c>
      <c r="BL216" s="48">
        <v>0.42349999999999999</v>
      </c>
      <c r="BM216" s="48">
        <v>0.52500000000000002</v>
      </c>
      <c r="BN216" s="48">
        <v>0.62650000000000006</v>
      </c>
      <c r="BO216" s="48">
        <v>0.64849999999999997</v>
      </c>
      <c r="BP216" s="48">
        <v>0.6845</v>
      </c>
      <c r="BQ216" s="48">
        <v>0.69900000000000007</v>
      </c>
      <c r="BR216" s="48">
        <v>0.74250000000000005</v>
      </c>
      <c r="BS216" s="48">
        <v>0.73549999999999993</v>
      </c>
      <c r="BT216" s="48">
        <v>0.71350000000000002</v>
      </c>
      <c r="BU216" s="48">
        <v>0.67</v>
      </c>
      <c r="BV216" s="48">
        <v>0.6409999999999999</v>
      </c>
      <c r="BW216" s="48">
        <v>0.65549999999999997</v>
      </c>
      <c r="BX216" s="48">
        <v>0.5</v>
      </c>
      <c r="BY216" s="48">
        <v>0.5</v>
      </c>
      <c r="BZ216" s="48">
        <v>0.5</v>
      </c>
      <c r="CA216" s="48">
        <v>0.5</v>
      </c>
      <c r="CB216" s="48">
        <v>0.5</v>
      </c>
      <c r="CC216" s="48">
        <v>0.5</v>
      </c>
      <c r="CD216" s="48">
        <v>0.5</v>
      </c>
      <c r="CE216" s="48">
        <v>0.5</v>
      </c>
      <c r="CF216" s="48">
        <v>0.5</v>
      </c>
      <c r="CG216" s="48">
        <v>0.5</v>
      </c>
      <c r="CH216" s="48">
        <v>0.5</v>
      </c>
      <c r="CI216" s="48">
        <v>0.5</v>
      </c>
      <c r="CJ216" s="48">
        <v>0.5</v>
      </c>
      <c r="CK216" s="48">
        <v>0.5</v>
      </c>
      <c r="CL216" s="48">
        <v>0.5</v>
      </c>
      <c r="CM216" s="48">
        <v>0.5</v>
      </c>
      <c r="CN216" s="48">
        <v>0.5</v>
      </c>
      <c r="CO216" s="48">
        <v>0.5</v>
      </c>
      <c r="CP216" s="48">
        <v>0.5</v>
      </c>
      <c r="CQ216" s="48">
        <v>0.5</v>
      </c>
      <c r="CR216" s="48">
        <v>0.5</v>
      </c>
      <c r="CS216" s="48">
        <v>0.5</v>
      </c>
      <c r="CT216" s="48">
        <v>0.5</v>
      </c>
      <c r="CU216" s="48">
        <v>0.5</v>
      </c>
      <c r="CV216" s="48">
        <v>0.5</v>
      </c>
      <c r="CW216" s="48">
        <v>0.5</v>
      </c>
      <c r="CX216" s="48">
        <v>0.5</v>
      </c>
      <c r="CY216" s="48">
        <v>0.5</v>
      </c>
      <c r="CZ216" s="48">
        <v>0.5</v>
      </c>
      <c r="DA216" s="48">
        <v>0.5</v>
      </c>
      <c r="DB216" s="48">
        <v>0.5</v>
      </c>
      <c r="DC216" s="48">
        <v>0.5</v>
      </c>
      <c r="DD216" s="48">
        <v>0.5</v>
      </c>
      <c r="DE216" s="48">
        <v>0.5</v>
      </c>
      <c r="DF216" s="48">
        <v>0.5</v>
      </c>
    </row>
    <row r="217" spans="1:110" x14ac:dyDescent="0.2">
      <c r="A217" s="52" t="s">
        <v>266</v>
      </c>
      <c r="B217" s="47">
        <f t="shared" si="156"/>
        <v>29.7</v>
      </c>
      <c r="C217" s="47">
        <f t="shared" si="157"/>
        <v>23.5</v>
      </c>
      <c r="D217" s="49" t="e">
        <f t="shared" ref="D217:D248" ca="1" si="202">_xludf.STDEV.P(W217:DF217)*100</f>
        <v>#NAME?</v>
      </c>
      <c r="E217" s="47"/>
      <c r="F217" s="48">
        <v>0.35799999999999998</v>
      </c>
      <c r="G217" s="48">
        <v>0.24599999999999997</v>
      </c>
      <c r="H217" s="48">
        <v>0.20899999999999999</v>
      </c>
      <c r="I217" s="48">
        <v>0.12299999999999998</v>
      </c>
      <c r="J217" s="48">
        <v>0.111</v>
      </c>
      <c r="K217" s="48">
        <v>7.3999999999999996E-2</v>
      </c>
      <c r="L217" s="48">
        <v>4.9000000000000002E-2</v>
      </c>
      <c r="M217" s="48">
        <v>0</v>
      </c>
      <c r="N217" s="48">
        <v>1.2E-2</v>
      </c>
      <c r="O217" s="48">
        <v>2.4E-2</v>
      </c>
      <c r="P217" s="48">
        <v>3.6999999999999998E-2</v>
      </c>
      <c r="Q217" s="48">
        <v>6.0999999999999999E-2</v>
      </c>
      <c r="R217" s="48">
        <v>8.5999999999999993E-2</v>
      </c>
      <c r="S217" s="48">
        <v>9.8000000000000004E-2</v>
      </c>
      <c r="T217" s="48">
        <v>0.16</v>
      </c>
      <c r="U217" s="48">
        <v>0.51800000000000002</v>
      </c>
      <c r="V217" s="48">
        <v>0.80200000000000005</v>
      </c>
      <c r="W217" s="48">
        <v>0.95</v>
      </c>
      <c r="X217" s="48">
        <v>0.98699999999999988</v>
      </c>
      <c r="Y217" s="48">
        <v>1</v>
      </c>
      <c r="Z217" s="48">
        <v>0.97499999999999987</v>
      </c>
      <c r="AA217" s="48">
        <v>0.876</v>
      </c>
      <c r="AB217" s="48">
        <v>0.85099999999999998</v>
      </c>
      <c r="AC217" s="48">
        <v>0.90100000000000002</v>
      </c>
      <c r="AD217" s="48">
        <v>0.88800000000000001</v>
      </c>
      <c r="AE217" s="48">
        <v>0.92500000000000004</v>
      </c>
      <c r="AF217" s="48">
        <v>0.86399999999999999</v>
      </c>
      <c r="AG217" s="48">
        <v>0.82699999999999996</v>
      </c>
      <c r="AH217" s="48">
        <v>0.753</v>
      </c>
      <c r="AI217" s="48">
        <v>0.72799999999999998</v>
      </c>
      <c r="AJ217" s="48">
        <v>0.49300000000000005</v>
      </c>
      <c r="AK217" s="48">
        <v>0.432</v>
      </c>
      <c r="AL217" s="48">
        <v>0.40699999999999997</v>
      </c>
      <c r="AM217" s="48">
        <v>0.50600000000000001</v>
      </c>
      <c r="AN217" s="48">
        <v>0.48100000000000004</v>
      </c>
      <c r="AO217" s="48">
        <v>0.46899999999999997</v>
      </c>
      <c r="AP217" s="48">
        <v>0.65400000000000003</v>
      </c>
      <c r="AQ217" s="48">
        <v>0.60399999999999998</v>
      </c>
      <c r="AR217" s="48">
        <v>0.66600000000000004</v>
      </c>
      <c r="AS217" s="48">
        <v>0.61699999999999999</v>
      </c>
      <c r="AT217" s="48">
        <v>0.70299999999999996</v>
      </c>
      <c r="AU217" s="48">
        <v>0.57999999999999996</v>
      </c>
      <c r="AV217" s="48">
        <v>0.93799999999999994</v>
      </c>
      <c r="AW217" s="48">
        <v>0.91300000000000003</v>
      </c>
      <c r="AX217" s="48">
        <v>0.96200000000000008</v>
      </c>
      <c r="AY217" s="48">
        <v>0.74</v>
      </c>
      <c r="AZ217" s="48">
        <v>0.76500000000000001</v>
      </c>
      <c r="BA217" s="48">
        <v>0.71599999999999997</v>
      </c>
      <c r="BB217" s="48">
        <v>0.53</v>
      </c>
      <c r="BC217" s="48">
        <v>0.45600000000000002</v>
      </c>
      <c r="BD217" s="48">
        <v>0.34499999999999997</v>
      </c>
      <c r="BE217" s="48">
        <v>0.23400000000000001</v>
      </c>
      <c r="BF217" s="48">
        <v>0.17199999999999999</v>
      </c>
      <c r="BG217" s="48">
        <v>0.14799999999999999</v>
      </c>
      <c r="BH217" s="48">
        <v>0.13500000000000001</v>
      </c>
      <c r="BI217" s="48">
        <v>0.185</v>
      </c>
      <c r="BJ217" s="48">
        <v>0.19700000000000001</v>
      </c>
      <c r="BK217" s="48">
        <v>0.41899999999999998</v>
      </c>
      <c r="BL217" s="48">
        <v>0.54300000000000004</v>
      </c>
      <c r="BM217" s="48">
        <v>0.629</v>
      </c>
      <c r="BN217" s="48">
        <v>0.64100000000000001</v>
      </c>
      <c r="BO217" s="48">
        <v>0.55500000000000005</v>
      </c>
      <c r="BP217" s="48">
        <v>0.56699999999999995</v>
      </c>
      <c r="BQ217" s="48">
        <v>0.69099999999999995</v>
      </c>
      <c r="BR217" s="48">
        <v>0.77700000000000002</v>
      </c>
      <c r="BS217" s="48">
        <v>0.83899999999999997</v>
      </c>
      <c r="BT217" s="48">
        <v>0.81399999999999995</v>
      </c>
      <c r="BU217" s="48">
        <v>0.79</v>
      </c>
      <c r="BV217" s="48">
        <v>0.67900000000000005</v>
      </c>
      <c r="BW217" s="48">
        <v>0.59199999999999997</v>
      </c>
      <c r="BX217" s="48">
        <v>0.38200000000000001</v>
      </c>
      <c r="BY217" s="48">
        <v>0.29599999999999999</v>
      </c>
      <c r="BZ217" s="48">
        <v>0.308</v>
      </c>
      <c r="CA217" s="48">
        <v>0.27100000000000002</v>
      </c>
      <c r="CB217" s="48">
        <v>0.25900000000000001</v>
      </c>
      <c r="CC217" s="48">
        <v>0.28299999999999997</v>
      </c>
      <c r="CD217" s="48">
        <v>0.37</v>
      </c>
      <c r="CE217" s="48">
        <v>0.32</v>
      </c>
      <c r="CF217" s="48">
        <v>0.44400000000000001</v>
      </c>
      <c r="CG217" s="48">
        <v>0.33300000000000002</v>
      </c>
      <c r="CH217" s="48">
        <v>0.39500000000000002</v>
      </c>
      <c r="CI217" s="48">
        <v>0.222</v>
      </c>
      <c r="CJ217" s="48">
        <v>0.5</v>
      </c>
      <c r="CK217" s="48">
        <v>0.5</v>
      </c>
      <c r="CL217" s="48">
        <v>0.5</v>
      </c>
      <c r="CM217" s="48">
        <v>0.5</v>
      </c>
      <c r="CN217" s="48">
        <v>0.5</v>
      </c>
      <c r="CO217" s="48">
        <v>0.5</v>
      </c>
      <c r="CP217" s="48">
        <v>0.5</v>
      </c>
      <c r="CQ217" s="48">
        <v>0.5</v>
      </c>
      <c r="CR217" s="48">
        <v>0.5</v>
      </c>
      <c r="CS217" s="48">
        <v>0.5</v>
      </c>
      <c r="CT217" s="48">
        <v>0.5</v>
      </c>
      <c r="CU217" s="48">
        <v>0.5</v>
      </c>
      <c r="CV217" s="48">
        <v>0.5</v>
      </c>
      <c r="CW217" s="48">
        <v>0.5</v>
      </c>
      <c r="CX217" s="48">
        <v>0.5</v>
      </c>
      <c r="CY217" s="48">
        <v>0.5</v>
      </c>
      <c r="CZ217" s="48">
        <v>0.5</v>
      </c>
      <c r="DA217" s="48">
        <v>0.5</v>
      </c>
      <c r="DB217" s="48">
        <v>0.5</v>
      </c>
      <c r="DC217" s="48">
        <v>0.5</v>
      </c>
      <c r="DD217" s="48">
        <v>0.5</v>
      </c>
      <c r="DE217" s="48">
        <v>0.5</v>
      </c>
      <c r="DF217" s="48">
        <v>0.5</v>
      </c>
    </row>
    <row r="218" spans="1:110" x14ac:dyDescent="0.2">
      <c r="A218" s="52" t="s">
        <v>119</v>
      </c>
      <c r="B218" s="47">
        <f t="shared" si="156"/>
        <v>52.899999999999991</v>
      </c>
      <c r="C218" s="47">
        <f t="shared" si="157"/>
        <v>-14.400000000000002</v>
      </c>
      <c r="D218" s="49" t="e">
        <f t="shared" ref="D218:D249" ca="1" si="203">_xludf.STDEV.P(W218:DF218)*100</f>
        <v>#NAME?</v>
      </c>
      <c r="E218" s="47"/>
      <c r="F218" s="48">
        <v>0.58599999999999997</v>
      </c>
      <c r="G218" s="48">
        <v>0.61499999999999999</v>
      </c>
      <c r="H218" s="48">
        <v>0.69199999999999995</v>
      </c>
      <c r="I218" s="48">
        <v>0.73</v>
      </c>
      <c r="J218" s="48">
        <v>0.67300000000000004</v>
      </c>
      <c r="K218" s="48">
        <v>0.52800000000000002</v>
      </c>
      <c r="L218" s="48">
        <v>0.42299999999999999</v>
      </c>
      <c r="M218" s="48">
        <v>0.37499999999999994</v>
      </c>
      <c r="N218" s="48">
        <v>0.317</v>
      </c>
      <c r="O218" s="48">
        <v>0.221</v>
      </c>
      <c r="P218" s="48">
        <v>0.14399999999999999</v>
      </c>
      <c r="Q218" s="48">
        <v>5.6999999999999995E-2</v>
      </c>
      <c r="R218" s="48">
        <v>1.9E-2</v>
      </c>
      <c r="S218" s="48">
        <v>3.7999999999999999E-2</v>
      </c>
      <c r="T218" s="48">
        <v>9.6000000000000002E-2</v>
      </c>
      <c r="U218" s="48">
        <v>0.182</v>
      </c>
      <c r="V218" s="48">
        <v>0.27800000000000002</v>
      </c>
      <c r="W218" s="48">
        <v>0.35499999999999998</v>
      </c>
      <c r="X218" s="48">
        <v>0.34599999999999997</v>
      </c>
      <c r="Y218" s="48">
        <v>0.29799999999999999</v>
      </c>
      <c r="Z218" s="48">
        <v>0.24</v>
      </c>
      <c r="AA218" s="48">
        <v>0.36499999999999999</v>
      </c>
      <c r="AB218" s="48">
        <v>0.50900000000000001</v>
      </c>
      <c r="AC218" s="48">
        <v>0.74</v>
      </c>
      <c r="AD218" s="48">
        <v>0.80700000000000005</v>
      </c>
      <c r="AE218" s="48">
        <v>0.84599999999999997</v>
      </c>
      <c r="AF218" s="48">
        <v>0.74999999999999989</v>
      </c>
      <c r="AG218" s="48">
        <v>0.5</v>
      </c>
      <c r="AH218" s="48">
        <v>0.39399999999999996</v>
      </c>
      <c r="AI218" s="48">
        <v>0.47100000000000003</v>
      </c>
      <c r="AJ218" s="48">
        <v>0.77800000000000002</v>
      </c>
      <c r="AK218" s="48">
        <v>0.97099999999999997</v>
      </c>
      <c r="AL218" s="48">
        <v>0.99</v>
      </c>
      <c r="AM218" s="48">
        <v>1</v>
      </c>
      <c r="AN218" s="48">
        <v>0.97999999999999987</v>
      </c>
      <c r="AO218" s="48">
        <v>0.96100000000000008</v>
      </c>
      <c r="AP218" s="48">
        <v>0.89400000000000002</v>
      </c>
      <c r="AQ218" s="48">
        <v>0.81699999999999995</v>
      </c>
      <c r="AR218" s="48">
        <v>0.79800000000000015</v>
      </c>
      <c r="AS218" s="48">
        <v>0.86499999999999999</v>
      </c>
      <c r="AT218" s="48">
        <v>0.88400000000000001</v>
      </c>
      <c r="AU218" s="48">
        <v>0.83599999999999997</v>
      </c>
      <c r="AV218" s="48">
        <v>0.59599999999999997</v>
      </c>
      <c r="AW218" s="48">
        <v>0.442</v>
      </c>
      <c r="AX218" s="48">
        <v>0.32600000000000001</v>
      </c>
      <c r="AY218" s="48">
        <v>0.28799999999999998</v>
      </c>
      <c r="AZ218" s="48">
        <v>0.22999999999999998</v>
      </c>
      <c r="BA218" s="48">
        <v>0.307</v>
      </c>
      <c r="BB218" s="48">
        <v>0.41300000000000003</v>
      </c>
      <c r="BC218" s="48">
        <v>0.51900000000000002</v>
      </c>
      <c r="BD218" s="48">
        <v>0.64400000000000002</v>
      </c>
      <c r="BE218" s="48">
        <v>0.625</v>
      </c>
      <c r="BF218" s="48">
        <v>0.57599999999999996</v>
      </c>
      <c r="BG218" s="48">
        <v>0.45100000000000001</v>
      </c>
      <c r="BH218" s="48">
        <v>0.43199999999999994</v>
      </c>
      <c r="BI218" s="48">
        <v>0.38400000000000001</v>
      </c>
      <c r="BJ218" s="48">
        <v>0.40300000000000008</v>
      </c>
      <c r="BK218" s="48">
        <v>0.25900000000000001</v>
      </c>
      <c r="BL218" s="48">
        <v>0.20099999999999998</v>
      </c>
      <c r="BM218" s="48">
        <v>0.125</v>
      </c>
      <c r="BN218" s="48">
        <v>0.11499999999999999</v>
      </c>
      <c r="BO218" s="48">
        <v>6.7000000000000004E-2</v>
      </c>
      <c r="BP218" s="48">
        <v>2.7999999999999997E-2</v>
      </c>
      <c r="BQ218" s="48">
        <v>0</v>
      </c>
      <c r="BR218" s="48">
        <v>8.9999999999999993E-3</v>
      </c>
      <c r="BS218" s="48">
        <v>4.8000000000000001E-2</v>
      </c>
      <c r="BT218" s="48">
        <v>7.5999999999999998E-2</v>
      </c>
      <c r="BU218" s="48">
        <v>0.17299999999999999</v>
      </c>
      <c r="BV218" s="48">
        <v>0.26900000000000002</v>
      </c>
      <c r="BW218" s="48">
        <v>0.48</v>
      </c>
      <c r="BX218" s="48">
        <v>0.65300000000000002</v>
      </c>
      <c r="BY218" s="48">
        <v>0.78799999999999992</v>
      </c>
      <c r="BZ218" s="48">
        <v>0.68200000000000005</v>
      </c>
      <c r="CA218" s="48">
        <v>0.55700000000000005</v>
      </c>
      <c r="CB218" s="48">
        <v>0.48999999999999994</v>
      </c>
      <c r="CC218" s="48">
        <v>0.56699999999999995</v>
      </c>
      <c r="CD218" s="48">
        <v>0.70099999999999996</v>
      </c>
      <c r="CE218" s="48">
        <v>0.76899999999999991</v>
      </c>
      <c r="CF218" s="48">
        <v>0.75900000000000001</v>
      </c>
      <c r="CG218" s="48">
        <v>0.71099999999999997</v>
      </c>
      <c r="CH218" s="48">
        <v>0.63400000000000001</v>
      </c>
      <c r="CI218" s="48">
        <v>0.60499999999999998</v>
      </c>
      <c r="CJ218" s="48">
        <v>0.54800000000000004</v>
      </c>
      <c r="CK218" s="48">
        <v>0.53800000000000003</v>
      </c>
      <c r="CL218" s="48">
        <v>0.72099999999999997</v>
      </c>
      <c r="CM218" s="48">
        <v>0.85499999999999998</v>
      </c>
      <c r="CN218" s="48">
        <v>0.95099999999999996</v>
      </c>
      <c r="CO218" s="48">
        <v>0.94200000000000006</v>
      </c>
      <c r="CP218" s="48">
        <v>0.90300000000000002</v>
      </c>
      <c r="CQ218" s="48">
        <v>0.875</v>
      </c>
      <c r="CR218" s="48">
        <v>0.91300000000000003</v>
      </c>
      <c r="CS218" s="48">
        <v>0.93200000000000005</v>
      </c>
      <c r="CT218" s="48">
        <v>0.92299999999999993</v>
      </c>
      <c r="CU218" s="48">
        <v>0.82600000000000007</v>
      </c>
      <c r="CV218" s="48">
        <v>0.66300000000000003</v>
      </c>
      <c r="CW218" s="48">
        <v>0.46100000000000002</v>
      </c>
      <c r="CX218" s="48">
        <v>0.33600000000000002</v>
      </c>
      <c r="CY218" s="48">
        <v>0.25</v>
      </c>
      <c r="CZ218" s="48">
        <v>0.21099999999999999</v>
      </c>
      <c r="DA218" s="48">
        <v>0.192</v>
      </c>
      <c r="DB218" s="48">
        <v>0.153</v>
      </c>
      <c r="DC218" s="48">
        <v>0.105</v>
      </c>
      <c r="DD218" s="48">
        <v>8.5999999999999993E-2</v>
      </c>
      <c r="DE218" s="48">
        <v>0.13400000000000001</v>
      </c>
      <c r="DF218" s="48">
        <v>0.16300000000000001</v>
      </c>
    </row>
    <row r="219" spans="1:110" x14ac:dyDescent="0.2">
      <c r="A219" s="52" t="s">
        <v>121</v>
      </c>
      <c r="B219" s="47">
        <f t="shared" si="156"/>
        <v>33.65</v>
      </c>
      <c r="C219" s="47">
        <f t="shared" si="157"/>
        <v>16.800000000000004</v>
      </c>
      <c r="D219" s="49" t="e">
        <f t="shared" ref="D219:D250" ca="1" si="204">_xludf.STDEV.P(W219:DF219)*100</f>
        <v>#NAME?</v>
      </c>
      <c r="E219" s="47"/>
      <c r="F219" s="48">
        <v>0.47549999999999998</v>
      </c>
      <c r="G219" s="48">
        <v>0.45150000000000001</v>
      </c>
      <c r="H219" s="48">
        <v>0.35049999999999998</v>
      </c>
      <c r="I219" s="48">
        <v>0.30749999999999994</v>
      </c>
      <c r="J219" s="48">
        <v>0.23500000000000001</v>
      </c>
      <c r="K219" s="48">
        <v>0.221</v>
      </c>
      <c r="L219" s="48">
        <v>0.17300000000000001</v>
      </c>
      <c r="M219" s="48">
        <v>0.13450000000000001</v>
      </c>
      <c r="N219" s="48">
        <v>0.29749999999999999</v>
      </c>
      <c r="O219" s="48">
        <v>0.28799999999999998</v>
      </c>
      <c r="P219" s="48">
        <v>0.23500000000000001</v>
      </c>
      <c r="Q219" s="48">
        <v>0.13900000000000001</v>
      </c>
      <c r="R219" s="48">
        <v>8.6000000000000007E-2</v>
      </c>
      <c r="S219" s="48">
        <v>0.14849999999999999</v>
      </c>
      <c r="T219" s="48">
        <v>0.13400000000000001</v>
      </c>
      <c r="U219" s="48">
        <v>0.20650000000000002</v>
      </c>
      <c r="V219" s="48">
        <v>0.28299999999999997</v>
      </c>
      <c r="W219" s="48">
        <v>0.3745</v>
      </c>
      <c r="X219" s="48">
        <v>0.48549999999999999</v>
      </c>
      <c r="Y219" s="48">
        <v>0.51849999999999996</v>
      </c>
      <c r="Z219" s="48">
        <v>0.5525000000000001</v>
      </c>
      <c r="AA219" s="48">
        <v>0.58599999999999997</v>
      </c>
      <c r="AB219" s="48">
        <v>0.70599999999999996</v>
      </c>
      <c r="AC219" s="48">
        <v>0.73550000000000004</v>
      </c>
      <c r="AD219" s="48">
        <v>0.82650000000000001</v>
      </c>
      <c r="AE219" s="48">
        <v>0.82199999999999995</v>
      </c>
      <c r="AF219" s="48">
        <v>0.85050000000000003</v>
      </c>
      <c r="AG219" s="48">
        <v>0.86499999999999999</v>
      </c>
      <c r="AH219" s="48">
        <v>0.77350000000000008</v>
      </c>
      <c r="AI219" s="48">
        <v>0.70150000000000001</v>
      </c>
      <c r="AJ219" s="48">
        <v>0.66800000000000004</v>
      </c>
      <c r="AK219" s="48">
        <v>0.72099999999999997</v>
      </c>
      <c r="AL219" s="48">
        <v>0.74499999999999988</v>
      </c>
      <c r="AM219" s="48">
        <v>0.73499999999999999</v>
      </c>
      <c r="AN219" s="48">
        <v>0.71099999999999997</v>
      </c>
      <c r="AO219" s="48">
        <v>0.73950000000000005</v>
      </c>
      <c r="AP219" s="48">
        <v>0.72050000000000003</v>
      </c>
      <c r="AQ219" s="48">
        <v>0.68199999999999994</v>
      </c>
      <c r="AR219" s="48">
        <v>0.66299999999999992</v>
      </c>
      <c r="AS219" s="48">
        <v>0.61950000000000005</v>
      </c>
      <c r="AT219" s="48">
        <v>0.6339999999999999</v>
      </c>
      <c r="AU219" s="48">
        <v>0.62949999999999995</v>
      </c>
      <c r="AV219" s="48">
        <v>0.57650000000000001</v>
      </c>
      <c r="AW219" s="48">
        <v>0.53799999999999992</v>
      </c>
      <c r="AX219" s="48">
        <v>0.48500000000000004</v>
      </c>
      <c r="AY219" s="48">
        <v>0.51400000000000001</v>
      </c>
      <c r="AZ219" s="48">
        <v>0.46600000000000003</v>
      </c>
      <c r="BA219" s="48">
        <v>0.42749999999999999</v>
      </c>
      <c r="BB219" s="48">
        <v>0.36</v>
      </c>
      <c r="BC219" s="48">
        <v>0.33600000000000002</v>
      </c>
      <c r="BD219" s="48">
        <v>0.32199999999999995</v>
      </c>
      <c r="BE219" s="48">
        <v>0.27349999999999997</v>
      </c>
      <c r="BF219" s="48">
        <v>0.21099999999999999</v>
      </c>
      <c r="BG219" s="48">
        <v>0.14349999999999999</v>
      </c>
      <c r="BH219" s="48">
        <v>0.16300000000000001</v>
      </c>
      <c r="BI219" s="48">
        <v>8.1500000000000003E-2</v>
      </c>
      <c r="BJ219" s="48">
        <v>4.7499999999999994E-2</v>
      </c>
      <c r="BK219" s="48">
        <v>9.4999999999999998E-3</v>
      </c>
      <c r="BL219" s="48">
        <v>8.9999999999999993E-3</v>
      </c>
      <c r="BM219" s="48">
        <v>4.2500000000000003E-2</v>
      </c>
      <c r="BN219" s="48">
        <v>5.2499999999999998E-2</v>
      </c>
      <c r="BO219" s="48">
        <v>4.7500000000000001E-2</v>
      </c>
      <c r="BP219" s="48">
        <v>6.1999999999999993E-2</v>
      </c>
      <c r="BQ219" s="48">
        <v>0.12</v>
      </c>
      <c r="BR219" s="48">
        <v>0.17749999999999999</v>
      </c>
      <c r="BS219" s="48">
        <v>0.23950000000000002</v>
      </c>
      <c r="BT219" s="48">
        <v>0.27399999999999997</v>
      </c>
      <c r="BU219" s="48">
        <v>0.35049999999999998</v>
      </c>
      <c r="BV219" s="48">
        <v>0.39399999999999996</v>
      </c>
      <c r="BW219" s="48">
        <v>0.47049999999999997</v>
      </c>
      <c r="BX219" s="48">
        <v>0.58150000000000002</v>
      </c>
      <c r="BY219" s="48">
        <v>0.50900000000000001</v>
      </c>
      <c r="BZ219" s="48">
        <v>0.57150000000000001</v>
      </c>
      <c r="CA219" s="48">
        <v>0.64350000000000007</v>
      </c>
      <c r="CB219" s="48">
        <v>0.70150000000000001</v>
      </c>
      <c r="CC219" s="48">
        <v>0.76899999999999991</v>
      </c>
      <c r="CD219" s="48">
        <v>0.84099999999999997</v>
      </c>
      <c r="CE219" s="48">
        <v>0.86499999999999999</v>
      </c>
      <c r="CF219" s="48">
        <v>0.84049999999999991</v>
      </c>
      <c r="CG219" s="48">
        <v>0.88900000000000001</v>
      </c>
      <c r="CH219" s="48">
        <v>0.89349999999999996</v>
      </c>
      <c r="CI219" s="48">
        <v>0.91749999999999998</v>
      </c>
      <c r="CJ219" s="48">
        <v>0.93200000000000005</v>
      </c>
      <c r="CK219" s="48">
        <v>0.99</v>
      </c>
      <c r="CL219" s="48">
        <v>1</v>
      </c>
      <c r="CM219" s="48">
        <v>0.97999999999999987</v>
      </c>
      <c r="CN219" s="48">
        <v>0.97099999999999997</v>
      </c>
      <c r="CO219" s="48">
        <v>0.93700000000000006</v>
      </c>
      <c r="CP219" s="48">
        <v>0.79299999999999993</v>
      </c>
      <c r="CQ219" s="48">
        <v>0.79749999999999988</v>
      </c>
      <c r="CR219" s="48">
        <v>0.7975000000000001</v>
      </c>
      <c r="CS219" s="48">
        <v>0.91800000000000004</v>
      </c>
      <c r="CT219" s="48">
        <v>0.87450000000000006</v>
      </c>
      <c r="CU219" s="48">
        <v>0.77350000000000008</v>
      </c>
      <c r="CV219" s="48">
        <v>0.66299999999999992</v>
      </c>
      <c r="CW219" s="48">
        <v>0.312</v>
      </c>
      <c r="CX219" s="48">
        <v>0.20150000000000004</v>
      </c>
      <c r="CY219" s="48">
        <v>0.2545</v>
      </c>
      <c r="CZ219" s="48">
        <v>0.32650000000000001</v>
      </c>
      <c r="DA219" s="48">
        <v>0.44649999999999995</v>
      </c>
      <c r="DB219" s="48">
        <v>0.42249999999999993</v>
      </c>
      <c r="DC219" s="48">
        <v>0.47100000000000003</v>
      </c>
      <c r="DD219" s="48">
        <v>0.43199999999999994</v>
      </c>
      <c r="DE219" s="48">
        <v>0.3745</v>
      </c>
      <c r="DF219" s="48">
        <v>0.33600000000000002</v>
      </c>
    </row>
    <row r="220" spans="1:110" x14ac:dyDescent="0.2">
      <c r="A220" s="52" t="s">
        <v>123</v>
      </c>
      <c r="B220" s="47">
        <f t="shared" si="156"/>
        <v>-11.499999999999993</v>
      </c>
      <c r="C220" s="47">
        <f t="shared" si="157"/>
        <v>-38.4</v>
      </c>
      <c r="D220" s="49" t="e">
        <f t="shared" ref="D220:D251" ca="1" si="205">_xludf.STDEV.P(W220:DF220)*100</f>
        <v>#NAME?</v>
      </c>
      <c r="E220" s="47"/>
      <c r="F220" s="48">
        <v>0.317</v>
      </c>
      <c r="G220" s="48">
        <v>0.61499999999999999</v>
      </c>
      <c r="H220" s="48">
        <v>0.59599999999999997</v>
      </c>
      <c r="I220" s="48">
        <v>0.70099999999999996</v>
      </c>
      <c r="J220" s="48">
        <v>0.69199999999999995</v>
      </c>
      <c r="K220" s="48">
        <v>0.71099999999999997</v>
      </c>
      <c r="L220" s="48">
        <v>0.77800000000000002</v>
      </c>
      <c r="M220" s="48">
        <v>0.78799999999999992</v>
      </c>
      <c r="N220" s="48">
        <v>0.76899999999999991</v>
      </c>
      <c r="O220" s="48">
        <v>0.60499999999999998</v>
      </c>
      <c r="P220" s="48">
        <v>0.66300000000000003</v>
      </c>
      <c r="Q220" s="48">
        <v>0.43199999999999994</v>
      </c>
      <c r="R220" s="48">
        <v>0.25900000000000001</v>
      </c>
      <c r="S220" s="48">
        <v>0.11499999999999999</v>
      </c>
      <c r="T220" s="48">
        <v>0.105</v>
      </c>
      <c r="U220" s="48">
        <v>6.7000000000000004E-2</v>
      </c>
      <c r="V220" s="48">
        <v>4.8000000000000001E-2</v>
      </c>
      <c r="W220" s="48">
        <v>1.9E-2</v>
      </c>
      <c r="X220" s="48">
        <v>2.7999999999999997E-2</v>
      </c>
      <c r="Y220" s="48">
        <v>0</v>
      </c>
      <c r="Z220" s="48">
        <v>8.9999999999999993E-3</v>
      </c>
      <c r="AA220" s="48">
        <v>3.7999999999999999E-2</v>
      </c>
      <c r="AB220" s="48">
        <v>5.6999999999999995E-2</v>
      </c>
      <c r="AC220" s="48">
        <v>7.5999999999999998E-2</v>
      </c>
      <c r="AD220" s="48">
        <v>8.5999999999999993E-2</v>
      </c>
      <c r="AE220" s="48">
        <v>9.6000000000000002E-2</v>
      </c>
      <c r="AF220" s="48">
        <v>0.125</v>
      </c>
      <c r="AG220" s="48">
        <v>0.25</v>
      </c>
      <c r="AH220" s="48">
        <v>0.58599999999999997</v>
      </c>
      <c r="AI220" s="48">
        <v>0.74999999999999989</v>
      </c>
      <c r="AJ220" s="48">
        <v>0.82600000000000007</v>
      </c>
      <c r="AK220" s="48">
        <v>0.81699999999999995</v>
      </c>
      <c r="AL220" s="48">
        <v>0.83599999999999997</v>
      </c>
      <c r="AM220" s="48">
        <v>0.84599999999999997</v>
      </c>
      <c r="AN220" s="48">
        <v>0.86499999999999999</v>
      </c>
      <c r="AO220" s="48">
        <v>0.85499999999999998</v>
      </c>
      <c r="AP220" s="48">
        <v>0.88400000000000001</v>
      </c>
      <c r="AQ220" s="48">
        <v>0.92299999999999993</v>
      </c>
      <c r="AR220" s="48">
        <v>0.95099999999999996</v>
      </c>
      <c r="AS220" s="48">
        <v>0.99</v>
      </c>
      <c r="AT220" s="48">
        <v>1</v>
      </c>
      <c r="AU220" s="48">
        <v>0.97999999999999987</v>
      </c>
      <c r="AV220" s="48">
        <v>0.96100000000000008</v>
      </c>
      <c r="AW220" s="48">
        <v>0.97099999999999997</v>
      </c>
      <c r="AX220" s="48">
        <v>0.94200000000000006</v>
      </c>
      <c r="AY220" s="48">
        <v>0.93200000000000005</v>
      </c>
      <c r="AZ220" s="48">
        <v>0.90300000000000002</v>
      </c>
      <c r="BA220" s="48">
        <v>0.91300000000000003</v>
      </c>
      <c r="BB220" s="48">
        <v>0.89400000000000002</v>
      </c>
      <c r="BC220" s="48">
        <v>0.875</v>
      </c>
      <c r="BD220" s="48">
        <v>0.74</v>
      </c>
      <c r="BE220" s="48">
        <v>0.64400000000000002</v>
      </c>
      <c r="BF220" s="48">
        <v>0.53800000000000003</v>
      </c>
      <c r="BG220" s="48">
        <v>0.5</v>
      </c>
      <c r="BH220" s="48">
        <v>0.63400000000000001</v>
      </c>
      <c r="BI220" s="48">
        <v>0.68200000000000005</v>
      </c>
      <c r="BJ220" s="48">
        <v>0.65300000000000002</v>
      </c>
      <c r="BK220" s="48">
        <v>0.55700000000000005</v>
      </c>
      <c r="BL220" s="48">
        <v>0.57599999999999996</v>
      </c>
      <c r="BM220" s="48">
        <v>0.50900000000000001</v>
      </c>
      <c r="BN220" s="48">
        <v>0.46100000000000002</v>
      </c>
      <c r="BO220" s="48">
        <v>0.36499999999999999</v>
      </c>
      <c r="BP220" s="48">
        <v>0.32600000000000001</v>
      </c>
      <c r="BQ220" s="48">
        <v>0.307</v>
      </c>
      <c r="BR220" s="48">
        <v>0.39399999999999996</v>
      </c>
      <c r="BS220" s="48">
        <v>0.47100000000000003</v>
      </c>
      <c r="BT220" s="48">
        <v>0.54800000000000004</v>
      </c>
      <c r="BU220" s="48">
        <v>0.48</v>
      </c>
      <c r="BV220" s="48">
        <v>0.48999999999999994</v>
      </c>
      <c r="BW220" s="48">
        <v>0.34599999999999997</v>
      </c>
      <c r="BX220" s="48">
        <v>0.33600000000000002</v>
      </c>
      <c r="BY220" s="48">
        <v>0.27800000000000002</v>
      </c>
      <c r="BZ220" s="48">
        <v>0.35499999999999998</v>
      </c>
      <c r="CA220" s="48">
        <v>0.442</v>
      </c>
      <c r="CB220" s="48">
        <v>0.38400000000000001</v>
      </c>
      <c r="CC220" s="48">
        <v>0.42299999999999999</v>
      </c>
      <c r="CD220" s="48">
        <v>0.41300000000000003</v>
      </c>
      <c r="CE220" s="48">
        <v>0.37499999999999994</v>
      </c>
      <c r="CF220" s="48">
        <v>0.221</v>
      </c>
      <c r="CG220" s="48">
        <v>0.20099999999999998</v>
      </c>
      <c r="CH220" s="48">
        <v>0.17299999999999999</v>
      </c>
      <c r="CI220" s="48">
        <v>0.24</v>
      </c>
      <c r="CJ220" s="48">
        <v>0.22999999999999998</v>
      </c>
      <c r="CK220" s="48">
        <v>0.21099999999999999</v>
      </c>
      <c r="CL220" s="48">
        <v>0.192</v>
      </c>
      <c r="CM220" s="48">
        <v>0.16300000000000001</v>
      </c>
      <c r="CN220" s="48">
        <v>0.182</v>
      </c>
      <c r="CO220" s="48">
        <v>0.153</v>
      </c>
      <c r="CP220" s="48">
        <v>0.13400000000000001</v>
      </c>
      <c r="CQ220" s="48">
        <v>0.14399999999999999</v>
      </c>
      <c r="CR220" s="48">
        <v>0.28799999999999998</v>
      </c>
      <c r="CS220" s="48">
        <v>0.29799999999999999</v>
      </c>
      <c r="CT220" s="48">
        <v>0.40300000000000008</v>
      </c>
      <c r="CU220" s="48">
        <v>0.26900000000000002</v>
      </c>
      <c r="CV220" s="48">
        <v>0.45100000000000001</v>
      </c>
      <c r="CW220" s="48">
        <v>0.56699999999999995</v>
      </c>
      <c r="CX220" s="48">
        <v>0.67300000000000004</v>
      </c>
      <c r="CY220" s="48">
        <v>0.73</v>
      </c>
      <c r="CZ220" s="48">
        <v>0.75900000000000001</v>
      </c>
      <c r="DA220" s="48">
        <v>0.79800000000000015</v>
      </c>
      <c r="DB220" s="48">
        <v>0.80700000000000005</v>
      </c>
      <c r="DC220" s="48">
        <v>0.72099999999999997</v>
      </c>
      <c r="DD220" s="48">
        <v>0.625</v>
      </c>
      <c r="DE220" s="48">
        <v>0.52800000000000002</v>
      </c>
      <c r="DF220" s="48">
        <v>0.51900000000000002</v>
      </c>
    </row>
    <row r="221" spans="1:110" x14ac:dyDescent="0.2">
      <c r="A221" s="52" t="s">
        <v>125</v>
      </c>
      <c r="B221" s="47">
        <f t="shared" si="156"/>
        <v>23.100000000000005</v>
      </c>
      <c r="C221" s="47">
        <f t="shared" si="157"/>
        <v>-2.1749999999999936</v>
      </c>
      <c r="D221" s="49" t="e">
        <f t="shared" ref="D221:D252" ca="1" si="206">_xludf.STDEV.P(W221:DF221)*100</f>
        <v>#NAME?</v>
      </c>
      <c r="E221" s="47"/>
      <c r="F221" s="48">
        <v>0.70025000000000004</v>
      </c>
      <c r="G221" s="48">
        <v>0.7054999999999999</v>
      </c>
      <c r="H221" s="48">
        <v>0.70550000000000002</v>
      </c>
      <c r="I221" s="48">
        <v>0.72199999999999998</v>
      </c>
      <c r="J221" s="48">
        <v>0.68825000000000003</v>
      </c>
      <c r="K221" s="48">
        <v>0.66949999999999998</v>
      </c>
      <c r="L221" s="48">
        <v>0.66199999999999992</v>
      </c>
      <c r="M221" s="48">
        <v>0.67399999999999993</v>
      </c>
      <c r="N221" s="48">
        <v>0.63325000000000009</v>
      </c>
      <c r="O221" s="48">
        <v>0.627</v>
      </c>
      <c r="P221" s="48">
        <v>0.5585</v>
      </c>
      <c r="Q221" s="48">
        <v>0.46925</v>
      </c>
      <c r="R221" s="48">
        <v>0.40100000000000002</v>
      </c>
      <c r="S221" s="48">
        <v>0.32</v>
      </c>
      <c r="T221" s="48">
        <v>0.28625</v>
      </c>
      <c r="U221" s="48">
        <v>0.19500000000000001</v>
      </c>
      <c r="V221" s="48">
        <v>0.16025</v>
      </c>
      <c r="W221" s="48">
        <v>0.13675000000000001</v>
      </c>
      <c r="X221" s="48">
        <v>0.15525</v>
      </c>
      <c r="Y221" s="48">
        <v>0.151</v>
      </c>
      <c r="Z221" s="48">
        <v>0.12450000000000001</v>
      </c>
      <c r="AA221" s="48">
        <v>0.12774999999999997</v>
      </c>
      <c r="AB221" s="48">
        <v>0.15975000000000003</v>
      </c>
      <c r="AC221" s="48">
        <v>0.17374999999999999</v>
      </c>
      <c r="AD221" s="48">
        <v>0.23224999999999996</v>
      </c>
      <c r="AE221" s="48">
        <v>0.214</v>
      </c>
      <c r="AF221" s="48">
        <v>0.22874999999999998</v>
      </c>
      <c r="AG221" s="48">
        <v>0.23124999999999998</v>
      </c>
      <c r="AH221" s="48">
        <v>0.24074999999999999</v>
      </c>
      <c r="AI221" s="48">
        <v>0.25974999999999993</v>
      </c>
      <c r="AJ221" s="48">
        <v>0.29899999999999999</v>
      </c>
      <c r="AK221" s="48">
        <v>0.33674999999999999</v>
      </c>
      <c r="AL221" s="48">
        <v>0.36749999999999999</v>
      </c>
      <c r="AM221" s="48">
        <v>0.41725000000000001</v>
      </c>
      <c r="AN221" s="48">
        <v>0.49924999999999997</v>
      </c>
      <c r="AO221" s="48">
        <v>0.48974999999999996</v>
      </c>
      <c r="AP221" s="48">
        <v>0.49725000000000008</v>
      </c>
      <c r="AQ221" s="48">
        <v>0.58649999999999991</v>
      </c>
      <c r="AR221" s="48">
        <v>0.65525</v>
      </c>
      <c r="AS221" s="48">
        <v>0.72350000000000003</v>
      </c>
      <c r="AT221" s="48">
        <v>0.77650000000000008</v>
      </c>
      <c r="AU221" s="48">
        <v>0.78049999999999997</v>
      </c>
      <c r="AV221" s="48">
        <v>0.71775</v>
      </c>
      <c r="AW221" s="48">
        <v>0.66949999999999998</v>
      </c>
      <c r="AX221" s="48">
        <v>0.63124999999999998</v>
      </c>
      <c r="AY221" s="48">
        <v>0.59250000000000003</v>
      </c>
      <c r="AZ221" s="48">
        <v>0.52700000000000002</v>
      </c>
      <c r="BA221" s="48">
        <v>0.51650000000000007</v>
      </c>
      <c r="BB221" s="48">
        <v>0.40750000000000003</v>
      </c>
      <c r="BC221" s="48">
        <v>0.39474999999999993</v>
      </c>
      <c r="BD221" s="48">
        <v>0.37575000000000003</v>
      </c>
      <c r="BE221" s="48">
        <v>0.41075000000000006</v>
      </c>
      <c r="BF221" s="48">
        <v>0.48175000000000001</v>
      </c>
      <c r="BG221" s="48">
        <v>0.56475000000000009</v>
      </c>
      <c r="BH221" s="48">
        <v>0.67800000000000005</v>
      </c>
      <c r="BI221" s="48">
        <v>0.72775000000000001</v>
      </c>
      <c r="BJ221" s="48">
        <v>0.69099999999999995</v>
      </c>
      <c r="BK221" s="48">
        <v>0.61424999999999996</v>
      </c>
      <c r="BL221" s="48">
        <v>0.55799999999999994</v>
      </c>
      <c r="BM221" s="48">
        <v>0.51975000000000005</v>
      </c>
      <c r="BN221" s="48">
        <v>0.495</v>
      </c>
      <c r="BO221" s="48">
        <v>0.4415</v>
      </c>
      <c r="BP221" s="48">
        <v>0.35950000000000004</v>
      </c>
      <c r="BQ221" s="48">
        <v>0.315</v>
      </c>
      <c r="BR221" s="48">
        <v>0.30649999999999999</v>
      </c>
      <c r="BS221" s="48">
        <v>0.31424999999999997</v>
      </c>
      <c r="BT221" s="48">
        <v>0.29949999999999999</v>
      </c>
      <c r="BU221" s="48">
        <v>0.30524999999999997</v>
      </c>
      <c r="BV221" s="48">
        <v>0.29199999999999998</v>
      </c>
      <c r="BW221" s="48">
        <v>0.30474999999999997</v>
      </c>
      <c r="BX221" s="48">
        <v>0.36649999999999999</v>
      </c>
      <c r="BY221" s="48">
        <v>0.46474999999999994</v>
      </c>
      <c r="BZ221" s="48">
        <v>0.63649999999999995</v>
      </c>
      <c r="CA221" s="48">
        <v>0.70299999999999996</v>
      </c>
      <c r="CB221" s="48">
        <v>0.751</v>
      </c>
      <c r="CC221" s="48">
        <v>0.73799999999999999</v>
      </c>
      <c r="CD221" s="48">
        <v>0.72750000000000004</v>
      </c>
      <c r="CE221" s="48">
        <v>0.67349999999999999</v>
      </c>
      <c r="CF221" s="48">
        <v>0.61575000000000002</v>
      </c>
      <c r="CG221" s="48">
        <v>0.56174999999999997</v>
      </c>
      <c r="CH221" s="48">
        <v>0.5787500000000001</v>
      </c>
      <c r="CI221" s="48">
        <v>0.65275000000000005</v>
      </c>
      <c r="CJ221" s="48">
        <v>0.67375000000000007</v>
      </c>
      <c r="CK221" s="48">
        <v>0.70825000000000005</v>
      </c>
      <c r="CL221" s="48">
        <v>0.69474999999999998</v>
      </c>
      <c r="CM221" s="48">
        <v>0.71924999999999994</v>
      </c>
      <c r="CN221" s="48">
        <v>0.73524999999999996</v>
      </c>
      <c r="CO221" s="48">
        <v>0.76750000000000007</v>
      </c>
      <c r="CP221" s="48">
        <v>0.78875000000000006</v>
      </c>
      <c r="CQ221" s="48">
        <v>0.77</v>
      </c>
      <c r="CR221" s="48">
        <v>0.75450000000000006</v>
      </c>
      <c r="CS221" s="48">
        <v>0.73125000000000007</v>
      </c>
      <c r="CT221" s="48">
        <v>0.72799999999999998</v>
      </c>
      <c r="CU221" s="48">
        <v>0.70850000000000002</v>
      </c>
      <c r="CV221" s="48">
        <v>0.58374999999999999</v>
      </c>
      <c r="CW221" s="48">
        <v>0.54525000000000001</v>
      </c>
      <c r="CX221" s="48">
        <v>0.51650000000000007</v>
      </c>
      <c r="CY221" s="48">
        <v>0.47075</v>
      </c>
      <c r="CZ221" s="48">
        <v>0.42999999999999994</v>
      </c>
      <c r="DA221" s="48">
        <v>0.37674999999999997</v>
      </c>
      <c r="DB221" s="48">
        <v>0.35074999999999995</v>
      </c>
      <c r="DC221" s="48">
        <v>0.3145</v>
      </c>
      <c r="DD221" s="48">
        <v>0.30975000000000003</v>
      </c>
      <c r="DE221" s="48">
        <v>0.32150000000000001</v>
      </c>
      <c r="DF221" s="48">
        <v>0.33374999999999999</v>
      </c>
    </row>
    <row r="222" spans="1:110" x14ac:dyDescent="0.2">
      <c r="A222" s="52" t="s">
        <v>127</v>
      </c>
      <c r="B222" s="47">
        <f t="shared" si="156"/>
        <v>65.40000000000002</v>
      </c>
      <c r="C222" s="47">
        <f t="shared" si="157"/>
        <v>-4.7999999999999821</v>
      </c>
      <c r="D222" s="49" t="e">
        <f t="shared" ref="D222:D253" ca="1" si="207">_xludf.STDEV.P(W222:DF222)*100</f>
        <v>#NAME?</v>
      </c>
      <c r="E222" s="47"/>
      <c r="F222" s="48">
        <v>0.79800000000000015</v>
      </c>
      <c r="G222" s="48">
        <v>0.89400000000000002</v>
      </c>
      <c r="H222" s="48">
        <v>0.85499999999999998</v>
      </c>
      <c r="I222" s="48">
        <v>0.84599999999999997</v>
      </c>
      <c r="J222" s="48">
        <v>0.91300000000000003</v>
      </c>
      <c r="K222" s="48">
        <v>0.93200000000000005</v>
      </c>
      <c r="L222" s="48">
        <v>0.82600000000000007</v>
      </c>
      <c r="M222" s="48">
        <v>0.625</v>
      </c>
      <c r="N222" s="48">
        <v>0.21099999999999999</v>
      </c>
      <c r="O222" s="48">
        <v>0.105</v>
      </c>
      <c r="P222" s="48">
        <v>0.182</v>
      </c>
      <c r="Q222" s="48">
        <v>0.14399999999999999</v>
      </c>
      <c r="R222" s="48">
        <v>0.125</v>
      </c>
      <c r="S222" s="48">
        <v>6.7000000000000004E-2</v>
      </c>
      <c r="T222" s="48">
        <v>4.8000000000000001E-2</v>
      </c>
      <c r="U222" s="48">
        <v>8.5999999999999993E-2</v>
      </c>
      <c r="V222" s="48">
        <v>1.9E-2</v>
      </c>
      <c r="W222" s="48">
        <v>0</v>
      </c>
      <c r="X222" s="48">
        <v>7.5999999999999998E-2</v>
      </c>
      <c r="Y222" s="48">
        <v>0.153</v>
      </c>
      <c r="Z222" s="48">
        <v>0.37499999999999994</v>
      </c>
      <c r="AA222" s="48">
        <v>0.58599999999999997</v>
      </c>
      <c r="AB222" s="48">
        <v>0.78799999999999992</v>
      </c>
      <c r="AC222" s="48">
        <v>0.875</v>
      </c>
      <c r="AD222" s="48">
        <v>0.95099999999999996</v>
      </c>
      <c r="AE222" s="48">
        <v>0.92299999999999993</v>
      </c>
      <c r="AF222" s="48">
        <v>0.86499999999999999</v>
      </c>
      <c r="AG222" s="48">
        <v>0.94200000000000006</v>
      </c>
      <c r="AH222" s="48">
        <v>0.97099999999999997</v>
      </c>
      <c r="AI222" s="48">
        <v>1</v>
      </c>
      <c r="AJ222" s="48">
        <v>0.96100000000000008</v>
      </c>
      <c r="AK222" s="48">
        <v>0.88400000000000001</v>
      </c>
      <c r="AL222" s="48">
        <v>0.90300000000000002</v>
      </c>
      <c r="AM222" s="48">
        <v>0.81699999999999995</v>
      </c>
      <c r="AN222" s="48">
        <v>0.71099999999999997</v>
      </c>
      <c r="AO222" s="48">
        <v>0.65300000000000002</v>
      </c>
      <c r="AP222" s="48">
        <v>0.61499999999999999</v>
      </c>
      <c r="AQ222" s="48">
        <v>0.66300000000000003</v>
      </c>
      <c r="AR222" s="48">
        <v>0.68200000000000005</v>
      </c>
      <c r="AS222" s="48">
        <v>0.70099999999999996</v>
      </c>
      <c r="AT222" s="48">
        <v>0.67300000000000004</v>
      </c>
      <c r="AU222" s="48">
        <v>0.60499999999999998</v>
      </c>
      <c r="AV222" s="48">
        <v>0.5</v>
      </c>
      <c r="AW222" s="48">
        <v>0.55700000000000005</v>
      </c>
      <c r="AX222" s="48">
        <v>0.54800000000000004</v>
      </c>
      <c r="AY222" s="48">
        <v>0.56699999999999995</v>
      </c>
      <c r="AZ222" s="48">
        <v>0.47100000000000003</v>
      </c>
      <c r="BA222" s="48">
        <v>0.53800000000000003</v>
      </c>
      <c r="BB222" s="48">
        <v>0.50900000000000001</v>
      </c>
      <c r="BC222" s="48">
        <v>0.63400000000000001</v>
      </c>
      <c r="BD222" s="48">
        <v>0.69199999999999995</v>
      </c>
      <c r="BE222" s="48">
        <v>0.73</v>
      </c>
      <c r="BF222" s="48">
        <v>0.76899999999999991</v>
      </c>
      <c r="BG222" s="48">
        <v>0.80700000000000005</v>
      </c>
      <c r="BH222" s="48">
        <v>0.99</v>
      </c>
      <c r="BI222" s="48">
        <v>0.97999999999999987</v>
      </c>
      <c r="BJ222" s="48">
        <v>0.83599999999999997</v>
      </c>
      <c r="BK222" s="48">
        <v>0.52800000000000002</v>
      </c>
      <c r="BL222" s="48">
        <v>0.442</v>
      </c>
      <c r="BM222" s="48">
        <v>0.32600000000000001</v>
      </c>
      <c r="BN222" s="48">
        <v>0.33600000000000002</v>
      </c>
      <c r="BO222" s="48">
        <v>0.36499999999999999</v>
      </c>
      <c r="BP222" s="48">
        <v>0.42299999999999999</v>
      </c>
      <c r="BQ222" s="48">
        <v>0.25900000000000001</v>
      </c>
      <c r="BR222" s="48">
        <v>0.17299999999999999</v>
      </c>
      <c r="BS222" s="48">
        <v>3.7999999999999999E-2</v>
      </c>
      <c r="BT222" s="48">
        <v>8.9999999999999993E-3</v>
      </c>
      <c r="BU222" s="48">
        <v>5.6999999999999995E-2</v>
      </c>
      <c r="BV222" s="48">
        <v>0.13400000000000001</v>
      </c>
      <c r="BW222" s="48">
        <v>0.192</v>
      </c>
      <c r="BX222" s="48">
        <v>0.25</v>
      </c>
      <c r="BY222" s="48">
        <v>0.29799999999999999</v>
      </c>
      <c r="BZ222" s="48">
        <v>0.307</v>
      </c>
      <c r="CA222" s="48">
        <v>0.38400000000000001</v>
      </c>
      <c r="CB222" s="48">
        <v>0.24</v>
      </c>
      <c r="CC222" s="48">
        <v>0.35499999999999998</v>
      </c>
      <c r="CD222" s="48">
        <v>0.48999999999999994</v>
      </c>
      <c r="CE222" s="48">
        <v>0.72099999999999997</v>
      </c>
      <c r="CF222" s="48">
        <v>0.57599999999999996</v>
      </c>
      <c r="CG222" s="48">
        <v>0.40300000000000008</v>
      </c>
      <c r="CH222" s="48">
        <v>0.34599999999999997</v>
      </c>
      <c r="CI222" s="48">
        <v>0.43199999999999994</v>
      </c>
      <c r="CJ222" s="48">
        <v>0.41300000000000003</v>
      </c>
      <c r="CK222" s="48">
        <v>0.27800000000000002</v>
      </c>
      <c r="CL222" s="48">
        <v>0.26900000000000002</v>
      </c>
      <c r="CM222" s="48">
        <v>0.20099999999999998</v>
      </c>
      <c r="CN222" s="48">
        <v>0.221</v>
      </c>
      <c r="CO222" s="48">
        <v>0.22999999999999998</v>
      </c>
      <c r="CP222" s="48">
        <v>0.317</v>
      </c>
      <c r="CQ222" s="48">
        <v>0.45100000000000001</v>
      </c>
      <c r="CR222" s="48">
        <v>0.48</v>
      </c>
      <c r="CS222" s="48">
        <v>0.46100000000000002</v>
      </c>
      <c r="CT222" s="48">
        <v>0.59599999999999997</v>
      </c>
      <c r="CU222" s="48">
        <v>0.74</v>
      </c>
      <c r="CV222" s="48">
        <v>0.75900000000000001</v>
      </c>
      <c r="CW222" s="48">
        <v>0.77800000000000002</v>
      </c>
      <c r="CX222" s="48">
        <v>0.74999999999999989</v>
      </c>
      <c r="CY222" s="48">
        <v>0.64400000000000002</v>
      </c>
      <c r="CZ222" s="48">
        <v>0.51900000000000002</v>
      </c>
      <c r="DA222" s="48">
        <v>0.39399999999999996</v>
      </c>
      <c r="DB222" s="48">
        <v>0.28799999999999998</v>
      </c>
      <c r="DC222" s="48">
        <v>0.16300000000000001</v>
      </c>
      <c r="DD222" s="48">
        <v>0.11499999999999999</v>
      </c>
      <c r="DE222" s="48">
        <v>9.6000000000000002E-2</v>
      </c>
      <c r="DF222" s="48">
        <v>2.7999999999999997E-2</v>
      </c>
    </row>
    <row r="223" spans="1:110" x14ac:dyDescent="0.2">
      <c r="A223" s="52" t="s">
        <v>129</v>
      </c>
      <c r="B223" s="47">
        <f t="shared" si="156"/>
        <v>76.899999999999991</v>
      </c>
      <c r="C223" s="47">
        <f t="shared" si="157"/>
        <v>2.8999999999999915</v>
      </c>
      <c r="D223" s="49" t="e">
        <f t="shared" ref="D223:D254" ca="1" si="208">_xludf.STDEV.P(W223:DF223)*100</f>
        <v>#NAME?</v>
      </c>
      <c r="E223" s="47"/>
      <c r="F223" s="48">
        <v>0.97999999999999987</v>
      </c>
      <c r="G223" s="48">
        <v>1</v>
      </c>
      <c r="H223" s="48">
        <v>0.96100000000000008</v>
      </c>
      <c r="I223" s="48">
        <v>0.95099999999999996</v>
      </c>
      <c r="J223" s="48">
        <v>0.97099999999999997</v>
      </c>
      <c r="K223" s="48">
        <v>0.99</v>
      </c>
      <c r="L223" s="48">
        <v>0.94200000000000006</v>
      </c>
      <c r="M223" s="48">
        <v>0.93200000000000005</v>
      </c>
      <c r="N223" s="48">
        <v>0.45100000000000001</v>
      </c>
      <c r="O223" s="48">
        <v>0.25</v>
      </c>
      <c r="P223" s="48">
        <v>0.221</v>
      </c>
      <c r="Q223" s="48">
        <v>0.21099999999999999</v>
      </c>
      <c r="R223" s="48">
        <v>0.20099999999999998</v>
      </c>
      <c r="S223" s="48">
        <v>0.17299999999999999</v>
      </c>
      <c r="T223" s="48">
        <v>0.14399999999999999</v>
      </c>
      <c r="U223" s="48">
        <v>0.125</v>
      </c>
      <c r="V223" s="48">
        <v>7.5999999999999998E-2</v>
      </c>
      <c r="W223" s="48">
        <v>8.5999999999999993E-2</v>
      </c>
      <c r="X223" s="48">
        <v>0.11499999999999999</v>
      </c>
      <c r="Y223" s="48">
        <v>0.13400000000000001</v>
      </c>
      <c r="Z223" s="48">
        <v>0.153</v>
      </c>
      <c r="AA223" s="48">
        <v>0.182</v>
      </c>
      <c r="AB223" s="48">
        <v>0.22999999999999998</v>
      </c>
      <c r="AC223" s="48">
        <v>0.25900000000000001</v>
      </c>
      <c r="AD223" s="48">
        <v>0.26900000000000002</v>
      </c>
      <c r="AE223" s="48">
        <v>0.32600000000000001</v>
      </c>
      <c r="AF223" s="48">
        <v>0.56699999999999995</v>
      </c>
      <c r="AG223" s="48">
        <v>0.74</v>
      </c>
      <c r="AH223" s="48">
        <v>0.79800000000000015</v>
      </c>
      <c r="AI223" s="48">
        <v>0.78799999999999992</v>
      </c>
      <c r="AJ223" s="48">
        <v>0.76899999999999991</v>
      </c>
      <c r="AK223" s="48">
        <v>0.74999999999999989</v>
      </c>
      <c r="AL223" s="48">
        <v>0.77800000000000002</v>
      </c>
      <c r="AM223" s="48">
        <v>0.82600000000000007</v>
      </c>
      <c r="AN223" s="48">
        <v>0.875</v>
      </c>
      <c r="AO223" s="48">
        <v>0.91300000000000003</v>
      </c>
      <c r="AP223" s="48">
        <v>0.92299999999999993</v>
      </c>
      <c r="AQ223" s="48">
        <v>0.89400000000000002</v>
      </c>
      <c r="AR223" s="48">
        <v>0.86499999999999999</v>
      </c>
      <c r="AS223" s="48">
        <v>0.83599999999999997</v>
      </c>
      <c r="AT223" s="48">
        <v>0.81699999999999995</v>
      </c>
      <c r="AU223" s="48">
        <v>0.75900000000000001</v>
      </c>
      <c r="AV223" s="48">
        <v>0.70099999999999996</v>
      </c>
      <c r="AW223" s="48">
        <v>0.71099999999999997</v>
      </c>
      <c r="AX223" s="48">
        <v>0.66300000000000003</v>
      </c>
      <c r="AY223" s="48">
        <v>0.63400000000000001</v>
      </c>
      <c r="AZ223" s="48">
        <v>0.47100000000000003</v>
      </c>
      <c r="BA223" s="48">
        <v>0.38400000000000001</v>
      </c>
      <c r="BB223" s="48">
        <v>0.35499999999999998</v>
      </c>
      <c r="BC223" s="48">
        <v>0.39399999999999996</v>
      </c>
      <c r="BD223" s="48">
        <v>0.50900000000000001</v>
      </c>
      <c r="BE223" s="48">
        <v>0.625</v>
      </c>
      <c r="BF223" s="48">
        <v>0.80700000000000005</v>
      </c>
      <c r="BG223" s="48">
        <v>0.84599999999999997</v>
      </c>
      <c r="BH223" s="48">
        <v>0.90300000000000002</v>
      </c>
      <c r="BI223" s="48">
        <v>0.88400000000000001</v>
      </c>
      <c r="BJ223" s="48">
        <v>0.85499999999999998</v>
      </c>
      <c r="BK223" s="48">
        <v>0.36499999999999999</v>
      </c>
      <c r="BL223" s="48">
        <v>0.192</v>
      </c>
      <c r="BM223" s="48">
        <v>8.9999999999999993E-3</v>
      </c>
      <c r="BN223" s="48">
        <v>1.9E-2</v>
      </c>
      <c r="BO223" s="48">
        <v>6.7000000000000004E-2</v>
      </c>
      <c r="BP223" s="48">
        <v>0.105</v>
      </c>
      <c r="BQ223" s="48">
        <v>9.6000000000000002E-2</v>
      </c>
      <c r="BR223" s="48">
        <v>5.6999999999999995E-2</v>
      </c>
      <c r="BS223" s="48">
        <v>2.7999999999999997E-2</v>
      </c>
      <c r="BT223" s="48">
        <v>4.8000000000000001E-2</v>
      </c>
      <c r="BU223" s="48">
        <v>3.7999999999999999E-2</v>
      </c>
      <c r="BV223" s="48">
        <v>0</v>
      </c>
      <c r="BW223" s="48">
        <v>0.16300000000000001</v>
      </c>
      <c r="BX223" s="48">
        <v>0.24</v>
      </c>
      <c r="BY223" s="48">
        <v>0.60499999999999998</v>
      </c>
      <c r="BZ223" s="48">
        <v>0.69199999999999995</v>
      </c>
      <c r="CA223" s="48">
        <v>0.73</v>
      </c>
      <c r="CB223" s="48">
        <v>0.65300000000000002</v>
      </c>
      <c r="CC223" s="48">
        <v>0.61499999999999999</v>
      </c>
      <c r="CD223" s="48">
        <v>0.57599999999999996</v>
      </c>
      <c r="CE223" s="48">
        <v>0.53800000000000003</v>
      </c>
      <c r="CF223" s="48">
        <v>0.37499999999999994</v>
      </c>
      <c r="CG223" s="48">
        <v>0.307</v>
      </c>
      <c r="CH223" s="48">
        <v>0.33600000000000002</v>
      </c>
      <c r="CI223" s="48">
        <v>0.5</v>
      </c>
      <c r="CJ223" s="48">
        <v>0.52800000000000002</v>
      </c>
      <c r="CK223" s="48">
        <v>0.48999999999999994</v>
      </c>
      <c r="CL223" s="48">
        <v>0.46100000000000002</v>
      </c>
      <c r="CM223" s="48">
        <v>0.40300000000000008</v>
      </c>
      <c r="CN223" s="48">
        <v>0.43199999999999994</v>
      </c>
      <c r="CO223" s="48">
        <v>0.442</v>
      </c>
      <c r="CP223" s="48">
        <v>0.41300000000000003</v>
      </c>
      <c r="CQ223" s="48">
        <v>0.34599999999999997</v>
      </c>
      <c r="CR223" s="48">
        <v>0.48</v>
      </c>
      <c r="CS223" s="48">
        <v>0.51900000000000002</v>
      </c>
      <c r="CT223" s="48">
        <v>0.64400000000000002</v>
      </c>
      <c r="CU223" s="48">
        <v>0.55700000000000005</v>
      </c>
      <c r="CV223" s="48">
        <v>0.59599999999999997</v>
      </c>
      <c r="CW223" s="48">
        <v>0.58599999999999997</v>
      </c>
      <c r="CX223" s="48">
        <v>0.68200000000000005</v>
      </c>
      <c r="CY223" s="48">
        <v>0.72099999999999997</v>
      </c>
      <c r="CZ223" s="48">
        <v>0.67300000000000004</v>
      </c>
      <c r="DA223" s="48">
        <v>0.54800000000000004</v>
      </c>
      <c r="DB223" s="48">
        <v>0.42299999999999999</v>
      </c>
      <c r="DC223" s="48">
        <v>0.317</v>
      </c>
      <c r="DD223" s="48">
        <v>0.27800000000000002</v>
      </c>
      <c r="DE223" s="48">
        <v>0.28799999999999998</v>
      </c>
      <c r="DF223" s="48">
        <v>0.29799999999999999</v>
      </c>
    </row>
    <row r="224" spans="1:110" x14ac:dyDescent="0.2">
      <c r="A224" s="52" t="s">
        <v>130</v>
      </c>
      <c r="B224" s="47">
        <f t="shared" si="156"/>
        <v>31.749999999999996</v>
      </c>
      <c r="C224" s="47">
        <f t="shared" si="157"/>
        <v>-13.450000000000006</v>
      </c>
      <c r="D224" s="49" t="e">
        <f t="shared" ref="D224:D255" ca="1" si="209">_xludf.STDEV.P(W224:DF224)*100</f>
        <v>#NAME?</v>
      </c>
      <c r="E224" s="47"/>
      <c r="F224" s="48">
        <v>0.53799999999999992</v>
      </c>
      <c r="G224" s="48">
        <v>0.57650000000000001</v>
      </c>
      <c r="H224" s="48">
        <v>0.60549999999999993</v>
      </c>
      <c r="I224" s="48">
        <v>0.67249999999999999</v>
      </c>
      <c r="J224" s="48">
        <v>0.70650000000000002</v>
      </c>
      <c r="K224" s="48">
        <v>0.66800000000000004</v>
      </c>
      <c r="L224" s="48">
        <v>0.59099999999999997</v>
      </c>
      <c r="M224" s="48">
        <v>0.57150000000000001</v>
      </c>
      <c r="N224" s="48">
        <v>0.50449999999999995</v>
      </c>
      <c r="O224" s="48">
        <v>0.34550000000000003</v>
      </c>
      <c r="P224" s="48">
        <v>0.28299999999999997</v>
      </c>
      <c r="Q224" s="48">
        <v>0.22049999999999997</v>
      </c>
      <c r="R224" s="48">
        <v>0.1585</v>
      </c>
      <c r="S224" s="48">
        <v>0.14349999999999999</v>
      </c>
      <c r="T224" s="48">
        <v>0.1535</v>
      </c>
      <c r="U224" s="48">
        <v>0.13900000000000001</v>
      </c>
      <c r="V224" s="48">
        <v>0.11499999999999999</v>
      </c>
      <c r="W224" s="48">
        <v>9.5500000000000002E-2</v>
      </c>
      <c r="X224" s="48">
        <v>9.0499999999999997E-2</v>
      </c>
      <c r="Y224" s="48">
        <v>9.0999999999999998E-2</v>
      </c>
      <c r="Z224" s="48">
        <v>0.1055</v>
      </c>
      <c r="AA224" s="48">
        <v>0.17749999999999999</v>
      </c>
      <c r="AB224" s="48">
        <v>0.21099999999999999</v>
      </c>
      <c r="AC224" s="48">
        <v>0.24949999999999997</v>
      </c>
      <c r="AD224" s="48">
        <v>0.24499999999999997</v>
      </c>
      <c r="AE224" s="48">
        <v>0.24000000000000005</v>
      </c>
      <c r="AF224" s="48">
        <v>0.23500000000000001</v>
      </c>
      <c r="AG224" s="48">
        <v>0.27350000000000002</v>
      </c>
      <c r="AH224" s="48">
        <v>0.33600000000000002</v>
      </c>
      <c r="AI224" s="48">
        <v>0.35549999999999998</v>
      </c>
      <c r="AJ224" s="48">
        <v>0.42300000000000004</v>
      </c>
      <c r="AK224" s="48">
        <v>0.40299999999999997</v>
      </c>
      <c r="AL224" s="48">
        <v>0.44700000000000001</v>
      </c>
      <c r="AM224" s="48">
        <v>0.38900000000000001</v>
      </c>
      <c r="AN224" s="48">
        <v>0.442</v>
      </c>
      <c r="AO224" s="48">
        <v>0.42749999999999999</v>
      </c>
      <c r="AP224" s="48">
        <v>0.4945</v>
      </c>
      <c r="AQ224" s="48">
        <v>0.53799999999999992</v>
      </c>
      <c r="AR224" s="48">
        <v>0.59550000000000003</v>
      </c>
      <c r="AS224" s="48">
        <v>0.70650000000000002</v>
      </c>
      <c r="AT224" s="48">
        <v>0.90849999999999986</v>
      </c>
      <c r="AU224" s="48">
        <v>0.88400000000000001</v>
      </c>
      <c r="AV224" s="48">
        <v>0.82650000000000001</v>
      </c>
      <c r="AW224" s="48">
        <v>0.90299999999999991</v>
      </c>
      <c r="AX224" s="48">
        <v>0.85049999999999992</v>
      </c>
      <c r="AY224" s="48">
        <v>0.84099999999999997</v>
      </c>
      <c r="AZ224" s="48">
        <v>0.71599999999999997</v>
      </c>
      <c r="BA224" s="48">
        <v>0.73499999999999999</v>
      </c>
      <c r="BB224" s="48">
        <v>0.74</v>
      </c>
      <c r="BC224" s="48">
        <v>0.76850000000000007</v>
      </c>
      <c r="BD224" s="48">
        <v>0.73</v>
      </c>
      <c r="BE224" s="48">
        <v>0.70150000000000001</v>
      </c>
      <c r="BF224" s="48">
        <v>0.74</v>
      </c>
      <c r="BG224" s="48">
        <v>0.76400000000000001</v>
      </c>
      <c r="BH224" s="48">
        <v>0.92299999999999993</v>
      </c>
      <c r="BI224" s="48">
        <v>0.83599999999999997</v>
      </c>
      <c r="BJ224" s="48">
        <v>0.86499999999999999</v>
      </c>
      <c r="BK224" s="48">
        <v>0.77350000000000008</v>
      </c>
      <c r="BL224" s="48">
        <v>0.81650000000000011</v>
      </c>
      <c r="BM224" s="48">
        <v>0.67249999999999999</v>
      </c>
      <c r="BN224" s="48">
        <v>0.56699999999999995</v>
      </c>
      <c r="BO224" s="48">
        <v>0.48</v>
      </c>
      <c r="BP224" s="48">
        <v>0.36950000000000005</v>
      </c>
      <c r="BQ224" s="48">
        <v>0.31699999999999995</v>
      </c>
      <c r="BR224" s="48">
        <v>0.26850000000000002</v>
      </c>
      <c r="BS224" s="48">
        <v>0.19650000000000001</v>
      </c>
      <c r="BT224" s="48">
        <v>0.13900000000000001</v>
      </c>
      <c r="BU224" s="48">
        <v>0.13899999999999998</v>
      </c>
      <c r="BV224" s="48">
        <v>0.12</v>
      </c>
      <c r="BW224" s="48">
        <v>0.17749999999999996</v>
      </c>
      <c r="BX224" s="48">
        <v>0.21600000000000003</v>
      </c>
      <c r="BY224" s="48">
        <v>0.25900000000000001</v>
      </c>
      <c r="BZ224" s="48">
        <v>0.27400000000000002</v>
      </c>
      <c r="CA224" s="48">
        <v>0.317</v>
      </c>
      <c r="CB224" s="48">
        <v>0.32150000000000001</v>
      </c>
      <c r="CC224" s="48">
        <v>0.33149999999999996</v>
      </c>
      <c r="CD224" s="48">
        <v>0.35500000000000004</v>
      </c>
      <c r="CE224" s="48">
        <v>0.41300000000000003</v>
      </c>
      <c r="CF224" s="48">
        <v>0.39850000000000002</v>
      </c>
      <c r="CG224" s="48">
        <v>0.43700000000000006</v>
      </c>
      <c r="CH224" s="48">
        <v>0.39849999999999997</v>
      </c>
      <c r="CI224" s="48">
        <v>0.41300000000000003</v>
      </c>
      <c r="CJ224" s="48">
        <v>0.3745</v>
      </c>
      <c r="CK224" s="48">
        <v>0.4375</v>
      </c>
      <c r="CL224" s="48">
        <v>0.50900000000000001</v>
      </c>
      <c r="CM224" s="48">
        <v>0.56200000000000006</v>
      </c>
      <c r="CN224" s="48">
        <v>0.56199999999999994</v>
      </c>
      <c r="CO224" s="48">
        <v>0.54749999999999999</v>
      </c>
      <c r="CP224" s="48">
        <v>0.54800000000000004</v>
      </c>
      <c r="CQ224" s="48">
        <v>0.58150000000000002</v>
      </c>
      <c r="CR224" s="48">
        <v>0.68699999999999994</v>
      </c>
      <c r="CS224" s="48">
        <v>0.67299999999999993</v>
      </c>
      <c r="CT224" s="48">
        <v>0.78799999999999992</v>
      </c>
      <c r="CU224" s="48">
        <v>0.73</v>
      </c>
      <c r="CV224" s="48">
        <v>0.82650000000000001</v>
      </c>
      <c r="CW224" s="48">
        <v>0.7975000000000001</v>
      </c>
      <c r="CX224" s="48">
        <v>0.74949999999999994</v>
      </c>
      <c r="CY224" s="48">
        <v>0.73499999999999999</v>
      </c>
      <c r="CZ224" s="48">
        <v>0.69650000000000001</v>
      </c>
      <c r="DA224" s="48">
        <v>0.67749999999999999</v>
      </c>
      <c r="DB224" s="48">
        <v>0.63900000000000001</v>
      </c>
      <c r="DC224" s="48">
        <v>0.6150000000000001</v>
      </c>
      <c r="DD224" s="48">
        <v>0.68199999999999994</v>
      </c>
      <c r="DE224" s="48">
        <v>0.75449999999999984</v>
      </c>
      <c r="DF224" s="48">
        <v>0.81199999999999994</v>
      </c>
    </row>
    <row r="225" spans="1:110" x14ac:dyDescent="0.2">
      <c r="A225" s="52" t="s">
        <v>131</v>
      </c>
      <c r="B225" s="47">
        <f t="shared" si="156"/>
        <v>-11.550000000000004</v>
      </c>
      <c r="C225" s="47">
        <f t="shared" si="157"/>
        <v>4.8499999999999961</v>
      </c>
      <c r="D225" s="49" t="e">
        <f t="shared" ref="D225:D256" ca="1" si="210">_xludf.STDEV.P(W225:DF225)*100</f>
        <v>#NAME?</v>
      </c>
      <c r="E225" s="47"/>
      <c r="F225" s="48">
        <v>0.28799999999999998</v>
      </c>
      <c r="G225" s="48">
        <v>0.32599999999999996</v>
      </c>
      <c r="H225" s="48">
        <v>0.27349999999999997</v>
      </c>
      <c r="I225" s="48">
        <v>0.23950000000000002</v>
      </c>
      <c r="J225" s="48">
        <v>0.20599999999999999</v>
      </c>
      <c r="K225" s="48">
        <v>0.21099999999999997</v>
      </c>
      <c r="L225" s="48">
        <v>0.19149999999999998</v>
      </c>
      <c r="M225" s="48">
        <v>0.254</v>
      </c>
      <c r="N225" s="48">
        <v>0.33600000000000002</v>
      </c>
      <c r="O225" s="48">
        <v>0.38900000000000001</v>
      </c>
      <c r="P225" s="48">
        <v>0.34600000000000003</v>
      </c>
      <c r="Q225" s="48">
        <v>0.40350000000000003</v>
      </c>
      <c r="R225" s="48">
        <v>0.48499999999999999</v>
      </c>
      <c r="S225" s="48">
        <v>0.42749999999999994</v>
      </c>
      <c r="T225" s="48">
        <v>0.35550000000000004</v>
      </c>
      <c r="U225" s="48">
        <v>0.312</v>
      </c>
      <c r="V225" s="48">
        <v>0.56200000000000006</v>
      </c>
      <c r="W225" s="48">
        <v>0.59550000000000003</v>
      </c>
      <c r="X225" s="48">
        <v>0.56199999999999994</v>
      </c>
      <c r="Y225" s="48">
        <v>0.47100000000000003</v>
      </c>
      <c r="Z225" s="48">
        <v>0.42749999999999999</v>
      </c>
      <c r="AA225" s="48">
        <v>0.25950000000000001</v>
      </c>
      <c r="AB225" s="48">
        <v>0.40350000000000003</v>
      </c>
      <c r="AC225" s="48">
        <v>0.43700000000000006</v>
      </c>
      <c r="AD225" s="48">
        <v>0.495</v>
      </c>
      <c r="AE225" s="48">
        <v>0.47100000000000003</v>
      </c>
      <c r="AF225" s="48">
        <v>0.46100000000000002</v>
      </c>
      <c r="AG225" s="48">
        <v>0.46149999999999997</v>
      </c>
      <c r="AH225" s="48">
        <v>0.40800000000000003</v>
      </c>
      <c r="AI225" s="48">
        <v>0.40350000000000003</v>
      </c>
      <c r="AJ225" s="48">
        <v>0.39399999999999996</v>
      </c>
      <c r="AK225" s="48">
        <v>0.879</v>
      </c>
      <c r="AL225" s="48">
        <v>0.84099999999999997</v>
      </c>
      <c r="AM225" s="48">
        <v>0.84549999999999992</v>
      </c>
      <c r="AN225" s="48">
        <v>0.77350000000000008</v>
      </c>
      <c r="AO225" s="48">
        <v>0.79799999999999993</v>
      </c>
      <c r="AP225" s="48">
        <v>0.85049999999999992</v>
      </c>
      <c r="AQ225" s="48">
        <v>0.90849999999999986</v>
      </c>
      <c r="AR225" s="48">
        <v>0.93200000000000005</v>
      </c>
      <c r="AS225" s="48">
        <v>0.94650000000000001</v>
      </c>
      <c r="AT225" s="48">
        <v>0.9514999999999999</v>
      </c>
      <c r="AU225" s="48">
        <v>0.97099999999999997</v>
      </c>
      <c r="AV225" s="48">
        <v>0.97999999999999987</v>
      </c>
      <c r="AW225" s="48">
        <v>0.97549999999999992</v>
      </c>
      <c r="AX225" s="48">
        <v>0.96599999999999997</v>
      </c>
      <c r="AY225" s="48">
        <v>0.9275000000000001</v>
      </c>
      <c r="AZ225" s="48">
        <v>0.86950000000000016</v>
      </c>
      <c r="BA225" s="48">
        <v>0.74450000000000005</v>
      </c>
      <c r="BB225" s="48">
        <v>0.65349999999999997</v>
      </c>
      <c r="BC225" s="48">
        <v>0.62</v>
      </c>
      <c r="BD225" s="48">
        <v>0.52399999999999991</v>
      </c>
      <c r="BE225" s="48">
        <v>0.47100000000000003</v>
      </c>
      <c r="BF225" s="48">
        <v>0.41300000000000003</v>
      </c>
      <c r="BG225" s="48">
        <v>0.43199999999999994</v>
      </c>
      <c r="BH225" s="48">
        <v>0.45149999999999996</v>
      </c>
      <c r="BI225" s="48">
        <v>0.35550000000000004</v>
      </c>
      <c r="BJ225" s="48">
        <v>0.2495</v>
      </c>
      <c r="BK225" s="48">
        <v>0.25900000000000001</v>
      </c>
      <c r="BL225" s="48">
        <v>0.29749999999999999</v>
      </c>
      <c r="BM225" s="48">
        <v>0.26350000000000001</v>
      </c>
      <c r="BN225" s="48">
        <v>0.21600000000000003</v>
      </c>
      <c r="BO225" s="48">
        <v>0.158</v>
      </c>
      <c r="BP225" s="48">
        <v>0.22050000000000003</v>
      </c>
      <c r="BQ225" s="48">
        <v>0.27349999999999997</v>
      </c>
      <c r="BR225" s="48">
        <v>0.312</v>
      </c>
      <c r="BS225" s="48">
        <v>0.30749999999999994</v>
      </c>
      <c r="BT225" s="48">
        <v>0.36499999999999999</v>
      </c>
      <c r="BU225" s="48">
        <v>0.32200000000000001</v>
      </c>
      <c r="BV225" s="48">
        <v>0.38399999999999995</v>
      </c>
      <c r="BW225" s="48">
        <v>0.37899999999999995</v>
      </c>
      <c r="BX225" s="48">
        <v>0.45149999999999996</v>
      </c>
      <c r="BY225" s="48">
        <v>0.42699999999999999</v>
      </c>
      <c r="BZ225" s="48">
        <v>0.50900000000000012</v>
      </c>
      <c r="CA225" s="48">
        <v>0.72550000000000003</v>
      </c>
      <c r="CB225" s="48">
        <v>0.72050000000000003</v>
      </c>
      <c r="CC225" s="48">
        <v>0.76850000000000007</v>
      </c>
      <c r="CD225" s="48">
        <v>0.63900000000000001</v>
      </c>
      <c r="CE225" s="48">
        <v>0.63900000000000012</v>
      </c>
      <c r="CF225" s="48">
        <v>0.51900000000000002</v>
      </c>
      <c r="CG225" s="48">
        <v>0.55700000000000005</v>
      </c>
      <c r="CH225" s="48">
        <v>0.55700000000000005</v>
      </c>
      <c r="CI225" s="48">
        <v>0.61499999999999999</v>
      </c>
      <c r="CJ225" s="48">
        <v>0.4945</v>
      </c>
      <c r="CK225" s="48">
        <v>0.52849999999999997</v>
      </c>
      <c r="CL225" s="48">
        <v>0.69650000000000001</v>
      </c>
      <c r="CM225" s="48">
        <v>0.66800000000000004</v>
      </c>
      <c r="CN225" s="48">
        <v>0.57200000000000006</v>
      </c>
      <c r="CO225" s="48">
        <v>0.49499999999999994</v>
      </c>
      <c r="CP225" s="48">
        <v>0.4325</v>
      </c>
      <c r="CQ225" s="48">
        <v>0.38400000000000001</v>
      </c>
      <c r="CR225" s="48">
        <v>0.46149999999999997</v>
      </c>
      <c r="CS225" s="48">
        <v>0.45600000000000007</v>
      </c>
      <c r="CT225" s="48">
        <v>0.50900000000000001</v>
      </c>
      <c r="CU225" s="48">
        <v>0.51400000000000001</v>
      </c>
      <c r="CV225" s="48">
        <v>0.63900000000000001</v>
      </c>
      <c r="CW225" s="48">
        <v>0.495</v>
      </c>
      <c r="CX225" s="48">
        <v>0.42749999999999999</v>
      </c>
      <c r="CY225" s="48">
        <v>0.47549999999999998</v>
      </c>
      <c r="CZ225" s="48">
        <v>0.42749999999999994</v>
      </c>
      <c r="DA225" s="48">
        <v>0.312</v>
      </c>
      <c r="DB225" s="48">
        <v>0.192</v>
      </c>
      <c r="DC225" s="48">
        <v>0.21099999999999999</v>
      </c>
      <c r="DD225" s="48">
        <v>0.23950000000000002</v>
      </c>
      <c r="DE225" s="48">
        <v>0.29749999999999999</v>
      </c>
      <c r="DF225" s="48">
        <v>0.26850000000000002</v>
      </c>
    </row>
    <row r="226" spans="1:110" x14ac:dyDescent="0.2">
      <c r="A226" s="52" t="s">
        <v>133</v>
      </c>
      <c r="B226" s="47">
        <f t="shared" si="156"/>
        <v>58.633333333333347</v>
      </c>
      <c r="C226" s="47">
        <f t="shared" si="157"/>
        <v>9.5666666666666682</v>
      </c>
      <c r="D226" s="49" t="e">
        <f t="shared" ref="D226:D257" ca="1" si="211">_xludf.STDEV.P(W226:DF226)*100</f>
        <v>#NAME?</v>
      </c>
      <c r="E226" s="47"/>
      <c r="F226" s="48">
        <v>0.65633333333333344</v>
      </c>
      <c r="G226" s="48">
        <v>0.68233333333333335</v>
      </c>
      <c r="H226" s="48">
        <v>0.60566666666666669</v>
      </c>
      <c r="I226" s="48">
        <v>0.56066666666666676</v>
      </c>
      <c r="J226" s="48">
        <v>0.57333333333333336</v>
      </c>
      <c r="K226" s="48">
        <v>0.50600000000000001</v>
      </c>
      <c r="L226" s="48">
        <v>0.41000000000000009</v>
      </c>
      <c r="M226" s="48">
        <v>0.24033333333333334</v>
      </c>
      <c r="N226" s="48">
        <v>0.12733333333333335</v>
      </c>
      <c r="O226" s="48">
        <v>8.6000000000000007E-2</v>
      </c>
      <c r="P226" s="48">
        <v>6.9999999999999993E-2</v>
      </c>
      <c r="Q226" s="48">
        <v>6.9999999999999993E-2</v>
      </c>
      <c r="R226" s="48">
        <v>4.766666666666667E-2</v>
      </c>
      <c r="S226" s="48">
        <v>3.1666666666666669E-2</v>
      </c>
      <c r="T226" s="48">
        <v>2.2000000000000002E-2</v>
      </c>
      <c r="U226" s="48">
        <v>2.8666666666666667E-2</v>
      </c>
      <c r="V226" s="48">
        <v>3.5000000000000003E-2</v>
      </c>
      <c r="W226" s="48">
        <v>3.7666666666666675E-2</v>
      </c>
      <c r="X226" s="48">
        <v>7.0000000000000007E-2</v>
      </c>
      <c r="Y226" s="48">
        <v>9.2666666666666689E-2</v>
      </c>
      <c r="Z226" s="48">
        <v>0.12433333333333332</v>
      </c>
      <c r="AA226" s="48">
        <v>0.13100000000000003</v>
      </c>
      <c r="AB226" s="48">
        <v>0.25566666666666671</v>
      </c>
      <c r="AC226" s="48">
        <v>0.48966666666666675</v>
      </c>
      <c r="AD226" s="48">
        <v>0.66299999999999992</v>
      </c>
      <c r="AE226" s="48">
        <v>0.66966666666666674</v>
      </c>
      <c r="AF226" s="48">
        <v>0.746</v>
      </c>
      <c r="AG226" s="48">
        <v>0.81666666666666665</v>
      </c>
      <c r="AH226" s="48">
        <v>0.77500000000000013</v>
      </c>
      <c r="AI226" s="48">
        <v>0.83933333333333349</v>
      </c>
      <c r="AJ226" s="48">
        <v>0.88066666666666682</v>
      </c>
      <c r="AK226" s="48">
        <v>0.92566666666666675</v>
      </c>
      <c r="AL226" s="48">
        <v>0.92300000000000015</v>
      </c>
      <c r="AM226" s="48">
        <v>0.89733333333333343</v>
      </c>
      <c r="AN226" s="48">
        <v>0.8743333333333333</v>
      </c>
      <c r="AO226" s="48">
        <v>0.90033333333333343</v>
      </c>
      <c r="AP226" s="48">
        <v>0.93533333333333346</v>
      </c>
      <c r="AQ226" s="48">
        <v>0.96733333333333338</v>
      </c>
      <c r="AR226" s="48">
        <v>0.95800000000000007</v>
      </c>
      <c r="AS226" s="48">
        <v>0.91633333333333344</v>
      </c>
      <c r="AT226" s="48">
        <v>0.88066666666666682</v>
      </c>
      <c r="AU226" s="48">
        <v>0.83633333333333348</v>
      </c>
      <c r="AV226" s="48">
        <v>0.91933333333333345</v>
      </c>
      <c r="AW226" s="48">
        <v>0.95166666666666677</v>
      </c>
      <c r="AX226" s="48">
        <v>0.95500000000000007</v>
      </c>
      <c r="AY226" s="48">
        <v>0.95433333333333348</v>
      </c>
      <c r="AZ226" s="48">
        <v>0.81333333333333335</v>
      </c>
      <c r="BA226" s="48">
        <v>0.64066666666666672</v>
      </c>
      <c r="BB226" s="48">
        <v>0.43566666666666676</v>
      </c>
      <c r="BC226" s="48">
        <v>0.39066666666666666</v>
      </c>
      <c r="BD226" s="48">
        <v>0.41333333333333333</v>
      </c>
      <c r="BE226" s="48">
        <v>0.46766666666666673</v>
      </c>
      <c r="BF226" s="48">
        <v>0.59233333333333349</v>
      </c>
      <c r="BG226" s="48">
        <v>0.66600000000000004</v>
      </c>
      <c r="BH226" s="48">
        <v>0.66966666666666674</v>
      </c>
      <c r="BI226" s="48">
        <v>0.46133333333333337</v>
      </c>
      <c r="BJ226" s="48">
        <v>0.40633333333333338</v>
      </c>
      <c r="BK226" s="48">
        <v>0.32933333333333337</v>
      </c>
      <c r="BL226" s="48">
        <v>0.41000000000000009</v>
      </c>
      <c r="BM226" s="48">
        <v>0.35533333333333339</v>
      </c>
      <c r="BN226" s="48">
        <v>0.37733333333333335</v>
      </c>
      <c r="BO226" s="48">
        <v>0.36166666666666669</v>
      </c>
      <c r="BP226" s="48">
        <v>0.35833333333333339</v>
      </c>
      <c r="BQ226" s="48">
        <v>0.43200000000000011</v>
      </c>
      <c r="BR226" s="48">
        <v>0.44533333333333341</v>
      </c>
      <c r="BS226" s="48">
        <v>0.45799999999999996</v>
      </c>
      <c r="BT226" s="48">
        <v>0.39033333333333337</v>
      </c>
      <c r="BU226" s="48">
        <v>0.2496666666666667</v>
      </c>
      <c r="BV226" s="48">
        <v>0.22433333333333336</v>
      </c>
      <c r="BW226" s="48">
        <v>0.24300000000000005</v>
      </c>
      <c r="BX226" s="48">
        <v>0.34600000000000003</v>
      </c>
      <c r="BY226" s="48">
        <v>0.52533333333333343</v>
      </c>
      <c r="BZ226" s="48">
        <v>0.6050000000000002</v>
      </c>
      <c r="CA226" s="48">
        <v>0.66933333333333334</v>
      </c>
      <c r="CB226" s="48">
        <v>0.71433333333333349</v>
      </c>
      <c r="CC226" s="48">
        <v>0.78800000000000003</v>
      </c>
      <c r="CD226" s="48">
        <v>0.73066666666666669</v>
      </c>
      <c r="CE226" s="48">
        <v>0.67866666666666675</v>
      </c>
      <c r="CF226" s="48">
        <v>0.503</v>
      </c>
      <c r="CG226" s="48">
        <v>0.62466666666666681</v>
      </c>
      <c r="CH226" s="48">
        <v>0.76233333333333342</v>
      </c>
      <c r="CI226" s="48">
        <v>0.88100000000000012</v>
      </c>
      <c r="CJ226" s="48">
        <v>0.83599999999999997</v>
      </c>
      <c r="CK226" s="48">
        <v>0.75566666666666671</v>
      </c>
      <c r="CL226" s="48">
        <v>0.67600000000000005</v>
      </c>
      <c r="CM226" s="48">
        <v>0.58600000000000008</v>
      </c>
      <c r="CN226" s="48">
        <v>0.54433333333333345</v>
      </c>
      <c r="CO226" s="48">
        <v>0.48</v>
      </c>
      <c r="CP226" s="48">
        <v>0.41266666666666674</v>
      </c>
      <c r="CQ226" s="48">
        <v>0.35233333333333339</v>
      </c>
      <c r="CR226" s="48">
        <v>0.48066666666666669</v>
      </c>
      <c r="CS226" s="48">
        <v>0.45466666666666672</v>
      </c>
      <c r="CT226" s="48">
        <v>0.51200000000000001</v>
      </c>
      <c r="CU226" s="48">
        <v>0.34600000000000003</v>
      </c>
      <c r="CV226" s="48">
        <v>0.32966666666666672</v>
      </c>
      <c r="CW226" s="48">
        <v>0.17566666666666667</v>
      </c>
      <c r="CX226" s="48">
        <v>0.19166666666666671</v>
      </c>
      <c r="CY226" s="48">
        <v>0.24933333333333338</v>
      </c>
      <c r="CZ226" s="48">
        <v>0.27500000000000002</v>
      </c>
      <c r="DA226" s="48">
        <v>0.22066666666666668</v>
      </c>
      <c r="DB226" s="48">
        <v>0.17900000000000002</v>
      </c>
      <c r="DC226" s="48">
        <v>0.19200000000000003</v>
      </c>
      <c r="DD226" s="48">
        <v>0.20166666666666669</v>
      </c>
      <c r="DE226" s="48">
        <v>0.21433333333333335</v>
      </c>
      <c r="DF226" s="48">
        <v>0.22100000000000003</v>
      </c>
    </row>
    <row r="227" spans="1:110" x14ac:dyDescent="0.2">
      <c r="A227" s="52" t="s">
        <v>135</v>
      </c>
      <c r="B227" s="47">
        <f t="shared" si="156"/>
        <v>33.700000000000003</v>
      </c>
      <c r="C227" s="47">
        <f t="shared" si="157"/>
        <v>-5.7000000000000162</v>
      </c>
      <c r="D227" s="49" t="e">
        <f t="shared" ref="D227:D258" ca="1" si="212">_xludf.STDEV.P(W227:DF227)*100</f>
        <v>#NAME?</v>
      </c>
      <c r="E227" s="47"/>
      <c r="F227" s="48">
        <v>0.625</v>
      </c>
      <c r="G227" s="48">
        <v>0.69199999999999995</v>
      </c>
      <c r="H227" s="48">
        <v>0.66300000000000003</v>
      </c>
      <c r="I227" s="48">
        <v>0.68200000000000016</v>
      </c>
      <c r="J227" s="48">
        <v>0.65300000000000002</v>
      </c>
      <c r="K227" s="48">
        <v>0.61499999999999999</v>
      </c>
      <c r="L227" s="48">
        <v>0.51900000000000002</v>
      </c>
      <c r="M227" s="48">
        <v>0.432</v>
      </c>
      <c r="N227" s="48">
        <v>0.34599999999999997</v>
      </c>
      <c r="O227" s="48">
        <v>0.307</v>
      </c>
      <c r="P227" s="48">
        <v>0.29799999999999999</v>
      </c>
      <c r="Q227" s="48">
        <v>0.28799999999999998</v>
      </c>
      <c r="R227" s="48">
        <v>0.27800000000000002</v>
      </c>
      <c r="S227" s="48">
        <v>0.25</v>
      </c>
      <c r="T227" s="48">
        <v>0.192</v>
      </c>
      <c r="U227" s="48">
        <v>0.125</v>
      </c>
      <c r="V227" s="48">
        <v>9.6000000000000002E-2</v>
      </c>
      <c r="W227" s="48">
        <v>8.5999999999999993E-2</v>
      </c>
      <c r="X227" s="48">
        <v>0.153</v>
      </c>
      <c r="Y227" s="48">
        <v>6.7000000000000004E-2</v>
      </c>
      <c r="Z227" s="48">
        <v>0.14399999999999999</v>
      </c>
      <c r="AA227" s="48">
        <v>0.13400000000000001</v>
      </c>
      <c r="AB227" s="48">
        <v>0.23</v>
      </c>
      <c r="AC227" s="48">
        <v>0.20100000000000004</v>
      </c>
      <c r="AD227" s="48">
        <v>0.17299999999999999</v>
      </c>
      <c r="AE227" s="48">
        <v>0.10499999999999998</v>
      </c>
      <c r="AF227" s="48">
        <v>0.16300000000000001</v>
      </c>
      <c r="AG227" s="48">
        <v>0.21099999999999999</v>
      </c>
      <c r="AH227" s="48">
        <v>0.22099999999999997</v>
      </c>
      <c r="AI227" s="48">
        <v>0.26900000000000002</v>
      </c>
      <c r="AJ227" s="48">
        <v>0.317</v>
      </c>
      <c r="AK227" s="48">
        <v>0.38400000000000001</v>
      </c>
      <c r="AL227" s="48">
        <v>0.37499999999999994</v>
      </c>
      <c r="AM227" s="48">
        <v>0.36499999999999999</v>
      </c>
      <c r="AN227" s="48">
        <v>0.44199999999999995</v>
      </c>
      <c r="AO227" s="48">
        <v>0.58599999999999997</v>
      </c>
      <c r="AP227" s="48">
        <v>0.71099999999999997</v>
      </c>
      <c r="AQ227" s="48">
        <v>0.75900000000000001</v>
      </c>
      <c r="AR227" s="48">
        <v>0.80700000000000005</v>
      </c>
      <c r="AS227" s="48">
        <v>0.84599999999999997</v>
      </c>
      <c r="AT227" s="48">
        <v>0.89400000000000013</v>
      </c>
      <c r="AU227" s="48">
        <v>0.90300000000000002</v>
      </c>
      <c r="AV227" s="48">
        <v>0.91300000000000003</v>
      </c>
      <c r="AW227" s="48">
        <v>0.96100000000000008</v>
      </c>
      <c r="AX227" s="48">
        <v>0.95099999999999985</v>
      </c>
      <c r="AY227" s="48">
        <v>0.92300000000000004</v>
      </c>
      <c r="AZ227" s="48">
        <v>0.8839999999999999</v>
      </c>
      <c r="BA227" s="48">
        <v>0.86499999999999999</v>
      </c>
      <c r="BB227" s="48">
        <v>0.85499999999999998</v>
      </c>
      <c r="BC227" s="48">
        <v>0.83599999999999997</v>
      </c>
      <c r="BD227" s="48">
        <v>0.81700000000000006</v>
      </c>
      <c r="BE227" s="48">
        <v>0.78800000000000003</v>
      </c>
      <c r="BF227" s="48">
        <v>0.73</v>
      </c>
      <c r="BG227" s="48">
        <v>0.67300000000000004</v>
      </c>
      <c r="BH227" s="48">
        <v>0.48</v>
      </c>
      <c r="BI227" s="48">
        <v>0.24</v>
      </c>
      <c r="BJ227" s="48">
        <v>0.18200000000000002</v>
      </c>
      <c r="BK227" s="48">
        <v>7.5999999999999998E-2</v>
      </c>
      <c r="BL227" s="48">
        <v>5.7000000000000002E-2</v>
      </c>
      <c r="BM227" s="48">
        <v>3.7999999999999999E-2</v>
      </c>
      <c r="BN227" s="48">
        <v>1.9E-2</v>
      </c>
      <c r="BO227" s="48">
        <v>0</v>
      </c>
      <c r="BP227" s="48">
        <v>8.9999999999999993E-3</v>
      </c>
      <c r="BQ227" s="48">
        <v>2.8000000000000001E-2</v>
      </c>
      <c r="BR227" s="48">
        <v>4.8000000000000001E-2</v>
      </c>
      <c r="BS227" s="48">
        <v>0.115</v>
      </c>
      <c r="BT227" s="48">
        <v>0.25900000000000001</v>
      </c>
      <c r="BU227" s="48">
        <v>0.41299999999999998</v>
      </c>
      <c r="BV227" s="48">
        <v>0.63400000000000001</v>
      </c>
      <c r="BW227" s="48">
        <v>0.76900000000000002</v>
      </c>
      <c r="BX227" s="48">
        <v>0.82599999999999996</v>
      </c>
      <c r="BY227" s="48">
        <v>0.93200000000000005</v>
      </c>
      <c r="BZ227" s="48">
        <v>0.98</v>
      </c>
      <c r="CA227" s="48">
        <v>1</v>
      </c>
      <c r="CB227" s="48">
        <v>0.99</v>
      </c>
      <c r="CC227" s="48">
        <v>0.97099999999999997</v>
      </c>
      <c r="CD227" s="48">
        <v>0.94199999999999995</v>
      </c>
      <c r="CE227" s="48">
        <v>0.875</v>
      </c>
      <c r="CF227" s="48">
        <v>0.79800000000000004</v>
      </c>
      <c r="CG227" s="48">
        <v>0.77800000000000002</v>
      </c>
      <c r="CH227" s="48">
        <v>0.73999999999999988</v>
      </c>
      <c r="CI227" s="48">
        <v>0.74999999999999989</v>
      </c>
      <c r="CJ227" s="48">
        <v>0.72099999999999997</v>
      </c>
      <c r="CK227" s="48">
        <v>0.70099999999999996</v>
      </c>
      <c r="CL227" s="48">
        <v>0.64400000000000002</v>
      </c>
      <c r="CM227" s="48">
        <v>0.59599999999999997</v>
      </c>
      <c r="CN227" s="48">
        <v>0.55700000000000005</v>
      </c>
      <c r="CO227" s="48">
        <v>0.5</v>
      </c>
      <c r="CP227" s="48">
        <v>0.45100000000000001</v>
      </c>
      <c r="CQ227" s="48">
        <v>0.40300000000000002</v>
      </c>
      <c r="CR227" s="48">
        <v>0.57599999999999996</v>
      </c>
      <c r="CS227" s="48">
        <v>0.49</v>
      </c>
      <c r="CT227" s="48">
        <v>0.53800000000000003</v>
      </c>
      <c r="CU227" s="48">
        <v>0.42299999999999999</v>
      </c>
      <c r="CV227" s="48">
        <v>0.50900000000000001</v>
      </c>
      <c r="CW227" s="48">
        <v>0.47099999999999997</v>
      </c>
      <c r="CX227" s="48">
        <v>0.52800000000000002</v>
      </c>
      <c r="CY227" s="48">
        <v>0.56699999999999995</v>
      </c>
      <c r="CZ227" s="48">
        <v>0.60499999999999998</v>
      </c>
      <c r="DA227" s="48">
        <v>0.54800000000000004</v>
      </c>
      <c r="DB227" s="48">
        <v>0.46100000000000002</v>
      </c>
      <c r="DC227" s="48">
        <v>0.39400000000000002</v>
      </c>
      <c r="DD227" s="48">
        <v>0.33599999999999997</v>
      </c>
      <c r="DE227" s="48">
        <v>0.35499999999999998</v>
      </c>
      <c r="DF227" s="48">
        <v>0.32600000000000001</v>
      </c>
    </row>
    <row r="228" spans="1:110" x14ac:dyDescent="0.2">
      <c r="A228" s="52" t="s">
        <v>137</v>
      </c>
      <c r="B228" s="47">
        <f t="shared" si="156"/>
        <v>0.69999999999998397</v>
      </c>
      <c r="C228" s="47">
        <f t="shared" si="157"/>
        <v>-8.2857142857143025</v>
      </c>
      <c r="D228" s="49" t="e">
        <f t="shared" ref="D228:D259" ca="1" si="213">_xludf.STDEV.P(W228:DF228)*100</f>
        <v>#NAME?</v>
      </c>
      <c r="E228" s="47"/>
      <c r="F228" s="48">
        <v>0.45814285714285691</v>
      </c>
      <c r="G228" s="48">
        <v>0.47999999999999987</v>
      </c>
      <c r="H228" s="48">
        <v>0.51442857142857135</v>
      </c>
      <c r="I228" s="48">
        <v>0.54099999999999993</v>
      </c>
      <c r="J228" s="48">
        <v>0.52357142857142858</v>
      </c>
      <c r="K228" s="48">
        <v>0.51457142857142846</v>
      </c>
      <c r="L228" s="48">
        <v>0.44414285714285706</v>
      </c>
      <c r="M228" s="48">
        <v>0.40499999999999986</v>
      </c>
      <c r="N228" s="48">
        <v>0.37014285714285711</v>
      </c>
      <c r="O228" s="48">
        <v>0.36899999999999994</v>
      </c>
      <c r="P228" s="48">
        <v>0.3924285714285714</v>
      </c>
      <c r="Q228" s="48">
        <v>0.45114285714285707</v>
      </c>
      <c r="R228" s="48">
        <v>0.49985714285714278</v>
      </c>
      <c r="S228" s="48">
        <v>0.53799999999999981</v>
      </c>
      <c r="T228" s="48">
        <v>0.47799999999999976</v>
      </c>
      <c r="U228" s="48">
        <v>0.38628571428571418</v>
      </c>
      <c r="V228" s="48">
        <v>0.313</v>
      </c>
      <c r="W228" s="48">
        <v>0.19885714285714282</v>
      </c>
      <c r="X228" s="48">
        <v>9.7857142857142837E-2</v>
      </c>
      <c r="Y228" s="48">
        <v>6.1571428571428582E-2</v>
      </c>
      <c r="Z228" s="48">
        <v>5.4428571428571444E-2</v>
      </c>
      <c r="AA228" s="48">
        <v>3.671428571428572E-2</v>
      </c>
      <c r="AB228" s="48">
        <v>3.77142857142857E-2</v>
      </c>
      <c r="AC228" s="48">
        <v>2.5142857142857133E-2</v>
      </c>
      <c r="AD228" s="48">
        <v>6.714285714285703E-3</v>
      </c>
      <c r="AE228" s="48">
        <v>1.1142857142857142E-2</v>
      </c>
      <c r="AF228" s="48">
        <v>4.2142857142857142E-2</v>
      </c>
      <c r="AG228" s="48">
        <v>7.2571428571428565E-2</v>
      </c>
      <c r="AH228" s="48">
        <v>0.10199999999999998</v>
      </c>
      <c r="AI228" s="48">
        <v>0.15871428571428572</v>
      </c>
      <c r="AJ228" s="48">
        <v>0.19657142857142856</v>
      </c>
      <c r="AK228" s="48">
        <v>0.26785714285714274</v>
      </c>
      <c r="AL228" s="48">
        <v>0.33614285714285702</v>
      </c>
      <c r="AM228" s="48">
        <v>0.39142857142857129</v>
      </c>
      <c r="AN228" s="48">
        <v>0.5109999999999999</v>
      </c>
      <c r="AO228" s="48">
        <v>0.59657142857142853</v>
      </c>
      <c r="AP228" s="48">
        <v>0.67714285714285716</v>
      </c>
      <c r="AQ228" s="48">
        <v>0.80842857142857161</v>
      </c>
      <c r="AR228" s="48">
        <v>0.89414285714285735</v>
      </c>
      <c r="AS228" s="48">
        <v>0.92971428571428583</v>
      </c>
      <c r="AT228" s="48">
        <v>0.95214285714285718</v>
      </c>
      <c r="AU228" s="48">
        <v>0.93471428571428572</v>
      </c>
      <c r="AV228" s="48">
        <v>0.90785714285714292</v>
      </c>
      <c r="AW228" s="48">
        <v>0.86857142857142844</v>
      </c>
      <c r="AX228" s="48">
        <v>0.83499999999999985</v>
      </c>
      <c r="AY228" s="48">
        <v>0.7947142857142856</v>
      </c>
      <c r="AZ228" s="48">
        <v>0.72514285714285709</v>
      </c>
      <c r="BA228" s="48">
        <v>0.70942857142857141</v>
      </c>
      <c r="BB228" s="48">
        <v>0.64371428571428568</v>
      </c>
      <c r="BC228" s="48">
        <v>0.53199999999999981</v>
      </c>
      <c r="BD228" s="48">
        <v>0.43285714285714255</v>
      </c>
      <c r="BE228" s="48">
        <v>0.39399999999999968</v>
      </c>
      <c r="BF228" s="48">
        <v>0.37285714285714261</v>
      </c>
      <c r="BG228" s="48">
        <v>0.34971428571428553</v>
      </c>
      <c r="BH228" s="48">
        <v>0.28357142857142853</v>
      </c>
      <c r="BI228" s="48">
        <v>0.21157142857142852</v>
      </c>
      <c r="BJ228" s="48">
        <v>0.20557142857142849</v>
      </c>
      <c r="BK228" s="48">
        <v>0.24114285714285696</v>
      </c>
      <c r="BL228" s="48">
        <v>0.25299999999999978</v>
      </c>
      <c r="BM228" s="48">
        <v>0.25314285714285695</v>
      </c>
      <c r="BN228" s="48">
        <v>0.24557142857142841</v>
      </c>
      <c r="BO228" s="48">
        <v>0.25457142857142845</v>
      </c>
      <c r="BP228" s="48">
        <v>0.28585714285714287</v>
      </c>
      <c r="BQ228" s="48">
        <v>0.3615714285714286</v>
      </c>
      <c r="BR228" s="48">
        <v>0.4741428571428572</v>
      </c>
      <c r="BS228" s="48">
        <v>0.5278571428571428</v>
      </c>
      <c r="BT228" s="48">
        <v>0.52814285714285714</v>
      </c>
      <c r="BU228" s="48">
        <v>0.48585714285714299</v>
      </c>
      <c r="BV228" s="48">
        <v>0.47728571428571448</v>
      </c>
      <c r="BW228" s="48">
        <v>0.4791428571428572</v>
      </c>
      <c r="BX228" s="48">
        <v>0.53028571428571436</v>
      </c>
      <c r="BY228" s="48">
        <v>0.54414285714285726</v>
      </c>
      <c r="BZ228" s="48">
        <v>0.59585714285714297</v>
      </c>
      <c r="CA228" s="48">
        <v>0.60628571428571421</v>
      </c>
      <c r="CB228" s="48">
        <v>0.59885714285714275</v>
      </c>
      <c r="CC228" s="48">
        <v>0.61585714285714288</v>
      </c>
      <c r="CD228" s="48">
        <v>0.6080000000000001</v>
      </c>
      <c r="CE228" s="48">
        <v>0.60314285714285731</v>
      </c>
      <c r="CF228" s="48">
        <v>0.57442857142857162</v>
      </c>
      <c r="CG228" s="48">
        <v>0.63900000000000012</v>
      </c>
      <c r="CH228" s="48">
        <v>0.65842857142857159</v>
      </c>
      <c r="CI228" s="48">
        <v>0.69314285714285717</v>
      </c>
      <c r="CJ228" s="48">
        <v>0.67228571428571438</v>
      </c>
      <c r="CK228" s="48">
        <v>0.70428571428571429</v>
      </c>
      <c r="CL228" s="48">
        <v>0.71442857142857152</v>
      </c>
      <c r="CM228" s="48">
        <v>0.76157142857142857</v>
      </c>
      <c r="CN228" s="48">
        <v>0.81700000000000006</v>
      </c>
      <c r="CO228" s="48">
        <v>0.8520000000000002</v>
      </c>
      <c r="CP228" s="48">
        <v>0.88800000000000001</v>
      </c>
      <c r="CQ228" s="48">
        <v>0.92528571428571438</v>
      </c>
      <c r="CR228" s="48">
        <v>0.94300000000000006</v>
      </c>
      <c r="CS228" s="48">
        <v>0.93399999999999994</v>
      </c>
      <c r="CT228" s="48">
        <v>0.88357142857142879</v>
      </c>
      <c r="CU228" s="48">
        <v>0.8132857142857145</v>
      </c>
      <c r="CV228" s="48">
        <v>0.7667142857142859</v>
      </c>
      <c r="CW228" s="48">
        <v>0.71542857142857152</v>
      </c>
      <c r="CX228" s="48">
        <v>0.71342857142857163</v>
      </c>
      <c r="CY228" s="48">
        <v>0.7101428571428573</v>
      </c>
      <c r="CZ228" s="48">
        <v>0.68728571428571439</v>
      </c>
      <c r="DA228" s="48">
        <v>0.42700000000000016</v>
      </c>
      <c r="DB228" s="48">
        <v>0.40228571428571447</v>
      </c>
      <c r="DC228" s="48">
        <v>0.39414285714285735</v>
      </c>
      <c r="DD228" s="48">
        <v>0.38857142857142873</v>
      </c>
      <c r="DE228" s="48">
        <v>0.38042857142857167</v>
      </c>
      <c r="DF228" s="48">
        <v>0.38728571428571451</v>
      </c>
    </row>
    <row r="229" spans="1:110" x14ac:dyDescent="0.2">
      <c r="A229" s="52" t="s">
        <v>139</v>
      </c>
      <c r="B229" s="47">
        <f t="shared" si="156"/>
        <v>26.900000000000002</v>
      </c>
      <c r="C229" s="47">
        <f t="shared" si="157"/>
        <v>1.0000000000000009</v>
      </c>
      <c r="D229" s="49" t="e">
        <f t="shared" ref="D229:D260" ca="1" si="214">_xludf.STDEV.P(W229:DF229)*100</f>
        <v>#NAME?</v>
      </c>
      <c r="E229" s="47"/>
      <c r="F229" s="48">
        <v>0.86499999999999999</v>
      </c>
      <c r="G229" s="48">
        <v>0.91300000000000003</v>
      </c>
      <c r="H229" s="48">
        <v>0.88400000000000001</v>
      </c>
      <c r="I229" s="48">
        <v>0.85499999999999998</v>
      </c>
      <c r="J229" s="48">
        <v>0.90300000000000002</v>
      </c>
      <c r="K229" s="48">
        <v>0.83599999999999997</v>
      </c>
      <c r="L229" s="48">
        <v>0.82599999999999996</v>
      </c>
      <c r="M229" s="48">
        <v>0.75900000000000001</v>
      </c>
      <c r="N229" s="48">
        <v>0.80700000000000005</v>
      </c>
      <c r="O229" s="48">
        <v>0.70099999999999996</v>
      </c>
      <c r="P229" s="48">
        <v>0.68200000000000005</v>
      </c>
      <c r="Q229" s="48">
        <v>0.59599999999999997</v>
      </c>
      <c r="R229" s="48">
        <v>0.625</v>
      </c>
      <c r="S229" s="48">
        <v>0.45100000000000001</v>
      </c>
      <c r="T229" s="48">
        <v>0.307</v>
      </c>
      <c r="U229" s="48">
        <v>0.16300000000000001</v>
      </c>
      <c r="V229" s="48">
        <v>0.105</v>
      </c>
      <c r="W229" s="48">
        <v>8.5999999999999993E-2</v>
      </c>
      <c r="X229" s="48">
        <v>7.5999999999999998E-2</v>
      </c>
      <c r="Y229" s="48">
        <v>4.8000000000000001E-2</v>
      </c>
      <c r="Z229" s="48">
        <v>8.9999999999999993E-3</v>
      </c>
      <c r="AA229" s="48">
        <v>0</v>
      </c>
      <c r="AB229" s="48">
        <v>1.9E-2</v>
      </c>
      <c r="AC229" s="48">
        <v>5.7000000000000002E-2</v>
      </c>
      <c r="AD229" s="48">
        <v>2.8000000000000001E-2</v>
      </c>
      <c r="AE229" s="48">
        <v>3.7999999999999999E-2</v>
      </c>
      <c r="AF229" s="48">
        <v>6.7000000000000004E-2</v>
      </c>
      <c r="AG229" s="48">
        <v>0.182</v>
      </c>
      <c r="AH229" s="48">
        <v>0.27800000000000002</v>
      </c>
      <c r="AI229" s="48">
        <v>0.56699999999999995</v>
      </c>
      <c r="AJ229" s="48">
        <v>0.72099999999999997</v>
      </c>
      <c r="AK229" s="48">
        <v>0.78800000000000003</v>
      </c>
      <c r="AL229" s="48">
        <v>0.81699999999999995</v>
      </c>
      <c r="AM229" s="48">
        <v>0.79800000000000004</v>
      </c>
      <c r="AN229" s="48">
        <v>0.875</v>
      </c>
      <c r="AO229" s="48">
        <v>0.89400000000000002</v>
      </c>
      <c r="AP229" s="48">
        <v>0.93200000000000005</v>
      </c>
      <c r="AQ229" s="48">
        <v>0.92300000000000004</v>
      </c>
      <c r="AR229" s="48">
        <v>0.98</v>
      </c>
      <c r="AS229" s="48">
        <v>1</v>
      </c>
      <c r="AT229" s="48">
        <v>0.99</v>
      </c>
      <c r="AU229" s="48">
        <v>0.96099999999999997</v>
      </c>
      <c r="AV229" s="48">
        <v>0.94199999999999995</v>
      </c>
      <c r="AW229" s="48">
        <v>0.97099999999999997</v>
      </c>
      <c r="AX229" s="48">
        <v>0.95099999999999996</v>
      </c>
      <c r="AY229" s="48">
        <v>0.84599999999999997</v>
      </c>
      <c r="AZ229" s="48">
        <v>0.76900000000000002</v>
      </c>
      <c r="BA229" s="48">
        <v>0.77800000000000002</v>
      </c>
      <c r="BB229" s="48">
        <v>0.75</v>
      </c>
      <c r="BC229" s="48">
        <v>0.74</v>
      </c>
      <c r="BD229" s="48">
        <v>0.57599999999999996</v>
      </c>
      <c r="BE229" s="48">
        <v>0.35499999999999998</v>
      </c>
      <c r="BF229" s="48">
        <v>0.25900000000000001</v>
      </c>
      <c r="BG229" s="48">
        <v>0.317</v>
      </c>
      <c r="BH229" s="48">
        <v>0.33600000000000002</v>
      </c>
      <c r="BI229" s="48">
        <v>0.24000000000000002</v>
      </c>
      <c r="BJ229" s="48">
        <v>0.34599999999999997</v>
      </c>
      <c r="BK229" s="48">
        <v>0.39400000000000002</v>
      </c>
      <c r="BL229" s="48">
        <v>0.49</v>
      </c>
      <c r="BM229" s="48">
        <v>0.29799999999999999</v>
      </c>
      <c r="BN229" s="48">
        <v>0.192</v>
      </c>
      <c r="BO229" s="48">
        <v>0.153</v>
      </c>
      <c r="BP229" s="48">
        <v>0.125</v>
      </c>
      <c r="BQ229" s="48">
        <v>0.14399999999999999</v>
      </c>
      <c r="BR229" s="48">
        <v>0.20100000000000001</v>
      </c>
      <c r="BS229" s="48">
        <v>0.221</v>
      </c>
      <c r="BT229" s="48">
        <v>0.17299999999999999</v>
      </c>
      <c r="BU229" s="48">
        <v>0.115</v>
      </c>
      <c r="BV229" s="48">
        <v>9.6000000000000002E-2</v>
      </c>
      <c r="BW229" s="48">
        <v>0.13400000000000001</v>
      </c>
      <c r="BX229" s="48">
        <v>0.21099999999999999</v>
      </c>
      <c r="BY229" s="48">
        <v>0.32600000000000001</v>
      </c>
      <c r="BZ229" s="48">
        <v>0.38400000000000001</v>
      </c>
      <c r="CA229" s="48">
        <v>0.40300000000000002</v>
      </c>
      <c r="CB229" s="48">
        <v>0.442</v>
      </c>
      <c r="CC229" s="48">
        <v>0.51900000000000002</v>
      </c>
      <c r="CD229" s="48">
        <v>0.50900000000000001</v>
      </c>
      <c r="CE229" s="48">
        <v>0.432</v>
      </c>
      <c r="CF229" s="48">
        <v>0.36499999999999999</v>
      </c>
      <c r="CG229" s="48">
        <v>0.61499999999999999</v>
      </c>
      <c r="CH229" s="48">
        <v>0.63400000000000001</v>
      </c>
      <c r="CI229" s="48">
        <v>0.64400000000000002</v>
      </c>
      <c r="CJ229" s="48">
        <v>0.41299999999999998</v>
      </c>
      <c r="CK229" s="48">
        <v>0.42299999999999999</v>
      </c>
      <c r="CL229" s="48">
        <v>0.5</v>
      </c>
      <c r="CM229" s="48">
        <v>0.53800000000000003</v>
      </c>
      <c r="CN229" s="48">
        <v>0.54800000000000004</v>
      </c>
      <c r="CO229" s="48">
        <v>0.55700000000000005</v>
      </c>
      <c r="CP229" s="48">
        <v>0.46100000000000002</v>
      </c>
      <c r="CQ229" s="48">
        <v>0.52800000000000002</v>
      </c>
      <c r="CR229" s="48">
        <v>0.66300000000000003</v>
      </c>
      <c r="CS229" s="48">
        <v>0.60499999999999998</v>
      </c>
      <c r="CT229" s="48">
        <v>0.58599999999999997</v>
      </c>
      <c r="CU229" s="48">
        <v>0.47099999999999997</v>
      </c>
      <c r="CV229" s="48">
        <v>0.65300000000000002</v>
      </c>
      <c r="CW229" s="48">
        <v>0.69199999999999995</v>
      </c>
      <c r="CX229" s="48">
        <v>0.73</v>
      </c>
      <c r="CY229" s="48">
        <v>0.71099999999999997</v>
      </c>
      <c r="CZ229" s="48">
        <v>0.67300000000000004</v>
      </c>
      <c r="DA229" s="48">
        <v>0.48000000000000004</v>
      </c>
      <c r="DB229" s="48">
        <v>0.375</v>
      </c>
      <c r="DC229" s="48">
        <v>0.28799999999999998</v>
      </c>
      <c r="DD229" s="48">
        <v>0.23</v>
      </c>
      <c r="DE229" s="48">
        <v>0.25</v>
      </c>
      <c r="DF229" s="48">
        <v>0.26900000000000002</v>
      </c>
    </row>
    <row r="230" spans="1:110" x14ac:dyDescent="0.2">
      <c r="A230" s="52" t="s">
        <v>141</v>
      </c>
      <c r="B230" s="47">
        <f t="shared" si="156"/>
        <v>19.7</v>
      </c>
      <c r="C230" s="47">
        <f t="shared" si="157"/>
        <v>-9.1999999999999975</v>
      </c>
      <c r="D230" s="49" t="e">
        <f t="shared" ref="D230:D261" ca="1" si="215">_xludf.STDEV.P(W230:DF230)*100</f>
        <v>#NAME?</v>
      </c>
      <c r="E230" s="47"/>
      <c r="F230" s="48">
        <v>0.66749999999999998</v>
      </c>
      <c r="G230" s="48">
        <v>0.69650000000000001</v>
      </c>
      <c r="H230" s="48">
        <v>0.71550000000000002</v>
      </c>
      <c r="I230" s="48">
        <v>0.75949999999999995</v>
      </c>
      <c r="J230" s="48">
        <v>0.74949999999999994</v>
      </c>
      <c r="K230" s="48">
        <v>0.74949999999999994</v>
      </c>
      <c r="L230" s="48">
        <v>0.58600000000000008</v>
      </c>
      <c r="M230" s="48">
        <v>0.54749999999999999</v>
      </c>
      <c r="N230" s="48">
        <v>0.45599999999999996</v>
      </c>
      <c r="O230" s="48">
        <v>0.46549999999999997</v>
      </c>
      <c r="P230" s="48">
        <v>0.44200000000000006</v>
      </c>
      <c r="Q230" s="48">
        <v>0.47049999999999997</v>
      </c>
      <c r="R230" s="48">
        <v>0.40799999999999997</v>
      </c>
      <c r="S230" s="48">
        <v>0.36950000000000005</v>
      </c>
      <c r="T230" s="48">
        <v>0.28799999999999998</v>
      </c>
      <c r="U230" s="48">
        <v>0.14399999999999999</v>
      </c>
      <c r="V230" s="48">
        <v>0.1105</v>
      </c>
      <c r="W230" s="48">
        <v>0.1245</v>
      </c>
      <c r="X230" s="48">
        <v>0.25900000000000001</v>
      </c>
      <c r="Y230" s="48">
        <v>0.1585</v>
      </c>
      <c r="Z230" s="48">
        <v>9.6000000000000002E-2</v>
      </c>
      <c r="AA230" s="48">
        <v>9.6000000000000002E-2</v>
      </c>
      <c r="AB230" s="48">
        <v>0.2495</v>
      </c>
      <c r="AC230" s="48">
        <v>0.379</v>
      </c>
      <c r="AD230" s="48">
        <v>0.40349999999999997</v>
      </c>
      <c r="AE230" s="48">
        <v>0.39399999999999996</v>
      </c>
      <c r="AF230" s="48">
        <v>0.39849999999999997</v>
      </c>
      <c r="AG230" s="48">
        <v>0.36950000000000005</v>
      </c>
      <c r="AH230" s="48">
        <v>0.47549999999999998</v>
      </c>
      <c r="AI230" s="48">
        <v>0.57650000000000001</v>
      </c>
      <c r="AJ230" s="48">
        <v>0.52850000000000008</v>
      </c>
      <c r="AK230" s="48">
        <v>0.47549999999999998</v>
      </c>
      <c r="AL230" s="48">
        <v>0.47549999999999998</v>
      </c>
      <c r="AM230" s="48">
        <v>0.56199999999999994</v>
      </c>
      <c r="AN230" s="48">
        <v>0.55199999999999994</v>
      </c>
      <c r="AO230" s="48">
        <v>0.54749999999999999</v>
      </c>
      <c r="AP230" s="48">
        <v>0.57150000000000001</v>
      </c>
      <c r="AQ230" s="48">
        <v>0.629</v>
      </c>
      <c r="AR230" s="48">
        <v>0.64849999999999997</v>
      </c>
      <c r="AS230" s="48">
        <v>0.67749999999999999</v>
      </c>
      <c r="AT230" s="48">
        <v>0.64400000000000002</v>
      </c>
      <c r="AU230" s="48">
        <v>0.58150000000000002</v>
      </c>
      <c r="AV230" s="48">
        <v>0.62449999999999994</v>
      </c>
      <c r="AW230" s="48">
        <v>0.75449999999999995</v>
      </c>
      <c r="AX230" s="48">
        <v>0.754</v>
      </c>
      <c r="AY230" s="48">
        <v>0.73549999999999993</v>
      </c>
      <c r="AZ230" s="48">
        <v>0.56700000000000006</v>
      </c>
      <c r="BA230" s="48">
        <v>0.46600000000000003</v>
      </c>
      <c r="BB230" s="48">
        <v>0.41750000000000004</v>
      </c>
      <c r="BC230" s="48">
        <v>0.35050000000000003</v>
      </c>
      <c r="BD230" s="48">
        <v>0.3165</v>
      </c>
      <c r="BE230" s="48">
        <v>0.2445</v>
      </c>
      <c r="BF230" s="48">
        <v>0.312</v>
      </c>
      <c r="BG230" s="48">
        <v>0.53349999999999997</v>
      </c>
      <c r="BH230" s="48">
        <v>0.65350000000000008</v>
      </c>
      <c r="BI230" s="48">
        <v>0.60550000000000004</v>
      </c>
      <c r="BJ230" s="48">
        <v>0.59549999999999992</v>
      </c>
      <c r="BK230" s="48">
        <v>0.70650000000000002</v>
      </c>
      <c r="BL230" s="48">
        <v>0.71099999999999997</v>
      </c>
      <c r="BM230" s="48">
        <v>0.67249999999999999</v>
      </c>
      <c r="BN230" s="48">
        <v>0.61950000000000005</v>
      </c>
      <c r="BO230" s="48">
        <v>0.59599999999999997</v>
      </c>
      <c r="BP230" s="48">
        <v>0.49950000000000006</v>
      </c>
      <c r="BQ230" s="48">
        <v>0.46100000000000002</v>
      </c>
      <c r="BR230" s="48">
        <v>0.58650000000000002</v>
      </c>
      <c r="BS230" s="48">
        <v>0.68200000000000005</v>
      </c>
      <c r="BT230" s="48">
        <v>0.53349999999999997</v>
      </c>
      <c r="BU230" s="48">
        <v>0.36449999999999999</v>
      </c>
      <c r="BV230" s="48">
        <v>0.11</v>
      </c>
      <c r="BW230" s="48">
        <v>5.2500000000000005E-2</v>
      </c>
      <c r="BX230" s="48">
        <v>0.10500000000000001</v>
      </c>
      <c r="BY230" s="48">
        <v>0.24000000000000002</v>
      </c>
      <c r="BZ230" s="48">
        <v>0.53299999999999992</v>
      </c>
      <c r="CA230" s="48">
        <v>0.68200000000000005</v>
      </c>
      <c r="CB230" s="48">
        <v>0.75900000000000001</v>
      </c>
      <c r="CC230" s="48">
        <v>0.77850000000000008</v>
      </c>
      <c r="CD230" s="48">
        <v>0.72549999999999992</v>
      </c>
      <c r="CE230" s="48">
        <v>0.6825</v>
      </c>
      <c r="CF230" s="48">
        <v>0.45150000000000001</v>
      </c>
      <c r="CG230" s="48">
        <v>0.44650000000000001</v>
      </c>
      <c r="CH230" s="48">
        <v>0.42749999999999999</v>
      </c>
      <c r="CI230" s="48">
        <v>0.62449999999999994</v>
      </c>
      <c r="CJ230" s="48">
        <v>0.66299999999999992</v>
      </c>
      <c r="CK230" s="48">
        <v>0.74</v>
      </c>
      <c r="CL230" s="48">
        <v>0.74949999999999994</v>
      </c>
      <c r="CM230" s="48">
        <v>0.70650000000000002</v>
      </c>
      <c r="CN230" s="48">
        <v>0.68699999999999994</v>
      </c>
      <c r="CO230" s="48">
        <v>0.71150000000000002</v>
      </c>
      <c r="CP230" s="48">
        <v>0.77800000000000002</v>
      </c>
      <c r="CQ230" s="48">
        <v>0.83599999999999997</v>
      </c>
      <c r="CR230" s="48">
        <v>0.90350000000000008</v>
      </c>
      <c r="CS230" s="48">
        <v>0.8075</v>
      </c>
      <c r="CT230" s="48">
        <v>0.70650000000000013</v>
      </c>
      <c r="CU230" s="48">
        <v>0.52850000000000008</v>
      </c>
      <c r="CV230" s="48">
        <v>0.495</v>
      </c>
      <c r="CW230" s="48">
        <v>0.38900000000000001</v>
      </c>
      <c r="CX230" s="48">
        <v>0.45150000000000007</v>
      </c>
      <c r="CY230" s="48">
        <v>0.45649999999999996</v>
      </c>
      <c r="CZ230" s="48">
        <v>0.33100000000000002</v>
      </c>
      <c r="DA230" s="48">
        <v>0.27350000000000002</v>
      </c>
      <c r="DB230" s="48">
        <v>0.17749999999999999</v>
      </c>
      <c r="DC230" s="48">
        <v>0.19649999999999998</v>
      </c>
      <c r="DD230" s="48">
        <v>0.13899999999999998</v>
      </c>
      <c r="DE230" s="48">
        <v>0.1295</v>
      </c>
      <c r="DF230" s="48">
        <v>8.6499999999999994E-2</v>
      </c>
    </row>
    <row r="231" spans="1:110" x14ac:dyDescent="0.2">
      <c r="A231" s="52" t="s">
        <v>143</v>
      </c>
      <c r="B231" s="47">
        <f t="shared" si="156"/>
        <v>66.385714285714286</v>
      </c>
      <c r="C231" s="47">
        <f t="shared" si="157"/>
        <v>10.714285714285721</v>
      </c>
      <c r="D231" s="49" t="e">
        <f t="shared" ref="D231:D262" ca="1" si="216">_xludf.STDEV.P(W231:DF231)*100</f>
        <v>#NAME?</v>
      </c>
      <c r="E231" s="47"/>
      <c r="F231" s="48">
        <v>0.84957142857142853</v>
      </c>
      <c r="G231" s="48">
        <v>0.84185714285714275</v>
      </c>
      <c r="H231" s="48">
        <v>0.80071428571428571</v>
      </c>
      <c r="I231" s="48">
        <v>0.74242857142857133</v>
      </c>
      <c r="J231" s="48">
        <v>0.67642857142857138</v>
      </c>
      <c r="K231" s="48">
        <v>0.66114285714285703</v>
      </c>
      <c r="L231" s="48">
        <v>0.61914285714285711</v>
      </c>
      <c r="M231" s="48">
        <v>0.56171428571428561</v>
      </c>
      <c r="N231" s="48">
        <v>0.46828571428571425</v>
      </c>
      <c r="O231" s="48">
        <v>0.37742857142857128</v>
      </c>
      <c r="P231" s="48">
        <v>0.31142857142857133</v>
      </c>
      <c r="Q231" s="48">
        <v>0.18571428571428561</v>
      </c>
      <c r="R231" s="48">
        <v>0.14457142857142843</v>
      </c>
      <c r="S231" s="48">
        <v>0.11971428571428556</v>
      </c>
      <c r="T231" s="48">
        <v>4.5285714285714221E-2</v>
      </c>
      <c r="U231" s="48">
        <v>5.2999999999999936E-2</v>
      </c>
      <c r="V231" s="48">
        <v>6.1571428571428506E-2</v>
      </c>
      <c r="W231" s="48">
        <v>4.9857142857142843E-2</v>
      </c>
      <c r="X231" s="48">
        <v>6.1999999999999972E-2</v>
      </c>
      <c r="Y231" s="48">
        <v>8.1714285714285698E-2</v>
      </c>
      <c r="Z231" s="48">
        <v>9.6142857142857141E-2</v>
      </c>
      <c r="AA231" s="48">
        <v>0.15685714285714286</v>
      </c>
      <c r="AB231" s="48">
        <v>0.2288571428571429</v>
      </c>
      <c r="AC231" s="48">
        <v>0.25742857142857145</v>
      </c>
      <c r="AD231" s="48">
        <v>0.28914285714285715</v>
      </c>
      <c r="AE231" s="48">
        <v>0.34757142857142859</v>
      </c>
      <c r="AF231" s="48">
        <v>0.38371428571428579</v>
      </c>
      <c r="AG231" s="48">
        <v>0.43114285714285711</v>
      </c>
      <c r="AH231" s="48">
        <v>0.46885714285714281</v>
      </c>
      <c r="AI231" s="48">
        <v>0.46157142857142863</v>
      </c>
      <c r="AJ231" s="48">
        <v>0.48957142857142866</v>
      </c>
      <c r="AK231" s="48">
        <v>0.53414285714285725</v>
      </c>
      <c r="AL231" s="48">
        <v>0.60828571428571432</v>
      </c>
      <c r="AM231" s="48">
        <v>0.65128571428571436</v>
      </c>
      <c r="AN231" s="48">
        <v>0.73242857142857143</v>
      </c>
      <c r="AO231" s="48">
        <v>0.74157142857142866</v>
      </c>
      <c r="AP231" s="48">
        <v>0.73685714285714288</v>
      </c>
      <c r="AQ231" s="48">
        <v>0.76400000000000012</v>
      </c>
      <c r="AR231" s="48">
        <v>0.77785714285714302</v>
      </c>
      <c r="AS231" s="48">
        <v>0.77228571428571435</v>
      </c>
      <c r="AT231" s="48">
        <v>0.7400000000000001</v>
      </c>
      <c r="AU231" s="48">
        <v>0.74528571428571411</v>
      </c>
      <c r="AV231" s="48">
        <v>0.69299999999999995</v>
      </c>
      <c r="AW231" s="48">
        <v>0.66999999999999993</v>
      </c>
      <c r="AX231" s="48">
        <v>0.62528571428571422</v>
      </c>
      <c r="AY231" s="48">
        <v>0.60728571428571421</v>
      </c>
      <c r="AZ231" s="48">
        <v>0.55799999999999994</v>
      </c>
      <c r="BA231" s="48">
        <v>0.50471428571428567</v>
      </c>
      <c r="BB231" s="48">
        <v>0.41271428571428564</v>
      </c>
      <c r="BC231" s="48">
        <v>0.38714285714285701</v>
      </c>
      <c r="BD231" s="48">
        <v>0.40699999999999986</v>
      </c>
      <c r="BE231" s="48">
        <v>0.47742857142857131</v>
      </c>
      <c r="BF231" s="48">
        <v>0.49828571428571422</v>
      </c>
      <c r="BG231" s="48">
        <v>0.40028571428571436</v>
      </c>
      <c r="BH231" s="48">
        <v>0.35571428571428582</v>
      </c>
      <c r="BI231" s="48">
        <v>0.2717142857142858</v>
      </c>
      <c r="BJ231" s="48">
        <v>0.20914285714285716</v>
      </c>
      <c r="BK231" s="48">
        <v>0.15014285714285716</v>
      </c>
      <c r="BL231" s="48">
        <v>0.16071428571428559</v>
      </c>
      <c r="BM231" s="48">
        <v>0.15914285714285703</v>
      </c>
      <c r="BN231" s="48">
        <v>0.22628571428571415</v>
      </c>
      <c r="BO231" s="48">
        <v>0.23314285714285704</v>
      </c>
      <c r="BP231" s="48">
        <v>0.20471428571428557</v>
      </c>
      <c r="BQ231" s="48">
        <v>0.19942857142857132</v>
      </c>
      <c r="BR231" s="48">
        <v>0.21985714285714278</v>
      </c>
      <c r="BS231" s="48">
        <v>0.27714285714285708</v>
      </c>
      <c r="BT231" s="48">
        <v>0.30714285714285711</v>
      </c>
      <c r="BU231" s="48">
        <v>0.3249999999999999</v>
      </c>
      <c r="BV231" s="48">
        <v>0.34714285714285714</v>
      </c>
      <c r="BW231" s="48">
        <v>0.39285714285714285</v>
      </c>
      <c r="BX231" s="48">
        <v>0.44328571428571428</v>
      </c>
      <c r="BY231" s="48">
        <v>0.51528571428571435</v>
      </c>
      <c r="BZ231" s="48">
        <v>0.53357142857142859</v>
      </c>
      <c r="CA231" s="48">
        <v>0.57300000000000006</v>
      </c>
      <c r="CB231" s="48">
        <v>0.62028571428571433</v>
      </c>
      <c r="CC231" s="48">
        <v>0.6348571428571429</v>
      </c>
      <c r="CD231" s="48">
        <v>0.68828571428571428</v>
      </c>
      <c r="CE231" s="48">
        <v>0.69285714285714284</v>
      </c>
      <c r="CF231" s="48">
        <v>0.74728571428571433</v>
      </c>
      <c r="CG231" s="48">
        <v>0.76714285714285713</v>
      </c>
      <c r="CH231" s="48">
        <v>0.79328571428571426</v>
      </c>
      <c r="CI231" s="48">
        <v>0.82557142857142862</v>
      </c>
      <c r="CJ231" s="48">
        <v>0.82614285714285718</v>
      </c>
      <c r="CK231" s="48">
        <v>0.86257142857142866</v>
      </c>
      <c r="CL231" s="48">
        <v>0.87885714285714289</v>
      </c>
      <c r="CM231" s="48">
        <v>0.88657142857142857</v>
      </c>
      <c r="CN231" s="48">
        <v>0.89514285714285713</v>
      </c>
      <c r="CO231" s="48">
        <v>0.9037142857142858</v>
      </c>
      <c r="CP231" s="48">
        <v>0.92000000000000015</v>
      </c>
      <c r="CQ231" s="48">
        <v>0.9285714285714286</v>
      </c>
      <c r="CR231" s="48">
        <v>0.91142857142857148</v>
      </c>
      <c r="CS231" s="48">
        <v>0.87028571428571444</v>
      </c>
      <c r="CT231" s="48">
        <v>0.85400000000000009</v>
      </c>
      <c r="CU231" s="48">
        <v>0.83771428571428574</v>
      </c>
      <c r="CV231" s="48">
        <v>0.76314285714285723</v>
      </c>
      <c r="CW231" s="48">
        <v>0.65600000000000003</v>
      </c>
      <c r="CX231" s="48">
        <v>0.58228571428571418</v>
      </c>
      <c r="CY231" s="48">
        <v>0.53257142857142858</v>
      </c>
      <c r="CZ231" s="48">
        <v>0.45800000000000002</v>
      </c>
      <c r="DA231" s="48">
        <v>0.35085714285714281</v>
      </c>
      <c r="DB231" s="48">
        <v>0.28571428571428564</v>
      </c>
      <c r="DC231" s="48">
        <v>0.22742857142857134</v>
      </c>
      <c r="DD231" s="48">
        <v>0.23599999999999993</v>
      </c>
      <c r="DE231" s="48">
        <v>0.24371428571428566</v>
      </c>
      <c r="DF231" s="48">
        <v>0.26085714285714284</v>
      </c>
    </row>
    <row r="232" spans="1:110" x14ac:dyDescent="0.2">
      <c r="A232" s="52" t="s">
        <v>145</v>
      </c>
      <c r="B232" s="47">
        <f t="shared" si="156"/>
        <v>10.899999999999999</v>
      </c>
      <c r="C232" s="47">
        <f t="shared" si="157"/>
        <v>-1.0750000000000037</v>
      </c>
      <c r="D232" s="49" t="e">
        <f t="shared" ref="D232:D263" ca="1" si="217">_xludf.STDEV.P(W232:DF232)*100</f>
        <v>#NAME?</v>
      </c>
      <c r="E232" s="47"/>
      <c r="F232" s="48">
        <v>0.67225000000000001</v>
      </c>
      <c r="G232" s="48">
        <v>0.74124999999999996</v>
      </c>
      <c r="H232" s="48">
        <v>0.72050000000000003</v>
      </c>
      <c r="I232" s="48">
        <v>0.68300000000000005</v>
      </c>
      <c r="J232" s="48">
        <v>0.68174999999999997</v>
      </c>
      <c r="K232" s="48">
        <v>0.60399999999999998</v>
      </c>
      <c r="L232" s="48">
        <v>0.52625</v>
      </c>
      <c r="M232" s="48">
        <v>0.48625000000000007</v>
      </c>
      <c r="N232" s="48">
        <v>0.57874999999999988</v>
      </c>
      <c r="O232" s="48">
        <v>0.65800000000000003</v>
      </c>
      <c r="P232" s="48">
        <v>0.51950000000000007</v>
      </c>
      <c r="Q232" s="48">
        <v>0.56325000000000003</v>
      </c>
      <c r="R232" s="48">
        <v>0.52074999999999994</v>
      </c>
      <c r="S232" s="48">
        <v>0.53300000000000003</v>
      </c>
      <c r="T232" s="48">
        <v>0.39175000000000004</v>
      </c>
      <c r="U232" s="48">
        <v>0.47874999999999995</v>
      </c>
      <c r="V232" s="48">
        <v>0.53900000000000003</v>
      </c>
      <c r="W232" s="48">
        <v>0.60199999999999998</v>
      </c>
      <c r="X232" s="48">
        <v>0.60050000000000003</v>
      </c>
      <c r="Y232" s="48">
        <v>0.55675000000000008</v>
      </c>
      <c r="Z232" s="48">
        <v>0.47649999999999998</v>
      </c>
      <c r="AA232" s="48">
        <v>0.42725000000000002</v>
      </c>
      <c r="AB232" s="48">
        <v>0.43099999999999999</v>
      </c>
      <c r="AC232" s="48">
        <v>0.51875000000000004</v>
      </c>
      <c r="AD232" s="48">
        <v>0.61650000000000005</v>
      </c>
      <c r="AE232" s="48">
        <v>0.60849999999999993</v>
      </c>
      <c r="AF232" s="48">
        <v>0.60350000000000004</v>
      </c>
      <c r="AG232" s="48">
        <v>0.72575000000000012</v>
      </c>
      <c r="AH232" s="48">
        <v>0.62974999999999992</v>
      </c>
      <c r="AI232" s="48">
        <v>0.54425000000000001</v>
      </c>
      <c r="AJ232" s="48">
        <v>0.58549999999999991</v>
      </c>
      <c r="AK232" s="48">
        <v>0.65475000000000005</v>
      </c>
      <c r="AL232" s="48">
        <v>0.69674999999999998</v>
      </c>
      <c r="AM232" s="48">
        <v>0.60224999999999995</v>
      </c>
      <c r="AN232" s="48">
        <v>0.63524999999999998</v>
      </c>
      <c r="AO232" s="48">
        <v>0.58299999999999996</v>
      </c>
      <c r="AP232" s="48">
        <v>0.52</v>
      </c>
      <c r="AQ232" s="48">
        <v>0.63424999999999998</v>
      </c>
      <c r="AR232" s="48">
        <v>0.63475000000000004</v>
      </c>
      <c r="AS232" s="48">
        <v>0.68599999999999994</v>
      </c>
      <c r="AT232" s="48">
        <v>0.625</v>
      </c>
      <c r="AU232" s="48">
        <v>0.81374999999999997</v>
      </c>
      <c r="AV232" s="48">
        <v>0.92325000000000002</v>
      </c>
      <c r="AW232" s="48">
        <v>0.90574999999999994</v>
      </c>
      <c r="AX232" s="48">
        <v>0.84649999999999992</v>
      </c>
      <c r="AY232" s="48">
        <v>0.85024999999999995</v>
      </c>
      <c r="AZ232" s="48">
        <v>0.53825000000000001</v>
      </c>
      <c r="BA232" s="48">
        <v>0.38324999999999998</v>
      </c>
      <c r="BB232" s="48">
        <v>0.30399999999999999</v>
      </c>
      <c r="BC232" s="48">
        <v>0.33524999999999999</v>
      </c>
      <c r="BD232" s="48">
        <v>0.35375000000000001</v>
      </c>
      <c r="BE232" s="48">
        <v>0.37950000000000006</v>
      </c>
      <c r="BF232" s="48">
        <v>0.43975000000000003</v>
      </c>
      <c r="BG232" s="48">
        <v>0.36025000000000001</v>
      </c>
      <c r="BH232" s="48">
        <v>0.20175000000000004</v>
      </c>
      <c r="BI232" s="48">
        <v>0.12375</v>
      </c>
      <c r="BJ232" s="48">
        <v>0.13749999999999998</v>
      </c>
      <c r="BK232" s="48">
        <v>0.17225000000000001</v>
      </c>
      <c r="BL232" s="48">
        <v>0.23549999999999999</v>
      </c>
      <c r="BM232" s="48">
        <v>0.34499999999999997</v>
      </c>
      <c r="BN232" s="48">
        <v>0.35424999999999995</v>
      </c>
      <c r="BO232" s="48">
        <v>0.35050000000000003</v>
      </c>
      <c r="BP232" s="48">
        <v>0.32474999999999998</v>
      </c>
      <c r="BQ232" s="48">
        <v>0.34325</v>
      </c>
      <c r="BR232" s="48">
        <v>0.37575000000000003</v>
      </c>
      <c r="BS232" s="48">
        <v>0.36875000000000002</v>
      </c>
      <c r="BT232" s="48">
        <v>0.28125</v>
      </c>
      <c r="BU232" s="48">
        <v>0.22250000000000006</v>
      </c>
      <c r="BV232" s="48">
        <v>0.16175</v>
      </c>
      <c r="BW232" s="48">
        <v>0.20899999999999999</v>
      </c>
      <c r="BX232" s="48">
        <v>0.25849999999999995</v>
      </c>
      <c r="BY232" s="48">
        <v>0.30550000000000005</v>
      </c>
      <c r="BZ232" s="48">
        <v>0.32499999999999996</v>
      </c>
      <c r="CA232" s="48">
        <v>0.28574999999999995</v>
      </c>
      <c r="CB232" s="48">
        <v>0.29725000000000001</v>
      </c>
      <c r="CC232" s="48">
        <v>0.46099999999999997</v>
      </c>
      <c r="CD232" s="48">
        <v>0.46375</v>
      </c>
      <c r="CE232" s="48">
        <v>0.43000000000000005</v>
      </c>
      <c r="CF232" s="48">
        <v>0.32649999999999996</v>
      </c>
      <c r="CG232" s="48">
        <v>0.36499999999999999</v>
      </c>
      <c r="CH232" s="48">
        <v>0.44674999999999998</v>
      </c>
      <c r="CI232" s="48">
        <v>0.49249999999999999</v>
      </c>
      <c r="CJ232" s="48">
        <v>0.49974999999999997</v>
      </c>
      <c r="CK232" s="48">
        <v>0.51650000000000007</v>
      </c>
      <c r="CL232" s="48">
        <v>0.47575000000000006</v>
      </c>
      <c r="CM232" s="48">
        <v>0.48275000000000001</v>
      </c>
      <c r="CN232" s="48">
        <v>0.53100000000000003</v>
      </c>
      <c r="CO232" s="48">
        <v>0.53825000000000001</v>
      </c>
      <c r="CP232" s="48">
        <v>0.55499999999999994</v>
      </c>
      <c r="CQ232" s="48">
        <v>0.5694999999999999</v>
      </c>
      <c r="CR232" s="48">
        <v>0.71350000000000002</v>
      </c>
      <c r="CS232" s="48">
        <v>0.66300000000000003</v>
      </c>
      <c r="CT232" s="48">
        <v>0.67525000000000002</v>
      </c>
      <c r="CU232" s="48">
        <v>0.53800000000000003</v>
      </c>
      <c r="CV232" s="48">
        <v>0.57899999999999996</v>
      </c>
      <c r="CW232" s="48">
        <v>0.57425000000000004</v>
      </c>
      <c r="CX232" s="48">
        <v>0.61749999999999994</v>
      </c>
      <c r="CY232" s="48">
        <v>0.63425000000000009</v>
      </c>
      <c r="CZ232" s="48">
        <v>0.57899999999999996</v>
      </c>
      <c r="DA232" s="48">
        <v>0.53549999999999998</v>
      </c>
      <c r="DB232" s="48">
        <v>0.43225000000000002</v>
      </c>
      <c r="DC232" s="48">
        <v>0.41050000000000009</v>
      </c>
      <c r="DD232" s="48">
        <v>0.37725000000000003</v>
      </c>
      <c r="DE232" s="48">
        <v>0.36749999999999999</v>
      </c>
      <c r="DF232" s="48">
        <v>0.38449999999999995</v>
      </c>
    </row>
    <row r="233" spans="1:110" x14ac:dyDescent="0.2">
      <c r="A233" s="52" t="s">
        <v>147</v>
      </c>
      <c r="B233" s="47">
        <f t="shared" si="156"/>
        <v>20.200000000000006</v>
      </c>
      <c r="C233" s="47">
        <f t="shared" si="157"/>
        <v>5.0750000000000073</v>
      </c>
      <c r="D233" s="49" t="e">
        <f t="shared" ref="D233:D264" ca="1" si="218">_xludf.STDEV.P(W233:DF233)*100</f>
        <v>#NAME?</v>
      </c>
      <c r="E233" s="47"/>
      <c r="F233" s="48">
        <v>0.72075000000000011</v>
      </c>
      <c r="G233" s="48">
        <v>0.72075000000000011</v>
      </c>
      <c r="H233" s="48">
        <v>0.70125000000000004</v>
      </c>
      <c r="I233" s="48">
        <v>0.67</v>
      </c>
      <c r="J233" s="48">
        <v>0.54275000000000007</v>
      </c>
      <c r="K233" s="48">
        <v>0.54275000000000007</v>
      </c>
      <c r="L233" s="48">
        <v>0.53300000000000003</v>
      </c>
      <c r="M233" s="48">
        <v>0.51900000000000002</v>
      </c>
      <c r="N233" s="48">
        <v>0.50649999999999995</v>
      </c>
      <c r="O233" s="48">
        <v>0.49950000000000006</v>
      </c>
      <c r="P233" s="48">
        <v>0.49975000000000003</v>
      </c>
      <c r="Q233" s="48">
        <v>0.51875000000000004</v>
      </c>
      <c r="R233" s="48">
        <v>0.48750000000000004</v>
      </c>
      <c r="S233" s="48">
        <v>0.49724999999999997</v>
      </c>
      <c r="T233" s="48">
        <v>0.51149999999999995</v>
      </c>
      <c r="U233" s="48">
        <v>0.52600000000000002</v>
      </c>
      <c r="V233" s="48">
        <v>0.54050000000000009</v>
      </c>
      <c r="W233" s="48">
        <v>0.56950000000000001</v>
      </c>
      <c r="X233" s="48">
        <v>0.57874999999999999</v>
      </c>
      <c r="Y233" s="48">
        <v>0.58600000000000008</v>
      </c>
      <c r="Z233" s="48">
        <v>0.60050000000000003</v>
      </c>
      <c r="AA233" s="48">
        <v>0.61725000000000019</v>
      </c>
      <c r="AB233" s="48">
        <v>0.63174999999999992</v>
      </c>
      <c r="AC233" s="48">
        <v>0.66300000000000014</v>
      </c>
      <c r="AD233" s="48">
        <v>0.67025000000000001</v>
      </c>
      <c r="AE233" s="48">
        <v>0.67474999999999996</v>
      </c>
      <c r="AF233" s="48">
        <v>0.6825</v>
      </c>
      <c r="AG233" s="48">
        <v>0.69425000000000003</v>
      </c>
      <c r="AH233" s="48">
        <v>0.71150000000000002</v>
      </c>
      <c r="AI233" s="48">
        <v>0.72325000000000006</v>
      </c>
      <c r="AJ233" s="48">
        <v>0.71599999999999997</v>
      </c>
      <c r="AK233" s="48">
        <v>0.69924999999999993</v>
      </c>
      <c r="AL233" s="48">
        <v>0.69450000000000001</v>
      </c>
      <c r="AM233" s="48">
        <v>0.60775000000000001</v>
      </c>
      <c r="AN233" s="48">
        <v>0.62224999999999997</v>
      </c>
      <c r="AO233" s="48">
        <v>0.60775000000000001</v>
      </c>
      <c r="AP233" s="48">
        <v>0.56449999999999989</v>
      </c>
      <c r="AQ233" s="48">
        <v>0.50900000000000001</v>
      </c>
      <c r="AR233" s="48">
        <v>0.502</v>
      </c>
      <c r="AS233" s="48">
        <v>0.51649999999999996</v>
      </c>
      <c r="AT233" s="48">
        <v>0.53050000000000008</v>
      </c>
      <c r="AU233" s="48">
        <v>0.53325</v>
      </c>
      <c r="AV233" s="48">
        <v>0.49250000000000005</v>
      </c>
      <c r="AW233" s="48">
        <v>0.46825</v>
      </c>
      <c r="AX233" s="48">
        <v>0.40825</v>
      </c>
      <c r="AY233" s="48">
        <v>0.35050000000000003</v>
      </c>
      <c r="AZ233" s="48">
        <v>0.34325</v>
      </c>
      <c r="BA233" s="48">
        <v>0.3914999999999999</v>
      </c>
      <c r="BB233" s="48">
        <v>0.42025000000000001</v>
      </c>
      <c r="BC233" s="48">
        <v>0.44175000000000003</v>
      </c>
      <c r="BD233" s="48">
        <v>0.45124999999999998</v>
      </c>
      <c r="BE233" s="48">
        <v>0.50675000000000003</v>
      </c>
      <c r="BF233" s="48">
        <v>0.51149999999999995</v>
      </c>
      <c r="BG233" s="48">
        <v>0.50450000000000006</v>
      </c>
      <c r="BH233" s="48">
        <v>0.442</v>
      </c>
      <c r="BI233" s="48">
        <v>0.35300000000000004</v>
      </c>
      <c r="BJ233" s="48">
        <v>0.27100000000000002</v>
      </c>
      <c r="BK233" s="48">
        <v>0.26124999999999993</v>
      </c>
      <c r="BL233" s="48">
        <v>0.27849999999999997</v>
      </c>
      <c r="BM233" s="48">
        <v>0.30025000000000002</v>
      </c>
      <c r="BN233" s="48">
        <v>0.34099999999999997</v>
      </c>
      <c r="BO233" s="48">
        <v>0.377</v>
      </c>
      <c r="BP233" s="48">
        <v>0.39625000000000005</v>
      </c>
      <c r="BQ233" s="48">
        <v>0.39374999999999999</v>
      </c>
      <c r="BR233" s="48">
        <v>0.36025000000000001</v>
      </c>
      <c r="BS233" s="48">
        <v>0.32650000000000001</v>
      </c>
      <c r="BT233" s="48">
        <v>0.312</v>
      </c>
      <c r="BU233" s="48">
        <v>0.34800000000000003</v>
      </c>
      <c r="BV233" s="48">
        <v>0.38400000000000001</v>
      </c>
      <c r="BW233" s="48">
        <v>0.38424999999999998</v>
      </c>
      <c r="BX233" s="48">
        <v>0.36249999999999999</v>
      </c>
      <c r="BY233" s="48">
        <v>0.32400000000000001</v>
      </c>
      <c r="BZ233" s="48">
        <v>0.34575</v>
      </c>
      <c r="CA233" s="48">
        <v>0.38175000000000003</v>
      </c>
      <c r="CB233" s="48">
        <v>0.40825</v>
      </c>
      <c r="CC233" s="48">
        <v>0.44924999999999998</v>
      </c>
      <c r="CD233" s="48">
        <v>0.502</v>
      </c>
      <c r="CE233" s="48">
        <v>0.61750000000000005</v>
      </c>
      <c r="CF233" s="48">
        <v>0.67749999999999988</v>
      </c>
      <c r="CG233" s="48">
        <v>0.6895</v>
      </c>
      <c r="CH233" s="48">
        <v>0.70399999999999996</v>
      </c>
      <c r="CI233" s="48">
        <v>0.70850000000000002</v>
      </c>
      <c r="CJ233" s="48">
        <v>0.64624999999999999</v>
      </c>
      <c r="CK233" s="48">
        <v>0.51400000000000001</v>
      </c>
      <c r="CL233" s="48">
        <v>0.43224999999999997</v>
      </c>
      <c r="CM233" s="48">
        <v>0.3145</v>
      </c>
      <c r="CN233" s="48">
        <v>0.26650000000000001</v>
      </c>
      <c r="CO233" s="48">
        <v>0.25675000000000003</v>
      </c>
      <c r="CP233" s="48">
        <v>0.30225000000000002</v>
      </c>
      <c r="CQ233" s="48">
        <v>0.30474999999999997</v>
      </c>
      <c r="CR233" s="48">
        <v>0.30725000000000002</v>
      </c>
      <c r="CS233" s="48">
        <v>0.32624999999999998</v>
      </c>
      <c r="CT233" s="48">
        <v>0.3745</v>
      </c>
      <c r="CU233" s="48">
        <v>0.40825</v>
      </c>
      <c r="CV233" s="48">
        <v>0.45400000000000001</v>
      </c>
      <c r="CW233" s="48">
        <v>0.47524999999999995</v>
      </c>
      <c r="CX233" s="48">
        <v>0.49250000000000005</v>
      </c>
      <c r="CY233" s="48">
        <v>0.50224999999999997</v>
      </c>
      <c r="CZ233" s="48">
        <v>0.51649999999999996</v>
      </c>
      <c r="DA233" s="48">
        <v>0.51875000000000004</v>
      </c>
      <c r="DB233" s="48">
        <v>0.51400000000000001</v>
      </c>
      <c r="DC233" s="48">
        <v>0.46124999999999999</v>
      </c>
      <c r="DD233" s="48">
        <v>0.39874999999999999</v>
      </c>
      <c r="DE233" s="48">
        <v>0.35050000000000003</v>
      </c>
      <c r="DF233" s="48">
        <v>0.32175000000000004</v>
      </c>
    </row>
    <row r="234" spans="1:110" x14ac:dyDescent="0.2">
      <c r="A234" s="52" t="s">
        <v>149</v>
      </c>
      <c r="B234" s="47">
        <f t="shared" si="156"/>
        <v>-30.75</v>
      </c>
      <c r="C234" s="47">
        <f t="shared" si="157"/>
        <v>-2.3999999999999995</v>
      </c>
      <c r="D234" s="49" t="e">
        <f t="shared" ref="D234:D265" ca="1" si="219">_xludf.STDEV.P(W234:DF234)*100</f>
        <v>#NAME?</v>
      </c>
      <c r="E234" s="47"/>
      <c r="F234" s="48">
        <v>0.16800000000000001</v>
      </c>
      <c r="G234" s="48">
        <v>0.16800000000000001</v>
      </c>
      <c r="H234" s="48">
        <v>0.16800000000000001</v>
      </c>
      <c r="I234" s="48">
        <v>0.192</v>
      </c>
      <c r="J234" s="48">
        <v>0.19700000000000004</v>
      </c>
      <c r="K234" s="48">
        <v>0.25</v>
      </c>
      <c r="L234" s="48">
        <v>0.1535</v>
      </c>
      <c r="M234" s="48">
        <v>0.17250000000000004</v>
      </c>
      <c r="N234" s="48">
        <v>0.21150000000000002</v>
      </c>
      <c r="O234" s="48">
        <v>0.32149999999999995</v>
      </c>
      <c r="P234" s="48">
        <v>0.3745</v>
      </c>
      <c r="Q234" s="48">
        <v>0.47550000000000003</v>
      </c>
      <c r="R234" s="48">
        <v>0.46550000000000002</v>
      </c>
      <c r="S234" s="48">
        <v>0.53800000000000003</v>
      </c>
      <c r="T234" s="48">
        <v>0.63450000000000006</v>
      </c>
      <c r="U234" s="48">
        <v>0.73049999999999993</v>
      </c>
      <c r="V234" s="48">
        <v>0.75449999999999995</v>
      </c>
      <c r="W234" s="48">
        <v>0.79749999999999999</v>
      </c>
      <c r="X234" s="48">
        <v>0.82150000000000001</v>
      </c>
      <c r="Y234" s="48">
        <v>0.82650000000000001</v>
      </c>
      <c r="Z234" s="48">
        <v>0.84100000000000008</v>
      </c>
      <c r="AA234" s="48">
        <v>0.81199999999999994</v>
      </c>
      <c r="AB234" s="48">
        <v>0.80700000000000005</v>
      </c>
      <c r="AC234" s="48">
        <v>0.66300000000000003</v>
      </c>
      <c r="AD234" s="48">
        <v>0.67249999999999999</v>
      </c>
      <c r="AE234" s="48">
        <v>0.70150000000000001</v>
      </c>
      <c r="AF234" s="48">
        <v>0.75900000000000001</v>
      </c>
      <c r="AG234" s="48">
        <v>0.76400000000000001</v>
      </c>
      <c r="AH234" s="48">
        <v>0.79250000000000009</v>
      </c>
      <c r="AI234" s="48">
        <v>0.8600000000000001</v>
      </c>
      <c r="AJ234" s="48">
        <v>0.91800000000000004</v>
      </c>
      <c r="AK234" s="48">
        <v>0.94200000000000006</v>
      </c>
      <c r="AL234" s="48">
        <v>0.95150000000000012</v>
      </c>
      <c r="AM234" s="48">
        <v>0.95150000000000012</v>
      </c>
      <c r="AN234" s="48">
        <v>0.94200000000000006</v>
      </c>
      <c r="AO234" s="48">
        <v>0.91799999999999982</v>
      </c>
      <c r="AP234" s="48">
        <v>0.88400000000000012</v>
      </c>
      <c r="AQ234" s="48">
        <v>0.75449999999999995</v>
      </c>
      <c r="AR234" s="48">
        <v>0.69200000000000006</v>
      </c>
      <c r="AS234" s="48">
        <v>0.6825</v>
      </c>
      <c r="AT234" s="48">
        <v>0.61499999999999999</v>
      </c>
      <c r="AU234" s="48">
        <v>0.4945</v>
      </c>
      <c r="AV234" s="48">
        <v>0.44149999999999995</v>
      </c>
      <c r="AW234" s="48">
        <v>0.44149999999999995</v>
      </c>
      <c r="AX234" s="48">
        <v>0.48</v>
      </c>
      <c r="AY234" s="48">
        <v>0.53800000000000003</v>
      </c>
      <c r="AZ234" s="48">
        <v>0.54749999999999999</v>
      </c>
      <c r="BA234" s="48">
        <v>0.52849999999999997</v>
      </c>
      <c r="BB234" s="48">
        <v>0.52849999999999997</v>
      </c>
      <c r="BC234" s="48">
        <v>0.54299999999999993</v>
      </c>
      <c r="BD234" s="48">
        <v>0.54749999999999999</v>
      </c>
      <c r="BE234" s="48">
        <v>0.51850000000000007</v>
      </c>
      <c r="BF234" s="48">
        <v>0.48</v>
      </c>
      <c r="BG234" s="48">
        <v>0.48</v>
      </c>
      <c r="BH234" s="48">
        <v>0.48</v>
      </c>
      <c r="BI234" s="48">
        <v>0.38900000000000007</v>
      </c>
      <c r="BJ234" s="48">
        <v>0.31200000000000006</v>
      </c>
      <c r="BK234" s="48">
        <v>0.27350000000000002</v>
      </c>
      <c r="BL234" s="48">
        <v>0.28800000000000003</v>
      </c>
      <c r="BM234" s="48">
        <v>0.28800000000000003</v>
      </c>
      <c r="BN234" s="48">
        <v>0.307</v>
      </c>
      <c r="BO234" s="48">
        <v>0.32649999999999996</v>
      </c>
      <c r="BP234" s="48">
        <v>0.39350000000000002</v>
      </c>
      <c r="BQ234" s="48">
        <v>0.44650000000000006</v>
      </c>
      <c r="BR234" s="48">
        <v>0.45599999999999996</v>
      </c>
      <c r="BS234" s="48">
        <v>0.45599999999999996</v>
      </c>
      <c r="BT234" s="48">
        <v>0.49</v>
      </c>
      <c r="BU234" s="48">
        <v>0.54749999999999999</v>
      </c>
      <c r="BV234" s="48">
        <v>0.629</v>
      </c>
      <c r="BW234" s="48">
        <v>0.63400000000000001</v>
      </c>
      <c r="BX234" s="48">
        <v>0.59550000000000003</v>
      </c>
      <c r="BY234" s="48">
        <v>0.55699999999999994</v>
      </c>
      <c r="BZ234" s="48">
        <v>0.56199999999999994</v>
      </c>
      <c r="CA234" s="48">
        <v>0.57150000000000001</v>
      </c>
      <c r="CB234" s="48">
        <v>0.56199999999999994</v>
      </c>
      <c r="CC234" s="48">
        <v>0.53350000000000009</v>
      </c>
      <c r="CD234" s="48">
        <v>0.52850000000000008</v>
      </c>
      <c r="CE234" s="48">
        <v>0.52350000000000008</v>
      </c>
      <c r="CF234" s="48">
        <v>0.52350000000000008</v>
      </c>
      <c r="CG234" s="48">
        <v>0.50900000000000001</v>
      </c>
      <c r="CH234" s="48">
        <v>0.50900000000000001</v>
      </c>
      <c r="CI234" s="48">
        <v>0.50900000000000001</v>
      </c>
      <c r="CJ234" s="48">
        <v>0.50900000000000001</v>
      </c>
      <c r="CK234" s="48">
        <v>0.504</v>
      </c>
      <c r="CL234" s="48">
        <v>0.49950000000000006</v>
      </c>
      <c r="CM234" s="48">
        <v>0.47550000000000003</v>
      </c>
      <c r="CN234" s="48">
        <v>0.46100000000000002</v>
      </c>
      <c r="CO234" s="48">
        <v>0.44650000000000006</v>
      </c>
      <c r="CP234" s="48">
        <v>0.45150000000000007</v>
      </c>
      <c r="CQ234" s="48">
        <v>0.44699999999999995</v>
      </c>
      <c r="CR234" s="48">
        <v>0.437</v>
      </c>
      <c r="CS234" s="48">
        <v>0.34550000000000003</v>
      </c>
      <c r="CT234" s="48">
        <v>0.34550000000000003</v>
      </c>
      <c r="CU234" s="48">
        <v>0.30199999999999999</v>
      </c>
      <c r="CV234" s="48">
        <v>0.20150000000000004</v>
      </c>
      <c r="CW234" s="48">
        <v>0.10049999999999999</v>
      </c>
      <c r="CX234" s="48">
        <v>7.6499999999999985E-2</v>
      </c>
      <c r="CY234" s="48">
        <v>7.6499999999999985E-2</v>
      </c>
      <c r="CZ234" s="48">
        <v>7.6499999999999985E-2</v>
      </c>
      <c r="DA234" s="48">
        <v>7.6499999999999985E-2</v>
      </c>
      <c r="DB234" s="48">
        <v>7.1499999999999994E-2</v>
      </c>
      <c r="DC234" s="48">
        <v>6.649999999999999E-2</v>
      </c>
      <c r="DD234" s="48">
        <v>5.7499999999999996E-2</v>
      </c>
      <c r="DE234" s="48">
        <v>4.2999999999999997E-2</v>
      </c>
      <c r="DF234" s="48">
        <v>3.7999999999999999E-2</v>
      </c>
    </row>
    <row r="235" spans="1:110" x14ac:dyDescent="0.2">
      <c r="A235" s="52" t="s">
        <v>151</v>
      </c>
      <c r="B235" s="47">
        <f t="shared" si="156"/>
        <v>-65.566666666666663</v>
      </c>
      <c r="C235" s="47">
        <f t="shared" si="157"/>
        <v>0</v>
      </c>
      <c r="D235" s="49" t="e">
        <f t="shared" ref="D235:D266" ca="1" si="220">_xludf.STDEV.P(W235:DF235)*100</f>
        <v>#NAME?</v>
      </c>
      <c r="E235" s="47"/>
      <c r="F235" s="48">
        <v>5.9000000000000025E-2</v>
      </c>
      <c r="G235" s="48">
        <v>5.9000000000000025E-2</v>
      </c>
      <c r="H235" s="48">
        <v>5.9000000000000025E-2</v>
      </c>
      <c r="I235" s="48">
        <v>5.9000000000000025E-2</v>
      </c>
      <c r="J235" s="48">
        <v>5.9000000000000025E-2</v>
      </c>
      <c r="K235" s="48">
        <v>5.9000000000000025E-2</v>
      </c>
      <c r="L235" s="48">
        <v>0.11966666666666674</v>
      </c>
      <c r="M235" s="48">
        <v>0.45200000000000001</v>
      </c>
      <c r="N235" s="48">
        <v>0.57233333333333336</v>
      </c>
      <c r="O235" s="48">
        <v>0.71300000000000019</v>
      </c>
      <c r="P235" s="48">
        <v>0.71533333333333349</v>
      </c>
      <c r="Q235" s="48">
        <v>0.71466666666666667</v>
      </c>
      <c r="R235" s="48">
        <v>0.67666666666666664</v>
      </c>
      <c r="S235" s="48">
        <v>0.68866666666666665</v>
      </c>
      <c r="T235" s="48">
        <v>0.66133333333333333</v>
      </c>
      <c r="U235" s="48">
        <v>0.71033333333333326</v>
      </c>
      <c r="V235" s="48">
        <v>0.81466666666666665</v>
      </c>
      <c r="W235" s="48">
        <v>0.82566666666666666</v>
      </c>
      <c r="X235" s="48">
        <v>0.7240000000000002</v>
      </c>
      <c r="Y235" s="48">
        <v>0.56900000000000006</v>
      </c>
      <c r="Z235" s="48">
        <v>0.41299999999999998</v>
      </c>
      <c r="AA235" s="48">
        <v>0.26866666666666661</v>
      </c>
      <c r="AB235" s="48">
        <v>0.29266666666666658</v>
      </c>
      <c r="AC235" s="48">
        <v>0.35433333333333328</v>
      </c>
      <c r="AD235" s="48">
        <v>0.378</v>
      </c>
      <c r="AE235" s="48">
        <v>0.38900000000000001</v>
      </c>
      <c r="AF235" s="48">
        <v>0.33400000000000007</v>
      </c>
      <c r="AG235" s="48">
        <v>0.25833333333333347</v>
      </c>
      <c r="AH235" s="48">
        <v>0.19100000000000006</v>
      </c>
      <c r="AI235" s="48">
        <v>0.2019999999999999</v>
      </c>
      <c r="AJ235" s="48">
        <v>0.31466666666666654</v>
      </c>
      <c r="AK235" s="48">
        <v>0.56399999999999995</v>
      </c>
      <c r="AL235" s="48">
        <v>0.63366666666666671</v>
      </c>
      <c r="AM235" s="48">
        <v>0.70100000000000007</v>
      </c>
      <c r="AN235" s="48">
        <v>0.56999999999999995</v>
      </c>
      <c r="AO235" s="48">
        <v>0.58333333333333337</v>
      </c>
      <c r="AP235" s="48">
        <v>0.62799999999999978</v>
      </c>
      <c r="AQ235" s="48">
        <v>0.63400000000000001</v>
      </c>
      <c r="AR235" s="48">
        <v>0.64066666666666661</v>
      </c>
      <c r="AS235" s="48">
        <v>0.60199999999999998</v>
      </c>
      <c r="AT235" s="48">
        <v>0.55066666666666664</v>
      </c>
      <c r="AU235" s="48">
        <v>0.53200000000000003</v>
      </c>
      <c r="AV235" s="48">
        <v>0.5126666666666666</v>
      </c>
      <c r="AW235" s="48">
        <v>0.50600000000000001</v>
      </c>
      <c r="AX235" s="48">
        <v>0.27533333333333343</v>
      </c>
      <c r="AY235" s="48">
        <v>0.27533333333333343</v>
      </c>
      <c r="AZ235" s="48">
        <v>0.27533333333333343</v>
      </c>
      <c r="BA235" s="48">
        <v>0.27533333333333343</v>
      </c>
      <c r="BB235" s="48">
        <v>0.27533333333333343</v>
      </c>
      <c r="BC235" s="48">
        <v>0.27533333333333343</v>
      </c>
      <c r="BD235" s="48">
        <v>0.27533333333333343</v>
      </c>
      <c r="BE235" s="48">
        <v>0.27533333333333343</v>
      </c>
      <c r="BF235" s="48">
        <v>0.27533333333333343</v>
      </c>
      <c r="BG235" s="48">
        <v>0.27533333333333343</v>
      </c>
      <c r="BH235" s="48">
        <v>0.27533333333333343</v>
      </c>
      <c r="BI235" s="48">
        <v>0.27533333333333343</v>
      </c>
      <c r="BJ235" s="48">
        <v>0.27533333333333343</v>
      </c>
      <c r="BK235" s="48">
        <v>0.26266666666666671</v>
      </c>
      <c r="BL235" s="48">
        <v>0.25000000000000011</v>
      </c>
      <c r="BM235" s="48">
        <v>0.23066666666666677</v>
      </c>
      <c r="BN235" s="48">
        <v>0.1726666666666668</v>
      </c>
      <c r="BO235" s="48">
        <v>0.1666666666666668</v>
      </c>
      <c r="BP235" s="48">
        <v>0.25600000000000012</v>
      </c>
      <c r="BQ235" s="48">
        <v>0.442</v>
      </c>
      <c r="BR235" s="48">
        <v>0.48066666666666663</v>
      </c>
      <c r="BS235" s="48">
        <v>0.5</v>
      </c>
      <c r="BT235" s="48">
        <v>0.52533333333333332</v>
      </c>
      <c r="BU235" s="48">
        <v>0.41666666666666669</v>
      </c>
      <c r="BV235" s="48">
        <v>0.37800000000000006</v>
      </c>
      <c r="BW235" s="48">
        <v>0.17933333333333343</v>
      </c>
      <c r="BX235" s="48">
        <v>0.42266666666666669</v>
      </c>
      <c r="BY235" s="48">
        <v>0.3653333333333334</v>
      </c>
      <c r="BZ235" s="48">
        <v>0.3713333333333334</v>
      </c>
      <c r="CA235" s="48">
        <v>0.39066666666666672</v>
      </c>
      <c r="CB235" s="48">
        <v>0.39733333333333332</v>
      </c>
      <c r="CC235" s="48">
        <v>0.45466666666666672</v>
      </c>
      <c r="CD235" s="48">
        <v>0.47399999999999998</v>
      </c>
      <c r="CE235" s="48">
        <v>0.67266666666666652</v>
      </c>
      <c r="CF235" s="48">
        <v>0.74333333333333329</v>
      </c>
      <c r="CG235" s="48">
        <v>0.75599999999999989</v>
      </c>
      <c r="CH235" s="48">
        <v>0.76266666666666649</v>
      </c>
      <c r="CI235" s="48">
        <v>0.77533333333333332</v>
      </c>
      <c r="CJ235" s="48">
        <v>0.76866666666666661</v>
      </c>
      <c r="CK235" s="48">
        <v>0.78199999999999992</v>
      </c>
      <c r="CL235" s="48">
        <v>0.79466666666666641</v>
      </c>
      <c r="CM235" s="48">
        <v>0.80733333333333324</v>
      </c>
      <c r="CN235" s="48">
        <v>0.83333333333333326</v>
      </c>
      <c r="CO235" s="48">
        <v>0.82666666666666666</v>
      </c>
      <c r="CP235" s="48">
        <v>0.82</v>
      </c>
      <c r="CQ235" s="48">
        <v>0.81399999999999983</v>
      </c>
      <c r="CR235" s="48">
        <v>0.80066666666666653</v>
      </c>
      <c r="CS235" s="48">
        <v>0.78800000000000003</v>
      </c>
      <c r="CT235" s="48">
        <v>0.75</v>
      </c>
      <c r="CU235" s="48">
        <v>0.73666666666666669</v>
      </c>
      <c r="CV235" s="48">
        <v>0.69199999999999995</v>
      </c>
      <c r="CW235" s="48">
        <v>0.70466666666666666</v>
      </c>
      <c r="CX235" s="48">
        <v>0.66</v>
      </c>
      <c r="CY235" s="48">
        <v>0.61533333333333329</v>
      </c>
      <c r="CZ235" s="48">
        <v>0.56399999999999995</v>
      </c>
      <c r="DA235" s="48">
        <v>0.59599999999999986</v>
      </c>
      <c r="DB235" s="48">
        <v>0.64733333333333321</v>
      </c>
      <c r="DC235" s="48">
        <v>0.71133333333333315</v>
      </c>
      <c r="DD235" s="48">
        <v>0.71733333333333327</v>
      </c>
      <c r="DE235" s="48">
        <v>0.73066666666666658</v>
      </c>
      <c r="DF235" s="48">
        <v>0.72399999999999987</v>
      </c>
    </row>
    <row r="236" spans="1:110" x14ac:dyDescent="0.2">
      <c r="A236" s="52" t="s">
        <v>153</v>
      </c>
      <c r="B236" s="47">
        <f t="shared" si="156"/>
        <v>-35.150000000000006</v>
      </c>
      <c r="C236" s="47">
        <f t="shared" si="157"/>
        <v>10.599999999999998</v>
      </c>
      <c r="D236" s="49" t="e">
        <f t="shared" ref="D236:D267" ca="1" si="221">_xludf.STDEV.P(W236:DF236)*100</f>
        <v>#NAME?</v>
      </c>
      <c r="E236" s="47"/>
      <c r="F236" s="48">
        <v>0.28049999999999997</v>
      </c>
      <c r="G236" s="48">
        <v>0.2515</v>
      </c>
      <c r="H236" s="48">
        <v>0.309</v>
      </c>
      <c r="I236" s="48">
        <v>0.17449999999999999</v>
      </c>
      <c r="J236" s="48">
        <v>0.21300000000000002</v>
      </c>
      <c r="K236" s="48">
        <v>0.2215</v>
      </c>
      <c r="L236" s="48">
        <v>0.19700000000000001</v>
      </c>
      <c r="M236" s="48">
        <v>0.1285</v>
      </c>
      <c r="N236" s="48">
        <v>0.63849999999999996</v>
      </c>
      <c r="O236" s="48">
        <v>0.81850000000000001</v>
      </c>
      <c r="P236" s="48">
        <v>0.89900000000000002</v>
      </c>
      <c r="Q236" s="48">
        <v>0.63200000000000001</v>
      </c>
      <c r="R236" s="48">
        <v>0.42799999999999994</v>
      </c>
      <c r="S236" s="48">
        <v>0.53850000000000009</v>
      </c>
      <c r="T236" s="48">
        <v>0.41650000000000004</v>
      </c>
      <c r="U236" s="48">
        <v>0.78350000000000009</v>
      </c>
      <c r="V236" s="48">
        <v>0.67849999999999999</v>
      </c>
      <c r="W236" s="48">
        <v>0.90550000000000008</v>
      </c>
      <c r="X236" s="48">
        <v>0.72399999999999998</v>
      </c>
      <c r="Y236" s="48">
        <v>0.62699999999999989</v>
      </c>
      <c r="Z236" s="48">
        <v>0.36300000000000004</v>
      </c>
      <c r="AA236" s="48">
        <v>0.2215</v>
      </c>
      <c r="AB236" s="48">
        <v>0.2135</v>
      </c>
      <c r="AC236" s="48">
        <v>0.3695</v>
      </c>
      <c r="AD236" s="48">
        <v>0.53949999999999998</v>
      </c>
      <c r="AE236" s="48">
        <v>0.52699999999999991</v>
      </c>
      <c r="AF236" s="48">
        <v>0.50199999999999989</v>
      </c>
      <c r="AG236" s="48">
        <v>0.30350000000000005</v>
      </c>
      <c r="AH236" s="48">
        <v>0.153</v>
      </c>
      <c r="AI236" s="48">
        <v>0.16650000000000001</v>
      </c>
      <c r="AJ236" s="48">
        <v>0.39050000000000001</v>
      </c>
      <c r="AK236" s="48">
        <v>0.69950000000000001</v>
      </c>
      <c r="AL236" s="48">
        <v>0.82</v>
      </c>
      <c r="AM236" s="48">
        <v>0.71750000000000003</v>
      </c>
      <c r="AN236" s="48">
        <v>0.56099999999999994</v>
      </c>
      <c r="AO236" s="48">
        <v>0.434</v>
      </c>
      <c r="AP236" s="48">
        <v>0.37999999999999995</v>
      </c>
      <c r="AQ236" s="48">
        <v>0.29200000000000004</v>
      </c>
      <c r="AR236" s="48">
        <v>0.66199999999999992</v>
      </c>
      <c r="AS236" s="48">
        <v>0.76400000000000001</v>
      </c>
      <c r="AT236" s="48">
        <v>0.82599999999999996</v>
      </c>
      <c r="AU236" s="48">
        <v>0.58200000000000007</v>
      </c>
      <c r="AV236" s="48">
        <v>0.53199999999999992</v>
      </c>
      <c r="AW236" s="48">
        <v>0.42550000000000004</v>
      </c>
      <c r="AX236" s="48">
        <v>0.54900000000000004</v>
      </c>
      <c r="AY236" s="48">
        <v>0.63049999999999995</v>
      </c>
      <c r="AZ236" s="48">
        <v>0.78</v>
      </c>
      <c r="BA236" s="48">
        <v>0.81900000000000006</v>
      </c>
      <c r="BB236" s="48">
        <v>0.79549999999999998</v>
      </c>
      <c r="BC236" s="48">
        <v>0.73650000000000004</v>
      </c>
      <c r="BD236" s="48">
        <v>0.59</v>
      </c>
      <c r="BE236" s="48">
        <v>0.53450000000000009</v>
      </c>
      <c r="BF236" s="48">
        <v>0.57150000000000001</v>
      </c>
      <c r="BG236" s="48">
        <v>0.51850000000000007</v>
      </c>
      <c r="BH236" s="48">
        <v>0.41450000000000004</v>
      </c>
      <c r="BI236" s="48">
        <v>0.29599999999999999</v>
      </c>
      <c r="BJ236" s="48">
        <v>0.35849999999999999</v>
      </c>
      <c r="BK236" s="48">
        <v>0.33850000000000002</v>
      </c>
      <c r="BL236" s="48">
        <v>0.29099999999999998</v>
      </c>
      <c r="BM236" s="48">
        <v>0.22750000000000001</v>
      </c>
      <c r="BN236" s="48">
        <v>0.27399999999999997</v>
      </c>
      <c r="BO236" s="48">
        <v>0.27700000000000002</v>
      </c>
      <c r="BP236" s="48">
        <v>0.27749999999999997</v>
      </c>
      <c r="BQ236" s="48">
        <v>0.16750000000000001</v>
      </c>
      <c r="BR236" s="48">
        <v>0.19600000000000001</v>
      </c>
      <c r="BS236" s="48">
        <v>0.26050000000000001</v>
      </c>
      <c r="BT236" s="48">
        <v>0.46600000000000003</v>
      </c>
      <c r="BU236" s="48">
        <v>0.57200000000000006</v>
      </c>
      <c r="BV236" s="48">
        <v>0.67200000000000004</v>
      </c>
      <c r="BW236" s="48">
        <v>0.68149999999999999</v>
      </c>
      <c r="BX236" s="48">
        <v>0.61699999999999999</v>
      </c>
      <c r="BY236" s="48">
        <v>0.53949999999999998</v>
      </c>
      <c r="BZ236" s="48">
        <v>0.30050000000000004</v>
      </c>
      <c r="CA236" s="48">
        <v>0.28150000000000003</v>
      </c>
      <c r="CB236" s="48">
        <v>0.41850000000000004</v>
      </c>
      <c r="CC236" s="48">
        <v>0.54049999999999998</v>
      </c>
      <c r="CD236" s="48">
        <v>0.51949999999999996</v>
      </c>
      <c r="CE236" s="48">
        <v>0.4425</v>
      </c>
      <c r="CF236" s="48">
        <v>0.48399999999999999</v>
      </c>
      <c r="CG236" s="48">
        <v>0.42949999999999999</v>
      </c>
      <c r="CH236" s="48">
        <v>0.36049999999999999</v>
      </c>
      <c r="CI236" s="48">
        <v>0.36499999999999999</v>
      </c>
      <c r="CJ236" s="48">
        <v>0.47100000000000003</v>
      </c>
      <c r="CK236" s="48">
        <v>0.495</v>
      </c>
      <c r="CL236" s="48">
        <v>0.53800000000000003</v>
      </c>
      <c r="CM236" s="48">
        <v>0.58649999999999991</v>
      </c>
      <c r="CN236" s="48">
        <v>0.59100000000000008</v>
      </c>
      <c r="CO236" s="48">
        <v>0.56700000000000006</v>
      </c>
      <c r="CP236" s="48">
        <v>0.43250000000000005</v>
      </c>
      <c r="CQ236" s="48">
        <v>0.54300000000000004</v>
      </c>
      <c r="CR236" s="48">
        <v>0.46599999999999991</v>
      </c>
      <c r="CS236" s="48">
        <v>0.45650000000000002</v>
      </c>
      <c r="CT236" s="48">
        <v>0.43750000000000006</v>
      </c>
      <c r="CU236" s="48">
        <v>0.52400000000000013</v>
      </c>
      <c r="CV236" s="48">
        <v>0.51400000000000001</v>
      </c>
      <c r="CW236" s="48">
        <v>0.61049999999999993</v>
      </c>
      <c r="CX236" s="48">
        <v>0.67300000000000004</v>
      </c>
      <c r="CY236" s="48">
        <v>0.71150000000000002</v>
      </c>
      <c r="CZ236" s="48">
        <v>0.69199999999999995</v>
      </c>
      <c r="DA236" s="48">
        <v>0.62949999999999995</v>
      </c>
      <c r="DB236" s="48">
        <v>0.69699999999999995</v>
      </c>
      <c r="DC236" s="48">
        <v>0.69699999999999995</v>
      </c>
      <c r="DD236" s="48">
        <v>0.66800000000000004</v>
      </c>
      <c r="DE236" s="48">
        <v>0.73050000000000004</v>
      </c>
      <c r="DF236" s="48">
        <v>0.75</v>
      </c>
    </row>
    <row r="237" spans="1:110" x14ac:dyDescent="0.2">
      <c r="A237" s="52" t="s">
        <v>155</v>
      </c>
      <c r="B237" s="47">
        <f t="shared" ref="B237:B300" si="222">(F237-Q237)*100</f>
        <v>-12.75</v>
      </c>
      <c r="C237" s="47">
        <f t="shared" ref="C237:C300" si="223">(F237-I237)*100</f>
        <v>-0.65000000000000058</v>
      </c>
      <c r="D237" s="49" t="e">
        <f t="shared" ref="D237:D245" ca="1" si="224">_xludf.STDEV.P(W237:DF237)*100</f>
        <v>#NAME?</v>
      </c>
      <c r="E237" s="47"/>
      <c r="F237" s="48">
        <v>0.1855</v>
      </c>
      <c r="G237" s="48">
        <v>0.20100000000000001</v>
      </c>
      <c r="H237" s="48">
        <v>0.21199999999999997</v>
      </c>
      <c r="I237" s="48">
        <v>0.192</v>
      </c>
      <c r="J237" s="48">
        <v>0.21199999999999997</v>
      </c>
      <c r="K237" s="48">
        <v>0.22750000000000004</v>
      </c>
      <c r="L237" s="48">
        <v>0.32199999999999995</v>
      </c>
      <c r="M237" s="48">
        <v>0.43450000000000005</v>
      </c>
      <c r="N237" s="48">
        <v>0.39150000000000007</v>
      </c>
      <c r="O237" s="48">
        <v>0.27200000000000002</v>
      </c>
      <c r="P237" s="48">
        <v>0.23299999999999998</v>
      </c>
      <c r="Q237" s="48">
        <v>0.313</v>
      </c>
      <c r="R237" s="48">
        <v>0.34499999999999997</v>
      </c>
      <c r="S237" s="48">
        <v>0.32650000000000001</v>
      </c>
      <c r="T237" s="48">
        <v>0.30399999999999999</v>
      </c>
      <c r="U237" s="48">
        <v>0.26</v>
      </c>
      <c r="V237" s="48">
        <v>0.19350000000000001</v>
      </c>
      <c r="W237" s="48">
        <v>0.15049999999999999</v>
      </c>
      <c r="X237" s="48">
        <v>0.13799999999999998</v>
      </c>
      <c r="Y237" s="48">
        <v>0.23299999999999998</v>
      </c>
      <c r="Z237" s="48">
        <v>0.25950000000000001</v>
      </c>
      <c r="AA237" s="48">
        <v>0.24849999999999997</v>
      </c>
      <c r="AB237" s="48">
        <v>0.14150000000000001</v>
      </c>
      <c r="AC237" s="48">
        <v>0.13450000000000001</v>
      </c>
      <c r="AD237" s="48">
        <v>0.17850000000000002</v>
      </c>
      <c r="AE237" s="48">
        <v>0.25950000000000001</v>
      </c>
      <c r="AF237" s="48">
        <v>0.23699999999999999</v>
      </c>
      <c r="AG237" s="48">
        <v>0.2155</v>
      </c>
      <c r="AH237" s="48">
        <v>0.16300000000000001</v>
      </c>
      <c r="AI237" s="48">
        <v>0.16950000000000001</v>
      </c>
      <c r="AJ237" s="48">
        <v>0.18150000000000002</v>
      </c>
      <c r="AK237" s="48">
        <v>0.31950000000000001</v>
      </c>
      <c r="AL237" s="48">
        <v>0.37549999999999994</v>
      </c>
      <c r="AM237" s="48">
        <v>0.43200000000000005</v>
      </c>
      <c r="AN237" s="48">
        <v>0.51749999999999996</v>
      </c>
      <c r="AO237" s="48">
        <v>0.57550000000000001</v>
      </c>
      <c r="AP237" s="48">
        <v>0.52550000000000008</v>
      </c>
      <c r="AQ237" s="48">
        <v>0.51300000000000001</v>
      </c>
      <c r="AR237" s="48">
        <v>0.45250000000000007</v>
      </c>
      <c r="AS237" s="48">
        <v>0.44399999999999989</v>
      </c>
      <c r="AT237" s="48">
        <v>0.47400000000000003</v>
      </c>
      <c r="AU237" s="48">
        <v>0.52799999999999991</v>
      </c>
      <c r="AV237" s="48">
        <v>0.55499999999999994</v>
      </c>
      <c r="AW237" s="48">
        <v>0.66649999999999998</v>
      </c>
      <c r="AX237" s="48">
        <v>0.72699999999999998</v>
      </c>
      <c r="AY237" s="48">
        <v>0.753</v>
      </c>
      <c r="AZ237" s="48">
        <v>0.622</v>
      </c>
      <c r="BA237" s="48">
        <v>0.60150000000000003</v>
      </c>
      <c r="BB237" s="48">
        <v>0.58450000000000002</v>
      </c>
      <c r="BC237" s="48">
        <v>0.53299999999999992</v>
      </c>
      <c r="BD237" s="48">
        <v>0.48250000000000004</v>
      </c>
      <c r="BE237" s="48">
        <v>0.45700000000000002</v>
      </c>
      <c r="BF237" s="48">
        <v>0.42450000000000004</v>
      </c>
      <c r="BG237" s="48">
        <v>0.38700000000000001</v>
      </c>
      <c r="BH237" s="48">
        <v>0.34499999999999997</v>
      </c>
      <c r="BI237" s="48">
        <v>0.32700000000000001</v>
      </c>
      <c r="BJ237" s="48">
        <v>0.34700000000000003</v>
      </c>
      <c r="BK237" s="48">
        <v>0.41550000000000004</v>
      </c>
      <c r="BL237" s="48">
        <v>0.57050000000000001</v>
      </c>
      <c r="BM237" s="48">
        <v>0.59099999999999997</v>
      </c>
      <c r="BN237" s="48">
        <v>0.61149999999999993</v>
      </c>
      <c r="BO237" s="48">
        <v>0.66999999999999993</v>
      </c>
      <c r="BP237" s="48">
        <v>0.68449999999999989</v>
      </c>
      <c r="BQ237" s="48">
        <v>0.69450000000000012</v>
      </c>
      <c r="BR237" s="48">
        <v>0.69699999999999995</v>
      </c>
      <c r="BS237" s="48">
        <v>0.70550000000000013</v>
      </c>
      <c r="BT237" s="48">
        <v>0.67549999999999999</v>
      </c>
      <c r="BU237" s="48">
        <v>0.63900000000000001</v>
      </c>
      <c r="BV237" s="48">
        <v>0.63100000000000001</v>
      </c>
      <c r="BW237" s="48">
        <v>0.6329999999999999</v>
      </c>
      <c r="BX237" s="48">
        <v>0.70400000000000007</v>
      </c>
      <c r="BY237" s="48">
        <v>0.7270000000000002</v>
      </c>
      <c r="BZ237" s="48">
        <v>0.73050000000000004</v>
      </c>
      <c r="CA237" s="48">
        <v>0.71199999999999997</v>
      </c>
      <c r="CB237" s="48">
        <v>0.70450000000000002</v>
      </c>
      <c r="CC237" s="48">
        <v>0.70250000000000001</v>
      </c>
      <c r="CD237" s="48">
        <v>0.68900000000000006</v>
      </c>
      <c r="CE237" s="48">
        <v>0.68950000000000011</v>
      </c>
      <c r="CF237" s="48">
        <v>0.71499999999999986</v>
      </c>
      <c r="CG237" s="48">
        <v>0.79849999999999999</v>
      </c>
      <c r="CH237" s="48">
        <v>0.8115</v>
      </c>
      <c r="CI237" s="48">
        <v>0.77849999999999997</v>
      </c>
      <c r="CJ237" s="48">
        <v>0.70000000000000007</v>
      </c>
      <c r="CK237" s="48">
        <v>0.73499999999999999</v>
      </c>
      <c r="CL237" s="48">
        <v>0.77749999999999997</v>
      </c>
      <c r="CM237" s="48">
        <v>0.58650000000000002</v>
      </c>
      <c r="CN237" s="48">
        <v>0.59599999999999997</v>
      </c>
      <c r="CO237" s="48">
        <v>0.60550000000000004</v>
      </c>
      <c r="CP237" s="48">
        <v>0.59100000000000008</v>
      </c>
      <c r="CQ237" s="48">
        <v>0.61499999999999999</v>
      </c>
      <c r="CR237" s="48">
        <v>0.62</v>
      </c>
      <c r="CS237" s="48">
        <v>0.42299999999999999</v>
      </c>
      <c r="CT237" s="48">
        <v>0.56699999999999995</v>
      </c>
      <c r="CU237" s="48">
        <v>0.63449999999999995</v>
      </c>
      <c r="CV237" s="48">
        <v>0.6875</v>
      </c>
      <c r="CW237" s="48">
        <v>0.69199999999999995</v>
      </c>
      <c r="CX237" s="48">
        <v>0.69699999999999995</v>
      </c>
      <c r="CY237" s="48">
        <v>0.70650000000000002</v>
      </c>
      <c r="CZ237" s="48">
        <v>0.71150000000000002</v>
      </c>
      <c r="DA237" s="48">
        <v>0.71599999999999997</v>
      </c>
      <c r="DB237" s="48">
        <v>0.72549999999999992</v>
      </c>
      <c r="DC237" s="48">
        <v>0.72099999999999997</v>
      </c>
      <c r="DD237" s="48">
        <v>0.69699999999999995</v>
      </c>
      <c r="DE237" s="48">
        <v>0.67749999999999999</v>
      </c>
      <c r="DF237" s="48">
        <v>0.67300000000000004</v>
      </c>
    </row>
    <row r="238" spans="1:110" x14ac:dyDescent="0.2">
      <c r="A238" s="52" t="s">
        <v>157</v>
      </c>
      <c r="B238" s="47">
        <f t="shared" si="222"/>
        <v>-4.3499999999999872</v>
      </c>
      <c r="C238" s="47">
        <f t="shared" si="223"/>
        <v>2.4000000000000021</v>
      </c>
      <c r="D238" s="49" t="e">
        <f t="shared" ref="D238:D246" ca="1" si="225">_xludf.STDEV.P(W238:DF238)*100</f>
        <v>#NAME?</v>
      </c>
      <c r="E238" s="47"/>
      <c r="F238" s="48">
        <v>0.53300000000000003</v>
      </c>
      <c r="G238" s="48">
        <v>0.52349999999999997</v>
      </c>
      <c r="H238" s="48">
        <v>0.51849999999999996</v>
      </c>
      <c r="I238" s="48">
        <v>0.50900000000000001</v>
      </c>
      <c r="J238" s="48">
        <v>0.46600000000000003</v>
      </c>
      <c r="K238" s="48">
        <v>0.45150000000000007</v>
      </c>
      <c r="L238" s="48">
        <v>0.45149999999999996</v>
      </c>
      <c r="M238" s="48">
        <v>0.47100000000000003</v>
      </c>
      <c r="N238" s="48">
        <v>0.55700000000000005</v>
      </c>
      <c r="O238" s="48">
        <v>0.62950000000000006</v>
      </c>
      <c r="P238" s="48">
        <v>0.62</v>
      </c>
      <c r="Q238" s="48">
        <v>0.5764999999999999</v>
      </c>
      <c r="R238" s="48">
        <v>0.5575</v>
      </c>
      <c r="S238" s="48">
        <v>0.53800000000000003</v>
      </c>
      <c r="T238" s="48">
        <v>0.54249999999999998</v>
      </c>
      <c r="U238" s="48">
        <v>0.5665</v>
      </c>
      <c r="V238" s="48">
        <v>0.60050000000000003</v>
      </c>
      <c r="W238" s="48">
        <v>0.61499999999999999</v>
      </c>
      <c r="X238" s="48">
        <v>0.63900000000000001</v>
      </c>
      <c r="Y238" s="48">
        <v>0.56699999999999995</v>
      </c>
      <c r="Z238" s="48">
        <v>0.44650000000000001</v>
      </c>
      <c r="AA238" s="48">
        <v>0.307</v>
      </c>
      <c r="AB238" s="48">
        <v>0.33150000000000002</v>
      </c>
      <c r="AC238" s="48">
        <v>0.36000000000000004</v>
      </c>
      <c r="AD238" s="48">
        <v>0.37449999999999994</v>
      </c>
      <c r="AE238" s="48">
        <v>0.3745</v>
      </c>
      <c r="AF238" s="48">
        <v>0.34549999999999997</v>
      </c>
      <c r="AG238" s="48">
        <v>0.31200000000000006</v>
      </c>
      <c r="AH238" s="48">
        <v>0.307</v>
      </c>
      <c r="AI238" s="48">
        <v>0.32200000000000001</v>
      </c>
      <c r="AJ238" s="48">
        <v>0.27350000000000002</v>
      </c>
      <c r="AK238" s="48">
        <v>0.27350000000000002</v>
      </c>
      <c r="AL238" s="48">
        <v>0.55249999999999999</v>
      </c>
      <c r="AM238" s="48">
        <v>0.625</v>
      </c>
      <c r="AN238" s="48">
        <v>0.69650000000000001</v>
      </c>
      <c r="AO238" s="48">
        <v>0.72550000000000003</v>
      </c>
      <c r="AP238" s="48">
        <v>0.75450000000000006</v>
      </c>
      <c r="AQ238" s="48">
        <v>0.78799999999999992</v>
      </c>
      <c r="AR238" s="48">
        <v>0.84549999999999992</v>
      </c>
      <c r="AS238" s="48">
        <v>0.87450000000000006</v>
      </c>
      <c r="AT238" s="48">
        <v>0.88900000000000001</v>
      </c>
      <c r="AU238" s="48">
        <v>0.89900000000000002</v>
      </c>
      <c r="AV238" s="48">
        <v>0.88400000000000001</v>
      </c>
      <c r="AW238" s="48">
        <v>0.56699999999999995</v>
      </c>
      <c r="AX238" s="48">
        <v>0.51400000000000001</v>
      </c>
      <c r="AY238" s="48">
        <v>0.3745</v>
      </c>
      <c r="AZ238" s="48">
        <v>0.26850000000000002</v>
      </c>
      <c r="BA238" s="48">
        <v>0.2545</v>
      </c>
      <c r="BB238" s="48">
        <v>0.24449999999999997</v>
      </c>
      <c r="BC238" s="48">
        <v>0.23550000000000001</v>
      </c>
      <c r="BD238" s="48">
        <v>0.20150000000000001</v>
      </c>
      <c r="BE238" s="48">
        <v>0.1585</v>
      </c>
      <c r="BF238" s="48">
        <v>0.11500000000000002</v>
      </c>
      <c r="BG238" s="48">
        <v>0.1055</v>
      </c>
      <c r="BH238" s="48">
        <v>0.14849999999999999</v>
      </c>
      <c r="BI238" s="48">
        <v>0.158</v>
      </c>
      <c r="BJ238" s="48">
        <v>0.29749999999999999</v>
      </c>
      <c r="BK238" s="48">
        <v>0.36499999999999999</v>
      </c>
      <c r="BL238" s="48">
        <v>0.504</v>
      </c>
      <c r="BM238" s="48">
        <v>0.50900000000000001</v>
      </c>
      <c r="BN238" s="48">
        <v>0.51849999999999996</v>
      </c>
      <c r="BO238" s="48">
        <v>0.54299999999999993</v>
      </c>
      <c r="BP238" s="48">
        <v>0.53349999999999997</v>
      </c>
      <c r="BQ238" s="48">
        <v>0.504</v>
      </c>
      <c r="BR238" s="48">
        <v>0.44650000000000001</v>
      </c>
      <c r="BS238" s="48">
        <v>0.41799999999999998</v>
      </c>
      <c r="BT238" s="48">
        <v>0.47549999999999998</v>
      </c>
      <c r="BU238" s="48">
        <v>0.57650000000000001</v>
      </c>
      <c r="BV238" s="48">
        <v>0.66799999999999993</v>
      </c>
      <c r="BW238" s="48">
        <v>0.6964999999999999</v>
      </c>
      <c r="BX238" s="48">
        <v>0.61499999999999999</v>
      </c>
      <c r="BY238" s="48">
        <v>0.60050000000000003</v>
      </c>
      <c r="BZ238" s="48">
        <v>0.57200000000000006</v>
      </c>
      <c r="CA238" s="48">
        <v>0.54749999999999999</v>
      </c>
      <c r="CB238" s="48">
        <v>0.53350000000000009</v>
      </c>
      <c r="CC238" s="48">
        <v>0.51899999999999991</v>
      </c>
      <c r="CD238" s="48">
        <v>0.49450000000000005</v>
      </c>
      <c r="CE238" s="48">
        <v>0.48949999999999994</v>
      </c>
      <c r="CF238" s="48">
        <v>0.49450000000000005</v>
      </c>
      <c r="CG238" s="48">
        <v>0.51400000000000001</v>
      </c>
      <c r="CH238" s="48">
        <v>0.53800000000000003</v>
      </c>
      <c r="CI238" s="48">
        <v>0.56199999999999994</v>
      </c>
      <c r="CJ238" s="48">
        <v>0.65349999999999997</v>
      </c>
      <c r="CK238" s="48">
        <v>0.63900000000000001</v>
      </c>
      <c r="CL238" s="48">
        <v>0.66300000000000003</v>
      </c>
      <c r="CM238" s="48">
        <v>0.70150000000000001</v>
      </c>
      <c r="CN238" s="48">
        <v>0.74</v>
      </c>
      <c r="CO238" s="48">
        <v>0.745</v>
      </c>
      <c r="CP238" s="48">
        <v>0.74950000000000006</v>
      </c>
      <c r="CQ238" s="48">
        <v>0.73999999999999988</v>
      </c>
      <c r="CR238" s="48">
        <v>0.72549999999999992</v>
      </c>
      <c r="CS238" s="48">
        <v>0.76400000000000001</v>
      </c>
      <c r="CT238" s="48">
        <v>0.72550000000000003</v>
      </c>
      <c r="CU238" s="48">
        <v>0.52849999999999997</v>
      </c>
      <c r="CV238" s="48">
        <v>0.317</v>
      </c>
      <c r="CW238" s="48">
        <v>0.317</v>
      </c>
      <c r="CX238" s="48">
        <v>0.31650000000000006</v>
      </c>
      <c r="CY238" s="48">
        <v>0.317</v>
      </c>
      <c r="CZ238" s="48">
        <v>0.32649999999999996</v>
      </c>
      <c r="DA238" s="48">
        <v>0.32650000000000001</v>
      </c>
      <c r="DB238" s="48">
        <v>0.32650000000000001</v>
      </c>
      <c r="DC238" s="48">
        <v>0.34050000000000002</v>
      </c>
      <c r="DD238" s="48">
        <v>0.36</v>
      </c>
      <c r="DE238" s="48">
        <v>0.3695</v>
      </c>
      <c r="DF238" s="48">
        <v>0.36049999999999999</v>
      </c>
    </row>
    <row r="239" spans="1:110" x14ac:dyDescent="0.2">
      <c r="A239" s="52" t="s">
        <v>159</v>
      </c>
      <c r="B239" s="47">
        <f t="shared" si="222"/>
        <v>-30.800000000000004</v>
      </c>
      <c r="C239" s="47">
        <f t="shared" si="223"/>
        <v>-4.8499999999999988</v>
      </c>
      <c r="D239" s="49" t="e">
        <f t="shared" ref="D239:D247" ca="1" si="226">_xludf.STDEV.P(W239:DF239)*100</f>
        <v>#NAME?</v>
      </c>
      <c r="E239" s="47"/>
      <c r="F239" s="48">
        <v>0.54749999999999999</v>
      </c>
      <c r="G239" s="48">
        <v>0.5575</v>
      </c>
      <c r="H239" s="48">
        <v>0.58150000000000002</v>
      </c>
      <c r="I239" s="48">
        <v>0.59599999999999997</v>
      </c>
      <c r="J239" s="48">
        <v>0.61950000000000005</v>
      </c>
      <c r="K239" s="48">
        <v>0.63900000000000001</v>
      </c>
      <c r="L239" s="48">
        <v>0.73050000000000004</v>
      </c>
      <c r="M239" s="48">
        <v>0.75900000000000001</v>
      </c>
      <c r="N239" s="48">
        <v>0.87000000000000011</v>
      </c>
      <c r="O239" s="48">
        <v>0.88900000000000001</v>
      </c>
      <c r="P239" s="48">
        <v>0.87449999999999994</v>
      </c>
      <c r="Q239" s="48">
        <v>0.85550000000000004</v>
      </c>
      <c r="R239" s="48">
        <v>0.83599999999999985</v>
      </c>
      <c r="S239" s="48">
        <v>0.80249999999999999</v>
      </c>
      <c r="T239" s="48">
        <v>0.79249999999999998</v>
      </c>
      <c r="U239" s="48">
        <v>0.80249999999999999</v>
      </c>
      <c r="V239" s="48">
        <v>0.81200000000000006</v>
      </c>
      <c r="W239" s="48">
        <v>0.72049999999999992</v>
      </c>
      <c r="X239" s="48">
        <v>0.61450000000000005</v>
      </c>
      <c r="Y239" s="48">
        <v>0.5</v>
      </c>
      <c r="Z239" s="48">
        <v>0.23999999999999996</v>
      </c>
      <c r="AA239" s="48">
        <v>0.11499999999999999</v>
      </c>
      <c r="AB239" s="48">
        <v>0.12949999999999998</v>
      </c>
      <c r="AC239" s="48">
        <v>0.13899999999999998</v>
      </c>
      <c r="AD239" s="48">
        <v>0.14849999999999999</v>
      </c>
      <c r="AE239" s="48">
        <v>0.14349999999999999</v>
      </c>
      <c r="AF239" s="48">
        <v>0.12949999999999998</v>
      </c>
      <c r="AG239" s="48">
        <v>0.11500000000000002</v>
      </c>
      <c r="AH239" s="48">
        <v>0.13450000000000001</v>
      </c>
      <c r="AI239" s="48">
        <v>0.15849999999999997</v>
      </c>
      <c r="AJ239" s="48">
        <v>0.216</v>
      </c>
      <c r="AK239" s="48">
        <v>0.2205</v>
      </c>
      <c r="AL239" s="48">
        <v>0.28349999999999997</v>
      </c>
      <c r="AM239" s="48">
        <v>0.46550000000000002</v>
      </c>
      <c r="AN239" s="48">
        <v>0.57150000000000001</v>
      </c>
      <c r="AO239" s="48">
        <v>0.59099999999999997</v>
      </c>
      <c r="AP239" s="48">
        <v>0.60050000000000003</v>
      </c>
      <c r="AQ239" s="48">
        <v>0.61499999999999999</v>
      </c>
      <c r="AR239" s="48">
        <v>0.62449999999999994</v>
      </c>
      <c r="AS239" s="48">
        <v>0.66300000000000003</v>
      </c>
      <c r="AT239" s="48">
        <v>0.80249999999999999</v>
      </c>
      <c r="AU239" s="48">
        <v>0.87449999999999994</v>
      </c>
      <c r="AV239" s="48">
        <v>0.66800000000000004</v>
      </c>
      <c r="AW239" s="48">
        <v>0.625</v>
      </c>
      <c r="AX239" s="48">
        <v>0.53800000000000003</v>
      </c>
      <c r="AY239" s="48">
        <v>0.48499999999999999</v>
      </c>
      <c r="AZ239" s="48">
        <v>0.14349999999999999</v>
      </c>
      <c r="BA239" s="48">
        <v>0.1245</v>
      </c>
      <c r="BB239" s="48">
        <v>0.10500000000000001</v>
      </c>
      <c r="BC239" s="48">
        <v>6.1999999999999993E-2</v>
      </c>
      <c r="BD239" s="48">
        <v>4.7500000000000001E-2</v>
      </c>
      <c r="BE239" s="48">
        <v>3.7999999999999999E-2</v>
      </c>
      <c r="BF239" s="48">
        <v>2.3499999999999997E-2</v>
      </c>
      <c r="BG239" s="48">
        <v>9.4999999999999998E-3</v>
      </c>
      <c r="BH239" s="48">
        <v>1.4E-2</v>
      </c>
      <c r="BI239" s="48">
        <v>4.8000000000000001E-2</v>
      </c>
      <c r="BJ239" s="48">
        <v>0.14350000000000002</v>
      </c>
      <c r="BK239" s="48">
        <v>0.28800000000000003</v>
      </c>
      <c r="BL239" s="48">
        <v>0.51849999999999996</v>
      </c>
      <c r="BM239" s="48">
        <v>0.54299999999999993</v>
      </c>
      <c r="BN239" s="48">
        <v>0.53299999999999992</v>
      </c>
      <c r="BO239" s="48">
        <v>0.55249999999999999</v>
      </c>
      <c r="BP239" s="48">
        <v>0.53800000000000003</v>
      </c>
      <c r="BQ239" s="48">
        <v>0.53800000000000003</v>
      </c>
      <c r="BR239" s="48">
        <v>0.51899999999999991</v>
      </c>
      <c r="BS239" s="48">
        <v>0.52800000000000002</v>
      </c>
      <c r="BT239" s="48">
        <v>0.56200000000000006</v>
      </c>
      <c r="BU239" s="48">
        <v>0.60550000000000004</v>
      </c>
      <c r="BV239" s="48">
        <v>0.629</v>
      </c>
      <c r="BW239" s="48">
        <v>0.53299999999999992</v>
      </c>
      <c r="BX239" s="48">
        <v>0.52800000000000002</v>
      </c>
      <c r="BY239" s="48">
        <v>0.54300000000000004</v>
      </c>
      <c r="BZ239" s="48">
        <v>0.51849999999999996</v>
      </c>
      <c r="CA239" s="48">
        <v>0.50950000000000006</v>
      </c>
      <c r="CB239" s="48">
        <v>0.504</v>
      </c>
      <c r="CC239" s="48">
        <v>0.53350000000000009</v>
      </c>
      <c r="CD239" s="48">
        <v>0.54249999999999998</v>
      </c>
      <c r="CE239" s="48">
        <v>0.52349999999999997</v>
      </c>
      <c r="CF239" s="48">
        <v>0.47050000000000003</v>
      </c>
      <c r="CG239" s="48">
        <v>0.58150000000000002</v>
      </c>
      <c r="CH239" s="48">
        <v>0.60050000000000003</v>
      </c>
      <c r="CI239" s="48">
        <v>0.61950000000000005</v>
      </c>
      <c r="CJ239" s="48">
        <v>0.64350000000000007</v>
      </c>
      <c r="CK239" s="48">
        <v>0.66300000000000003</v>
      </c>
      <c r="CL239" s="48">
        <v>0.68700000000000006</v>
      </c>
      <c r="CM239" s="48">
        <v>0.7350000000000001</v>
      </c>
      <c r="CN239" s="48">
        <v>0.74950000000000006</v>
      </c>
      <c r="CO239" s="48">
        <v>0.76400000000000001</v>
      </c>
      <c r="CP239" s="48">
        <v>0.76400000000000001</v>
      </c>
      <c r="CQ239" s="48">
        <v>0.74449999999999994</v>
      </c>
      <c r="CR239" s="48">
        <v>0.75900000000000001</v>
      </c>
      <c r="CS239" s="48">
        <v>0.61</v>
      </c>
      <c r="CT239" s="48">
        <v>0.5764999999999999</v>
      </c>
      <c r="CU239" s="48">
        <v>0.53800000000000003</v>
      </c>
      <c r="CV239" s="48">
        <v>0.60550000000000004</v>
      </c>
      <c r="CW239" s="48">
        <v>0.52850000000000008</v>
      </c>
      <c r="CX239" s="48">
        <v>0.47549999999999998</v>
      </c>
      <c r="CY239" s="48">
        <v>0.45150000000000007</v>
      </c>
      <c r="CZ239" s="48">
        <v>0.42750000000000005</v>
      </c>
      <c r="DA239" s="48">
        <v>0.42749999999999999</v>
      </c>
      <c r="DB239" s="48">
        <v>0.43700000000000006</v>
      </c>
      <c r="DC239" s="48">
        <v>0.48000000000000004</v>
      </c>
      <c r="DD239" s="48">
        <v>0.46600000000000003</v>
      </c>
      <c r="DE239" s="48">
        <v>0.504</v>
      </c>
      <c r="DF239" s="48">
        <v>0.53800000000000003</v>
      </c>
    </row>
    <row r="240" spans="1:110" x14ac:dyDescent="0.2">
      <c r="A240" s="52" t="s">
        <v>161</v>
      </c>
      <c r="B240" s="47">
        <f t="shared" si="222"/>
        <v>19.199999999999996</v>
      </c>
      <c r="C240" s="47">
        <f t="shared" si="223"/>
        <v>-0.72499999999999787</v>
      </c>
      <c r="D240" s="49" t="e">
        <f t="shared" ref="D240:D248" ca="1" si="227">_xludf.STDEV.P(W240:DF240)*100</f>
        <v>#NAME?</v>
      </c>
      <c r="E240" s="47"/>
      <c r="F240" s="48">
        <v>0.82874999999999999</v>
      </c>
      <c r="G240" s="48">
        <v>0.84799999999999998</v>
      </c>
      <c r="H240" s="48">
        <v>0.84799999999999998</v>
      </c>
      <c r="I240" s="48">
        <v>0.83599999999999997</v>
      </c>
      <c r="J240" s="48">
        <v>0.80249999999999999</v>
      </c>
      <c r="K240" s="48">
        <v>0.79749999999999999</v>
      </c>
      <c r="L240" s="48">
        <v>0.78075000000000006</v>
      </c>
      <c r="M240" s="48">
        <v>0.77100000000000002</v>
      </c>
      <c r="N240" s="48">
        <v>0.76649999999999996</v>
      </c>
      <c r="O240" s="48">
        <v>0.752</v>
      </c>
      <c r="P240" s="48">
        <v>0.68924999999999992</v>
      </c>
      <c r="Q240" s="48">
        <v>0.63675000000000004</v>
      </c>
      <c r="R240" s="48">
        <v>0.622</v>
      </c>
      <c r="S240" s="48">
        <v>0.59099999999999997</v>
      </c>
      <c r="T240" s="48">
        <v>0.57425000000000004</v>
      </c>
      <c r="U240" s="48">
        <v>0.59325000000000006</v>
      </c>
      <c r="V240" s="48">
        <v>0.61499999999999999</v>
      </c>
      <c r="W240" s="48">
        <v>0.62924999999999998</v>
      </c>
      <c r="X240" s="48">
        <v>0.58350000000000002</v>
      </c>
      <c r="Y240" s="48">
        <v>0.56199999999999994</v>
      </c>
      <c r="Z240" s="48">
        <v>0.57425000000000004</v>
      </c>
      <c r="AA240" s="48">
        <v>0.63649999999999995</v>
      </c>
      <c r="AB240" s="48">
        <v>0.70650000000000013</v>
      </c>
      <c r="AC240" s="48">
        <v>0.73975000000000002</v>
      </c>
      <c r="AD240" s="48">
        <v>0.76375000000000004</v>
      </c>
      <c r="AE240" s="48">
        <v>0.79050000000000009</v>
      </c>
      <c r="AF240" s="48">
        <v>0.83875</v>
      </c>
      <c r="AG240" s="48">
        <v>0.87200000000000011</v>
      </c>
      <c r="AH240" s="48">
        <v>0.86724999999999997</v>
      </c>
      <c r="AI240" s="48">
        <v>0.87924999999999998</v>
      </c>
      <c r="AJ240" s="48">
        <v>0.87925000000000009</v>
      </c>
      <c r="AK240" s="48">
        <v>0.88175000000000003</v>
      </c>
      <c r="AL240" s="48">
        <v>0.8892500000000001</v>
      </c>
      <c r="AM240" s="48">
        <v>0.88400000000000001</v>
      </c>
      <c r="AN240" s="48">
        <v>0.89400000000000002</v>
      </c>
      <c r="AO240" s="48">
        <v>0.89124999999999999</v>
      </c>
      <c r="AP240" s="48">
        <v>0.877</v>
      </c>
      <c r="AQ240" s="48">
        <v>0.86025000000000007</v>
      </c>
      <c r="AR240" s="48">
        <v>0.84100000000000008</v>
      </c>
      <c r="AS240" s="48">
        <v>0.82650000000000001</v>
      </c>
      <c r="AT240" s="48">
        <v>0.81199999999999994</v>
      </c>
      <c r="AU240" s="48">
        <v>0.78074999999999994</v>
      </c>
      <c r="AV240" s="48">
        <v>0.73250000000000004</v>
      </c>
      <c r="AW240" s="48">
        <v>0.66300000000000003</v>
      </c>
      <c r="AX240" s="48">
        <v>0.58599999999999997</v>
      </c>
      <c r="AY240" s="48">
        <v>0.54050000000000009</v>
      </c>
      <c r="AZ240" s="48">
        <v>0.49699999999999994</v>
      </c>
      <c r="BA240" s="48">
        <v>0.49249999999999999</v>
      </c>
      <c r="BB240" s="48">
        <v>0.50424999999999998</v>
      </c>
      <c r="BC240" s="48">
        <v>0.49499999999999983</v>
      </c>
      <c r="BD240" s="48">
        <v>0.45400000000000001</v>
      </c>
      <c r="BE240" s="48">
        <v>0.35025000000000001</v>
      </c>
      <c r="BF240" s="48">
        <v>0.30249999999999999</v>
      </c>
      <c r="BG240" s="48">
        <v>0.29299999999999998</v>
      </c>
      <c r="BH240" s="48">
        <v>0.31450000000000006</v>
      </c>
      <c r="BI240" s="48">
        <v>0.35774999999999996</v>
      </c>
      <c r="BJ240" s="48">
        <v>0.37924999999999992</v>
      </c>
      <c r="BK240" s="48">
        <v>0.40100000000000002</v>
      </c>
      <c r="BL240" s="48">
        <v>0.37225000000000003</v>
      </c>
      <c r="BM240" s="48">
        <v>0.35525000000000001</v>
      </c>
      <c r="BN240" s="48">
        <v>0.39150000000000001</v>
      </c>
      <c r="BO240" s="48">
        <v>0.43224999999999997</v>
      </c>
      <c r="BP240" s="48">
        <v>0.39850000000000002</v>
      </c>
      <c r="BQ240" s="48">
        <v>0.32174999999999998</v>
      </c>
      <c r="BR240" s="48">
        <v>0.2545</v>
      </c>
      <c r="BS240" s="48">
        <v>0.23750000000000002</v>
      </c>
      <c r="BT240" s="48">
        <v>0.29525000000000001</v>
      </c>
      <c r="BU240" s="48">
        <v>0.36025000000000001</v>
      </c>
      <c r="BV240" s="48">
        <v>0.41550000000000004</v>
      </c>
      <c r="BW240" s="48">
        <v>0.44424999999999998</v>
      </c>
      <c r="BX240" s="48">
        <v>0.43450000000000005</v>
      </c>
      <c r="BY240" s="48">
        <v>0.44900000000000007</v>
      </c>
      <c r="BZ240" s="48">
        <v>0.46575000000000005</v>
      </c>
      <c r="CA240" s="48">
        <v>0.442</v>
      </c>
      <c r="CB240" s="48">
        <v>0.39624999999999999</v>
      </c>
      <c r="CC240" s="48">
        <v>0.29025000000000001</v>
      </c>
      <c r="CD240" s="48">
        <v>0.21824999999999997</v>
      </c>
      <c r="CE240" s="48">
        <v>0.19425000000000001</v>
      </c>
      <c r="CF240" s="48">
        <v>0.18949999999999997</v>
      </c>
      <c r="CG240" s="48">
        <v>0.24249999999999997</v>
      </c>
      <c r="CH240" s="48">
        <v>0.24</v>
      </c>
      <c r="CI240" s="48">
        <v>0.22774999999999998</v>
      </c>
      <c r="CJ240" s="48">
        <v>0.21099999999999999</v>
      </c>
      <c r="CK240" s="48">
        <v>0.20624999999999999</v>
      </c>
      <c r="CL240" s="48">
        <v>0.23249999999999996</v>
      </c>
      <c r="CM240" s="48">
        <v>0.26149999999999995</v>
      </c>
      <c r="CN240" s="48">
        <v>0.25900000000000006</v>
      </c>
      <c r="CO240" s="48">
        <v>0.24725</v>
      </c>
      <c r="CP240" s="48">
        <v>0.24950000000000006</v>
      </c>
      <c r="CQ240" s="48">
        <v>0.22275</v>
      </c>
      <c r="CR240" s="48">
        <v>0.22800000000000001</v>
      </c>
      <c r="CS240" s="48">
        <v>0.24950000000000006</v>
      </c>
      <c r="CT240" s="48">
        <v>0.25450000000000006</v>
      </c>
      <c r="CU240" s="48">
        <v>0.25674999999999998</v>
      </c>
      <c r="CV240" s="48">
        <v>0.22549999999999998</v>
      </c>
      <c r="CW240" s="48">
        <v>0.22324999999999998</v>
      </c>
      <c r="CX240" s="48">
        <v>0.19425000000000001</v>
      </c>
      <c r="CY240" s="48">
        <v>0.18475</v>
      </c>
      <c r="CZ240" s="48">
        <v>0.17724999999999999</v>
      </c>
      <c r="DA240" s="48">
        <v>0.17024999999999998</v>
      </c>
      <c r="DB240" s="48">
        <v>0.16300000000000001</v>
      </c>
      <c r="DC240" s="48">
        <v>0.158</v>
      </c>
      <c r="DD240" s="48">
        <v>0.16075</v>
      </c>
      <c r="DE240" s="48">
        <v>0.17274999999999999</v>
      </c>
      <c r="DF240" s="48">
        <v>0.18699999999999997</v>
      </c>
    </row>
    <row r="241" spans="1:110" x14ac:dyDescent="0.2">
      <c r="A241" s="52" t="s">
        <v>163</v>
      </c>
      <c r="B241" s="47">
        <f t="shared" si="222"/>
        <v>-3.1999999999999975</v>
      </c>
      <c r="C241" s="47">
        <f t="shared" si="223"/>
        <v>-3.5333333333333328</v>
      </c>
      <c r="D241" s="49" t="e">
        <f t="shared" ref="D241:D249" ca="1" si="228">_xludf.STDEV.P(W241:DF241)*100</f>
        <v>#NAME?</v>
      </c>
      <c r="E241" s="47"/>
      <c r="F241" s="48">
        <v>0.34633333333333333</v>
      </c>
      <c r="G241" s="48">
        <v>0.33333333333333331</v>
      </c>
      <c r="H241" s="48">
        <v>0.37166666666666665</v>
      </c>
      <c r="I241" s="48">
        <v>0.38166666666666665</v>
      </c>
      <c r="J241" s="48">
        <v>0.40366666666666667</v>
      </c>
      <c r="K241" s="48">
        <v>0.39100000000000001</v>
      </c>
      <c r="L241" s="48">
        <v>0.45500000000000002</v>
      </c>
      <c r="M241" s="48">
        <v>0.47766666666666668</v>
      </c>
      <c r="N241" s="48">
        <v>0.46466666666666667</v>
      </c>
      <c r="O241" s="48">
        <v>0.3783333333333333</v>
      </c>
      <c r="P241" s="48">
        <v>0.36233333333333329</v>
      </c>
      <c r="Q241" s="48">
        <v>0.3783333333333333</v>
      </c>
      <c r="R241" s="48">
        <v>0.39399999999999996</v>
      </c>
      <c r="S241" s="48">
        <v>0.4296666666666667</v>
      </c>
      <c r="T241" s="48">
        <v>0.44233333333333336</v>
      </c>
      <c r="U241" s="48">
        <v>0.43599999999999994</v>
      </c>
      <c r="V241" s="48">
        <v>0.39766666666666667</v>
      </c>
      <c r="W241" s="48">
        <v>0.35266666666666668</v>
      </c>
      <c r="X241" s="48">
        <v>0.30466666666666664</v>
      </c>
      <c r="Y241" s="48">
        <v>0.17666666666666672</v>
      </c>
      <c r="Z241" s="48">
        <v>0.13800000000000001</v>
      </c>
      <c r="AA241" s="48">
        <v>0.17</v>
      </c>
      <c r="AB241" s="48">
        <v>0.154</v>
      </c>
      <c r="AC241" s="48">
        <v>0.14433333333333331</v>
      </c>
      <c r="AD241" s="48">
        <v>0.154</v>
      </c>
      <c r="AE241" s="48">
        <v>0.13466666666666668</v>
      </c>
      <c r="AF241" s="48">
        <v>0.13200000000000001</v>
      </c>
      <c r="AG241" s="48">
        <v>9.2999999999999985E-2</v>
      </c>
      <c r="AH241" s="48">
        <v>0.10899999999999999</v>
      </c>
      <c r="AI241" s="48">
        <v>0.12199999999999998</v>
      </c>
      <c r="AJ241" s="48">
        <v>0.20500000000000002</v>
      </c>
      <c r="AK241" s="48">
        <v>0.29833333333333334</v>
      </c>
      <c r="AL241" s="48">
        <v>0.3623333333333334</v>
      </c>
      <c r="AM241" s="48">
        <v>0.4296666666666667</v>
      </c>
      <c r="AN241" s="48">
        <v>0.31100000000000005</v>
      </c>
      <c r="AO241" s="48">
        <v>0.31100000000000005</v>
      </c>
      <c r="AP241" s="48">
        <v>0.32366666666666671</v>
      </c>
      <c r="AQ241" s="48">
        <v>0.44566666666666666</v>
      </c>
      <c r="AR241" s="48">
        <v>0.47766666666666668</v>
      </c>
      <c r="AS241" s="48">
        <v>0.49033333333333329</v>
      </c>
      <c r="AT241" s="48">
        <v>0.57399999999999995</v>
      </c>
      <c r="AU241" s="48">
        <v>0.59633333333333338</v>
      </c>
      <c r="AV241" s="48">
        <v>0.6123333333333334</v>
      </c>
      <c r="AW241" s="48">
        <v>0.60933333333333339</v>
      </c>
      <c r="AX241" s="48">
        <v>0.58366666666666667</v>
      </c>
      <c r="AY241" s="48">
        <v>0.42633333333333334</v>
      </c>
      <c r="AZ241" s="48">
        <v>0.51633333333333342</v>
      </c>
      <c r="BA241" s="48">
        <v>0.55133333333333334</v>
      </c>
      <c r="BB241" s="48">
        <v>0.59299999999999997</v>
      </c>
      <c r="BC241" s="48">
        <v>0.60600000000000009</v>
      </c>
      <c r="BD241" s="48">
        <v>0.63166666666666671</v>
      </c>
      <c r="BE241" s="48">
        <v>0.63766666666666671</v>
      </c>
      <c r="BF241" s="48">
        <v>0.62200000000000011</v>
      </c>
      <c r="BG241" s="48">
        <v>0.61266666666666669</v>
      </c>
      <c r="BH241" s="48">
        <v>0.59299999999999997</v>
      </c>
      <c r="BI241" s="48">
        <v>0.56433333333333324</v>
      </c>
      <c r="BJ241" s="48">
        <v>0.57733333333333325</v>
      </c>
      <c r="BK241" s="48">
        <v>0.71166666666666656</v>
      </c>
      <c r="BL241" s="48">
        <v>0.68266666666666664</v>
      </c>
      <c r="BM241" s="48">
        <v>0.6156666666666667</v>
      </c>
      <c r="BN241" s="48">
        <v>0.55133333333333334</v>
      </c>
      <c r="BO241" s="48">
        <v>0.51933333333333331</v>
      </c>
      <c r="BP241" s="48">
        <v>0.5063333333333333</v>
      </c>
      <c r="BQ241" s="48">
        <v>0.49066666666666664</v>
      </c>
      <c r="BR241" s="48">
        <v>0.49699999999999994</v>
      </c>
      <c r="BS241" s="48">
        <v>0.51633333333333331</v>
      </c>
      <c r="BT241" s="48">
        <v>0.56099999999999994</v>
      </c>
      <c r="BU241" s="48">
        <v>0.59633333333333327</v>
      </c>
      <c r="BV241" s="48">
        <v>0.65066666666666662</v>
      </c>
      <c r="BW241" s="48">
        <v>0.67966666666666675</v>
      </c>
      <c r="BX241" s="48">
        <v>0.65100000000000002</v>
      </c>
      <c r="BY241" s="48">
        <v>0.64733333333333332</v>
      </c>
      <c r="BZ241" s="48">
        <v>0.65733333333333333</v>
      </c>
      <c r="CA241" s="48">
        <v>0.68933333333333324</v>
      </c>
      <c r="CB241" s="48">
        <v>0.71133333333333326</v>
      </c>
      <c r="CC241" s="48">
        <v>0.70533333333333315</v>
      </c>
      <c r="CD241" s="48">
        <v>0.71799999999999997</v>
      </c>
      <c r="CE241" s="48">
        <v>0.71799999999999997</v>
      </c>
      <c r="CF241" s="48">
        <v>0.71166666666666656</v>
      </c>
      <c r="CG241" s="48">
        <v>0.67966666666666675</v>
      </c>
      <c r="CH241" s="48">
        <v>0.61266666666666669</v>
      </c>
      <c r="CI241" s="48">
        <v>0.52566666666666662</v>
      </c>
      <c r="CJ241" s="48">
        <v>0.51966666666666661</v>
      </c>
      <c r="CK241" s="48">
        <v>0.52266666666666672</v>
      </c>
      <c r="CL241" s="48">
        <v>0.56399999999999995</v>
      </c>
      <c r="CM241" s="48">
        <v>0.59633333333333338</v>
      </c>
      <c r="CN241" s="48">
        <v>0.68933333333333335</v>
      </c>
      <c r="CO241" s="48">
        <v>0.70866666666666656</v>
      </c>
      <c r="CP241" s="48">
        <v>0.68299999999999994</v>
      </c>
      <c r="CQ241" s="48">
        <v>0.65066666666666662</v>
      </c>
      <c r="CR241" s="48">
        <v>0.64133333333333331</v>
      </c>
      <c r="CS241" s="48">
        <v>0.67666666666666664</v>
      </c>
      <c r="CT241" s="48">
        <v>0.6346666666666666</v>
      </c>
      <c r="CU241" s="48">
        <v>0.56433333333333335</v>
      </c>
      <c r="CV241" s="48">
        <v>0.53866666666666674</v>
      </c>
      <c r="CW241" s="48">
        <v>0.60266666666666668</v>
      </c>
      <c r="CX241" s="48">
        <v>0.70866666666666678</v>
      </c>
      <c r="CY241" s="48">
        <v>0.68900000000000006</v>
      </c>
      <c r="CZ241" s="48">
        <v>0.67666666666666664</v>
      </c>
      <c r="DA241" s="48">
        <v>0.67299999999999993</v>
      </c>
      <c r="DB241" s="48">
        <v>0.66033333333333333</v>
      </c>
      <c r="DC241" s="48">
        <v>0.68299999999999994</v>
      </c>
      <c r="DD241" s="48">
        <v>0.68266666666666664</v>
      </c>
      <c r="DE241" s="48">
        <v>0.68599999999999994</v>
      </c>
      <c r="DF241" s="48">
        <v>0.67600000000000005</v>
      </c>
    </row>
    <row r="242" spans="1:110" x14ac:dyDescent="0.2">
      <c r="A242" s="52" t="s">
        <v>165</v>
      </c>
      <c r="B242" s="47">
        <f t="shared" si="222"/>
        <v>1.7399999999999971</v>
      </c>
      <c r="C242" s="47">
        <f t="shared" si="223"/>
        <v>-22.70000000000001</v>
      </c>
      <c r="D242" s="49" t="e">
        <f t="shared" ref="D242:D250" ca="1" si="229">_xludf.STDEV.P(W242:DF242)*100</f>
        <v>#NAME?</v>
      </c>
      <c r="E242" s="47"/>
      <c r="F242" s="48">
        <v>0.51959999999999995</v>
      </c>
      <c r="G242" s="48">
        <v>0.66959999999999997</v>
      </c>
      <c r="H242" s="48">
        <v>0.70999999999999985</v>
      </c>
      <c r="I242" s="48">
        <v>0.74660000000000004</v>
      </c>
      <c r="J242" s="48">
        <v>0.75019999999999998</v>
      </c>
      <c r="K242" s="48">
        <v>0.68440000000000001</v>
      </c>
      <c r="L242" s="48">
        <v>0.56120000000000003</v>
      </c>
      <c r="M242" s="48">
        <v>0.49940000000000007</v>
      </c>
      <c r="N242" s="48">
        <v>0.41760000000000003</v>
      </c>
      <c r="O242" s="48">
        <v>0.44639999999999996</v>
      </c>
      <c r="P242" s="48">
        <v>0.47359999999999997</v>
      </c>
      <c r="Q242" s="48">
        <v>0.50219999999999998</v>
      </c>
      <c r="R242" s="48">
        <v>0.49299999999999999</v>
      </c>
      <c r="S242" s="48">
        <v>0.45779999999999998</v>
      </c>
      <c r="T242" s="48">
        <v>0.38620000000000004</v>
      </c>
      <c r="U242" s="48">
        <v>0.20800000000000002</v>
      </c>
      <c r="V242" s="48">
        <v>8.8599999999999998E-2</v>
      </c>
      <c r="W242" s="48">
        <v>0.1022</v>
      </c>
      <c r="X242" s="48">
        <v>0.16420000000000001</v>
      </c>
      <c r="Y242" s="48">
        <v>0.2606</v>
      </c>
      <c r="Z242" s="48">
        <v>0.29499999999999998</v>
      </c>
      <c r="AA242" s="48">
        <v>0.22359999999999999</v>
      </c>
      <c r="AB242" s="48">
        <v>0.19860000000000003</v>
      </c>
      <c r="AC242" s="48">
        <v>0.23759999999999995</v>
      </c>
      <c r="AD242" s="48">
        <v>0.3846</v>
      </c>
      <c r="AE242" s="48">
        <v>0.49680000000000002</v>
      </c>
      <c r="AF242" s="48">
        <v>0.65479999999999994</v>
      </c>
      <c r="AG242" s="48">
        <v>0.86819999999999997</v>
      </c>
      <c r="AH242" s="48">
        <v>0.88960000000000006</v>
      </c>
      <c r="AI242" s="48">
        <v>0.85099999999999998</v>
      </c>
      <c r="AJ242" s="48">
        <v>0.79280000000000006</v>
      </c>
      <c r="AK242" s="48">
        <v>0.70440000000000003</v>
      </c>
      <c r="AL242" s="48">
        <v>0.49399999999999999</v>
      </c>
      <c r="AM242" s="48">
        <v>0.37480000000000002</v>
      </c>
      <c r="AN242" s="48">
        <v>0.39419999999999994</v>
      </c>
      <c r="AO242" s="48">
        <v>0.52860000000000007</v>
      </c>
      <c r="AP242" s="48">
        <v>0.38639999999999997</v>
      </c>
      <c r="AQ242" s="48">
        <v>0.315</v>
      </c>
      <c r="AR242" s="48">
        <v>0.2898</v>
      </c>
      <c r="AS242" s="48">
        <v>0.37639999999999996</v>
      </c>
      <c r="AT242" s="48">
        <v>0.5302</v>
      </c>
      <c r="AU242" s="48">
        <v>0.53980000000000006</v>
      </c>
      <c r="AV242" s="48">
        <v>0.43579999999999997</v>
      </c>
      <c r="AW242" s="48">
        <v>0.44419999999999993</v>
      </c>
      <c r="AX242" s="48">
        <v>0.53979999999999995</v>
      </c>
      <c r="AY242" s="48">
        <v>0.53039999999999998</v>
      </c>
      <c r="AZ242" s="48">
        <v>0.55700000000000005</v>
      </c>
      <c r="BA242" s="48">
        <v>0.56859999999999999</v>
      </c>
      <c r="BB242" s="48">
        <v>0.54679999999999995</v>
      </c>
      <c r="BC242" s="48">
        <v>0.50199999999999989</v>
      </c>
      <c r="BD242" s="48">
        <v>0.44800000000000001</v>
      </c>
      <c r="BE242" s="48">
        <v>0.32900000000000001</v>
      </c>
      <c r="BF242" s="48">
        <v>0.18080000000000002</v>
      </c>
      <c r="BG242" s="48">
        <v>0.19439999999999999</v>
      </c>
      <c r="BH242" s="48">
        <v>0.29299999999999998</v>
      </c>
      <c r="BI242" s="48">
        <v>0.28139999999999998</v>
      </c>
      <c r="BJ242" s="48">
        <v>0.38779999999999998</v>
      </c>
      <c r="BK242" s="48">
        <v>0.52100000000000002</v>
      </c>
      <c r="BL242" s="48">
        <v>0.51860000000000006</v>
      </c>
      <c r="BM242" s="48">
        <v>0.49020000000000002</v>
      </c>
      <c r="BN242" s="48">
        <v>0.45739999999999997</v>
      </c>
      <c r="BO242" s="48">
        <v>0.45799999999999996</v>
      </c>
      <c r="BP242" s="48">
        <v>0.54260000000000008</v>
      </c>
      <c r="BQ242" s="48">
        <v>0.59460000000000002</v>
      </c>
      <c r="BR242" s="48">
        <v>0.6542</v>
      </c>
      <c r="BS242" s="48">
        <v>0.71379999999999999</v>
      </c>
      <c r="BT242" s="48">
        <v>0.70200000000000007</v>
      </c>
      <c r="BU242" s="48">
        <v>0.67900000000000005</v>
      </c>
      <c r="BV242" s="48">
        <v>0.55380000000000007</v>
      </c>
      <c r="BW242" s="48">
        <v>0.55200000000000005</v>
      </c>
      <c r="BX242" s="48">
        <v>0.55620000000000003</v>
      </c>
      <c r="BY242" s="48">
        <v>0.50800000000000001</v>
      </c>
      <c r="BZ242" s="48">
        <v>0.64879999999999993</v>
      </c>
      <c r="CA242" s="48">
        <v>0.70040000000000002</v>
      </c>
      <c r="CB242" s="48">
        <v>0.69420000000000004</v>
      </c>
      <c r="CC242" s="48">
        <v>0.60199999999999998</v>
      </c>
      <c r="CD242" s="48">
        <v>0.48980000000000001</v>
      </c>
      <c r="CE242" s="48">
        <v>0.44400000000000001</v>
      </c>
      <c r="CF242" s="48">
        <v>0.47660000000000002</v>
      </c>
      <c r="CG242" s="48">
        <v>0.58079999999999998</v>
      </c>
      <c r="CH242" s="48">
        <v>0.6402000000000001</v>
      </c>
      <c r="CI242" s="48">
        <v>0.60580000000000001</v>
      </c>
      <c r="CJ242" s="48">
        <v>0.65180000000000005</v>
      </c>
      <c r="CK242" s="48">
        <v>0.68079999999999996</v>
      </c>
      <c r="CL242" s="48">
        <v>0.65159999999999996</v>
      </c>
      <c r="CM242" s="48">
        <v>0.55120000000000002</v>
      </c>
      <c r="CN242" s="48">
        <v>0.33380000000000004</v>
      </c>
      <c r="CO242" s="48">
        <v>0.33179999999999998</v>
      </c>
      <c r="CP242" s="48">
        <v>0.34160000000000001</v>
      </c>
      <c r="CQ242" s="48">
        <v>0.35720000000000002</v>
      </c>
      <c r="CR242" s="48">
        <v>0.34560000000000002</v>
      </c>
      <c r="CS242" s="48">
        <v>0.32840000000000003</v>
      </c>
      <c r="CT242" s="48">
        <v>0.37659999999999993</v>
      </c>
      <c r="CU242" s="48">
        <v>0.54819999999999991</v>
      </c>
      <c r="CV242" s="48">
        <v>0.52060000000000006</v>
      </c>
      <c r="CW242" s="48">
        <v>0.42839999999999995</v>
      </c>
      <c r="CX242" s="48">
        <v>0.38599999999999995</v>
      </c>
      <c r="CY242" s="48">
        <v>0.57099999999999995</v>
      </c>
      <c r="CZ242" s="48">
        <v>0.69579999999999997</v>
      </c>
      <c r="DA242" s="48">
        <v>0.71320000000000006</v>
      </c>
      <c r="DB242" s="48">
        <v>0.58979999999999999</v>
      </c>
      <c r="DC242" s="48">
        <v>0.60680000000000001</v>
      </c>
      <c r="DD242" s="48">
        <v>0.59519999999999995</v>
      </c>
      <c r="DE242" s="48">
        <v>0.62759999999999994</v>
      </c>
      <c r="DF242" s="48">
        <v>0.56600000000000006</v>
      </c>
    </row>
    <row r="243" spans="1:110" x14ac:dyDescent="0.2">
      <c r="A243" s="52" t="s">
        <v>167</v>
      </c>
      <c r="B243" s="47">
        <f t="shared" si="222"/>
        <v>-35.549999999999997</v>
      </c>
      <c r="C243" s="47">
        <f t="shared" si="223"/>
        <v>2.9000000000000012</v>
      </c>
      <c r="D243" s="49" t="e">
        <f t="shared" ref="D243:D251" ca="1" si="230">_xludf.STDEV.P(W243:DF243)*100</f>
        <v>#NAME?</v>
      </c>
      <c r="E243" s="47"/>
      <c r="F243" s="48">
        <v>0.1295</v>
      </c>
      <c r="G243" s="48">
        <v>0.1245</v>
      </c>
      <c r="H243" s="48">
        <v>0.12</v>
      </c>
      <c r="I243" s="48">
        <v>0.10049999999999999</v>
      </c>
      <c r="J243" s="48">
        <v>0.10049999999999999</v>
      </c>
      <c r="K243" s="48">
        <v>0.1825</v>
      </c>
      <c r="L243" s="48">
        <v>0.24500000000000002</v>
      </c>
      <c r="M243" s="48">
        <v>0.3165</v>
      </c>
      <c r="N243" s="48">
        <v>0.38400000000000006</v>
      </c>
      <c r="O243" s="48">
        <v>0.49000000000000005</v>
      </c>
      <c r="P243" s="48">
        <v>0.44699999999999995</v>
      </c>
      <c r="Q243" s="48">
        <v>0.48499999999999999</v>
      </c>
      <c r="R243" s="48">
        <v>0.54300000000000004</v>
      </c>
      <c r="S243" s="48">
        <v>0.60500000000000009</v>
      </c>
      <c r="T243" s="48">
        <v>0.66300000000000003</v>
      </c>
      <c r="U243" s="48">
        <v>0.70599999999999996</v>
      </c>
      <c r="V243" s="48">
        <v>0.70650000000000002</v>
      </c>
      <c r="W243" s="48">
        <v>0.69200000000000006</v>
      </c>
      <c r="X243" s="48">
        <v>0.73050000000000004</v>
      </c>
      <c r="Y243" s="48">
        <v>0.74449999999999994</v>
      </c>
      <c r="Z243" s="48">
        <v>0.67249999999999999</v>
      </c>
      <c r="AA243" s="48">
        <v>0.43200000000000005</v>
      </c>
      <c r="AB243" s="48">
        <v>0.45150000000000001</v>
      </c>
      <c r="AC243" s="48">
        <v>0.41299999999999992</v>
      </c>
      <c r="AD243" s="48">
        <v>0.35050000000000003</v>
      </c>
      <c r="AE243" s="48">
        <v>0.27350000000000002</v>
      </c>
      <c r="AF243" s="48">
        <v>0.24499999999999997</v>
      </c>
      <c r="AG243" s="48">
        <v>0.158</v>
      </c>
      <c r="AH243" s="48">
        <v>0.17750000000000002</v>
      </c>
      <c r="AI243" s="48">
        <v>0.1245</v>
      </c>
      <c r="AJ243" s="48">
        <v>5.7499999999999996E-2</v>
      </c>
      <c r="AK243" s="48">
        <v>2.8500000000000004E-2</v>
      </c>
      <c r="AL243" s="48">
        <v>0.46600000000000003</v>
      </c>
      <c r="AM243" s="48">
        <v>0.91300000000000003</v>
      </c>
      <c r="AN243" s="48">
        <v>0.89350000000000007</v>
      </c>
      <c r="AO243" s="48">
        <v>0.87000000000000011</v>
      </c>
      <c r="AP243" s="48">
        <v>0.83149999999999991</v>
      </c>
      <c r="AQ243" s="48">
        <v>0.83099999999999996</v>
      </c>
      <c r="AR243" s="48">
        <v>0.81250000000000011</v>
      </c>
      <c r="AS243" s="48">
        <v>0.83149999999999991</v>
      </c>
      <c r="AT243" s="48">
        <v>0.79249999999999998</v>
      </c>
      <c r="AU243" s="48">
        <v>0.79749999999999999</v>
      </c>
      <c r="AV243" s="48">
        <v>0.85049999999999992</v>
      </c>
      <c r="AW243" s="48">
        <v>0.87000000000000011</v>
      </c>
      <c r="AX243" s="48">
        <v>0.78299999999999992</v>
      </c>
      <c r="AY243" s="48">
        <v>0.42749999999999999</v>
      </c>
      <c r="AZ243" s="48">
        <v>0.43700000000000006</v>
      </c>
      <c r="BA243" s="48">
        <v>0.46099999999999997</v>
      </c>
      <c r="BB243" s="48">
        <v>0.45150000000000007</v>
      </c>
      <c r="BC243" s="48">
        <v>0.42699999999999999</v>
      </c>
      <c r="BD243" s="48">
        <v>0.38900000000000001</v>
      </c>
      <c r="BE243" s="48">
        <v>0.33100000000000002</v>
      </c>
      <c r="BF243" s="48">
        <v>0.2495</v>
      </c>
      <c r="BG243" s="48">
        <v>0.24949999999999997</v>
      </c>
      <c r="BH243" s="48">
        <v>0.19699999999999998</v>
      </c>
      <c r="BI243" s="48">
        <v>0.182</v>
      </c>
      <c r="BJ243" s="48">
        <v>0.1825</v>
      </c>
      <c r="BK243" s="48">
        <v>0.32650000000000001</v>
      </c>
      <c r="BL243" s="48">
        <v>0.26399999999999996</v>
      </c>
      <c r="BM243" s="48">
        <v>0.22549999999999998</v>
      </c>
      <c r="BN243" s="48">
        <v>0.192</v>
      </c>
      <c r="BO243" s="48">
        <v>0.192</v>
      </c>
      <c r="BP243" s="48">
        <v>0.24499999999999997</v>
      </c>
      <c r="BQ243" s="48">
        <v>0.24</v>
      </c>
      <c r="BR243" s="48">
        <v>0.19149999999999998</v>
      </c>
      <c r="BS243" s="48">
        <v>0.1535</v>
      </c>
      <c r="BT243" s="48">
        <v>0.129</v>
      </c>
      <c r="BU243" s="48">
        <v>0.1245</v>
      </c>
      <c r="BV243" s="48">
        <v>0.45150000000000001</v>
      </c>
      <c r="BW243" s="48">
        <v>0.7350000000000001</v>
      </c>
      <c r="BX243" s="48">
        <v>0.75450000000000006</v>
      </c>
      <c r="BY243" s="48">
        <v>0.79749999999999999</v>
      </c>
      <c r="BZ243" s="48">
        <v>0.84100000000000008</v>
      </c>
      <c r="CA243" s="48">
        <v>0.86949999999999994</v>
      </c>
      <c r="CB243" s="48">
        <v>0.86949999999999994</v>
      </c>
      <c r="CC243" s="48">
        <v>0.87949999999999984</v>
      </c>
      <c r="CD243" s="48">
        <v>0.88450000000000006</v>
      </c>
      <c r="CE243" s="48">
        <v>0.91300000000000003</v>
      </c>
      <c r="CF243" s="48">
        <v>0.90849999999999986</v>
      </c>
      <c r="CG243" s="48">
        <v>0.9029999999999998</v>
      </c>
      <c r="CH243" s="48">
        <v>0.89350000000000007</v>
      </c>
      <c r="CI243" s="48">
        <v>0.875</v>
      </c>
      <c r="CJ243" s="48">
        <v>0.86499999999999999</v>
      </c>
      <c r="CK243" s="48">
        <v>0.83099999999999996</v>
      </c>
      <c r="CL243" s="48">
        <v>0.79300000000000004</v>
      </c>
      <c r="CM243" s="48">
        <v>0.7639999999999999</v>
      </c>
      <c r="CN243" s="48">
        <v>0.68199999999999994</v>
      </c>
      <c r="CO243" s="48">
        <v>0.64350000000000007</v>
      </c>
      <c r="CP243" s="48">
        <v>0.64850000000000008</v>
      </c>
      <c r="CQ243" s="48">
        <v>0.66749999999999987</v>
      </c>
      <c r="CR243" s="48">
        <v>0.70650000000000013</v>
      </c>
      <c r="CS243" s="48">
        <v>0.71599999999999986</v>
      </c>
      <c r="CT243" s="48">
        <v>0.6775000000000001</v>
      </c>
      <c r="CU243" s="48">
        <v>0.56200000000000006</v>
      </c>
      <c r="CV243" s="48">
        <v>0.44650000000000006</v>
      </c>
      <c r="CW243" s="48">
        <v>0.3795</v>
      </c>
      <c r="CX243" s="48">
        <v>0.34599999999999997</v>
      </c>
      <c r="CY243" s="48">
        <v>0.34600000000000003</v>
      </c>
      <c r="CZ243" s="48">
        <v>0.312</v>
      </c>
      <c r="DA243" s="48">
        <v>0.29749999999999999</v>
      </c>
      <c r="DB243" s="48">
        <v>0.28799999999999998</v>
      </c>
      <c r="DC243" s="48">
        <v>0.312</v>
      </c>
      <c r="DD243" s="48">
        <v>0.29749999999999999</v>
      </c>
      <c r="DE243" s="48">
        <v>0.30200000000000005</v>
      </c>
      <c r="DF243" s="48">
        <v>0.23500000000000001</v>
      </c>
    </row>
    <row r="244" spans="1:110" x14ac:dyDescent="0.2">
      <c r="A244" s="52" t="s">
        <v>169</v>
      </c>
      <c r="B244" s="47">
        <f t="shared" si="222"/>
        <v>8.1999999999999957</v>
      </c>
      <c r="C244" s="47">
        <f t="shared" si="223"/>
        <v>5.4000000000000048</v>
      </c>
      <c r="D244" s="49" t="e">
        <f t="shared" ref="D244:D252" ca="1" si="231">_xludf.STDEV.P(W244:DF244)*100</f>
        <v>#NAME?</v>
      </c>
      <c r="E244" s="47"/>
      <c r="F244" s="48">
        <v>0.44650000000000001</v>
      </c>
      <c r="G244" s="48">
        <v>0.42700000000000005</v>
      </c>
      <c r="H244" s="48">
        <v>0.44950000000000001</v>
      </c>
      <c r="I244" s="48">
        <v>0.39249999999999996</v>
      </c>
      <c r="J244" s="48">
        <v>0.37299999999999994</v>
      </c>
      <c r="K244" s="48">
        <v>0.33650000000000002</v>
      </c>
      <c r="L244" s="48">
        <v>1.6500000000000001E-2</v>
      </c>
      <c r="M244" s="48">
        <v>1.9E-2</v>
      </c>
      <c r="N244" s="48">
        <v>4.3999999999999997E-2</v>
      </c>
      <c r="O244" s="48">
        <v>0.44400000000000001</v>
      </c>
      <c r="P244" s="48">
        <v>0.42649999999999999</v>
      </c>
      <c r="Q244" s="48">
        <v>0.36450000000000005</v>
      </c>
      <c r="R244" s="48">
        <v>0.28300000000000003</v>
      </c>
      <c r="S244" s="48">
        <v>0.21099999999999999</v>
      </c>
      <c r="T244" s="48">
        <v>0.17450000000000002</v>
      </c>
      <c r="U244" s="48">
        <v>0.1125</v>
      </c>
      <c r="V244" s="48">
        <v>0.1295</v>
      </c>
      <c r="W244" s="48">
        <v>0.23050000000000004</v>
      </c>
      <c r="X244" s="48">
        <v>0.29000000000000004</v>
      </c>
      <c r="Y244" s="48">
        <v>0.44949999999999996</v>
      </c>
      <c r="Z244" s="48">
        <v>0.53349999999999997</v>
      </c>
      <c r="AA244" s="48">
        <v>0.70800000000000007</v>
      </c>
      <c r="AB244" s="48">
        <v>0.74749999999999994</v>
      </c>
      <c r="AC244" s="48">
        <v>0.75949999999999995</v>
      </c>
      <c r="AD244" s="48">
        <v>0.75700000000000001</v>
      </c>
      <c r="AE244" s="48">
        <v>0.68800000000000006</v>
      </c>
      <c r="AF244" s="48">
        <v>0.629</v>
      </c>
      <c r="AG244" s="48">
        <v>0.59450000000000003</v>
      </c>
      <c r="AH244" s="48">
        <v>0.63700000000000001</v>
      </c>
      <c r="AI244" s="48">
        <v>0.59950000000000014</v>
      </c>
      <c r="AJ244" s="48">
        <v>0.42250000000000004</v>
      </c>
      <c r="AK244" s="48">
        <v>0.125</v>
      </c>
      <c r="AL244" s="48">
        <v>0.17949999999999999</v>
      </c>
      <c r="AM244" s="48">
        <v>0.45749999999999996</v>
      </c>
      <c r="AN244" s="48">
        <v>0.38350000000000001</v>
      </c>
      <c r="AO244" s="48">
        <v>0.3715</v>
      </c>
      <c r="AP244" s="48">
        <v>0.34650000000000003</v>
      </c>
      <c r="AQ244" s="48">
        <v>0.39050000000000001</v>
      </c>
      <c r="AR244" s="48">
        <v>0.36799999999999999</v>
      </c>
      <c r="AS244" s="48">
        <v>0.30950000000000005</v>
      </c>
      <c r="AT244" s="48">
        <v>0.223</v>
      </c>
      <c r="AU244" s="48">
        <v>0.34100000000000003</v>
      </c>
      <c r="AV244" s="48">
        <v>0.71100000000000008</v>
      </c>
      <c r="AW244" s="48">
        <v>0.83150000000000002</v>
      </c>
      <c r="AX244" s="48">
        <v>0.79399999999999993</v>
      </c>
      <c r="AY244" s="48">
        <v>0.29899999999999993</v>
      </c>
      <c r="AZ244" s="48">
        <v>0.29649999999999999</v>
      </c>
      <c r="BA244" s="48">
        <v>0.28949999999999998</v>
      </c>
      <c r="BB244" s="48">
        <v>0.29149999999999998</v>
      </c>
      <c r="BC244" s="48">
        <v>0.31599999999999995</v>
      </c>
      <c r="BD244" s="48">
        <v>0.35800000000000004</v>
      </c>
      <c r="BE244" s="48">
        <v>0.40750000000000003</v>
      </c>
      <c r="BF244" s="48">
        <v>0.44650000000000001</v>
      </c>
      <c r="BG244" s="48">
        <v>0.48349999999999999</v>
      </c>
      <c r="BH244" s="48">
        <v>0.49099999999999999</v>
      </c>
      <c r="BI244" s="48">
        <v>0.4985</v>
      </c>
      <c r="BJ244" s="48">
        <v>0.57299999999999995</v>
      </c>
      <c r="BK244" s="48">
        <v>0.65599999999999992</v>
      </c>
      <c r="BL244" s="48">
        <v>0.66849999999999998</v>
      </c>
      <c r="BM244" s="48">
        <v>0.71050000000000002</v>
      </c>
      <c r="BN244" s="48">
        <v>0.72</v>
      </c>
      <c r="BO244" s="48">
        <v>0.63149999999999995</v>
      </c>
      <c r="BP244" s="48">
        <v>0.5605</v>
      </c>
      <c r="BQ244" s="48">
        <v>0.49900000000000011</v>
      </c>
      <c r="BR244" s="48">
        <v>0.45699999999999996</v>
      </c>
      <c r="BS244" s="48">
        <v>0.32200000000000001</v>
      </c>
      <c r="BT244" s="48">
        <v>0.19350000000000001</v>
      </c>
      <c r="BU244" s="48">
        <v>0.13200000000000001</v>
      </c>
      <c r="BV244" s="48">
        <v>0.20699999999999999</v>
      </c>
      <c r="BW244" s="48">
        <v>0.57150000000000001</v>
      </c>
      <c r="BX244" s="48">
        <v>0.5665</v>
      </c>
      <c r="BY244" s="48">
        <v>0.55649999999999999</v>
      </c>
      <c r="BZ244" s="48">
        <v>0.5615</v>
      </c>
      <c r="CA244" s="48">
        <v>0.57650000000000001</v>
      </c>
      <c r="CB244" s="48">
        <v>0.59150000000000003</v>
      </c>
      <c r="CC244" s="48">
        <v>0.59649999999999992</v>
      </c>
      <c r="CD244" s="48">
        <v>0.621</v>
      </c>
      <c r="CE244" s="48">
        <v>0.65049999999999997</v>
      </c>
      <c r="CF244" s="48">
        <v>0.69550000000000001</v>
      </c>
      <c r="CG244" s="48">
        <v>0.73</v>
      </c>
      <c r="CH244" s="48">
        <v>0.75</v>
      </c>
      <c r="CI244" s="48">
        <v>0.745</v>
      </c>
      <c r="CJ244" s="48">
        <v>0.74</v>
      </c>
      <c r="CK244" s="48">
        <v>0.71500000000000008</v>
      </c>
      <c r="CL244" s="48">
        <v>0.70500000000000007</v>
      </c>
      <c r="CM244" s="48">
        <v>0.72</v>
      </c>
      <c r="CN244" s="48">
        <v>0.73499999999999999</v>
      </c>
      <c r="CO244" s="48">
        <v>0.72499999999999998</v>
      </c>
      <c r="CP244" s="48">
        <v>0.6855</v>
      </c>
      <c r="CQ244" s="48">
        <v>0.67049999999999987</v>
      </c>
      <c r="CR244" s="48">
        <v>0.66549999999999987</v>
      </c>
      <c r="CS244" s="48">
        <v>0.66049999999999986</v>
      </c>
      <c r="CT244" s="48">
        <v>0.68049999999999999</v>
      </c>
      <c r="CU244" s="48">
        <v>0.71000000000000008</v>
      </c>
      <c r="CV244" s="48">
        <v>0.69550000000000001</v>
      </c>
      <c r="CW244" s="48">
        <v>0.6905</v>
      </c>
      <c r="CX244" s="48">
        <v>0.67549999999999999</v>
      </c>
      <c r="CY244" s="48">
        <v>0.64599999999999991</v>
      </c>
      <c r="CZ244" s="48">
        <v>0.63100000000000001</v>
      </c>
      <c r="DA244" s="48">
        <v>0.6359999999999999</v>
      </c>
      <c r="DB244" s="48">
        <v>0.6409999999999999</v>
      </c>
      <c r="DC244" s="48">
        <v>0.65549999999999997</v>
      </c>
      <c r="DD244" s="48">
        <v>0.5</v>
      </c>
      <c r="DE244" s="48">
        <v>0.5</v>
      </c>
      <c r="DF244" s="48">
        <v>0.5</v>
      </c>
    </row>
    <row r="245" spans="1:110" x14ac:dyDescent="0.2">
      <c r="A245" s="52" t="s">
        <v>267</v>
      </c>
      <c r="B245" s="47">
        <f t="shared" si="222"/>
        <v>-21.500000000000004</v>
      </c>
      <c r="C245" s="47">
        <f t="shared" si="223"/>
        <v>4.4666666666666632</v>
      </c>
      <c r="D245" s="49" t="e">
        <f t="shared" ref="D245:D253" ca="1" si="232">_xludf.STDEV.P(W245:DF245)*100</f>
        <v>#NAME?</v>
      </c>
      <c r="E245" s="47"/>
      <c r="F245" s="48">
        <v>0.35066666666666663</v>
      </c>
      <c r="G245" s="48">
        <v>0.35066666666666663</v>
      </c>
      <c r="H245" s="48">
        <v>0.35066666666666663</v>
      </c>
      <c r="I245" s="48">
        <v>0.30599999999999999</v>
      </c>
      <c r="J245" s="48">
        <v>0.314</v>
      </c>
      <c r="K245" s="48">
        <v>0.28166666666666668</v>
      </c>
      <c r="L245" s="48">
        <v>0.375</v>
      </c>
      <c r="M245" s="48">
        <v>0.33033333333333337</v>
      </c>
      <c r="N245" s="48">
        <v>0.46466666666666667</v>
      </c>
      <c r="O245" s="48">
        <v>0.46433333333333332</v>
      </c>
      <c r="P245" s="48">
        <v>0.48866666666666664</v>
      </c>
      <c r="Q245" s="48">
        <v>0.56566666666666665</v>
      </c>
      <c r="R245" s="48">
        <v>0.50700000000000001</v>
      </c>
      <c r="S245" s="48">
        <v>0.41333333333333333</v>
      </c>
      <c r="T245" s="48">
        <v>0.27333333333333332</v>
      </c>
      <c r="U245" s="48">
        <v>0.23433333333333334</v>
      </c>
      <c r="V245" s="48">
        <v>0.22866666666666668</v>
      </c>
      <c r="W245" s="48">
        <v>0.19266666666666665</v>
      </c>
      <c r="X245" s="48">
        <v>0.16033333333333333</v>
      </c>
      <c r="Y245" s="48">
        <v>0.14666666666666664</v>
      </c>
      <c r="Z245" s="48">
        <v>0.26099999999999995</v>
      </c>
      <c r="AA245" s="48">
        <v>0.34199999999999997</v>
      </c>
      <c r="AB245" s="48">
        <v>0.36066666666666669</v>
      </c>
      <c r="AC245" s="48">
        <v>0.42566666666666669</v>
      </c>
      <c r="AD245" s="48">
        <v>0.43299999999999994</v>
      </c>
      <c r="AE245" s="48">
        <v>0.50700000000000001</v>
      </c>
      <c r="AF245" s="48">
        <v>0.60599999999999998</v>
      </c>
      <c r="AG245" s="48">
        <v>0.61399999999999999</v>
      </c>
      <c r="AH245" s="48">
        <v>0.47499999999999998</v>
      </c>
      <c r="AI245" s="48">
        <v>0.46566666666666662</v>
      </c>
      <c r="AJ245" s="48">
        <v>0.41099999999999998</v>
      </c>
      <c r="AK245" s="48">
        <v>0.53533333333333333</v>
      </c>
      <c r="AL245" s="48">
        <v>0.38566666666666671</v>
      </c>
      <c r="AM245" s="48">
        <v>0.43100000000000005</v>
      </c>
      <c r="AN245" s="48">
        <v>0.40166666666666667</v>
      </c>
      <c r="AO245" s="48">
        <v>0.41333333333333333</v>
      </c>
      <c r="AP245" s="48">
        <v>0.43666666666666665</v>
      </c>
      <c r="AQ245" s="48">
        <v>0.4306666666666667</v>
      </c>
      <c r="AR245" s="48">
        <v>0.46299999999999997</v>
      </c>
      <c r="AS245" s="48">
        <v>0.4416666666666666</v>
      </c>
      <c r="AT245" s="48">
        <v>0.61399999999999999</v>
      </c>
      <c r="AU245" s="48">
        <v>0.80133333333333334</v>
      </c>
      <c r="AV245" s="48">
        <v>0.90433333333333332</v>
      </c>
      <c r="AW245" s="48">
        <v>0.95600000000000007</v>
      </c>
      <c r="AX245" s="48">
        <v>0.93266666666666664</v>
      </c>
      <c r="AY245" s="48">
        <v>0.85866666666666669</v>
      </c>
      <c r="AZ245" s="48">
        <v>0.70466666666666677</v>
      </c>
      <c r="BA245" s="48">
        <v>0.59133333333333338</v>
      </c>
      <c r="BB245" s="48">
        <v>0.60099999999999998</v>
      </c>
      <c r="BC245" s="48">
        <v>0.59199999999999997</v>
      </c>
      <c r="BD245" s="48">
        <v>0.67966666666666664</v>
      </c>
      <c r="BE245" s="48">
        <v>0.66366666666666674</v>
      </c>
      <c r="BF245" s="48">
        <v>0.46966666666666668</v>
      </c>
      <c r="BG245" s="48">
        <v>0.34033333333333332</v>
      </c>
      <c r="BH245" s="48">
        <v>0.41066666666666668</v>
      </c>
      <c r="BI245" s="48">
        <v>0.26733333333333331</v>
      </c>
      <c r="BJ245" s="48">
        <v>0.37699999999999995</v>
      </c>
      <c r="BK245" s="48">
        <v>0.43199999999999994</v>
      </c>
      <c r="BL245" s="48">
        <v>0.499</v>
      </c>
      <c r="BM245" s="48">
        <v>0.54</v>
      </c>
      <c r="BN245" s="48">
        <v>0.29500000000000004</v>
      </c>
      <c r="BO245" s="48">
        <v>0.3183333333333333</v>
      </c>
      <c r="BP245" s="48">
        <v>0.2563333333333333</v>
      </c>
      <c r="BQ245" s="48">
        <v>0.56833333333333336</v>
      </c>
      <c r="BR245" s="48">
        <v>0.60166666666666668</v>
      </c>
      <c r="BS245" s="48">
        <v>0.628</v>
      </c>
      <c r="BT245" s="48">
        <v>0.47000000000000003</v>
      </c>
      <c r="BU245" s="48">
        <v>0.41399999999999998</v>
      </c>
      <c r="BV245" s="48">
        <v>0.57266666666666677</v>
      </c>
      <c r="BW245" s="48">
        <v>0.46433333333333332</v>
      </c>
      <c r="BX245" s="48">
        <v>0.68233333333333335</v>
      </c>
      <c r="BY245" s="48">
        <v>0.54099999999999993</v>
      </c>
      <c r="BZ245" s="48">
        <v>0.64233333333333342</v>
      </c>
      <c r="CA245" s="48">
        <v>0.46666666666666667</v>
      </c>
      <c r="CB245" s="48">
        <v>0.43800000000000006</v>
      </c>
      <c r="CC245" s="48">
        <v>0.23833333333333334</v>
      </c>
      <c r="CD245" s="48">
        <v>0.3046666666666667</v>
      </c>
      <c r="CE245" s="48">
        <v>0.34100000000000003</v>
      </c>
      <c r="CF245" s="48">
        <v>0.4323333333333334</v>
      </c>
      <c r="CG245" s="48">
        <v>0.60199999999999998</v>
      </c>
      <c r="CH245" s="48">
        <v>0.6243333333333333</v>
      </c>
      <c r="CI245" s="48">
        <v>0.69933333333333336</v>
      </c>
      <c r="CJ245" s="48">
        <v>0.66566666666666663</v>
      </c>
      <c r="CK245" s="48">
        <v>0.64566666666666672</v>
      </c>
      <c r="CL245" s="48">
        <v>0.6283333333333333</v>
      </c>
      <c r="CM245" s="48">
        <v>0.63533333333333331</v>
      </c>
      <c r="CN245" s="48">
        <v>0.61099999999999999</v>
      </c>
      <c r="CO245" s="48">
        <v>0.59366666666666668</v>
      </c>
      <c r="CP245" s="48">
        <v>0.64233333333333342</v>
      </c>
      <c r="CQ245" s="48">
        <v>0.65266666666666673</v>
      </c>
      <c r="CR245" s="48">
        <v>0.65600000000000003</v>
      </c>
      <c r="CS245" s="48">
        <v>0.63166666666666671</v>
      </c>
      <c r="CT245" s="48">
        <v>0.66666666666666663</v>
      </c>
      <c r="CU245" s="48">
        <v>0.66300000000000003</v>
      </c>
      <c r="CV245" s="48">
        <v>0.65966666666666673</v>
      </c>
      <c r="CW245" s="48">
        <v>0.60399999999999998</v>
      </c>
      <c r="CX245" s="48">
        <v>0.59699999999999998</v>
      </c>
      <c r="CY245" s="48">
        <v>0.61799999999999999</v>
      </c>
      <c r="CZ245" s="48">
        <v>0.5</v>
      </c>
      <c r="DA245" s="48">
        <v>0.5</v>
      </c>
      <c r="DB245" s="48">
        <v>0.5</v>
      </c>
      <c r="DC245" s="48">
        <v>0.5</v>
      </c>
      <c r="DD245" s="48">
        <v>0.5</v>
      </c>
      <c r="DE245" s="48">
        <v>0.5</v>
      </c>
      <c r="DF245" s="48">
        <v>0.5</v>
      </c>
    </row>
  </sheetData>
  <phoneticPr fontId="3" type="noConversion"/>
  <conditionalFormatting sqref="F25:DF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7:DF6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3:DF24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70:DF147 K149:DF170 K148:DG148 F70:J17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面板-总览</vt:lpstr>
      <vt:lpstr>景气时钟</vt:lpstr>
      <vt:lpstr>安全边际</vt:lpstr>
      <vt:lpstr>面板-景气指数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正韬 方</dc:creator>
  <cp:lastModifiedBy>正韬 方</cp:lastModifiedBy>
  <dcterms:created xsi:type="dcterms:W3CDTF">2024-10-07T08:40:58Z</dcterms:created>
  <dcterms:modified xsi:type="dcterms:W3CDTF">2024-10-07T08:42:42Z</dcterms:modified>
</cp:coreProperties>
</file>