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HUATAI\"/>
    </mc:Choice>
  </mc:AlternateContent>
  <xr:revisionPtr revIDLastSave="0" documentId="13_ncr:1_{C0F6EB34-A6E7-4B6C-A1C2-E0AD2400BCDE}" xr6:coauthVersionLast="47" xr6:coauthVersionMax="47" xr10:uidLastSave="{00000000-0000-0000-0000-000000000000}"/>
  <bookViews>
    <workbookView xWindow="-110" yWindow="-110" windowWidth="21820" windowHeight="13000" firstSheet="1" activeTab="1" xr2:uid="{00000000-000D-0000-FFFF-FFFF00000000}"/>
  </bookViews>
  <sheets>
    <sheet name="Sheet1" sheetId="1" state="hidden" r:id="rId1"/>
    <sheet name="Sheet2" sheetId="2" r:id="rId2"/>
  </sheets>
  <definedNames>
    <definedName name="_xlnm._FilterDatabase" localSheetId="0" hidden="1">Sheet1!$A$2:$P$22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2" l="1"/>
  <c r="H9" i="2"/>
  <c r="G10" i="1"/>
  <c r="H10" i="1"/>
</calcChain>
</file>

<file path=xl/sharedStrings.xml><?xml version="1.0" encoding="utf-8"?>
<sst xmlns="http://schemas.openxmlformats.org/spreadsheetml/2006/main" count="296" uniqueCount="264">
  <si>
    <t>一般</t>
  </si>
  <si>
    <t>陈慎|房地产与轻工首席
S0570519010002/BIO834
电话：13817345646</t>
  </si>
  <si>
    <t>14.5</t>
  </si>
  <si>
    <t>1、由港股情绪好转和地产政策博弈驱动的超跌反弹，保守预测未来三年13%左右的利润CAGR，目前10倍24PE仍有空间；
2、公建类市场拓展和社区增值服务能力突出；
3、央企物管公司现金流稳健，40%派息率，3.7%股息率。</t>
  </si>
  <si>
    <t>178亿港元</t>
  </si>
  <si>
    <t>保利物业*
6049</t>
  </si>
  <si>
    <t>5.0</t>
  </si>
  <si>
    <t>5.3</t>
  </si>
  <si>
    <t>6.0%</t>
  </si>
  <si>
    <t>-3.5%</t>
  </si>
  <si>
    <t>321.0</t>
  </si>
  <si>
    <t>302.8</t>
  </si>
  <si>
    <t>51.9%</t>
  </si>
  <si>
    <t>1、销售拿地保持稳定，有望稳中有增
2、经营不动产业务增长强劲，资管模式平台初见成效
3、债务结构较优，充裕结转资源支持业绩稳健增长</t>
  </si>
  <si>
    <t>1982亿港元</t>
  </si>
  <si>
    <t>华润置地*
1109</t>
  </si>
  <si>
    <t>房地产</t>
  </si>
  <si>
    <t>15.0</t>
  </si>
  <si>
    <t>13.7</t>
  </si>
  <si>
    <t>18.5</t>
  </si>
  <si>
    <t>32.7%</t>
  </si>
  <si>
    <t>27.7%</t>
  </si>
  <si>
    <t>63.8</t>
  </si>
  <si>
    <t>48.1</t>
  </si>
  <si>
    <t>90.6%</t>
  </si>
  <si>
    <t>市场情绪好转，估值处于历史低位，NBV有望稳健增长。</t>
  </si>
  <si>
    <t>6069亿港元</t>
  </si>
  <si>
    <t>友邦保险
1299</t>
  </si>
  <si>
    <t>李健|保险首席
S0570521010001/AWF297
电话：852-60625225</t>
  </si>
  <si>
    <t>6.1</t>
  </si>
  <si>
    <t>6.6</t>
  </si>
  <si>
    <t>8.5%</t>
  </si>
  <si>
    <t>27.4%</t>
  </si>
  <si>
    <t>339.7</t>
  </si>
  <si>
    <t>313.2</t>
  </si>
  <si>
    <t>预计承保表现稳定，投资表现企稳有望重新推升资本回报。</t>
  </si>
  <si>
    <t>2233亿港元</t>
  </si>
  <si>
    <t>中国财险
2328</t>
  </si>
  <si>
    <t>保险</t>
  </si>
  <si>
    <t>30%</t>
  </si>
  <si>
    <t>强烈</t>
  </si>
  <si>
    <t>公司具备高分红、稳增长的优质资产属性，自2024年起三年内分红率将进一步提升至75%。业务层面，天翼云竞争力保持领先，公司作为产业数字化业务规模最大的运营商，有望成为算力基础设施建设主力，受益于国内智算建设浪潮。</t>
  </si>
  <si>
    <t>5700亿港币</t>
  </si>
  <si>
    <t>中国电信 728</t>
  </si>
  <si>
    <t>当前市场风险偏好下，高分红投资策略占优，公司具备高分红、稳增长的优质资产属性，在资本开支下行、现金流稳健、折旧摊销费用减少、收入端稳增长、分红率提升的共同作用下，股东回报有望持续提升。</t>
  </si>
  <si>
    <t>1.5万亿港币</t>
  </si>
  <si>
    <t>中国移动 941</t>
  </si>
  <si>
    <t>黄乐平|科技与电子首席
S0570521050001/AUZ066
电话：14715372496</t>
  </si>
  <si>
    <t>26.3</t>
  </si>
  <si>
    <t>28.8</t>
  </si>
  <si>
    <t>8.6%</t>
  </si>
  <si>
    <t>-39.7%</t>
  </si>
  <si>
    <t>126.3</t>
  </si>
  <si>
    <t>116.3</t>
  </si>
  <si>
    <t>25%</t>
  </si>
  <si>
    <t>汽车市场大定超预期，手机毛利率受原材料涨价影响低于之前预期，业绩存在上修空间</t>
  </si>
  <si>
    <t>4332亿港元</t>
  </si>
  <si>
    <t>小米集团-W
1810</t>
  </si>
  <si>
    <t>电子</t>
  </si>
  <si>
    <t>40%</t>
  </si>
  <si>
    <t>17.9</t>
  </si>
  <si>
    <t>19.2%</t>
  </si>
  <si>
    <t>31.3%</t>
  </si>
  <si>
    <t>1804.2</t>
  </si>
  <si>
    <t>1513.0</t>
  </si>
  <si>
    <t>35%</t>
  </si>
  <si>
    <t>腾讯基本面进入上行空间，DnF新游带动游戏收入，AI推动广告收入和毛利利率增速，净利润有望进一步上抬</t>
  </si>
  <si>
    <t>3.3万亿港元</t>
  </si>
  <si>
    <t>腾讯控股*
700</t>
  </si>
  <si>
    <t>12.4</t>
  </si>
  <si>
    <t>24.1</t>
  </si>
  <si>
    <t>94.9%</t>
  </si>
  <si>
    <t>-91.2%</t>
  </si>
  <si>
    <t>11.4</t>
  </si>
  <si>
    <t>5.9</t>
  </si>
  <si>
    <t>17.6%</t>
  </si>
  <si>
    <t>1）汽车后服务市场市场规模广阔，预计2027年可达1.7万亿，2）途虎作为行业龙头，市场份额领先，但亦仅占据1%市场，后续有望持续整合IAM市场；3）公司加盟模式全流程强把控，利润分成模式注重长期共赢，门店扩张有望持续高速增长。
近期催化：公司4.26正式入通，有望带来流动性利好。</t>
  </si>
  <si>
    <t>190亿港元</t>
  </si>
  <si>
    <t>途虎-W*
9690</t>
  </si>
  <si>
    <t>22.9</t>
  </si>
  <si>
    <t>58.8%</t>
  </si>
  <si>
    <t>50.1%</t>
  </si>
  <si>
    <t>9.0</t>
  </si>
  <si>
    <t>5.7</t>
  </si>
  <si>
    <t>53.6%</t>
  </si>
  <si>
    <t>付费数据持续兑现，612影像节催化或提前反应</t>
  </si>
  <si>
    <t>150亿港元</t>
  </si>
  <si>
    <t>美图公司*
1357</t>
  </si>
  <si>
    <t>夏路路|互联网首席
S0570523100002/BTP154
电话：13713888716</t>
  </si>
  <si>
    <t>13.2</t>
  </si>
  <si>
    <t>21.4</t>
  </si>
  <si>
    <t>61.4%</t>
  </si>
  <si>
    <t>79.9%</t>
  </si>
  <si>
    <t>402.4</t>
  </si>
  <si>
    <t>249.3</t>
  </si>
  <si>
    <t>到店竞争趋缓，利润率回升；外卖稳健增长</t>
  </si>
  <si>
    <t>7207亿港元</t>
  </si>
  <si>
    <t>美团-W
3690</t>
  </si>
  <si>
    <t>互联网</t>
  </si>
  <si>
    <t>梅昕|社会服务组长
S0570516080001/BQE385
电话：18721888004</t>
  </si>
  <si>
    <t>16.6</t>
  </si>
  <si>
    <t>11.2%</t>
  </si>
  <si>
    <t>15.0%</t>
  </si>
  <si>
    <t>57.5</t>
  </si>
  <si>
    <t>51.7</t>
  </si>
  <si>
    <t>海底捞20-23年经历峰谷周期验证，24年1-3月翻台同比30%+，横向对比表现亮眼。</t>
  </si>
  <si>
    <t>1002亿港元</t>
  </si>
  <si>
    <t>海底捞
6862</t>
  </si>
  <si>
    <t>社服</t>
  </si>
  <si>
    <t>1）出口需求超预期+地缘事件，5月大幅涨价
2）专注亚洲区域市场，中长期受益产业转移</t>
  </si>
  <si>
    <t>468亿港币</t>
  </si>
  <si>
    <t>海丰国际（1308 HK）</t>
  </si>
  <si>
    <t>1）出口需求超预期+地缘事件，5月大幅涨价
2）运力规模全球第四，盈利高弹性</t>
  </si>
  <si>
    <t>1904亿港币</t>
  </si>
  <si>
    <t>中远海控（1919 HK）</t>
  </si>
  <si>
    <t>林寰宇|家电与商贸零售首席
S0570518110001/BQO796
电话：15920080873</t>
  </si>
  <si>
    <t>13.9</t>
  </si>
  <si>
    <t>18.0</t>
  </si>
  <si>
    <t>29.9%</t>
  </si>
  <si>
    <t>41.0%</t>
  </si>
  <si>
    <t>32.4</t>
  </si>
  <si>
    <t>24.9</t>
  </si>
  <si>
    <t>即将进入同店低基数阶段，多IP发布有望正向催化</t>
  </si>
  <si>
    <t>595亿港元</t>
  </si>
  <si>
    <t>名创优品
9896</t>
  </si>
  <si>
    <t>商贸零售</t>
  </si>
  <si>
    <t>16.3</t>
  </si>
  <si>
    <t>15.9</t>
  </si>
  <si>
    <t>-0.2%</t>
  </si>
  <si>
    <t>29.4%</t>
  </si>
  <si>
    <t>132.2</t>
  </si>
  <si>
    <t>132.5</t>
  </si>
  <si>
    <t>37%</t>
  </si>
  <si>
    <t>尽管零售环境具有挑战性，管理层仍有信心达到
24年安踏及斐乐零售额同增10-
15%，迪桑特/可隆同增不低于20/30%的增长目标。安踏持续夯实多品牌协同管理能力、多品牌零售运营能力、全球化运营及资源整合能力。</t>
  </si>
  <si>
    <t>2549亿港元</t>
  </si>
  <si>
    <t>安踏体育
2020</t>
  </si>
  <si>
    <t>罗艺鑫|纺织服装首席
S0570520120002/AWJ276
电话：13585852752</t>
  </si>
  <si>
    <t>13.5</t>
  </si>
  <si>
    <t>15.8</t>
  </si>
  <si>
    <t>17.3%</t>
  </si>
  <si>
    <t>25.7%</t>
  </si>
  <si>
    <t>67.2</t>
  </si>
  <si>
    <t>57.3</t>
  </si>
  <si>
    <t>32%</t>
  </si>
  <si>
    <t>随着公司主要品牌客户库存见底而全球消费市场
逐步复苏，当前申洲国内及海外工厂产能利用率均已恢复至100%，管理层对订单恢复充满信心，将重启员工招聘，有望推动 24年收入及净利率改善。</t>
  </si>
  <si>
    <t>1163亿港元</t>
  </si>
  <si>
    <t>申洲国际
2313</t>
  </si>
  <si>
    <t>纺织服装</t>
  </si>
  <si>
    <t>14.8</t>
  </si>
  <si>
    <t>王玮嘉|公用环保首席
S0570517050002/BEB090
电话：17717692650</t>
  </si>
  <si>
    <t>4.0</t>
  </si>
  <si>
    <t>4.1</t>
  </si>
  <si>
    <t>1.5%</t>
  </si>
  <si>
    <t>3.5%</t>
  </si>
  <si>
    <t>46.5</t>
  </si>
  <si>
    <t>45.8</t>
  </si>
  <si>
    <t>在手项目大部分投运，稳态经营自由现金流100亿</t>
  </si>
  <si>
    <t>201亿港元</t>
  </si>
  <si>
    <t>光大环境
257</t>
  </si>
  <si>
    <t>公用环保和检测</t>
  </si>
  <si>
    <t>8.0</t>
  </si>
  <si>
    <t>李斌|有色与钢铁首席
S0570517050001/BPN269
电话：13681137607</t>
  </si>
  <si>
    <t>85.5%</t>
  </si>
  <si>
    <t>86.6%</t>
  </si>
  <si>
    <t>80.6</t>
  </si>
  <si>
    <t>43.4</t>
  </si>
  <si>
    <t>10.5%</t>
  </si>
  <si>
    <t>24-26年矿产金产量47、57和67t，未来存在量价和估值齐升的红利周期。</t>
  </si>
  <si>
    <t>794亿港元</t>
  </si>
  <si>
    <t>山东黄金
1787</t>
  </si>
  <si>
    <t>有色</t>
  </si>
  <si>
    <t>2025E</t>
  </si>
  <si>
    <t>2024E</t>
  </si>
  <si>
    <t>深度咨询（联系人/电话）</t>
  </si>
  <si>
    <t>PE</t>
  </si>
  <si>
    <t>归母净利润增速</t>
  </si>
  <si>
    <t>归母净利润（亿元）</t>
  </si>
  <si>
    <t>一年目标价空间</t>
  </si>
  <si>
    <t>推荐程度</t>
  </si>
  <si>
    <t>推荐逻辑/短期催化</t>
  </si>
  <si>
    <t>市值</t>
  </si>
  <si>
    <t>重点推荐个股
（标*为新增推荐）</t>
  </si>
  <si>
    <t>行业</t>
  </si>
  <si>
    <t>华泰研究所行业周度观点及推荐</t>
  </si>
  <si>
    <r>
      <rPr>
        <b/>
        <sz val="12"/>
        <color rgb="FFFFFFFF"/>
        <rFont val="微软雅黑"/>
        <family val="2"/>
        <charset val="134"/>
      </rPr>
      <t>行业</t>
    </r>
  </si>
  <si>
    <r>
      <rPr>
        <b/>
        <sz val="12"/>
        <color rgb="FFFFFFFF"/>
        <rFont val="微软雅黑"/>
        <family val="2"/>
        <charset val="134"/>
      </rPr>
      <t>股票名称</t>
    </r>
  </si>
  <si>
    <r>
      <rPr>
        <b/>
        <sz val="12"/>
        <color rgb="FFFFFFFF"/>
        <rFont val="微软雅黑"/>
        <family val="2"/>
        <charset val="134"/>
      </rPr>
      <t>股票代码</t>
    </r>
  </si>
  <si>
    <t>2024PE</t>
  </si>
  <si>
    <r>
      <rPr>
        <b/>
        <sz val="12"/>
        <color rgb="FFFFFFFF"/>
        <rFont val="微软雅黑"/>
        <family val="2"/>
        <charset val="134"/>
      </rPr>
      <t>推荐逻辑</t>
    </r>
    <phoneticPr fontId="12" type="noConversion"/>
  </si>
  <si>
    <r>
      <rPr>
        <b/>
        <sz val="12"/>
        <color rgb="FFFFFFFF"/>
        <rFont val="微软雅黑"/>
        <family val="2"/>
        <charset val="134"/>
      </rPr>
      <t>当前市值
（亿港元）</t>
    </r>
    <phoneticPr fontId="12" type="noConversion"/>
  </si>
  <si>
    <t>1787 HK</t>
    <phoneticPr fontId="12" type="noConversion"/>
  </si>
  <si>
    <t>257 HK</t>
    <phoneticPr fontId="12" type="noConversion"/>
  </si>
  <si>
    <t>2313 HK</t>
    <phoneticPr fontId="12" type="noConversion"/>
  </si>
  <si>
    <t>2020 HK</t>
    <phoneticPr fontId="12" type="noConversion"/>
  </si>
  <si>
    <t>9896 HK</t>
    <phoneticPr fontId="12" type="noConversion"/>
  </si>
  <si>
    <t>1919 HK</t>
    <phoneticPr fontId="12" type="noConversion"/>
  </si>
  <si>
    <t>1308 HK</t>
    <phoneticPr fontId="12" type="noConversion"/>
  </si>
  <si>
    <t>6862 HK</t>
    <phoneticPr fontId="12" type="noConversion"/>
  </si>
  <si>
    <t>3690 HK</t>
    <phoneticPr fontId="12" type="noConversion"/>
  </si>
  <si>
    <t>1357 HK</t>
    <phoneticPr fontId="12" type="noConversion"/>
  </si>
  <si>
    <t>9690 HK</t>
    <phoneticPr fontId="12" type="noConversion"/>
  </si>
  <si>
    <t>700 HK</t>
    <phoneticPr fontId="12" type="noConversion"/>
  </si>
  <si>
    <t>1810 HK</t>
    <phoneticPr fontId="12" type="noConversion"/>
  </si>
  <si>
    <t>941 HK</t>
    <phoneticPr fontId="12" type="noConversion"/>
  </si>
  <si>
    <t>728 HK</t>
    <phoneticPr fontId="12" type="noConversion"/>
  </si>
  <si>
    <t>2328 HK</t>
    <phoneticPr fontId="12" type="noConversion"/>
  </si>
  <si>
    <t>1299 HK</t>
    <phoneticPr fontId="12" type="noConversion"/>
  </si>
  <si>
    <t>1109 HK</t>
    <phoneticPr fontId="12" type="noConversion"/>
  </si>
  <si>
    <t>6049 HK</t>
    <phoneticPr fontId="12" type="noConversion"/>
  </si>
  <si>
    <r>
      <rPr>
        <b/>
        <sz val="14"/>
        <color rgb="FF002060"/>
        <rFont val="微软雅黑"/>
        <family val="2"/>
        <charset val="134"/>
      </rPr>
      <t xml:space="preserve">华泰：港股推荐
</t>
    </r>
    <r>
      <rPr>
        <sz val="14"/>
        <color rgb="FF002060"/>
        <rFont val="lato"/>
        <family val="2"/>
      </rPr>
      <t>2024</t>
    </r>
    <r>
      <rPr>
        <sz val="14"/>
        <color rgb="FF002060"/>
        <rFont val="微软雅黑"/>
        <family val="2"/>
        <charset val="134"/>
      </rPr>
      <t>年</t>
    </r>
    <r>
      <rPr>
        <sz val="14"/>
        <color rgb="FF002060"/>
        <rFont val="lato"/>
        <family val="2"/>
      </rPr>
      <t>4</t>
    </r>
    <r>
      <rPr>
        <sz val="14"/>
        <color rgb="FF002060"/>
        <rFont val="微软雅黑"/>
        <family val="2"/>
        <charset val="134"/>
      </rPr>
      <t>月</t>
    </r>
    <phoneticPr fontId="12" type="noConversion"/>
  </si>
  <si>
    <r>
      <rPr>
        <b/>
        <sz val="12"/>
        <color rgb="FFFFFFFF"/>
        <rFont val="微软雅黑"/>
        <family val="2"/>
        <charset val="134"/>
      </rPr>
      <t>归母净利润（亿元）</t>
    </r>
  </si>
  <si>
    <r>
      <rPr>
        <b/>
        <sz val="12"/>
        <color rgb="FFFFFFFF"/>
        <rFont val="微软雅黑"/>
        <family val="2"/>
        <charset val="134"/>
      </rPr>
      <t>归母净利润增速</t>
    </r>
  </si>
  <si>
    <r>
      <rPr>
        <b/>
        <sz val="12"/>
        <color rgb="FFFFFFFF"/>
        <rFont val="微软雅黑"/>
        <family val="2"/>
        <charset val="134"/>
      </rPr>
      <t>一年目标价空间</t>
    </r>
    <phoneticPr fontId="12" type="noConversion"/>
  </si>
  <si>
    <r>
      <rPr>
        <b/>
        <sz val="12"/>
        <rFont val="微软雅黑"/>
        <family val="2"/>
        <charset val="134"/>
      </rPr>
      <t>有色</t>
    </r>
  </si>
  <si>
    <r>
      <rPr>
        <b/>
        <sz val="12"/>
        <rFont val="微软雅黑"/>
        <family val="2"/>
        <charset val="134"/>
      </rPr>
      <t>山东黄金</t>
    </r>
    <phoneticPr fontId="12" type="noConversion"/>
  </si>
  <si>
    <r>
      <t>24-26</t>
    </r>
    <r>
      <rPr>
        <sz val="11"/>
        <rFont val="微软雅黑"/>
        <family val="2"/>
        <charset val="134"/>
      </rPr>
      <t>年矿产金产量</t>
    </r>
    <r>
      <rPr>
        <sz val="11"/>
        <rFont val="Lato"/>
        <family val="2"/>
      </rPr>
      <t>47/57/67t</t>
    </r>
    <r>
      <rPr>
        <sz val="11"/>
        <rFont val="微软雅黑"/>
        <family val="2"/>
        <charset val="134"/>
      </rPr>
      <t>，未来存在</t>
    </r>
    <r>
      <rPr>
        <b/>
        <sz val="11"/>
        <rFont val="微软雅黑"/>
        <family val="2"/>
        <charset val="134"/>
      </rPr>
      <t>量价和估值齐升的红利周期；</t>
    </r>
    <phoneticPr fontId="12" type="noConversion"/>
  </si>
  <si>
    <r>
      <rPr>
        <b/>
        <sz val="12"/>
        <rFont val="微软雅黑"/>
        <family val="2"/>
        <charset val="134"/>
      </rPr>
      <t>公用环保和检测</t>
    </r>
  </si>
  <si>
    <r>
      <rPr>
        <b/>
        <sz val="12"/>
        <rFont val="微软雅黑"/>
        <family val="2"/>
        <charset val="134"/>
      </rPr>
      <t>光大环境</t>
    </r>
    <phoneticPr fontId="12" type="noConversion"/>
  </si>
  <si>
    <r>
      <rPr>
        <sz val="11"/>
        <rFont val="微软雅黑"/>
        <family val="2"/>
        <charset val="134"/>
      </rPr>
      <t>在手项目大部分投运，</t>
    </r>
    <r>
      <rPr>
        <b/>
        <sz val="11"/>
        <rFont val="微软雅黑"/>
        <family val="2"/>
        <charset val="134"/>
      </rPr>
      <t>稳态经营自由现金流</t>
    </r>
    <r>
      <rPr>
        <b/>
        <sz val="11"/>
        <rFont val="Lato"/>
        <family val="2"/>
      </rPr>
      <t>100</t>
    </r>
    <r>
      <rPr>
        <b/>
        <sz val="11"/>
        <rFont val="微软雅黑"/>
        <family val="2"/>
        <charset val="134"/>
      </rPr>
      <t>亿；</t>
    </r>
    <phoneticPr fontId="12" type="noConversion"/>
  </si>
  <si>
    <r>
      <rPr>
        <b/>
        <sz val="12"/>
        <rFont val="微软雅黑"/>
        <family val="2"/>
        <charset val="134"/>
      </rPr>
      <t>纺织服装</t>
    </r>
  </si>
  <si>
    <r>
      <rPr>
        <b/>
        <sz val="12"/>
        <rFont val="微软雅黑"/>
        <family val="2"/>
        <charset val="134"/>
      </rPr>
      <t>申洲国际</t>
    </r>
    <phoneticPr fontId="12" type="noConversion"/>
  </si>
  <si>
    <r>
      <rPr>
        <sz val="11"/>
        <rFont val="微软雅黑"/>
        <family val="2"/>
        <charset val="134"/>
      </rPr>
      <t>随着公司主要品牌客户库存见底而全球消费市场逐步复苏，当前申洲</t>
    </r>
    <r>
      <rPr>
        <b/>
        <sz val="11"/>
        <rFont val="微软雅黑"/>
        <family val="2"/>
        <charset val="134"/>
      </rPr>
      <t>国内及海外工厂产能利用率均已恢复至</t>
    </r>
    <r>
      <rPr>
        <b/>
        <sz val="11"/>
        <rFont val="Lato"/>
        <family val="2"/>
      </rPr>
      <t>100%</t>
    </r>
    <r>
      <rPr>
        <b/>
        <sz val="11"/>
        <rFont val="微软雅黑"/>
        <family val="2"/>
        <charset val="134"/>
      </rPr>
      <t>，管理层对订单恢复充满信心</t>
    </r>
    <r>
      <rPr>
        <sz val="11"/>
        <rFont val="微软雅黑"/>
        <family val="2"/>
        <charset val="134"/>
      </rPr>
      <t>，将重启员工招聘，</t>
    </r>
    <r>
      <rPr>
        <b/>
        <sz val="11"/>
        <rFont val="微软雅黑"/>
        <family val="2"/>
        <charset val="134"/>
      </rPr>
      <t>有望推动</t>
    </r>
    <r>
      <rPr>
        <b/>
        <sz val="11"/>
        <rFont val="Lato"/>
        <family val="2"/>
      </rPr>
      <t xml:space="preserve"> 24</t>
    </r>
    <r>
      <rPr>
        <b/>
        <sz val="11"/>
        <rFont val="微软雅黑"/>
        <family val="2"/>
        <charset val="134"/>
      </rPr>
      <t>年收入及净利率改善</t>
    </r>
    <r>
      <rPr>
        <sz val="11"/>
        <rFont val="微软雅黑"/>
        <family val="2"/>
        <charset val="134"/>
      </rPr>
      <t>；</t>
    </r>
    <phoneticPr fontId="12" type="noConversion"/>
  </si>
  <si>
    <r>
      <rPr>
        <b/>
        <sz val="12"/>
        <rFont val="微软雅黑"/>
        <family val="2"/>
        <charset val="134"/>
      </rPr>
      <t>安踏体育</t>
    </r>
    <phoneticPr fontId="12" type="noConversion"/>
  </si>
  <si>
    <r>
      <rPr>
        <sz val="11"/>
        <rFont val="微软雅黑"/>
        <family val="2"/>
        <charset val="134"/>
      </rPr>
      <t>管理层有信心达到</t>
    </r>
    <r>
      <rPr>
        <b/>
        <sz val="11"/>
        <rFont val="Lato"/>
        <family val="2"/>
      </rPr>
      <t>24</t>
    </r>
    <r>
      <rPr>
        <b/>
        <sz val="11"/>
        <rFont val="微软雅黑"/>
        <family val="2"/>
        <charset val="134"/>
      </rPr>
      <t>年安踏及斐乐零售额同增</t>
    </r>
    <r>
      <rPr>
        <b/>
        <sz val="11"/>
        <rFont val="Lato"/>
        <family val="2"/>
      </rPr>
      <t>10-15%</t>
    </r>
    <r>
      <rPr>
        <b/>
        <sz val="11"/>
        <rFont val="微软雅黑"/>
        <family val="2"/>
        <charset val="134"/>
      </rPr>
      <t>，迪桑特</t>
    </r>
    <r>
      <rPr>
        <b/>
        <sz val="11"/>
        <rFont val="Lato"/>
        <family val="2"/>
      </rPr>
      <t>/</t>
    </r>
    <r>
      <rPr>
        <b/>
        <sz val="11"/>
        <rFont val="微软雅黑"/>
        <family val="2"/>
        <charset val="134"/>
      </rPr>
      <t>可隆同增不低于</t>
    </r>
    <r>
      <rPr>
        <b/>
        <sz val="11"/>
        <rFont val="Lato"/>
        <family val="2"/>
      </rPr>
      <t>20/30%</t>
    </r>
    <r>
      <rPr>
        <b/>
        <sz val="11"/>
        <rFont val="微软雅黑"/>
        <family val="2"/>
        <charset val="134"/>
      </rPr>
      <t>的增长目标</t>
    </r>
    <r>
      <rPr>
        <sz val="11"/>
        <rFont val="微软雅黑"/>
        <family val="2"/>
        <charset val="134"/>
      </rPr>
      <t>。持续夯实多品牌协同管理能力、多品牌零售运营能力、全球化运营及资源整合能力。</t>
    </r>
    <phoneticPr fontId="12" type="noConversion"/>
  </si>
  <si>
    <r>
      <rPr>
        <b/>
        <sz val="12"/>
        <rFont val="微软雅黑"/>
        <family val="2"/>
        <charset val="134"/>
      </rPr>
      <t>商贸零售</t>
    </r>
  </si>
  <si>
    <r>
      <rPr>
        <b/>
        <sz val="12"/>
        <rFont val="微软雅黑"/>
        <family val="2"/>
        <charset val="134"/>
      </rPr>
      <t>名创优品</t>
    </r>
    <phoneticPr fontId="12" type="noConversion"/>
  </si>
  <si>
    <r>
      <rPr>
        <sz val="11"/>
        <rFont val="微软雅黑"/>
        <family val="2"/>
        <charset val="134"/>
      </rPr>
      <t>即将进入</t>
    </r>
    <r>
      <rPr>
        <b/>
        <sz val="11"/>
        <rFont val="微软雅黑"/>
        <family val="2"/>
        <charset val="134"/>
      </rPr>
      <t>同店低基数阶段</t>
    </r>
    <r>
      <rPr>
        <sz val="11"/>
        <rFont val="微软雅黑"/>
        <family val="2"/>
        <charset val="134"/>
      </rPr>
      <t>，多</t>
    </r>
    <r>
      <rPr>
        <sz val="11"/>
        <rFont val="Lato"/>
        <family val="2"/>
      </rPr>
      <t>IP</t>
    </r>
    <r>
      <rPr>
        <sz val="11"/>
        <rFont val="微软雅黑"/>
        <family val="2"/>
        <charset val="134"/>
      </rPr>
      <t>发布有望正向催化</t>
    </r>
    <phoneticPr fontId="12" type="noConversion"/>
  </si>
  <si>
    <r>
      <rPr>
        <b/>
        <sz val="12"/>
        <rFont val="微软雅黑"/>
        <family val="2"/>
        <charset val="134"/>
      </rPr>
      <t>交运</t>
    </r>
    <phoneticPr fontId="12" type="noConversion"/>
  </si>
  <si>
    <r>
      <rPr>
        <b/>
        <sz val="12"/>
        <rFont val="微软雅黑"/>
        <family val="2"/>
        <charset val="134"/>
      </rPr>
      <t>中远海控</t>
    </r>
    <phoneticPr fontId="12" type="noConversion"/>
  </si>
  <si>
    <r>
      <t>1</t>
    </r>
    <r>
      <rPr>
        <sz val="11"/>
        <rFont val="微软雅黑"/>
        <family val="2"/>
        <charset val="134"/>
      </rPr>
      <t>）出口需求超预期</t>
    </r>
    <r>
      <rPr>
        <sz val="11"/>
        <rFont val="Lato"/>
        <family val="2"/>
      </rPr>
      <t>+</t>
    </r>
    <r>
      <rPr>
        <sz val="11"/>
        <rFont val="微软雅黑"/>
        <family val="2"/>
        <charset val="134"/>
      </rPr>
      <t>地缘事件，</t>
    </r>
    <r>
      <rPr>
        <b/>
        <sz val="11"/>
        <rFont val="Lato"/>
        <family val="2"/>
      </rPr>
      <t>5</t>
    </r>
    <r>
      <rPr>
        <b/>
        <sz val="11"/>
        <rFont val="微软雅黑"/>
        <family val="2"/>
        <charset val="134"/>
      </rPr>
      <t>月大幅涨价；</t>
    </r>
    <r>
      <rPr>
        <sz val="11"/>
        <rFont val="Lato"/>
        <family val="2"/>
      </rPr>
      <t xml:space="preserve">
2</t>
    </r>
    <r>
      <rPr>
        <sz val="11"/>
        <rFont val="微软雅黑"/>
        <family val="2"/>
        <charset val="134"/>
      </rPr>
      <t>）运力规模全球第四，盈利高弹性</t>
    </r>
    <phoneticPr fontId="12" type="noConversion"/>
  </si>
  <si>
    <r>
      <rPr>
        <b/>
        <sz val="12"/>
        <rFont val="微软雅黑"/>
        <family val="2"/>
        <charset val="134"/>
      </rPr>
      <t>海丰国际</t>
    </r>
    <phoneticPr fontId="12" type="noConversion"/>
  </si>
  <si>
    <r>
      <t>1</t>
    </r>
    <r>
      <rPr>
        <sz val="11"/>
        <rFont val="微软雅黑"/>
        <family val="2"/>
        <charset val="134"/>
      </rPr>
      <t>）</t>
    </r>
    <r>
      <rPr>
        <b/>
        <sz val="11"/>
        <rFont val="微软雅黑"/>
        <family val="2"/>
        <charset val="134"/>
      </rPr>
      <t>出口需求超预期</t>
    </r>
    <r>
      <rPr>
        <b/>
        <sz val="11"/>
        <rFont val="Lato"/>
        <family val="2"/>
      </rPr>
      <t>+</t>
    </r>
    <r>
      <rPr>
        <b/>
        <sz val="11"/>
        <rFont val="微软雅黑"/>
        <family val="2"/>
        <charset val="134"/>
      </rPr>
      <t>地缘事件</t>
    </r>
    <r>
      <rPr>
        <sz val="11"/>
        <rFont val="微软雅黑"/>
        <family val="2"/>
        <charset val="134"/>
      </rPr>
      <t>，</t>
    </r>
    <r>
      <rPr>
        <sz val="11"/>
        <rFont val="Lato"/>
        <family val="2"/>
      </rPr>
      <t>5</t>
    </r>
    <r>
      <rPr>
        <sz val="11"/>
        <rFont val="微软雅黑"/>
        <family val="2"/>
        <charset val="134"/>
      </rPr>
      <t xml:space="preserve">月大幅涨价
</t>
    </r>
    <r>
      <rPr>
        <sz val="11"/>
        <rFont val="Lato"/>
        <family val="2"/>
      </rPr>
      <t>2</t>
    </r>
    <r>
      <rPr>
        <sz val="11"/>
        <rFont val="微软雅黑"/>
        <family val="2"/>
        <charset val="134"/>
      </rPr>
      <t>）专注亚洲区域市场，</t>
    </r>
    <r>
      <rPr>
        <b/>
        <sz val="11"/>
        <rFont val="微软雅黑"/>
        <family val="2"/>
        <charset val="134"/>
      </rPr>
      <t>中长期受益产业转移</t>
    </r>
    <phoneticPr fontId="12" type="noConversion"/>
  </si>
  <si>
    <r>
      <rPr>
        <b/>
        <sz val="12"/>
        <rFont val="微软雅黑"/>
        <family val="2"/>
        <charset val="134"/>
      </rPr>
      <t>社服</t>
    </r>
  </si>
  <si>
    <r>
      <rPr>
        <b/>
        <sz val="12"/>
        <rFont val="微软雅黑"/>
        <family val="2"/>
        <charset val="134"/>
      </rPr>
      <t>海底捞</t>
    </r>
    <phoneticPr fontId="12" type="noConversion"/>
  </si>
  <si>
    <r>
      <rPr>
        <sz val="11"/>
        <rFont val="微软雅黑"/>
        <family val="2"/>
        <charset val="134"/>
      </rPr>
      <t>海底捞</t>
    </r>
    <r>
      <rPr>
        <sz val="11"/>
        <rFont val="Lato"/>
        <family val="2"/>
      </rPr>
      <t>20-23</t>
    </r>
    <r>
      <rPr>
        <sz val="11"/>
        <rFont val="微软雅黑"/>
        <family val="2"/>
        <charset val="134"/>
      </rPr>
      <t>年经历峰谷周期验证，</t>
    </r>
    <r>
      <rPr>
        <b/>
        <sz val="11"/>
        <rFont val="Lato"/>
        <family val="2"/>
      </rPr>
      <t>24</t>
    </r>
    <r>
      <rPr>
        <b/>
        <sz val="11"/>
        <rFont val="微软雅黑"/>
        <family val="2"/>
        <charset val="134"/>
      </rPr>
      <t>年</t>
    </r>
    <r>
      <rPr>
        <b/>
        <sz val="11"/>
        <rFont val="Lato"/>
        <family val="2"/>
      </rPr>
      <t>1-3</t>
    </r>
    <r>
      <rPr>
        <b/>
        <sz val="11"/>
        <rFont val="微软雅黑"/>
        <family val="2"/>
        <charset val="134"/>
      </rPr>
      <t>月翻台同比</t>
    </r>
    <r>
      <rPr>
        <b/>
        <sz val="11"/>
        <rFont val="Lato"/>
        <family val="2"/>
      </rPr>
      <t>30%+</t>
    </r>
    <r>
      <rPr>
        <b/>
        <sz val="11"/>
        <rFont val="微软雅黑"/>
        <family val="2"/>
        <charset val="134"/>
      </rPr>
      <t>，横向对比表现亮眼。</t>
    </r>
    <phoneticPr fontId="12" type="noConversion"/>
  </si>
  <si>
    <r>
      <rPr>
        <b/>
        <sz val="12"/>
        <rFont val="微软雅黑"/>
        <family val="2"/>
        <charset val="134"/>
      </rPr>
      <t>互联网</t>
    </r>
  </si>
  <si>
    <r>
      <rPr>
        <b/>
        <sz val="12"/>
        <rFont val="微软雅黑"/>
        <family val="2"/>
        <charset val="134"/>
      </rPr>
      <t>美团</t>
    </r>
    <r>
      <rPr>
        <b/>
        <sz val="12"/>
        <rFont val="Lato"/>
        <family val="2"/>
      </rPr>
      <t>-W</t>
    </r>
    <phoneticPr fontId="12" type="noConversion"/>
  </si>
  <si>
    <r>
      <rPr>
        <b/>
        <sz val="11"/>
        <rFont val="微软雅黑"/>
        <family val="2"/>
        <charset val="134"/>
      </rPr>
      <t>到店竞争趋缓，利润率回升；外卖稳健增长</t>
    </r>
    <phoneticPr fontId="12" type="noConversion"/>
  </si>
  <si>
    <r>
      <rPr>
        <b/>
        <sz val="12"/>
        <rFont val="微软雅黑"/>
        <family val="2"/>
        <charset val="134"/>
      </rPr>
      <t>美图公司</t>
    </r>
    <phoneticPr fontId="12" type="noConversion"/>
  </si>
  <si>
    <r>
      <rPr>
        <b/>
        <sz val="11"/>
        <rFont val="微软雅黑"/>
        <family val="2"/>
        <charset val="134"/>
      </rPr>
      <t>付费数据持续兑现</t>
    </r>
    <r>
      <rPr>
        <sz val="11"/>
        <rFont val="微软雅黑"/>
        <family val="2"/>
        <charset val="134"/>
      </rPr>
      <t>，</t>
    </r>
    <r>
      <rPr>
        <sz val="11"/>
        <rFont val="Lato"/>
        <family val="2"/>
      </rPr>
      <t>612</t>
    </r>
    <r>
      <rPr>
        <sz val="11"/>
        <rFont val="微软雅黑"/>
        <family val="2"/>
        <charset val="134"/>
      </rPr>
      <t>影像节催化或提前反应</t>
    </r>
    <phoneticPr fontId="12" type="noConversion"/>
  </si>
  <si>
    <r>
      <rPr>
        <b/>
        <sz val="12"/>
        <rFont val="微软雅黑"/>
        <family val="2"/>
        <charset val="134"/>
      </rPr>
      <t>途虎</t>
    </r>
    <r>
      <rPr>
        <b/>
        <sz val="12"/>
        <rFont val="Lato"/>
        <family val="2"/>
      </rPr>
      <t>-W</t>
    </r>
    <phoneticPr fontId="12" type="noConversion"/>
  </si>
  <si>
    <r>
      <rPr>
        <b/>
        <sz val="12"/>
        <rFont val="微软雅黑"/>
        <family val="2"/>
        <charset val="134"/>
      </rPr>
      <t>腾讯控股</t>
    </r>
    <phoneticPr fontId="12" type="noConversion"/>
  </si>
  <si>
    <r>
      <t>3.3</t>
    </r>
    <r>
      <rPr>
        <sz val="12"/>
        <rFont val="微软雅黑"/>
        <family val="2"/>
        <charset val="134"/>
      </rPr>
      <t>万</t>
    </r>
  </si>
  <si>
    <r>
      <rPr>
        <b/>
        <sz val="12"/>
        <rFont val="微软雅黑"/>
        <family val="2"/>
        <charset val="134"/>
      </rPr>
      <t>电子</t>
    </r>
  </si>
  <si>
    <r>
      <rPr>
        <b/>
        <sz val="12"/>
        <rFont val="微软雅黑"/>
        <family val="2"/>
        <charset val="134"/>
      </rPr>
      <t>小米集团</t>
    </r>
    <r>
      <rPr>
        <b/>
        <sz val="12"/>
        <rFont val="Lato"/>
        <family val="2"/>
      </rPr>
      <t>-W</t>
    </r>
    <phoneticPr fontId="12" type="noConversion"/>
  </si>
  <si>
    <r>
      <rPr>
        <b/>
        <sz val="12"/>
        <rFont val="微软雅黑"/>
        <family val="2"/>
        <charset val="134"/>
      </rPr>
      <t>通信</t>
    </r>
    <phoneticPr fontId="12" type="noConversion"/>
  </si>
  <si>
    <r>
      <rPr>
        <b/>
        <sz val="12"/>
        <rFont val="微软雅黑"/>
        <family val="2"/>
        <charset val="134"/>
      </rPr>
      <t>中国移动</t>
    </r>
    <phoneticPr fontId="12" type="noConversion"/>
  </si>
  <si>
    <r>
      <rPr>
        <sz val="11"/>
        <rFont val="微软雅黑"/>
        <family val="2"/>
        <charset val="134"/>
      </rPr>
      <t>当前市场风险偏好下，高分红投资策略占优，公司具备</t>
    </r>
    <r>
      <rPr>
        <b/>
        <sz val="11"/>
        <rFont val="微软雅黑"/>
        <family val="2"/>
        <charset val="134"/>
      </rPr>
      <t>高分红、稳增长</t>
    </r>
    <r>
      <rPr>
        <sz val="11"/>
        <rFont val="微软雅黑"/>
        <family val="2"/>
        <charset val="134"/>
      </rPr>
      <t>的优质资产属性，在资本开支下行、现金流稳健、折旧摊销费用减少、收入端稳增长、分红率提升的共同作用下，股东回报有望持续提升。</t>
    </r>
    <phoneticPr fontId="12" type="noConversion"/>
  </si>
  <si>
    <r>
      <t>1.5</t>
    </r>
    <r>
      <rPr>
        <sz val="12"/>
        <rFont val="微软雅黑"/>
        <family val="2"/>
        <charset val="134"/>
      </rPr>
      <t>万</t>
    </r>
    <phoneticPr fontId="12" type="noConversion"/>
  </si>
  <si>
    <r>
      <rPr>
        <b/>
        <sz val="12"/>
        <rFont val="微软雅黑"/>
        <family val="2"/>
        <charset val="134"/>
      </rPr>
      <t>中国电信</t>
    </r>
    <phoneticPr fontId="12" type="noConversion"/>
  </si>
  <si>
    <r>
      <rPr>
        <sz val="11"/>
        <rFont val="微软雅黑"/>
        <family val="2"/>
        <charset val="134"/>
      </rPr>
      <t>公司具备</t>
    </r>
    <r>
      <rPr>
        <b/>
        <sz val="11"/>
        <rFont val="微软雅黑"/>
        <family val="2"/>
        <charset val="134"/>
      </rPr>
      <t>高分红、稳增长</t>
    </r>
    <r>
      <rPr>
        <sz val="11"/>
        <rFont val="微软雅黑"/>
        <family val="2"/>
        <charset val="134"/>
      </rPr>
      <t>的优质资产属性，自</t>
    </r>
    <r>
      <rPr>
        <sz val="11"/>
        <rFont val="Lato"/>
        <family val="2"/>
      </rPr>
      <t>2024</t>
    </r>
    <r>
      <rPr>
        <sz val="11"/>
        <rFont val="微软雅黑"/>
        <family val="2"/>
        <charset val="134"/>
      </rPr>
      <t>年起三年内分红率将进一步提升至</t>
    </r>
    <r>
      <rPr>
        <sz val="11"/>
        <rFont val="Lato"/>
        <family val="2"/>
      </rPr>
      <t>75%</t>
    </r>
    <r>
      <rPr>
        <sz val="11"/>
        <rFont val="微软雅黑"/>
        <family val="2"/>
        <charset val="134"/>
      </rPr>
      <t>。业务层面，天翼云竞争力保持领先，公司作为产业数字化业务规模最大的运营商，有望成为算力基础设施建设主力，受益于国内智算建设浪潮。</t>
    </r>
    <phoneticPr fontId="12" type="noConversion"/>
  </si>
  <si>
    <r>
      <rPr>
        <b/>
        <sz val="12"/>
        <rFont val="微软雅黑"/>
        <family val="2"/>
        <charset val="134"/>
      </rPr>
      <t>保险</t>
    </r>
  </si>
  <si>
    <r>
      <rPr>
        <b/>
        <sz val="12"/>
        <rFont val="微软雅黑"/>
        <family val="2"/>
        <charset val="134"/>
      </rPr>
      <t>中国财险</t>
    </r>
    <phoneticPr fontId="12" type="noConversion"/>
  </si>
  <si>
    <r>
      <rPr>
        <sz val="11"/>
        <rFont val="微软雅黑"/>
        <family val="2"/>
        <charset val="134"/>
      </rPr>
      <t>预计承保表现稳定，</t>
    </r>
    <r>
      <rPr>
        <b/>
        <sz val="11"/>
        <rFont val="微软雅黑"/>
        <family val="2"/>
        <charset val="134"/>
      </rPr>
      <t>投资表现企稳有望重新推升资本回报。</t>
    </r>
    <phoneticPr fontId="12" type="noConversion"/>
  </si>
  <si>
    <r>
      <rPr>
        <b/>
        <sz val="12"/>
        <rFont val="微软雅黑"/>
        <family val="2"/>
        <charset val="134"/>
      </rPr>
      <t>友邦保险</t>
    </r>
    <phoneticPr fontId="12" type="noConversion"/>
  </si>
  <si>
    <r>
      <rPr>
        <b/>
        <sz val="11"/>
        <rFont val="微软雅黑"/>
        <family val="2"/>
        <charset val="134"/>
      </rPr>
      <t>市场情绪好转，估值处于历史低位</t>
    </r>
    <r>
      <rPr>
        <sz val="11"/>
        <rFont val="微软雅黑"/>
        <family val="2"/>
        <charset val="134"/>
      </rPr>
      <t>，</t>
    </r>
    <r>
      <rPr>
        <sz val="11"/>
        <rFont val="Lato"/>
        <family val="2"/>
      </rPr>
      <t>NBV</t>
    </r>
    <r>
      <rPr>
        <sz val="11"/>
        <rFont val="微软雅黑"/>
        <family val="2"/>
        <charset val="134"/>
      </rPr>
      <t>有望稳健增长。</t>
    </r>
    <phoneticPr fontId="12" type="noConversion"/>
  </si>
  <si>
    <r>
      <rPr>
        <b/>
        <sz val="12"/>
        <rFont val="微软雅黑"/>
        <family val="2"/>
        <charset val="134"/>
      </rPr>
      <t>房地产</t>
    </r>
  </si>
  <si>
    <r>
      <rPr>
        <b/>
        <sz val="12"/>
        <rFont val="微软雅黑"/>
        <family val="2"/>
        <charset val="134"/>
      </rPr>
      <t>华润置地</t>
    </r>
    <phoneticPr fontId="12" type="noConversion"/>
  </si>
  <si>
    <r>
      <t>1</t>
    </r>
    <r>
      <rPr>
        <sz val="11"/>
        <rFont val="微软雅黑"/>
        <family val="2"/>
        <charset val="134"/>
      </rPr>
      <t xml:space="preserve">、销售拿地保持稳定，有望稳中有增；
</t>
    </r>
    <r>
      <rPr>
        <sz val="11"/>
        <rFont val="Lato"/>
        <family val="2"/>
      </rPr>
      <t>2</t>
    </r>
    <r>
      <rPr>
        <sz val="11"/>
        <rFont val="微软雅黑"/>
        <family val="2"/>
        <charset val="134"/>
      </rPr>
      <t>、</t>
    </r>
    <r>
      <rPr>
        <b/>
        <sz val="11"/>
        <rFont val="微软雅黑"/>
        <family val="2"/>
        <charset val="134"/>
      </rPr>
      <t>经营不动产业务增长强劲</t>
    </r>
    <r>
      <rPr>
        <sz val="11"/>
        <rFont val="微软雅黑"/>
        <family val="2"/>
        <charset val="134"/>
      </rPr>
      <t xml:space="preserve">，资管模式平台初见成效；
</t>
    </r>
    <r>
      <rPr>
        <sz val="11"/>
        <rFont val="Lato"/>
        <family val="2"/>
      </rPr>
      <t>3</t>
    </r>
    <r>
      <rPr>
        <sz val="11"/>
        <rFont val="微软雅黑"/>
        <family val="2"/>
        <charset val="134"/>
      </rPr>
      <t>、</t>
    </r>
    <r>
      <rPr>
        <b/>
        <sz val="11"/>
        <rFont val="微软雅黑"/>
        <family val="2"/>
        <charset val="134"/>
      </rPr>
      <t>债务结构较优</t>
    </r>
    <r>
      <rPr>
        <sz val="11"/>
        <rFont val="微软雅黑"/>
        <family val="2"/>
        <charset val="134"/>
      </rPr>
      <t>，充裕结转资源支持业绩稳健增长</t>
    </r>
    <phoneticPr fontId="12" type="noConversion"/>
  </si>
  <si>
    <r>
      <rPr>
        <b/>
        <sz val="12"/>
        <rFont val="微软雅黑"/>
        <family val="2"/>
        <charset val="134"/>
      </rPr>
      <t>保利物业</t>
    </r>
    <phoneticPr fontId="12" type="noConversion"/>
  </si>
  <si>
    <r>
      <t>1</t>
    </r>
    <r>
      <rPr>
        <sz val="11"/>
        <rFont val="微软雅黑"/>
        <family val="2"/>
        <charset val="134"/>
      </rPr>
      <t>、由港股情绪好转和地产政策博弈驱动的超跌反弹，</t>
    </r>
    <r>
      <rPr>
        <b/>
        <sz val="11"/>
        <rFont val="微软雅黑"/>
        <family val="2"/>
        <charset val="134"/>
      </rPr>
      <t>保守预测未来三年</t>
    </r>
    <r>
      <rPr>
        <b/>
        <sz val="11"/>
        <rFont val="Lato"/>
        <family val="2"/>
      </rPr>
      <t>13%</t>
    </r>
    <r>
      <rPr>
        <b/>
        <sz val="11"/>
        <rFont val="微软雅黑"/>
        <family val="2"/>
        <charset val="134"/>
      </rPr>
      <t>左右的利润</t>
    </r>
    <r>
      <rPr>
        <b/>
        <sz val="11"/>
        <rFont val="Lato"/>
        <family val="2"/>
      </rPr>
      <t>CAGR</t>
    </r>
    <r>
      <rPr>
        <b/>
        <sz val="11"/>
        <rFont val="微软雅黑"/>
        <family val="2"/>
        <charset val="134"/>
      </rPr>
      <t>，目前</t>
    </r>
    <r>
      <rPr>
        <b/>
        <sz val="11"/>
        <rFont val="Lato"/>
        <family val="2"/>
      </rPr>
      <t>10</t>
    </r>
    <r>
      <rPr>
        <b/>
        <sz val="11"/>
        <rFont val="微软雅黑"/>
        <family val="2"/>
        <charset val="134"/>
      </rPr>
      <t>倍</t>
    </r>
    <r>
      <rPr>
        <b/>
        <sz val="11"/>
        <rFont val="Lato"/>
        <family val="2"/>
      </rPr>
      <t>24PE</t>
    </r>
    <r>
      <rPr>
        <b/>
        <sz val="11"/>
        <rFont val="微软雅黑"/>
        <family val="2"/>
        <charset val="134"/>
      </rPr>
      <t>仍有空间</t>
    </r>
    <r>
      <rPr>
        <sz val="11"/>
        <rFont val="微软雅黑"/>
        <family val="2"/>
        <charset val="134"/>
      </rPr>
      <t xml:space="preserve">；
</t>
    </r>
    <r>
      <rPr>
        <sz val="11"/>
        <rFont val="Lato"/>
        <family val="2"/>
      </rPr>
      <t>2</t>
    </r>
    <r>
      <rPr>
        <sz val="11"/>
        <rFont val="微软雅黑"/>
        <family val="2"/>
        <charset val="134"/>
      </rPr>
      <t>、</t>
    </r>
    <r>
      <rPr>
        <b/>
        <sz val="11"/>
        <rFont val="微软雅黑"/>
        <family val="2"/>
        <charset val="134"/>
      </rPr>
      <t>公建类市场拓展和社区增值服务能力突出</t>
    </r>
    <r>
      <rPr>
        <sz val="11"/>
        <rFont val="微软雅黑"/>
        <family val="2"/>
        <charset val="134"/>
      </rPr>
      <t xml:space="preserve">；
</t>
    </r>
    <r>
      <rPr>
        <sz val="11"/>
        <rFont val="Lato"/>
        <family val="2"/>
      </rPr>
      <t>3</t>
    </r>
    <r>
      <rPr>
        <sz val="11"/>
        <rFont val="微软雅黑"/>
        <family val="2"/>
        <charset val="134"/>
      </rPr>
      <t>、</t>
    </r>
    <r>
      <rPr>
        <b/>
        <sz val="11"/>
        <rFont val="微软雅黑"/>
        <family val="2"/>
        <charset val="134"/>
      </rPr>
      <t>央企物管公司现金流稳健</t>
    </r>
    <r>
      <rPr>
        <sz val="11"/>
        <rFont val="微软雅黑"/>
        <family val="2"/>
        <charset val="134"/>
      </rPr>
      <t>，</t>
    </r>
    <r>
      <rPr>
        <sz val="11"/>
        <rFont val="Lato"/>
        <family val="2"/>
      </rPr>
      <t>40%</t>
    </r>
    <r>
      <rPr>
        <sz val="11"/>
        <rFont val="微软雅黑"/>
        <family val="2"/>
        <charset val="134"/>
      </rPr>
      <t>派息率，</t>
    </r>
    <r>
      <rPr>
        <sz val="11"/>
        <rFont val="Lato"/>
        <family val="2"/>
      </rPr>
      <t>3.7%</t>
    </r>
    <r>
      <rPr>
        <sz val="11"/>
        <rFont val="微软雅黑"/>
        <family val="2"/>
        <charset val="134"/>
      </rPr>
      <t>股息率。</t>
    </r>
    <phoneticPr fontId="12" type="noConversion"/>
  </si>
  <si>
    <r>
      <t>1</t>
    </r>
    <r>
      <rPr>
        <sz val="11"/>
        <rFont val="微软雅黑"/>
        <family val="2"/>
        <charset val="134"/>
      </rPr>
      <t>）汽车后服务市场</t>
    </r>
    <r>
      <rPr>
        <b/>
        <sz val="11"/>
        <rFont val="微软雅黑"/>
        <family val="2"/>
        <charset val="134"/>
      </rPr>
      <t>市场规模广阔</t>
    </r>
    <r>
      <rPr>
        <sz val="11"/>
        <rFont val="微软雅黑"/>
        <family val="2"/>
        <charset val="134"/>
      </rPr>
      <t>，预计</t>
    </r>
    <r>
      <rPr>
        <sz val="11"/>
        <rFont val="Lato"/>
        <family val="2"/>
      </rPr>
      <t>2027</t>
    </r>
    <r>
      <rPr>
        <sz val="11"/>
        <rFont val="微软雅黑"/>
        <family val="2"/>
        <charset val="134"/>
      </rPr>
      <t>年可达</t>
    </r>
    <r>
      <rPr>
        <sz val="11"/>
        <rFont val="Lato"/>
        <family val="2"/>
      </rPr>
      <t>1.7</t>
    </r>
    <r>
      <rPr>
        <sz val="11"/>
        <rFont val="微软雅黑"/>
        <family val="2"/>
        <charset val="134"/>
      </rPr>
      <t>万亿，</t>
    </r>
    <r>
      <rPr>
        <sz val="11"/>
        <rFont val="Lato"/>
        <family val="2"/>
      </rPr>
      <t>2</t>
    </r>
    <r>
      <rPr>
        <sz val="11"/>
        <rFont val="微软雅黑"/>
        <family val="2"/>
        <charset val="134"/>
      </rPr>
      <t>）途虎作为行业龙头，</t>
    </r>
    <r>
      <rPr>
        <b/>
        <sz val="11"/>
        <rFont val="微软雅黑"/>
        <family val="2"/>
        <charset val="134"/>
      </rPr>
      <t>市场份额领先</t>
    </r>
    <r>
      <rPr>
        <sz val="11"/>
        <rFont val="微软雅黑"/>
        <family val="2"/>
        <charset val="134"/>
      </rPr>
      <t>，但亦仅占据</t>
    </r>
    <r>
      <rPr>
        <sz val="11"/>
        <rFont val="Lato"/>
        <family val="2"/>
      </rPr>
      <t>1%</t>
    </r>
    <r>
      <rPr>
        <sz val="11"/>
        <rFont val="微软雅黑"/>
        <family val="2"/>
        <charset val="134"/>
      </rPr>
      <t>市场，</t>
    </r>
    <r>
      <rPr>
        <b/>
        <sz val="11"/>
        <rFont val="微软雅黑"/>
        <family val="2"/>
        <charset val="134"/>
      </rPr>
      <t>后续有望持续整合</t>
    </r>
    <r>
      <rPr>
        <b/>
        <sz val="11"/>
        <rFont val="Lato"/>
        <family val="2"/>
      </rPr>
      <t>IAM</t>
    </r>
    <r>
      <rPr>
        <b/>
        <sz val="11"/>
        <rFont val="微软雅黑"/>
        <family val="2"/>
        <charset val="134"/>
      </rPr>
      <t>市场</t>
    </r>
    <r>
      <rPr>
        <sz val="11"/>
        <rFont val="微软雅黑"/>
        <family val="2"/>
        <charset val="134"/>
      </rPr>
      <t>；</t>
    </r>
    <r>
      <rPr>
        <sz val="11"/>
        <rFont val="Lato"/>
        <family val="2"/>
      </rPr>
      <t>3</t>
    </r>
    <r>
      <rPr>
        <sz val="11"/>
        <rFont val="微软雅黑"/>
        <family val="2"/>
        <charset val="134"/>
      </rPr>
      <t xml:space="preserve">）公司加盟模式全流程强把控，利润分成模式注重长期共赢，门店扩张有望持续高速增长。
</t>
    </r>
    <r>
      <rPr>
        <b/>
        <sz val="11"/>
        <rFont val="微软雅黑"/>
        <family val="2"/>
        <charset val="134"/>
      </rPr>
      <t>近期催化：公司</t>
    </r>
    <r>
      <rPr>
        <b/>
        <sz val="11"/>
        <rFont val="Lato"/>
        <family val="2"/>
      </rPr>
      <t>4.26</t>
    </r>
    <r>
      <rPr>
        <b/>
        <sz val="11"/>
        <rFont val="微软雅黑"/>
        <family val="2"/>
        <charset val="134"/>
      </rPr>
      <t>正式入通，有望带来流动性利好。</t>
    </r>
    <phoneticPr fontId="12" type="noConversion"/>
  </si>
  <si>
    <r>
      <rPr>
        <b/>
        <sz val="11"/>
        <rFont val="微软雅黑"/>
        <family val="2"/>
        <charset val="134"/>
      </rPr>
      <t>腾讯基本面进入上行空间</t>
    </r>
    <r>
      <rPr>
        <sz val="11"/>
        <rFont val="微软雅黑"/>
        <family val="2"/>
        <charset val="134"/>
      </rPr>
      <t>，</t>
    </r>
    <r>
      <rPr>
        <sz val="11"/>
        <rFont val="Lato"/>
        <family val="2"/>
      </rPr>
      <t>DnF</t>
    </r>
    <r>
      <rPr>
        <sz val="11"/>
        <rFont val="微软雅黑"/>
        <family val="2"/>
        <charset val="134"/>
      </rPr>
      <t>新游带动游戏收入，</t>
    </r>
    <r>
      <rPr>
        <sz val="11"/>
        <rFont val="Lato"/>
        <family val="2"/>
      </rPr>
      <t>AI</t>
    </r>
    <r>
      <rPr>
        <sz val="11"/>
        <rFont val="微软雅黑"/>
        <family val="2"/>
        <charset val="134"/>
      </rPr>
      <t>推动广告收入和毛利利率增速，净利润有望进一步上抬</t>
    </r>
    <phoneticPr fontId="12" type="noConversion"/>
  </si>
  <si>
    <r>
      <rPr>
        <sz val="11"/>
        <rFont val="微软雅黑"/>
        <family val="2"/>
        <charset val="134"/>
      </rPr>
      <t>汽车市场大定超预期，手机毛利率受原材料涨价影响低于之前预期，</t>
    </r>
    <r>
      <rPr>
        <b/>
        <sz val="11"/>
        <rFont val="微软雅黑"/>
        <family val="2"/>
        <charset val="134"/>
      </rPr>
      <t>业绩存在上修空间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</si>
</sst>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28" x14ac:knownFonts="1">
    <font>
      <sz val="11"/>
      <color theme="1"/>
      <name val="等线"/>
      <family val="2"/>
      <charset val="134"/>
      <scheme val="minor"/>
    </font>
    <font>
      <sz val="10"/>
      <color theme="1"/>
      <name val="等线"/>
      <family val="2"/>
      <scheme val="minor"/>
    </font>
    <font>
      <sz val="10"/>
      <color rgb="FFFF0000"/>
      <name val="等线"/>
      <family val="2"/>
      <scheme val="minor"/>
    </font>
    <font>
      <b/>
      <sz val="12"/>
      <color rgb="FFFFFFFF"/>
      <name val="等线"/>
      <family val="2"/>
      <scheme val="minor"/>
    </font>
    <font>
      <b/>
      <sz val="12"/>
      <color rgb="FFFF0000"/>
      <name val="等线"/>
      <family val="2"/>
      <scheme val="minor"/>
    </font>
    <font>
      <sz val="10"/>
      <name val="等线"/>
      <family val="2"/>
      <scheme val="minor"/>
    </font>
    <font>
      <b/>
      <sz val="12"/>
      <name val="等线"/>
      <family val="2"/>
      <scheme val="minor"/>
    </font>
    <font>
      <sz val="9"/>
      <name val="等线"/>
      <family val="2"/>
      <scheme val="minor"/>
    </font>
    <font>
      <sz val="9"/>
      <color rgb="FFFF0000"/>
      <name val="等线"/>
      <family val="2"/>
      <scheme val="minor"/>
    </font>
    <font>
      <sz val="11"/>
      <color theme="1"/>
      <name val="等线"/>
      <family val="2"/>
      <scheme val="minor"/>
    </font>
    <font>
      <sz val="14"/>
      <color rgb="FF002060"/>
      <name val="lato"/>
      <family val="2"/>
    </font>
    <font>
      <sz val="14"/>
      <color rgb="FF002060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2"/>
      <color rgb="FFFFFFFF"/>
      <name val="微软雅黑"/>
      <family val="2"/>
      <charset val="134"/>
    </font>
    <font>
      <b/>
      <sz val="12"/>
      <color rgb="FFFFFFFF"/>
      <name val="LATO"/>
      <family val="2"/>
    </font>
    <font>
      <b/>
      <sz val="12"/>
      <name val="Lato"/>
      <family val="2"/>
    </font>
    <font>
      <b/>
      <sz val="11"/>
      <color rgb="FFFFFFFF"/>
      <name val="LATO"/>
      <family val="2"/>
    </font>
    <font>
      <sz val="11"/>
      <name val="Lato"/>
      <family val="2"/>
    </font>
    <font>
      <b/>
      <sz val="14"/>
      <color rgb="FF002060"/>
      <name val="lato"/>
      <family val="2"/>
    </font>
    <font>
      <b/>
      <sz val="14"/>
      <color rgb="FF002060"/>
      <name val="微软雅黑"/>
      <family val="2"/>
      <charset val="134"/>
    </font>
    <font>
      <b/>
      <sz val="11"/>
      <name val="Lato"/>
      <family val="2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Lato"/>
      <family val="2"/>
    </font>
    <font>
      <sz val="12"/>
      <name val="Lato"/>
      <family val="2"/>
    </font>
    <font>
      <sz val="11"/>
      <name val="Lato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auto="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49" fontId="3" fillId="3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9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9" fontId="7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9" fontId="3" fillId="3" borderId="6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2" fillId="0" borderId="8" xfId="0" applyFont="1" applyFill="1" applyBorder="1" applyAlignment="1">
      <alignment vertical="center" wrapText="1"/>
    </xf>
    <xf numFmtId="49" fontId="14" fillId="3" borderId="0" xfId="0" applyNumberFormat="1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/>
    </xf>
    <xf numFmtId="49" fontId="15" fillId="0" borderId="9" xfId="0" applyNumberFormat="1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25" fillId="0" borderId="9" xfId="0" applyFont="1" applyFill="1" applyBorder="1" applyAlignment="1">
      <alignment vertical="center"/>
    </xf>
    <xf numFmtId="0" fontId="17" fillId="0" borderId="9" xfId="0" applyFont="1" applyFill="1" applyBorder="1" applyAlignment="1">
      <alignment vertical="center" wrapText="1"/>
    </xf>
    <xf numFmtId="0" fontId="26" fillId="0" borderId="9" xfId="0" applyFont="1" applyFill="1" applyBorder="1" applyAlignment="1">
      <alignment horizontal="center" vertical="center"/>
    </xf>
    <xf numFmtId="10" fontId="26" fillId="0" borderId="9" xfId="0" applyNumberFormat="1" applyFont="1" applyFill="1" applyBorder="1" applyAlignment="1">
      <alignment horizontal="center" vertical="center"/>
    </xf>
    <xf numFmtId="0" fontId="26" fillId="0" borderId="9" xfId="0" applyNumberFormat="1" applyFont="1" applyFill="1" applyBorder="1" applyAlignment="1">
      <alignment horizontal="center" vertical="center"/>
    </xf>
    <xf numFmtId="0" fontId="17" fillId="0" borderId="9" xfId="0" applyNumberFormat="1" applyFont="1" applyFill="1" applyBorder="1" applyAlignment="1">
      <alignment horizontal="center" vertical="center"/>
    </xf>
    <xf numFmtId="10" fontId="17" fillId="0" borderId="9" xfId="0" applyNumberFormat="1" applyFont="1" applyFill="1" applyBorder="1" applyAlignment="1">
      <alignment horizontal="center" vertical="center"/>
    </xf>
    <xf numFmtId="49" fontId="15" fillId="0" borderId="8" xfId="0" applyNumberFormat="1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25" fillId="0" borderId="8" xfId="0" applyFont="1" applyFill="1" applyBorder="1" applyAlignment="1">
      <alignment vertical="center"/>
    </xf>
    <xf numFmtId="0" fontId="17" fillId="0" borderId="8" xfId="0" applyFont="1" applyFill="1" applyBorder="1" applyAlignment="1">
      <alignment vertical="center" wrapText="1"/>
    </xf>
    <xf numFmtId="0" fontId="26" fillId="0" borderId="8" xfId="0" applyFont="1" applyFill="1" applyBorder="1" applyAlignment="1">
      <alignment horizontal="center" vertical="center"/>
    </xf>
    <xf numFmtId="9" fontId="26" fillId="0" borderId="8" xfId="0" applyNumberFormat="1" applyFont="1" applyFill="1" applyBorder="1" applyAlignment="1">
      <alignment horizontal="center" vertical="center"/>
    </xf>
    <xf numFmtId="0" fontId="26" fillId="0" borderId="8" xfId="0" applyNumberFormat="1" applyFont="1" applyFill="1" applyBorder="1" applyAlignment="1">
      <alignment horizontal="center" vertical="center"/>
    </xf>
    <xf numFmtId="0" fontId="17" fillId="0" borderId="8" xfId="0" applyNumberFormat="1" applyFont="1" applyFill="1" applyBorder="1" applyAlignment="1">
      <alignment horizontal="center" vertical="center"/>
    </xf>
    <xf numFmtId="10" fontId="17" fillId="0" borderId="8" xfId="0" applyNumberFormat="1" applyFont="1" applyFill="1" applyBorder="1" applyAlignment="1">
      <alignment horizontal="center" vertical="center"/>
    </xf>
    <xf numFmtId="49" fontId="15" fillId="0" borderId="9" xfId="0" applyNumberFormat="1" applyFont="1" applyFill="1" applyBorder="1" applyAlignment="1">
      <alignment horizontal="center" vertical="center" wrapText="1"/>
    </xf>
    <xf numFmtId="49" fontId="15" fillId="0" borderId="10" xfId="0" applyNumberFormat="1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vertical="center"/>
    </xf>
    <xf numFmtId="0" fontId="17" fillId="0" borderId="10" xfId="0" applyFont="1" applyFill="1" applyBorder="1" applyAlignment="1">
      <alignment vertical="center" wrapText="1"/>
    </xf>
    <xf numFmtId="0" fontId="26" fillId="0" borderId="10" xfId="0" applyFont="1" applyFill="1" applyBorder="1" applyAlignment="1">
      <alignment horizontal="center" vertical="center"/>
    </xf>
    <xf numFmtId="9" fontId="26" fillId="0" borderId="10" xfId="0" applyNumberFormat="1" applyFont="1" applyFill="1" applyBorder="1" applyAlignment="1">
      <alignment horizontal="center" vertical="center"/>
    </xf>
    <xf numFmtId="0" fontId="26" fillId="0" borderId="10" xfId="0" applyNumberFormat="1" applyFont="1" applyFill="1" applyBorder="1" applyAlignment="1">
      <alignment horizontal="center" vertical="center"/>
    </xf>
    <xf numFmtId="0" fontId="17" fillId="0" borderId="10" xfId="0" applyNumberFormat="1" applyFont="1" applyFill="1" applyBorder="1" applyAlignment="1">
      <alignment horizontal="center" vertical="center"/>
    </xf>
    <xf numFmtId="10" fontId="17" fillId="0" borderId="10" xfId="0" applyNumberFormat="1" applyFont="1" applyFill="1" applyBorder="1" applyAlignment="1">
      <alignment horizontal="center" vertical="center"/>
    </xf>
    <xf numFmtId="9" fontId="26" fillId="0" borderId="9" xfId="0" applyNumberFormat="1" applyFont="1" applyFill="1" applyBorder="1" applyAlignment="1">
      <alignment horizontal="center" vertical="center"/>
    </xf>
    <xf numFmtId="177" fontId="26" fillId="0" borderId="8" xfId="0" applyNumberFormat="1" applyFont="1" applyFill="1" applyBorder="1" applyAlignment="1">
      <alignment horizontal="center" vertical="center"/>
    </xf>
    <xf numFmtId="177" fontId="17" fillId="0" borderId="8" xfId="0" applyNumberFormat="1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vertical="center" wrapText="1"/>
    </xf>
    <xf numFmtId="49" fontId="15" fillId="0" borderId="0" xfId="0" applyNumberFormat="1" applyFont="1" applyFill="1" applyBorder="1" applyAlignment="1">
      <alignment horizontal="center" vertical="center" wrapText="1"/>
    </xf>
    <xf numFmtId="10" fontId="26" fillId="0" borderId="10" xfId="0" applyNumberFormat="1" applyFont="1" applyFill="1" applyBorder="1" applyAlignment="1">
      <alignment horizontal="center" vertical="center"/>
    </xf>
    <xf numFmtId="10" fontId="26" fillId="0" borderId="8" xfId="0" applyNumberFormat="1" applyFont="1" applyFill="1" applyBorder="1" applyAlignment="1">
      <alignment horizontal="center" vertical="center"/>
    </xf>
    <xf numFmtId="1" fontId="26" fillId="0" borderId="8" xfId="0" applyNumberFormat="1" applyFont="1" applyFill="1" applyBorder="1" applyAlignment="1">
      <alignment horizontal="center" vertical="center"/>
    </xf>
    <xf numFmtId="1" fontId="17" fillId="0" borderId="8" xfId="0" applyNumberFormat="1" applyFont="1" applyFill="1" applyBorder="1" applyAlignment="1">
      <alignment horizontal="center" vertical="center"/>
    </xf>
    <xf numFmtId="1" fontId="26" fillId="0" borderId="10" xfId="0" applyNumberFormat="1" applyFont="1" applyFill="1" applyBorder="1" applyAlignment="1">
      <alignment horizontal="center" vertical="center"/>
    </xf>
    <xf numFmtId="1" fontId="17" fillId="0" borderId="10" xfId="0" applyNumberFormat="1" applyFont="1" applyFill="1" applyBorder="1" applyAlignment="1">
      <alignment horizontal="center" vertical="center"/>
    </xf>
    <xf numFmtId="177" fontId="26" fillId="0" borderId="10" xfId="0" applyNumberFormat="1" applyFont="1" applyFill="1" applyBorder="1" applyAlignment="1">
      <alignment horizontal="center" vertical="center"/>
    </xf>
    <xf numFmtId="177" fontId="17" fillId="0" borderId="10" xfId="0" applyNumberFormat="1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417286</xdr:colOff>
      <xdr:row>0</xdr:row>
      <xdr:rowOff>226785</xdr:rowOff>
    </xdr:from>
    <xdr:to>
      <xdr:col>6</xdr:col>
      <xdr:colOff>301831</xdr:colOff>
      <xdr:row>0</xdr:row>
      <xdr:rowOff>631586</xdr:rowOff>
    </xdr:to>
    <xdr:pic>
      <xdr:nvPicPr>
        <xdr:cNvPr id="5" name="图片 4" descr="logo">
          <a:extLst>
            <a:ext uri="{FF2B5EF4-FFF2-40B4-BE49-F238E27FC236}">
              <a16:creationId xmlns:a16="http://schemas.microsoft.com/office/drawing/2014/main" id="{07D4327D-8BD1-4028-AEE0-603D3125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3857" y="226785"/>
          <a:ext cx="1608117" cy="4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zoomScale="85" zoomScaleNormal="85" workbookViewId="0">
      <selection activeCell="F2" sqref="F2:L22"/>
    </sheetView>
  </sheetViews>
  <sheetFormatPr defaultRowHeight="14" x14ac:dyDescent="0.3"/>
  <cols>
    <col min="4" max="4" width="58.4140625" customWidth="1"/>
    <col min="5" max="5" width="0" hidden="1" customWidth="1"/>
    <col min="13" max="13" width="25.25" customWidth="1"/>
  </cols>
  <sheetData>
    <row r="1" spans="1:13" ht="15.5" x14ac:dyDescent="0.3">
      <c r="A1" s="23" t="s">
        <v>183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13" x14ac:dyDescent="0.3">
      <c r="A2" s="22" t="s">
        <v>182</v>
      </c>
      <c r="B2" s="20" t="s">
        <v>181</v>
      </c>
      <c r="C2" s="22" t="s">
        <v>180</v>
      </c>
      <c r="D2" s="17" t="s">
        <v>179</v>
      </c>
      <c r="E2" s="17" t="s">
        <v>178</v>
      </c>
      <c r="F2" s="17" t="s">
        <v>177</v>
      </c>
      <c r="G2" s="26" t="s">
        <v>176</v>
      </c>
      <c r="H2" s="25"/>
      <c r="I2" s="26" t="s">
        <v>175</v>
      </c>
      <c r="J2" s="25"/>
      <c r="K2" s="26" t="s">
        <v>174</v>
      </c>
      <c r="L2" s="25"/>
      <c r="M2" s="17" t="s">
        <v>173</v>
      </c>
    </row>
    <row r="3" spans="1:13" ht="15.5" x14ac:dyDescent="0.3">
      <c r="A3" s="19"/>
      <c r="B3" s="21"/>
      <c r="C3" s="19"/>
      <c r="D3" s="19"/>
      <c r="E3" s="18"/>
      <c r="F3" s="18"/>
      <c r="G3" s="1" t="s">
        <v>172</v>
      </c>
      <c r="H3" s="1" t="s">
        <v>171</v>
      </c>
      <c r="I3" s="1" t="s">
        <v>172</v>
      </c>
      <c r="J3" s="1" t="s">
        <v>171</v>
      </c>
      <c r="K3" s="1" t="s">
        <v>172</v>
      </c>
      <c r="L3" s="1" t="s">
        <v>171</v>
      </c>
      <c r="M3" s="19"/>
    </row>
    <row r="4" spans="1:13" ht="46.5" x14ac:dyDescent="0.3">
      <c r="A4" s="2" t="s">
        <v>170</v>
      </c>
      <c r="B4" s="14" t="s">
        <v>169</v>
      </c>
      <c r="C4" s="3" t="s">
        <v>168</v>
      </c>
      <c r="D4" s="4" t="s">
        <v>167</v>
      </c>
      <c r="E4" s="3" t="s">
        <v>40</v>
      </c>
      <c r="F4" s="5" t="s">
        <v>166</v>
      </c>
      <c r="G4" s="3" t="s">
        <v>165</v>
      </c>
      <c r="H4" s="3" t="s">
        <v>164</v>
      </c>
      <c r="I4" s="6" t="s">
        <v>163</v>
      </c>
      <c r="J4" s="6" t="s">
        <v>162</v>
      </c>
      <c r="K4" s="7" t="s">
        <v>148</v>
      </c>
      <c r="L4" s="7" t="s">
        <v>160</v>
      </c>
      <c r="M4" s="2" t="s">
        <v>161</v>
      </c>
    </row>
    <row r="5" spans="1:13" ht="24" customHeight="1" x14ac:dyDescent="0.3">
      <c r="A5" s="2" t="s">
        <v>159</v>
      </c>
      <c r="B5" s="14" t="s">
        <v>158</v>
      </c>
      <c r="C5" s="3" t="s">
        <v>157</v>
      </c>
      <c r="D5" s="4" t="s">
        <v>156</v>
      </c>
      <c r="E5" s="3" t="s">
        <v>40</v>
      </c>
      <c r="F5" s="5" t="s">
        <v>39</v>
      </c>
      <c r="G5" s="3" t="s">
        <v>155</v>
      </c>
      <c r="H5" s="3" t="s">
        <v>154</v>
      </c>
      <c r="I5" s="6" t="s">
        <v>153</v>
      </c>
      <c r="J5" s="6" t="s">
        <v>152</v>
      </c>
      <c r="K5" s="7" t="s">
        <v>151</v>
      </c>
      <c r="L5" s="7" t="s">
        <v>150</v>
      </c>
      <c r="M5" s="2" t="s">
        <v>149</v>
      </c>
    </row>
    <row r="6" spans="1:13" ht="34.5" x14ac:dyDescent="0.3">
      <c r="A6" s="29" t="s">
        <v>147</v>
      </c>
      <c r="B6" s="14" t="s">
        <v>146</v>
      </c>
      <c r="C6" s="3" t="s">
        <v>145</v>
      </c>
      <c r="D6" s="4" t="s">
        <v>144</v>
      </c>
      <c r="E6" s="3" t="s">
        <v>0</v>
      </c>
      <c r="F6" s="5" t="s">
        <v>143</v>
      </c>
      <c r="G6" s="3" t="s">
        <v>142</v>
      </c>
      <c r="H6" s="3" t="s">
        <v>141</v>
      </c>
      <c r="I6" s="6" t="s">
        <v>140</v>
      </c>
      <c r="J6" s="6" t="s">
        <v>139</v>
      </c>
      <c r="K6" s="7" t="s">
        <v>138</v>
      </c>
      <c r="L6" s="7" t="s">
        <v>137</v>
      </c>
      <c r="M6" s="29" t="s">
        <v>136</v>
      </c>
    </row>
    <row r="7" spans="1:13" ht="46" x14ac:dyDescent="0.3">
      <c r="A7" s="29"/>
      <c r="B7" s="14" t="s">
        <v>135</v>
      </c>
      <c r="C7" s="3" t="s">
        <v>134</v>
      </c>
      <c r="D7" s="4" t="s">
        <v>133</v>
      </c>
      <c r="E7" s="3" t="s">
        <v>0</v>
      </c>
      <c r="F7" s="5" t="s">
        <v>132</v>
      </c>
      <c r="G7" s="3" t="s">
        <v>131</v>
      </c>
      <c r="H7" s="3" t="s">
        <v>130</v>
      </c>
      <c r="I7" s="6" t="s">
        <v>129</v>
      </c>
      <c r="J7" s="6" t="s">
        <v>128</v>
      </c>
      <c r="K7" s="7" t="s">
        <v>127</v>
      </c>
      <c r="L7" s="7" t="s">
        <v>126</v>
      </c>
      <c r="M7" s="29"/>
    </row>
    <row r="8" spans="1:13" ht="24" customHeight="1" x14ac:dyDescent="0.3">
      <c r="A8" s="2" t="s">
        <v>125</v>
      </c>
      <c r="B8" s="14" t="s">
        <v>124</v>
      </c>
      <c r="C8" s="3" t="s">
        <v>123</v>
      </c>
      <c r="D8" s="4" t="s">
        <v>122</v>
      </c>
      <c r="E8" s="3" t="s">
        <v>0</v>
      </c>
      <c r="F8" s="5" t="s">
        <v>54</v>
      </c>
      <c r="G8" s="3" t="s">
        <v>121</v>
      </c>
      <c r="H8" s="3" t="s">
        <v>120</v>
      </c>
      <c r="I8" s="6" t="s">
        <v>119</v>
      </c>
      <c r="J8" s="6" t="s">
        <v>118</v>
      </c>
      <c r="K8" s="7" t="s">
        <v>117</v>
      </c>
      <c r="L8" s="7" t="s">
        <v>116</v>
      </c>
      <c r="M8" s="2" t="s">
        <v>115</v>
      </c>
    </row>
    <row r="9" spans="1:13" ht="34.5" x14ac:dyDescent="0.3">
      <c r="A9" s="2"/>
      <c r="B9" s="14" t="s">
        <v>114</v>
      </c>
      <c r="C9" s="3" t="s">
        <v>113</v>
      </c>
      <c r="D9" s="4" t="s">
        <v>112</v>
      </c>
      <c r="E9" s="3" t="s">
        <v>40</v>
      </c>
      <c r="F9" s="5">
        <v>0.42</v>
      </c>
      <c r="G9" s="3">
        <v>246</v>
      </c>
      <c r="H9" s="3">
        <v>161</v>
      </c>
      <c r="I9" s="6">
        <v>0.03</v>
      </c>
      <c r="J9" s="6">
        <v>-0.34</v>
      </c>
      <c r="K9" s="15">
        <v>6.7</v>
      </c>
      <c r="L9" s="15">
        <v>10.3</v>
      </c>
      <c r="M9" s="27"/>
    </row>
    <row r="10" spans="1:13" ht="34.5" x14ac:dyDescent="0.3">
      <c r="A10" s="2"/>
      <c r="B10" s="14" t="s">
        <v>111</v>
      </c>
      <c r="C10" s="3" t="s">
        <v>110</v>
      </c>
      <c r="D10" s="4" t="s">
        <v>109</v>
      </c>
      <c r="E10" s="3" t="s">
        <v>40</v>
      </c>
      <c r="F10" s="5">
        <v>0.17</v>
      </c>
      <c r="G10" s="3">
        <f>5.7*7.2</f>
        <v>41.04</v>
      </c>
      <c r="H10" s="3">
        <f>6.1*7.2</f>
        <v>43.92</v>
      </c>
      <c r="I10" s="6">
        <v>0.06</v>
      </c>
      <c r="J10" s="6">
        <v>0.08</v>
      </c>
      <c r="K10" s="15">
        <v>10.6</v>
      </c>
      <c r="L10" s="15">
        <v>9.8000000000000007</v>
      </c>
      <c r="M10" s="28"/>
    </row>
    <row r="11" spans="1:13" ht="46.5" x14ac:dyDescent="0.3">
      <c r="A11" s="8" t="s">
        <v>108</v>
      </c>
      <c r="B11" s="16" t="s">
        <v>107</v>
      </c>
      <c r="C11" s="9" t="s">
        <v>106</v>
      </c>
      <c r="D11" s="10" t="s">
        <v>105</v>
      </c>
      <c r="E11" s="9" t="s">
        <v>40</v>
      </c>
      <c r="F11" s="11" t="s">
        <v>54</v>
      </c>
      <c r="G11" s="9" t="s">
        <v>104</v>
      </c>
      <c r="H11" s="9" t="s">
        <v>103</v>
      </c>
      <c r="I11" s="12" t="s">
        <v>102</v>
      </c>
      <c r="J11" s="12" t="s">
        <v>101</v>
      </c>
      <c r="K11" s="13" t="s">
        <v>100</v>
      </c>
      <c r="L11" s="13" t="s">
        <v>17</v>
      </c>
      <c r="M11" s="8" t="s">
        <v>99</v>
      </c>
    </row>
    <row r="12" spans="1:13" ht="23" x14ac:dyDescent="0.3">
      <c r="A12" s="29" t="s">
        <v>98</v>
      </c>
      <c r="B12" s="14" t="s">
        <v>97</v>
      </c>
      <c r="C12" s="3" t="s">
        <v>96</v>
      </c>
      <c r="D12" s="4" t="s">
        <v>95</v>
      </c>
      <c r="E12" s="3" t="s">
        <v>40</v>
      </c>
      <c r="F12" s="5" t="s">
        <v>59</v>
      </c>
      <c r="G12" s="3" t="s">
        <v>94</v>
      </c>
      <c r="H12" s="3" t="s">
        <v>93</v>
      </c>
      <c r="I12" s="6" t="s">
        <v>92</v>
      </c>
      <c r="J12" s="6" t="s">
        <v>91</v>
      </c>
      <c r="K12" s="7" t="s">
        <v>90</v>
      </c>
      <c r="L12" s="7" t="s">
        <v>89</v>
      </c>
      <c r="M12" s="29" t="s">
        <v>88</v>
      </c>
    </row>
    <row r="13" spans="1:13" ht="23" x14ac:dyDescent="0.3">
      <c r="A13" s="29"/>
      <c r="B13" s="14" t="s">
        <v>87</v>
      </c>
      <c r="C13" s="3" t="s">
        <v>86</v>
      </c>
      <c r="D13" s="4" t="s">
        <v>85</v>
      </c>
      <c r="E13" s="3" t="s">
        <v>40</v>
      </c>
      <c r="F13" s="5" t="s">
        <v>84</v>
      </c>
      <c r="G13" s="3" t="s">
        <v>83</v>
      </c>
      <c r="H13" s="3" t="s">
        <v>82</v>
      </c>
      <c r="I13" s="6" t="s">
        <v>81</v>
      </c>
      <c r="J13" s="6" t="s">
        <v>80</v>
      </c>
      <c r="K13" s="7" t="s">
        <v>79</v>
      </c>
      <c r="L13" s="7" t="s">
        <v>2</v>
      </c>
      <c r="M13" s="29"/>
    </row>
    <row r="14" spans="1:13" ht="57.5" x14ac:dyDescent="0.3">
      <c r="A14" s="29"/>
      <c r="B14" s="14" t="s">
        <v>78</v>
      </c>
      <c r="C14" s="3" t="s">
        <v>77</v>
      </c>
      <c r="D14" s="4" t="s">
        <v>76</v>
      </c>
      <c r="E14" s="3" t="s">
        <v>40</v>
      </c>
      <c r="F14" s="5" t="s">
        <v>75</v>
      </c>
      <c r="G14" s="3" t="s">
        <v>74</v>
      </c>
      <c r="H14" s="3" t="s">
        <v>73</v>
      </c>
      <c r="I14" s="6" t="s">
        <v>72</v>
      </c>
      <c r="J14" s="6" t="s">
        <v>71</v>
      </c>
      <c r="K14" s="7" t="s">
        <v>70</v>
      </c>
      <c r="L14" s="7" t="s">
        <v>69</v>
      </c>
      <c r="M14" s="29"/>
    </row>
    <row r="15" spans="1:13" ht="23" x14ac:dyDescent="0.3">
      <c r="A15" s="29"/>
      <c r="B15" s="14" t="s">
        <v>68</v>
      </c>
      <c r="C15" s="3" t="s">
        <v>67</v>
      </c>
      <c r="D15" s="4" t="s">
        <v>66</v>
      </c>
      <c r="E15" s="3" t="s">
        <v>40</v>
      </c>
      <c r="F15" s="5" t="s">
        <v>65</v>
      </c>
      <c r="G15" s="3" t="s">
        <v>64</v>
      </c>
      <c r="H15" s="3" t="s">
        <v>63</v>
      </c>
      <c r="I15" s="6" t="s">
        <v>62</v>
      </c>
      <c r="J15" s="6" t="s">
        <v>61</v>
      </c>
      <c r="K15" s="7" t="s">
        <v>60</v>
      </c>
      <c r="L15" s="7" t="s">
        <v>17</v>
      </c>
      <c r="M15" s="29"/>
    </row>
    <row r="16" spans="1:13" ht="36" customHeight="1" x14ac:dyDescent="0.3">
      <c r="A16" s="2" t="s">
        <v>58</v>
      </c>
      <c r="B16" s="14" t="s">
        <v>57</v>
      </c>
      <c r="C16" s="3" t="s">
        <v>56</v>
      </c>
      <c r="D16" s="4" t="s">
        <v>55</v>
      </c>
      <c r="E16" s="3" t="s">
        <v>0</v>
      </c>
      <c r="F16" s="5" t="s">
        <v>54</v>
      </c>
      <c r="G16" s="3" t="s">
        <v>53</v>
      </c>
      <c r="H16" s="3" t="s">
        <v>52</v>
      </c>
      <c r="I16" s="6" t="s">
        <v>51</v>
      </c>
      <c r="J16" s="6" t="s">
        <v>50</v>
      </c>
      <c r="K16" s="7" t="s">
        <v>49</v>
      </c>
      <c r="L16" s="7" t="s">
        <v>48</v>
      </c>
      <c r="M16" s="2" t="s">
        <v>47</v>
      </c>
    </row>
    <row r="17" spans="1:13" ht="34.5" x14ac:dyDescent="0.3">
      <c r="A17" s="30"/>
      <c r="B17" s="16" t="s">
        <v>46</v>
      </c>
      <c r="C17" s="9" t="s">
        <v>45</v>
      </c>
      <c r="D17" s="10" t="s">
        <v>44</v>
      </c>
      <c r="E17" s="9" t="s">
        <v>0</v>
      </c>
      <c r="F17" s="11">
        <v>0.15</v>
      </c>
      <c r="G17" s="9">
        <v>1400</v>
      </c>
      <c r="H17" s="9">
        <v>1478</v>
      </c>
      <c r="I17" s="12">
        <v>6.3E-2</v>
      </c>
      <c r="J17" s="12">
        <v>5.6000000000000001E-2</v>
      </c>
      <c r="K17" s="13">
        <v>9.8800000000000008</v>
      </c>
      <c r="L17" s="13">
        <v>9.36</v>
      </c>
      <c r="M17" s="30"/>
    </row>
    <row r="18" spans="1:13" ht="34.5" x14ac:dyDescent="0.3">
      <c r="A18" s="30"/>
      <c r="B18" s="16" t="s">
        <v>43</v>
      </c>
      <c r="C18" s="9" t="s">
        <v>42</v>
      </c>
      <c r="D18" s="10" t="s">
        <v>41</v>
      </c>
      <c r="E18" s="9" t="s">
        <v>0</v>
      </c>
      <c r="F18" s="11">
        <v>0.2</v>
      </c>
      <c r="G18" s="9">
        <v>337</v>
      </c>
      <c r="H18" s="9">
        <v>373</v>
      </c>
      <c r="I18" s="12">
        <v>0.107</v>
      </c>
      <c r="J18" s="12">
        <v>0.106</v>
      </c>
      <c r="K18" s="13">
        <v>11.94</v>
      </c>
      <c r="L18" s="13">
        <v>10.8</v>
      </c>
      <c r="M18" s="30"/>
    </row>
    <row r="19" spans="1:13" ht="23" x14ac:dyDescent="0.3">
      <c r="A19" s="29" t="s">
        <v>38</v>
      </c>
      <c r="B19" s="14" t="s">
        <v>37</v>
      </c>
      <c r="C19" s="3" t="s">
        <v>36</v>
      </c>
      <c r="D19" s="4" t="s">
        <v>35</v>
      </c>
      <c r="E19" s="3" t="s">
        <v>0</v>
      </c>
      <c r="F19" s="5" t="s">
        <v>31</v>
      </c>
      <c r="G19" s="3" t="s">
        <v>34</v>
      </c>
      <c r="H19" s="3" t="s">
        <v>33</v>
      </c>
      <c r="I19" s="6" t="s">
        <v>32</v>
      </c>
      <c r="J19" s="6" t="s">
        <v>31</v>
      </c>
      <c r="K19" s="7" t="s">
        <v>30</v>
      </c>
      <c r="L19" s="7" t="s">
        <v>29</v>
      </c>
      <c r="M19" s="29" t="s">
        <v>28</v>
      </c>
    </row>
    <row r="20" spans="1:13" ht="23" x14ac:dyDescent="0.3">
      <c r="A20" s="29"/>
      <c r="B20" s="14" t="s">
        <v>27</v>
      </c>
      <c r="C20" s="3" t="s">
        <v>26</v>
      </c>
      <c r="D20" s="4" t="s">
        <v>25</v>
      </c>
      <c r="E20" s="3" t="s">
        <v>0</v>
      </c>
      <c r="F20" s="5" t="s">
        <v>24</v>
      </c>
      <c r="G20" s="3" t="s">
        <v>23</v>
      </c>
      <c r="H20" s="3" t="s">
        <v>22</v>
      </c>
      <c r="I20" s="6" t="s">
        <v>21</v>
      </c>
      <c r="J20" s="6" t="s">
        <v>20</v>
      </c>
      <c r="K20" s="7" t="s">
        <v>19</v>
      </c>
      <c r="L20" s="7" t="s">
        <v>18</v>
      </c>
      <c r="M20" s="29"/>
    </row>
    <row r="21" spans="1:13" ht="34.5" x14ac:dyDescent="0.3">
      <c r="A21" s="29" t="s">
        <v>16</v>
      </c>
      <c r="B21" s="14" t="s">
        <v>15</v>
      </c>
      <c r="C21" s="3" t="s">
        <v>14</v>
      </c>
      <c r="D21" s="4" t="s">
        <v>13</v>
      </c>
      <c r="E21" s="3" t="s">
        <v>0</v>
      </c>
      <c r="F21" s="5" t="s">
        <v>12</v>
      </c>
      <c r="G21" s="3" t="s">
        <v>11</v>
      </c>
      <c r="H21" s="3" t="s">
        <v>10</v>
      </c>
      <c r="I21" s="6" t="s">
        <v>9</v>
      </c>
      <c r="J21" s="6" t="s">
        <v>8</v>
      </c>
      <c r="K21" s="7" t="s">
        <v>7</v>
      </c>
      <c r="L21" s="7" t="s">
        <v>6</v>
      </c>
      <c r="M21" s="29" t="s">
        <v>1</v>
      </c>
    </row>
    <row r="22" spans="1:13" ht="46" x14ac:dyDescent="0.3">
      <c r="A22" s="29"/>
      <c r="B22" s="14" t="s">
        <v>5</v>
      </c>
      <c r="C22" s="3" t="s">
        <v>4</v>
      </c>
      <c r="D22" s="4" t="s">
        <v>3</v>
      </c>
      <c r="E22" s="3" t="s">
        <v>0</v>
      </c>
      <c r="F22" s="5">
        <v>0.34499999999999997</v>
      </c>
      <c r="G22" s="15">
        <v>15.61</v>
      </c>
      <c r="H22" s="15">
        <v>17.600000000000001</v>
      </c>
      <c r="I22" s="6">
        <v>0.1308</v>
      </c>
      <c r="J22" s="6">
        <v>0.128</v>
      </c>
      <c r="K22" s="15">
        <v>9.6999999999999993</v>
      </c>
      <c r="L22" s="15">
        <v>8.6</v>
      </c>
      <c r="M22" s="29"/>
    </row>
  </sheetData>
  <autoFilter ref="A2:P22" xr:uid="{00000000-0009-0000-0000-000000000000}">
    <filterColumn colId="6" showButton="0"/>
    <filterColumn colId="8" showButton="0"/>
    <filterColumn colId="10" showButton="0"/>
  </autoFilter>
  <mergeCells count="22">
    <mergeCell ref="A19:A20"/>
    <mergeCell ref="M19:M20"/>
    <mergeCell ref="A21:A22"/>
    <mergeCell ref="M21:M22"/>
    <mergeCell ref="M9:M10"/>
    <mergeCell ref="A6:A7"/>
    <mergeCell ref="M6:M7"/>
    <mergeCell ref="A17:A18"/>
    <mergeCell ref="M17:M18"/>
    <mergeCell ref="A12:A15"/>
    <mergeCell ref="M12:M15"/>
    <mergeCell ref="A1:M1"/>
    <mergeCell ref="G2:H2"/>
    <mergeCell ref="I2:J2"/>
    <mergeCell ref="K2:L2"/>
    <mergeCell ref="A2:A3"/>
    <mergeCell ref="E2:E3"/>
    <mergeCell ref="F2:F3"/>
    <mergeCell ref="M2:M3"/>
    <mergeCell ref="B2:B3"/>
    <mergeCell ref="C2:C3"/>
    <mergeCell ref="D2:D3"/>
  </mergeCells>
  <phoneticPr fontId="12" type="noConversion"/>
  <dataValidations count="1">
    <dataValidation type="list" allowBlank="1" showInputMessage="1" showErrorMessage="1" sqref="E4:E22" xr:uid="{00000000-0002-0000-0000-000000000000}">
      <formula1>"强烈,一般,"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05FB-63C4-4165-949C-6024C0792982}">
  <dimension ref="A1:M21"/>
  <sheetViews>
    <sheetView showGridLines="0" tabSelected="1" zoomScale="70" zoomScaleNormal="70" workbookViewId="0">
      <selection sqref="A1:G1"/>
    </sheetView>
  </sheetViews>
  <sheetFormatPr defaultRowHeight="14" x14ac:dyDescent="0.3"/>
  <cols>
    <col min="1" max="1" width="16.75" customWidth="1"/>
    <col min="2" max="3" width="9.33203125" bestFit="1" customWidth="1"/>
    <col min="4" max="4" width="52.25" customWidth="1"/>
    <col min="5" max="5" width="11.9140625" customWidth="1"/>
    <col min="6" max="6" width="10.75" customWidth="1"/>
    <col min="7" max="13" width="8.58203125" bestFit="1" customWidth="1"/>
  </cols>
  <sheetData>
    <row r="1" spans="1:13" ht="62" customHeight="1" x14ac:dyDescent="0.3">
      <c r="A1" s="31" t="s">
        <v>209</v>
      </c>
      <c r="B1" s="31"/>
      <c r="C1" s="31"/>
      <c r="D1" s="31"/>
      <c r="E1" s="31"/>
      <c r="F1" s="31"/>
      <c r="G1" s="31"/>
      <c r="H1" s="33" t="s">
        <v>210</v>
      </c>
      <c r="I1" s="33"/>
      <c r="J1" s="33" t="s">
        <v>211</v>
      </c>
      <c r="K1" s="33"/>
      <c r="L1" s="33" t="s">
        <v>174</v>
      </c>
      <c r="M1" s="33"/>
    </row>
    <row r="2" spans="1:13" ht="33" x14ac:dyDescent="0.3">
      <c r="A2" s="34" t="s">
        <v>184</v>
      </c>
      <c r="B2" s="34" t="s">
        <v>185</v>
      </c>
      <c r="C2" s="34" t="s">
        <v>186</v>
      </c>
      <c r="D2" s="35" t="s">
        <v>188</v>
      </c>
      <c r="E2" s="35" t="s">
        <v>189</v>
      </c>
      <c r="F2" s="35" t="s">
        <v>212</v>
      </c>
      <c r="G2" s="34" t="s">
        <v>187</v>
      </c>
      <c r="H2" s="36" t="s">
        <v>172</v>
      </c>
      <c r="I2" s="36" t="s">
        <v>171</v>
      </c>
      <c r="J2" s="36" t="s">
        <v>172</v>
      </c>
      <c r="K2" s="36" t="s">
        <v>171</v>
      </c>
      <c r="L2" s="36" t="s">
        <v>172</v>
      </c>
      <c r="M2" s="36" t="s">
        <v>171</v>
      </c>
    </row>
    <row r="3" spans="1:13" ht="34.5" x14ac:dyDescent="0.3">
      <c r="A3" s="37" t="s">
        <v>213</v>
      </c>
      <c r="B3" s="38" t="s">
        <v>214</v>
      </c>
      <c r="C3" s="39" t="s">
        <v>190</v>
      </c>
      <c r="D3" s="40" t="s">
        <v>215</v>
      </c>
      <c r="E3" s="41">
        <v>794</v>
      </c>
      <c r="F3" s="42">
        <v>0.105</v>
      </c>
      <c r="G3" s="43">
        <v>14.8</v>
      </c>
      <c r="H3" s="44">
        <v>43.4</v>
      </c>
      <c r="I3" s="44">
        <v>80.599999999999994</v>
      </c>
      <c r="J3" s="45">
        <v>0.86599999999999999</v>
      </c>
      <c r="K3" s="45">
        <v>0.85499999999999998</v>
      </c>
      <c r="L3" s="44">
        <v>14.8</v>
      </c>
      <c r="M3" s="44">
        <v>8</v>
      </c>
    </row>
    <row r="4" spans="1:13" ht="19" x14ac:dyDescent="0.3">
      <c r="A4" s="46" t="s">
        <v>216</v>
      </c>
      <c r="B4" s="47" t="s">
        <v>217</v>
      </c>
      <c r="C4" s="48" t="s">
        <v>191</v>
      </c>
      <c r="D4" s="49" t="s">
        <v>218</v>
      </c>
      <c r="E4" s="50">
        <v>201</v>
      </c>
      <c r="F4" s="51">
        <v>0.3</v>
      </c>
      <c r="G4" s="52">
        <v>4.0999999999999996</v>
      </c>
      <c r="H4" s="53">
        <v>45.8</v>
      </c>
      <c r="I4" s="53">
        <v>46.5</v>
      </c>
      <c r="J4" s="54">
        <v>3.5000000000000003E-2</v>
      </c>
      <c r="K4" s="54">
        <v>1.4999999999999999E-2</v>
      </c>
      <c r="L4" s="53">
        <v>4.0999999999999996</v>
      </c>
      <c r="M4" s="53">
        <v>4</v>
      </c>
    </row>
    <row r="5" spans="1:13" ht="69" x14ac:dyDescent="0.3">
      <c r="A5" s="55" t="s">
        <v>219</v>
      </c>
      <c r="B5" s="47" t="s">
        <v>220</v>
      </c>
      <c r="C5" s="48" t="s">
        <v>192</v>
      </c>
      <c r="D5" s="49" t="s">
        <v>221</v>
      </c>
      <c r="E5" s="50">
        <v>1163</v>
      </c>
      <c r="F5" s="51">
        <v>0.32</v>
      </c>
      <c r="G5" s="52">
        <v>15.8</v>
      </c>
      <c r="H5" s="53">
        <v>57.3</v>
      </c>
      <c r="I5" s="53">
        <v>67.2</v>
      </c>
      <c r="J5" s="54">
        <v>0.25700000000000001</v>
      </c>
      <c r="K5" s="54">
        <v>0.17299999999999999</v>
      </c>
      <c r="L5" s="53">
        <v>15.8</v>
      </c>
      <c r="M5" s="53">
        <v>13.5</v>
      </c>
    </row>
    <row r="6" spans="1:13" ht="69" x14ac:dyDescent="0.3">
      <c r="A6" s="56"/>
      <c r="B6" s="57" t="s">
        <v>222</v>
      </c>
      <c r="C6" s="58" t="s">
        <v>193</v>
      </c>
      <c r="D6" s="59" t="s">
        <v>223</v>
      </c>
      <c r="E6" s="60">
        <v>2549</v>
      </c>
      <c r="F6" s="61">
        <v>0.37</v>
      </c>
      <c r="G6" s="62">
        <v>15.9</v>
      </c>
      <c r="H6" s="63">
        <v>132.5</v>
      </c>
      <c r="I6" s="63">
        <v>132.19999999999999</v>
      </c>
      <c r="J6" s="64">
        <v>0.29399999999999998</v>
      </c>
      <c r="K6" s="64">
        <v>-2E-3</v>
      </c>
      <c r="L6" s="63">
        <v>15.9</v>
      </c>
      <c r="M6" s="63">
        <v>16.3</v>
      </c>
    </row>
    <row r="7" spans="1:13" ht="19" x14ac:dyDescent="0.3">
      <c r="A7" s="37" t="s">
        <v>224</v>
      </c>
      <c r="B7" s="38" t="s">
        <v>225</v>
      </c>
      <c r="C7" s="39" t="s">
        <v>194</v>
      </c>
      <c r="D7" s="40" t="s">
        <v>226</v>
      </c>
      <c r="E7" s="41">
        <v>595</v>
      </c>
      <c r="F7" s="65">
        <v>0.25</v>
      </c>
      <c r="G7" s="43">
        <v>18</v>
      </c>
      <c r="H7" s="44">
        <v>24.9</v>
      </c>
      <c r="I7" s="44">
        <v>32.4</v>
      </c>
      <c r="J7" s="45">
        <v>0.41</v>
      </c>
      <c r="K7" s="45">
        <v>0.29899999999999999</v>
      </c>
      <c r="L7" s="44">
        <v>18</v>
      </c>
      <c r="M7" s="44">
        <v>13.9</v>
      </c>
    </row>
    <row r="8" spans="1:13" ht="36" x14ac:dyDescent="0.3">
      <c r="A8" s="55" t="s">
        <v>227</v>
      </c>
      <c r="B8" s="47" t="s">
        <v>228</v>
      </c>
      <c r="C8" s="48" t="s">
        <v>195</v>
      </c>
      <c r="D8" s="49" t="s">
        <v>229</v>
      </c>
      <c r="E8" s="50">
        <v>1904</v>
      </c>
      <c r="F8" s="51">
        <v>0.42</v>
      </c>
      <c r="G8" s="66">
        <v>6.7</v>
      </c>
      <c r="H8" s="67">
        <v>246</v>
      </c>
      <c r="I8" s="67">
        <v>161</v>
      </c>
      <c r="J8" s="67">
        <v>0.03</v>
      </c>
      <c r="K8" s="67">
        <v>-0.34</v>
      </c>
      <c r="L8" s="67">
        <v>6.7</v>
      </c>
      <c r="M8" s="67">
        <v>10.3</v>
      </c>
    </row>
    <row r="9" spans="1:13" ht="36" x14ac:dyDescent="0.3">
      <c r="A9" s="56"/>
      <c r="B9" s="47" t="s">
        <v>230</v>
      </c>
      <c r="C9" s="48" t="s">
        <v>196</v>
      </c>
      <c r="D9" s="49" t="s">
        <v>231</v>
      </c>
      <c r="E9" s="50">
        <v>468</v>
      </c>
      <c r="F9" s="51">
        <v>0.17</v>
      </c>
      <c r="G9" s="66">
        <v>10.6</v>
      </c>
      <c r="H9" s="67">
        <f>5.7*7.2</f>
        <v>41.04</v>
      </c>
      <c r="I9" s="67">
        <f>6.1*7.2</f>
        <v>43.92</v>
      </c>
      <c r="J9" s="67">
        <v>0.06</v>
      </c>
      <c r="K9" s="67">
        <v>0.08</v>
      </c>
      <c r="L9" s="67">
        <v>10.6</v>
      </c>
      <c r="M9" s="67">
        <v>9.8000000000000007</v>
      </c>
    </row>
    <row r="10" spans="1:13" ht="36" x14ac:dyDescent="0.3">
      <c r="A10" s="46" t="s">
        <v>232</v>
      </c>
      <c r="B10" s="47" t="s">
        <v>233</v>
      </c>
      <c r="C10" s="48" t="s">
        <v>197</v>
      </c>
      <c r="D10" s="49" t="s">
        <v>234</v>
      </c>
      <c r="E10" s="50">
        <v>1002</v>
      </c>
      <c r="F10" s="51">
        <v>0.25</v>
      </c>
      <c r="G10" s="52">
        <v>16.600000000000001</v>
      </c>
      <c r="H10" s="53">
        <v>51.7</v>
      </c>
      <c r="I10" s="53">
        <v>57.5</v>
      </c>
      <c r="J10" s="54">
        <v>0.15</v>
      </c>
      <c r="K10" s="54">
        <v>0.112</v>
      </c>
      <c r="L10" s="53">
        <v>16.600000000000001</v>
      </c>
      <c r="M10" s="53">
        <v>15</v>
      </c>
    </row>
    <row r="11" spans="1:13" ht="19" x14ac:dyDescent="0.3">
      <c r="A11" s="55" t="s">
        <v>235</v>
      </c>
      <c r="B11" s="38" t="s">
        <v>236</v>
      </c>
      <c r="C11" s="39" t="s">
        <v>198</v>
      </c>
      <c r="D11" s="68" t="s">
        <v>237</v>
      </c>
      <c r="E11" s="41">
        <v>7207</v>
      </c>
      <c r="F11" s="65">
        <v>0.4</v>
      </c>
      <c r="G11" s="43">
        <v>21.4</v>
      </c>
      <c r="H11" s="44">
        <v>249.3</v>
      </c>
      <c r="I11" s="44">
        <v>402.4</v>
      </c>
      <c r="J11" s="45">
        <v>0.79900000000000004</v>
      </c>
      <c r="K11" s="45">
        <v>0.61399999999999999</v>
      </c>
      <c r="L11" s="44">
        <v>21.4</v>
      </c>
      <c r="M11" s="44">
        <v>13.2</v>
      </c>
    </row>
    <row r="12" spans="1:13" ht="19" x14ac:dyDescent="0.3">
      <c r="A12" s="69"/>
      <c r="B12" s="57" t="s">
        <v>238</v>
      </c>
      <c r="C12" s="58" t="s">
        <v>199</v>
      </c>
      <c r="D12" s="59" t="s">
        <v>239</v>
      </c>
      <c r="E12" s="60">
        <v>15000</v>
      </c>
      <c r="F12" s="70">
        <v>0.53600000000000003</v>
      </c>
      <c r="G12" s="62">
        <v>22.9</v>
      </c>
      <c r="H12" s="63">
        <v>5.7</v>
      </c>
      <c r="I12" s="63">
        <v>9</v>
      </c>
      <c r="J12" s="64">
        <v>0.501</v>
      </c>
      <c r="K12" s="64">
        <v>0.58799999999999997</v>
      </c>
      <c r="L12" s="63">
        <v>22.9</v>
      </c>
      <c r="M12" s="63">
        <v>14.5</v>
      </c>
    </row>
    <row r="13" spans="1:13" ht="105" x14ac:dyDescent="0.3">
      <c r="A13" s="69"/>
      <c r="B13" s="47" t="s">
        <v>240</v>
      </c>
      <c r="C13" s="48" t="s">
        <v>200</v>
      </c>
      <c r="D13" s="49" t="s">
        <v>261</v>
      </c>
      <c r="E13" s="50">
        <v>190</v>
      </c>
      <c r="F13" s="71">
        <v>0.17599999999999999</v>
      </c>
      <c r="G13" s="52">
        <v>24.1</v>
      </c>
      <c r="H13" s="53">
        <v>5.9</v>
      </c>
      <c r="I13" s="53">
        <v>11.4</v>
      </c>
      <c r="J13" s="54">
        <v>-0.91200000000000003</v>
      </c>
      <c r="K13" s="54">
        <v>0.94899999999999995</v>
      </c>
      <c r="L13" s="53">
        <v>24.1</v>
      </c>
      <c r="M13" s="53">
        <v>12.4</v>
      </c>
    </row>
    <row r="14" spans="1:13" ht="34.5" x14ac:dyDescent="0.3">
      <c r="A14" s="56"/>
      <c r="B14" s="57" t="s">
        <v>241</v>
      </c>
      <c r="C14" s="58" t="s">
        <v>201</v>
      </c>
      <c r="D14" s="78" t="s">
        <v>262</v>
      </c>
      <c r="E14" s="60" t="s">
        <v>242</v>
      </c>
      <c r="F14" s="61">
        <v>0.35</v>
      </c>
      <c r="G14" s="62">
        <v>17.899999999999999</v>
      </c>
      <c r="H14" s="63">
        <v>1513</v>
      </c>
      <c r="I14" s="63">
        <v>1804.2</v>
      </c>
      <c r="J14" s="64">
        <v>0.313</v>
      </c>
      <c r="K14" s="64">
        <v>0.192</v>
      </c>
      <c r="L14" s="63">
        <v>17.899999999999999</v>
      </c>
      <c r="M14" s="63">
        <v>15</v>
      </c>
    </row>
    <row r="15" spans="1:13" ht="35.5" x14ac:dyDescent="0.3">
      <c r="A15" s="46" t="s">
        <v>243</v>
      </c>
      <c r="B15" s="47" t="s">
        <v>244</v>
      </c>
      <c r="C15" s="48" t="s">
        <v>202</v>
      </c>
      <c r="D15" s="32" t="s">
        <v>263</v>
      </c>
      <c r="E15" s="50">
        <v>4332</v>
      </c>
      <c r="F15" s="51">
        <v>0.25</v>
      </c>
      <c r="G15" s="52">
        <v>28.8</v>
      </c>
      <c r="H15" s="53">
        <v>116.3</v>
      </c>
      <c r="I15" s="53">
        <v>126.3</v>
      </c>
      <c r="J15" s="54">
        <v>-0.39700000000000002</v>
      </c>
      <c r="K15" s="54">
        <v>8.5999999999999993E-2</v>
      </c>
      <c r="L15" s="53">
        <v>28.8</v>
      </c>
      <c r="M15" s="53">
        <v>26.3</v>
      </c>
    </row>
    <row r="16" spans="1:13" ht="66" x14ac:dyDescent="0.3">
      <c r="A16" s="55" t="s">
        <v>245</v>
      </c>
      <c r="B16" s="47" t="s">
        <v>246</v>
      </c>
      <c r="C16" s="48" t="s">
        <v>203</v>
      </c>
      <c r="D16" s="49" t="s">
        <v>247</v>
      </c>
      <c r="E16" s="50" t="s">
        <v>248</v>
      </c>
      <c r="F16" s="51">
        <v>0.15</v>
      </c>
      <c r="G16" s="72">
        <v>9.8800000000000008</v>
      </c>
      <c r="H16" s="73">
        <v>1400</v>
      </c>
      <c r="I16" s="73">
        <v>1478</v>
      </c>
      <c r="J16" s="73">
        <v>6.3E-2</v>
      </c>
      <c r="K16" s="73">
        <v>5.6000000000000001E-2</v>
      </c>
      <c r="L16" s="73">
        <v>9.8800000000000008</v>
      </c>
      <c r="M16" s="73">
        <v>9.36</v>
      </c>
    </row>
    <row r="17" spans="1:13" ht="69" x14ac:dyDescent="0.3">
      <c r="A17" s="56"/>
      <c r="B17" s="57" t="s">
        <v>249</v>
      </c>
      <c r="C17" s="58" t="s">
        <v>204</v>
      </c>
      <c r="D17" s="78" t="s">
        <v>250</v>
      </c>
      <c r="E17" s="60">
        <v>5700</v>
      </c>
      <c r="F17" s="61">
        <v>0.2</v>
      </c>
      <c r="G17" s="74">
        <v>11.94</v>
      </c>
      <c r="H17" s="75">
        <v>337</v>
      </c>
      <c r="I17" s="75">
        <v>373</v>
      </c>
      <c r="J17" s="75">
        <v>0.107</v>
      </c>
      <c r="K17" s="75">
        <v>0.106</v>
      </c>
      <c r="L17" s="75">
        <v>11.94</v>
      </c>
      <c r="M17" s="75">
        <v>10.8</v>
      </c>
    </row>
    <row r="18" spans="1:13" ht="19" x14ac:dyDescent="0.3">
      <c r="A18" s="55" t="s">
        <v>251</v>
      </c>
      <c r="B18" s="47" t="s">
        <v>252</v>
      </c>
      <c r="C18" s="48" t="s">
        <v>205</v>
      </c>
      <c r="D18" s="32" t="s">
        <v>253</v>
      </c>
      <c r="E18" s="50">
        <v>2233</v>
      </c>
      <c r="F18" s="71">
        <v>8.5000000000000006E-2</v>
      </c>
      <c r="G18" s="52">
        <v>6.6</v>
      </c>
      <c r="H18" s="53">
        <v>313.2</v>
      </c>
      <c r="I18" s="53">
        <v>339.7</v>
      </c>
      <c r="J18" s="54">
        <v>0.27400000000000002</v>
      </c>
      <c r="K18" s="54">
        <v>8.5000000000000006E-2</v>
      </c>
      <c r="L18" s="53">
        <v>6.6</v>
      </c>
      <c r="M18" s="53">
        <v>6.1</v>
      </c>
    </row>
    <row r="19" spans="1:13" ht="19" x14ac:dyDescent="0.3">
      <c r="A19" s="56"/>
      <c r="B19" s="57" t="s">
        <v>254</v>
      </c>
      <c r="C19" s="58" t="s">
        <v>206</v>
      </c>
      <c r="D19" s="78" t="s">
        <v>255</v>
      </c>
      <c r="E19" s="60">
        <v>6069</v>
      </c>
      <c r="F19" s="70">
        <v>0.90600000000000003</v>
      </c>
      <c r="G19" s="62">
        <v>18.5</v>
      </c>
      <c r="H19" s="63">
        <v>48.1</v>
      </c>
      <c r="I19" s="63">
        <v>63.8</v>
      </c>
      <c r="J19" s="64">
        <v>0.27700000000000002</v>
      </c>
      <c r="K19" s="64">
        <v>0.32700000000000001</v>
      </c>
      <c r="L19" s="63">
        <v>18.5</v>
      </c>
      <c r="M19" s="63">
        <v>13.7</v>
      </c>
    </row>
    <row r="20" spans="1:13" ht="54" x14ac:dyDescent="0.3">
      <c r="A20" s="55" t="s">
        <v>256</v>
      </c>
      <c r="B20" s="47" t="s">
        <v>257</v>
      </c>
      <c r="C20" s="48" t="s">
        <v>207</v>
      </c>
      <c r="D20" s="49" t="s">
        <v>258</v>
      </c>
      <c r="E20" s="50">
        <v>1982</v>
      </c>
      <c r="F20" s="71">
        <v>0.51900000000000002</v>
      </c>
      <c r="G20" s="52">
        <v>5.3</v>
      </c>
      <c r="H20" s="53">
        <v>302.8</v>
      </c>
      <c r="I20" s="53">
        <v>321</v>
      </c>
      <c r="J20" s="54">
        <v>-3.5000000000000003E-2</v>
      </c>
      <c r="K20" s="54">
        <v>0.06</v>
      </c>
      <c r="L20" s="53">
        <v>5.3</v>
      </c>
      <c r="M20" s="53">
        <v>5</v>
      </c>
    </row>
    <row r="21" spans="1:13" ht="72" x14ac:dyDescent="0.3">
      <c r="A21" s="56"/>
      <c r="B21" s="57" t="s">
        <v>259</v>
      </c>
      <c r="C21" s="58" t="s">
        <v>208</v>
      </c>
      <c r="D21" s="59" t="s">
        <v>260</v>
      </c>
      <c r="E21" s="60">
        <v>178</v>
      </c>
      <c r="F21" s="61">
        <v>0.34499999999999997</v>
      </c>
      <c r="G21" s="76">
        <v>9.6999999999999993</v>
      </c>
      <c r="H21" s="77">
        <v>15.61</v>
      </c>
      <c r="I21" s="77">
        <v>17.600000000000001</v>
      </c>
      <c r="J21" s="77">
        <v>0.1308</v>
      </c>
      <c r="K21" s="77">
        <v>0.128</v>
      </c>
      <c r="L21" s="77">
        <v>9.6999999999999993</v>
      </c>
      <c r="M21" s="77">
        <v>8.6</v>
      </c>
    </row>
  </sheetData>
  <mergeCells count="10">
    <mergeCell ref="H1:I1"/>
    <mergeCell ref="J1:K1"/>
    <mergeCell ref="L1:M1"/>
    <mergeCell ref="A1:G1"/>
    <mergeCell ref="A5:A6"/>
    <mergeCell ref="A11:A14"/>
    <mergeCell ref="A16:A17"/>
    <mergeCell ref="A18:A19"/>
    <mergeCell ref="A20:A21"/>
    <mergeCell ref="A8:A9"/>
  </mergeCells>
  <phoneticPr fontId="1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赵一璇</dc:creator>
  <cp:lastModifiedBy>Sherrie Zhao</cp:lastModifiedBy>
  <dcterms:created xsi:type="dcterms:W3CDTF">2024-04-29T13:22:56Z</dcterms:created>
  <dcterms:modified xsi:type="dcterms:W3CDTF">2024-04-29T13:46:58Z</dcterms:modified>
</cp:coreProperties>
</file>