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WPSDrive\406677417\WPS云盘\华泰策略\全行业景气指数\24年3月\"/>
    </mc:Choice>
  </mc:AlternateContent>
  <xr:revisionPtr revIDLastSave="0" documentId="8_{1C43F894-6A73-424E-A4C3-AD801228DE03}" xr6:coauthVersionLast="47" xr6:coauthVersionMax="47" xr10:uidLastSave="{00000000-0000-0000-0000-000000000000}"/>
  <bookViews>
    <workbookView xWindow="-120" yWindow="-120" windowWidth="29040" windowHeight="15720" xr2:uid="{D47F71D4-6D90-4182-AB39-507595FDF983}"/>
  </bookViews>
  <sheets>
    <sheet name="面板-总览" sheetId="7" r:id="rId1"/>
    <sheet name="景气时钟" sheetId="8" r:id="rId2"/>
    <sheet name="安全边际（一级行业）" sheetId="9" r:id="rId3"/>
    <sheet name="安全边际" sheetId="10" r:id="rId4"/>
    <sheet name="面板-景气指数" sheetId="11" r:id="rId5"/>
  </sheets>
  <definedNames>
    <definedName name="Bubble">"Bubble"</definedName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catter">"Scatter"</definedName>
    <definedName name="Series">"Series"</definedName>
    <definedName name="SpreadsheetBuilder_1" localSheetId="1" hidden="1">#REF!</definedName>
    <definedName name="SpreadsheetBuilder_1" hidden="1">#REF!</definedName>
    <definedName name="SpreadsheetBuilder_2" localSheetId="1" hidden="1">#REF!</definedName>
    <definedName name="SpreadsheetBuilder_2" hidden="1">#REF!</definedName>
    <definedName name="Table">"Table"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3" i="11" l="1"/>
  <c r="D242" i="11"/>
  <c r="C242" i="11"/>
  <c r="C241" i="11"/>
  <c r="B239" i="11"/>
  <c r="C239" i="11"/>
  <c r="B237" i="11"/>
  <c r="B232" i="11"/>
  <c r="C231" i="11"/>
  <c r="B231" i="11"/>
  <c r="C230" i="11"/>
  <c r="B230" i="11"/>
  <c r="B229" i="11"/>
  <c r="C229" i="11"/>
  <c r="B227" i="11"/>
  <c r="C227" i="11"/>
  <c r="C226" i="11"/>
  <c r="B226" i="11"/>
  <c r="C225" i="11"/>
  <c r="B225" i="11"/>
  <c r="C223" i="11"/>
  <c r="C222" i="11"/>
  <c r="B222" i="11"/>
  <c r="C221" i="11"/>
  <c r="B221" i="11"/>
  <c r="C219" i="11"/>
  <c r="B219" i="11"/>
  <c r="D218" i="11"/>
  <c r="C218" i="11"/>
  <c r="B216" i="11"/>
  <c r="C216" i="11"/>
  <c r="C215" i="11"/>
  <c r="B215" i="11"/>
  <c r="B213" i="11"/>
  <c r="B211" i="11"/>
  <c r="B210" i="11"/>
  <c r="C210" i="11"/>
  <c r="B209" i="11"/>
  <c r="C209" i="11"/>
  <c r="C208" i="11"/>
  <c r="B207" i="11"/>
  <c r="C207" i="11"/>
  <c r="D205" i="11"/>
  <c r="B204" i="11"/>
  <c r="C204" i="11"/>
  <c r="C202" i="11"/>
  <c r="B202" i="11"/>
  <c r="B199" i="11"/>
  <c r="C199" i="11"/>
  <c r="B198" i="11"/>
  <c r="B197" i="11"/>
  <c r="C196" i="11"/>
  <c r="B196" i="11"/>
  <c r="C195" i="11"/>
  <c r="C190" i="11"/>
  <c r="C180" i="11"/>
  <c r="C176" i="11"/>
  <c r="B176" i="11"/>
  <c r="C175" i="11"/>
  <c r="B174" i="11"/>
  <c r="D174" i="11"/>
  <c r="C174" i="11"/>
  <c r="C171" i="11"/>
  <c r="D163" i="11"/>
  <c r="C163" i="11"/>
  <c r="F39" i="8" s="1"/>
  <c r="G39" i="8" s="1"/>
  <c r="D161" i="11"/>
  <c r="C161" i="11"/>
  <c r="C159" i="11"/>
  <c r="B159" i="11"/>
  <c r="B158" i="11"/>
  <c r="G49" i="10" s="1"/>
  <c r="C157" i="11"/>
  <c r="B157" i="11"/>
  <c r="B156" i="11"/>
  <c r="C156" i="11"/>
  <c r="B155" i="11"/>
  <c r="B154" i="11"/>
  <c r="C153" i="11"/>
  <c r="B150" i="11"/>
  <c r="C150" i="11"/>
  <c r="C147" i="11"/>
  <c r="B147" i="11"/>
  <c r="C145" i="11"/>
  <c r="C140" i="11"/>
  <c r="B140" i="11"/>
  <c r="B138" i="11"/>
  <c r="C138" i="11"/>
  <c r="C135" i="11"/>
  <c r="D134" i="11"/>
  <c r="C133" i="11"/>
  <c r="C132" i="11"/>
  <c r="C131" i="11"/>
  <c r="C129" i="11"/>
  <c r="B129" i="11"/>
  <c r="B117" i="11"/>
  <c r="G43" i="10" s="1"/>
  <c r="C117" i="11"/>
  <c r="C115" i="11"/>
  <c r="B115" i="11"/>
  <c r="D114" i="11"/>
  <c r="D113" i="11"/>
  <c r="D112" i="11"/>
  <c r="B112" i="11"/>
  <c r="C111" i="11"/>
  <c r="C110" i="11"/>
  <c r="C106" i="11"/>
  <c r="D94" i="11"/>
  <c r="C92" i="11"/>
  <c r="F19" i="8" s="1"/>
  <c r="G19" i="8" s="1"/>
  <c r="B92" i="11"/>
  <c r="G27" i="10" s="1"/>
  <c r="B91" i="11"/>
  <c r="G26" i="10" s="1"/>
  <c r="C90" i="11"/>
  <c r="C89" i="11"/>
  <c r="D87" i="11"/>
  <c r="C84" i="11"/>
  <c r="B79" i="11"/>
  <c r="C79" i="11"/>
  <c r="B73" i="11"/>
  <c r="C73" i="11"/>
  <c r="B70" i="11"/>
  <c r="C67" i="11"/>
  <c r="F27" i="8" s="1"/>
  <c r="G27" i="8" s="1"/>
  <c r="B67" i="11"/>
  <c r="I31" i="9" s="1"/>
  <c r="C64" i="11"/>
  <c r="F25" i="8" s="1"/>
  <c r="G25" i="8" s="1"/>
  <c r="B64" i="11"/>
  <c r="B58" i="11"/>
  <c r="I26" i="9" s="1"/>
  <c r="C58" i="11"/>
  <c r="C55" i="11"/>
  <c r="F17" i="8" s="1"/>
  <c r="G17" i="8" s="1"/>
  <c r="AQ28" i="11"/>
  <c r="C46" i="11"/>
  <c r="F11" i="8" s="1"/>
  <c r="G11" i="8" s="1"/>
  <c r="K27" i="11"/>
  <c r="B44" i="11"/>
  <c r="I9" i="9" s="1"/>
  <c r="CI27" i="11"/>
  <c r="BO27" i="11"/>
  <c r="BG27" i="11"/>
  <c r="BE27" i="11"/>
  <c r="BD27" i="11"/>
  <c r="AS27" i="11"/>
  <c r="AM27" i="11"/>
  <c r="AE27" i="11"/>
  <c r="AC27" i="11"/>
  <c r="AB27" i="11"/>
  <c r="J9" i="11"/>
  <c r="CW26" i="11"/>
  <c r="CT33" i="11"/>
  <c r="BS26" i="11"/>
  <c r="AQ26" i="11"/>
  <c r="AP26" i="11"/>
  <c r="B8" i="11"/>
  <c r="O26" i="11"/>
  <c r="N26" i="11"/>
  <c r="K8" i="11"/>
  <c r="L8" i="11"/>
  <c r="CR26" i="11"/>
  <c r="CH34" i="11"/>
  <c r="BT26" i="11"/>
  <c r="BC26" i="11"/>
  <c r="AS34" i="11"/>
  <c r="H7" i="11"/>
  <c r="K7" i="11"/>
  <c r="CZ26" i="11"/>
  <c r="CY26" i="11"/>
  <c r="CL26" i="11"/>
  <c r="CK34" i="11"/>
  <c r="CA26" i="11"/>
  <c r="BX26" i="11"/>
  <c r="BW26" i="11"/>
  <c r="BV26" i="11"/>
  <c r="BP26" i="11"/>
  <c r="BD26" i="11"/>
  <c r="AV26" i="11"/>
  <c r="AU26" i="11"/>
  <c r="AS33" i="11"/>
  <c r="AE26" i="11"/>
  <c r="AB26" i="11"/>
  <c r="V26" i="11"/>
  <c r="S26" i="11"/>
  <c r="I6" i="11"/>
  <c r="J6" i="11"/>
  <c r="C40" i="11"/>
  <c r="F9" i="8" s="1"/>
  <c r="G9" i="8" s="1"/>
  <c r="G26" i="11"/>
  <c r="CX25" i="11"/>
  <c r="CJ34" i="11"/>
  <c r="BH33" i="11"/>
  <c r="AT33" i="11"/>
  <c r="F5" i="11"/>
  <c r="I5" i="11"/>
  <c r="K5" i="11"/>
  <c r="L5" i="11"/>
  <c r="M5" i="11"/>
  <c r="CS25" i="11"/>
  <c r="CF33" i="11"/>
  <c r="CB25" i="11"/>
  <c r="BR34" i="11"/>
  <c r="BO34" i="11"/>
  <c r="BN34" i="11"/>
  <c r="BD33" i="11"/>
  <c r="BA25" i="11"/>
  <c r="AP33" i="11"/>
  <c r="AI33" i="11"/>
  <c r="AF25" i="11"/>
  <c r="AE34" i="11"/>
  <c r="R34" i="11"/>
  <c r="G4" i="11"/>
  <c r="I4" i="11"/>
  <c r="J4" i="11"/>
  <c r="L4" i="11"/>
  <c r="B38" i="11"/>
  <c r="I4" i="9" s="1"/>
  <c r="C38" i="11"/>
  <c r="F4" i="8" s="1"/>
  <c r="G4" i="8" s="1"/>
  <c r="CZ34" i="11"/>
  <c r="CV34" i="11"/>
  <c r="CP33" i="11"/>
  <c r="CN34" i="11"/>
  <c r="CM25" i="11"/>
  <c r="CL34" i="11"/>
  <c r="CI33" i="11"/>
  <c r="CD25" i="11"/>
  <c r="CC33" i="11"/>
  <c r="CA25" i="11"/>
  <c r="BZ33" i="11"/>
  <c r="BY34" i="11"/>
  <c r="BX34" i="11"/>
  <c r="BU25" i="11"/>
  <c r="BS33" i="11"/>
  <c r="BQ34" i="11"/>
  <c r="BP25" i="11"/>
  <c r="BK25" i="11"/>
  <c r="BI25" i="11"/>
  <c r="BB34" i="11"/>
  <c r="BA34" i="11"/>
  <c r="AX33" i="11"/>
  <c r="AW34" i="11"/>
  <c r="AR34" i="11"/>
  <c r="AO34" i="11"/>
  <c r="AM33" i="11"/>
  <c r="AB25" i="11"/>
  <c r="AA25" i="11"/>
  <c r="Z25" i="11"/>
  <c r="X33" i="11"/>
  <c r="U34" i="11"/>
  <c r="Q25" i="11"/>
  <c r="L34" i="11"/>
  <c r="G25" i="11"/>
  <c r="H3" i="10"/>
  <c r="CW34" i="11"/>
  <c r="CU34" i="11"/>
  <c r="CT34" i="11"/>
  <c r="CR34" i="11"/>
  <c r="CQ34" i="11"/>
  <c r="CO34" i="11"/>
  <c r="CI34" i="11"/>
  <c r="CE34" i="11"/>
  <c r="CC34" i="11"/>
  <c r="CB34" i="11"/>
  <c r="CA34" i="11"/>
  <c r="BU34" i="11"/>
  <c r="BS34" i="11"/>
  <c r="BP34" i="11"/>
  <c r="BM34" i="11"/>
  <c r="BL34" i="11"/>
  <c r="BK34" i="11"/>
  <c r="BJ34" i="11"/>
  <c r="BI34" i="11"/>
  <c r="BG34" i="11"/>
  <c r="BF34" i="11"/>
  <c r="AZ34" i="11"/>
  <c r="AN34" i="11"/>
  <c r="AM34" i="11"/>
  <c r="AJ34" i="11"/>
  <c r="AI34" i="11"/>
  <c r="AD34" i="11"/>
  <c r="AB34" i="11"/>
  <c r="AA34" i="11"/>
  <c r="Z34" i="11"/>
  <c r="V34" i="11"/>
  <c r="F34" i="11"/>
  <c r="CZ33" i="11"/>
  <c r="CX33" i="11"/>
  <c r="CW33" i="11"/>
  <c r="CU33" i="11"/>
  <c r="CR33" i="11"/>
  <c r="CM33" i="11"/>
  <c r="CK33" i="11"/>
  <c r="CJ33" i="11"/>
  <c r="CH33" i="11"/>
  <c r="CG33" i="11"/>
  <c r="CE33" i="11"/>
  <c r="BX33" i="11"/>
  <c r="BV33" i="11"/>
  <c r="BU33" i="11"/>
  <c r="BT33" i="11"/>
  <c r="BR33" i="11"/>
  <c r="BQ33" i="11"/>
  <c r="BP33" i="11"/>
  <c r="BI33" i="11"/>
  <c r="BF33" i="11"/>
  <c r="BB33" i="11"/>
  <c r="BA33" i="11"/>
  <c r="AZ33" i="11"/>
  <c r="AR33" i="11"/>
  <c r="AN33" i="11"/>
  <c r="AF33" i="11"/>
  <c r="AD33" i="11"/>
  <c r="AB33" i="11"/>
  <c r="AA33" i="11"/>
  <c r="V33" i="11"/>
  <c r="R33" i="11"/>
  <c r="Q33" i="11"/>
  <c r="P33" i="11"/>
  <c r="L33" i="11"/>
  <c r="CZ32" i="11"/>
  <c r="CY32" i="11"/>
  <c r="CX32" i="11"/>
  <c r="CW32" i="11"/>
  <c r="CV32" i="11"/>
  <c r="CU32" i="11"/>
  <c r="CT32" i="11"/>
  <c r="CS32" i="11"/>
  <c r="CR32" i="11"/>
  <c r="CQ32" i="11"/>
  <c r="CP32" i="11"/>
  <c r="CO32" i="11"/>
  <c r="CN32" i="11"/>
  <c r="CM32" i="11"/>
  <c r="CL32" i="11"/>
  <c r="CK32" i="11"/>
  <c r="CJ32" i="11"/>
  <c r="CI32" i="11"/>
  <c r="CH32" i="11"/>
  <c r="CG32" i="11"/>
  <c r="CF32" i="11"/>
  <c r="CE32" i="11"/>
  <c r="CD32" i="11"/>
  <c r="CC32" i="11"/>
  <c r="CB32" i="11"/>
  <c r="CA32" i="11"/>
  <c r="BZ32" i="11"/>
  <c r="BY32" i="11"/>
  <c r="BX32" i="11"/>
  <c r="BW32" i="11"/>
  <c r="BV32" i="11"/>
  <c r="BU32" i="11"/>
  <c r="BT32" i="11"/>
  <c r="BS32" i="11"/>
  <c r="BR32" i="11"/>
  <c r="BQ32" i="11"/>
  <c r="BP32" i="11"/>
  <c r="BO32" i="11"/>
  <c r="BN32" i="11"/>
  <c r="BM32" i="11"/>
  <c r="BL32" i="11"/>
  <c r="BK32" i="11"/>
  <c r="BJ32" i="11"/>
  <c r="BI32" i="11"/>
  <c r="BH32" i="11"/>
  <c r="BG32" i="11"/>
  <c r="BF32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C32" i="11" s="1"/>
  <c r="B32" i="11"/>
  <c r="CZ31" i="11"/>
  <c r="CY31" i="11"/>
  <c r="CX31" i="11"/>
  <c r="CW31" i="11"/>
  <c r="CV31" i="11"/>
  <c r="CU31" i="11"/>
  <c r="CT31" i="11"/>
  <c r="CS31" i="11"/>
  <c r="CR31" i="11"/>
  <c r="CQ31" i="11"/>
  <c r="CP31" i="11"/>
  <c r="CO31" i="11"/>
  <c r="CN31" i="11"/>
  <c r="CM31" i="11"/>
  <c r="CL31" i="11"/>
  <c r="CK31" i="11"/>
  <c r="CJ31" i="11"/>
  <c r="CI31" i="11"/>
  <c r="CH31" i="11"/>
  <c r="CG31" i="11"/>
  <c r="CF31" i="11"/>
  <c r="CE31" i="11"/>
  <c r="CD31" i="11"/>
  <c r="CC31" i="11"/>
  <c r="CB31" i="11"/>
  <c r="CA31" i="11"/>
  <c r="BZ31" i="11"/>
  <c r="BY31" i="11"/>
  <c r="BX31" i="11"/>
  <c r="BW31" i="11"/>
  <c r="BV31" i="11"/>
  <c r="BU31" i="11"/>
  <c r="BT31" i="11"/>
  <c r="BS31" i="11"/>
  <c r="BR31" i="11"/>
  <c r="BQ31" i="11"/>
  <c r="BP31" i="11"/>
  <c r="BO31" i="11"/>
  <c r="BN31" i="11"/>
  <c r="BM31" i="11"/>
  <c r="BL31" i="11"/>
  <c r="BK31" i="11"/>
  <c r="BJ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B31" i="11" s="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C31" i="11" s="1"/>
  <c r="H31" i="11"/>
  <c r="G31" i="11"/>
  <c r="F31" i="11"/>
  <c r="CZ30" i="11"/>
  <c r="CY30" i="11"/>
  <c r="CX30" i="11"/>
  <c r="CW30" i="11"/>
  <c r="CV30" i="11"/>
  <c r="CU30" i="11"/>
  <c r="CT30" i="11"/>
  <c r="CS30" i="11"/>
  <c r="CR30" i="11"/>
  <c r="CQ30" i="11"/>
  <c r="CP30" i="11"/>
  <c r="CO30" i="11"/>
  <c r="CN30" i="11"/>
  <c r="CM30" i="11"/>
  <c r="CL30" i="11"/>
  <c r="CK30" i="11"/>
  <c r="CJ30" i="11"/>
  <c r="CI30" i="11"/>
  <c r="CH30" i="11"/>
  <c r="CG30" i="11"/>
  <c r="CF30" i="11"/>
  <c r="CE30" i="11"/>
  <c r="CD30" i="11"/>
  <c r="CC30" i="11"/>
  <c r="CB30" i="11"/>
  <c r="CA30" i="11"/>
  <c r="BZ30" i="11"/>
  <c r="BY30" i="11"/>
  <c r="BX30" i="11"/>
  <c r="BW30" i="11"/>
  <c r="BV30" i="11"/>
  <c r="BU30" i="1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CZ29" i="11"/>
  <c r="CY29" i="11"/>
  <c r="CX29" i="11"/>
  <c r="CW29" i="11"/>
  <c r="CV29" i="11"/>
  <c r="CU29" i="11"/>
  <c r="CT29" i="11"/>
  <c r="CS29" i="11"/>
  <c r="CR29" i="11"/>
  <c r="CQ29" i="11"/>
  <c r="CP29" i="11"/>
  <c r="CO29" i="11"/>
  <c r="CN29" i="11"/>
  <c r="CM29" i="11"/>
  <c r="CL29" i="11"/>
  <c r="CK29" i="11"/>
  <c r="CJ29" i="11"/>
  <c r="CI29" i="11"/>
  <c r="CH29" i="11"/>
  <c r="CG29" i="11"/>
  <c r="CF29" i="11"/>
  <c r="CE29" i="11"/>
  <c r="CD29" i="11"/>
  <c r="CC29" i="11"/>
  <c r="CB29" i="11"/>
  <c r="CA29" i="11"/>
  <c r="BZ29" i="11"/>
  <c r="BY29" i="11"/>
  <c r="BX29" i="11"/>
  <c r="BW29" i="11"/>
  <c r="BV29" i="11"/>
  <c r="BU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H29" i="11"/>
  <c r="BG29" i="11"/>
  <c r="BF29" i="11"/>
  <c r="BE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B29" i="11" s="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C29" i="11" s="1"/>
  <c r="CZ28" i="11"/>
  <c r="CY28" i="1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C28" i="11"/>
  <c r="CZ27" i="11"/>
  <c r="CY27" i="11"/>
  <c r="CX27" i="11"/>
  <c r="CW27" i="11"/>
  <c r="CV27" i="11"/>
  <c r="CU27" i="11"/>
  <c r="CT27" i="11"/>
  <c r="CS27" i="11"/>
  <c r="CR27" i="11"/>
  <c r="CQ27" i="11"/>
  <c r="CP27" i="11"/>
  <c r="CO27" i="11"/>
  <c r="CN27" i="11"/>
  <c r="CM27" i="11"/>
  <c r="CL27" i="11"/>
  <c r="CK27" i="11"/>
  <c r="CJ27" i="11"/>
  <c r="CH27" i="11"/>
  <c r="CG27" i="11"/>
  <c r="CF27" i="11"/>
  <c r="CE27" i="11"/>
  <c r="CD27" i="11"/>
  <c r="CC27" i="11"/>
  <c r="CB27" i="11"/>
  <c r="CA27" i="11"/>
  <c r="BZ27" i="11"/>
  <c r="BY27" i="11"/>
  <c r="BX27" i="11"/>
  <c r="BW27" i="11"/>
  <c r="BV27" i="11"/>
  <c r="BU27" i="11"/>
  <c r="BT27" i="11"/>
  <c r="BS27" i="11"/>
  <c r="BR27" i="11"/>
  <c r="BQ27" i="11"/>
  <c r="BP27" i="11"/>
  <c r="BN27" i="11"/>
  <c r="BM27" i="11"/>
  <c r="BL27" i="11"/>
  <c r="BK27" i="11"/>
  <c r="BJ27" i="11"/>
  <c r="BI27" i="11"/>
  <c r="BH27" i="11"/>
  <c r="BF27" i="11"/>
  <c r="BC27" i="11"/>
  <c r="BB27" i="11"/>
  <c r="BA27" i="11"/>
  <c r="AZ27" i="11"/>
  <c r="AY27" i="11"/>
  <c r="AX27" i="11"/>
  <c r="AW27" i="11"/>
  <c r="AV27" i="11"/>
  <c r="AU27" i="11"/>
  <c r="AT27" i="11"/>
  <c r="AR27" i="11"/>
  <c r="AQ27" i="11"/>
  <c r="AP27" i="11"/>
  <c r="AO27" i="11"/>
  <c r="AN27" i="11"/>
  <c r="AL27" i="11"/>
  <c r="AK27" i="11"/>
  <c r="AJ27" i="11"/>
  <c r="AI27" i="11"/>
  <c r="AH27" i="11"/>
  <c r="AG27" i="11"/>
  <c r="AF27" i="11"/>
  <c r="AD27" i="11"/>
  <c r="AA27" i="11"/>
  <c r="Z27" i="11"/>
  <c r="Y27" i="11"/>
  <c r="X27" i="11"/>
  <c r="W27" i="11"/>
  <c r="B27" i="11" s="1"/>
  <c r="V27" i="11"/>
  <c r="U27" i="11"/>
  <c r="T27" i="11"/>
  <c r="S27" i="11"/>
  <c r="R27" i="11"/>
  <c r="Q27" i="11"/>
  <c r="P27" i="11"/>
  <c r="O27" i="11"/>
  <c r="N27" i="11"/>
  <c r="M27" i="11"/>
  <c r="L27" i="11"/>
  <c r="I27" i="11"/>
  <c r="H27" i="11"/>
  <c r="G27" i="11"/>
  <c r="F27" i="11"/>
  <c r="C27" i="11"/>
  <c r="CV26" i="11"/>
  <c r="CU26" i="11"/>
  <c r="CT26" i="11"/>
  <c r="CS26" i="11"/>
  <c r="CQ26" i="11"/>
  <c r="CP26" i="11"/>
  <c r="CO26" i="11"/>
  <c r="CN26" i="11"/>
  <c r="CM26" i="11"/>
  <c r="CK26" i="11"/>
  <c r="CJ26" i="11"/>
  <c r="CI26" i="11"/>
  <c r="CH26" i="11"/>
  <c r="CG26" i="11"/>
  <c r="CE26" i="11"/>
  <c r="CD26" i="11"/>
  <c r="CC26" i="11"/>
  <c r="CB26" i="11"/>
  <c r="BZ26" i="11"/>
  <c r="BY26" i="11"/>
  <c r="BR26" i="11"/>
  <c r="BQ26" i="11"/>
  <c r="BO26" i="11"/>
  <c r="BN26" i="11"/>
  <c r="BM26" i="11"/>
  <c r="BL26" i="11"/>
  <c r="BK26" i="11"/>
  <c r="BJ26" i="11"/>
  <c r="BI26" i="11"/>
  <c r="BH26" i="11"/>
  <c r="BG26" i="11"/>
  <c r="BF26" i="11"/>
  <c r="BE26" i="11"/>
  <c r="BB26" i="11"/>
  <c r="BA26" i="11"/>
  <c r="AZ26" i="11"/>
  <c r="AY26" i="11"/>
  <c r="AX26" i="11"/>
  <c r="AW26" i="11"/>
  <c r="AR26" i="11"/>
  <c r="AO26" i="11"/>
  <c r="AM26" i="11"/>
  <c r="AL26" i="11"/>
  <c r="AK26" i="11"/>
  <c r="AJ26" i="11"/>
  <c r="AI26" i="11"/>
  <c r="AH26" i="11"/>
  <c r="AG26" i="11"/>
  <c r="AF26" i="11"/>
  <c r="AD26" i="11"/>
  <c r="AC26" i="11"/>
  <c r="AA26" i="11"/>
  <c r="Z26" i="11"/>
  <c r="Y26" i="11"/>
  <c r="X26" i="11"/>
  <c r="W26" i="11"/>
  <c r="U26" i="11"/>
  <c r="P26" i="11"/>
  <c r="M26" i="11"/>
  <c r="K26" i="11"/>
  <c r="J26" i="11"/>
  <c r="I26" i="11"/>
  <c r="H26" i="11"/>
  <c r="F26" i="11"/>
  <c r="CY25" i="11"/>
  <c r="CU25" i="11"/>
  <c r="CT25" i="11"/>
  <c r="CR25" i="11"/>
  <c r="CQ25" i="11"/>
  <c r="CK25" i="11"/>
  <c r="CI25" i="11"/>
  <c r="CH25" i="11"/>
  <c r="CE25" i="11"/>
  <c r="CC25" i="11"/>
  <c r="BZ25" i="11"/>
  <c r="BY25" i="11"/>
  <c r="BX25" i="11"/>
  <c r="BW25" i="11"/>
  <c r="BV25" i="11"/>
  <c r="BT25" i="11"/>
  <c r="BS25" i="11"/>
  <c r="BR25" i="11"/>
  <c r="BO25" i="11"/>
  <c r="BN25" i="11"/>
  <c r="BG25" i="11"/>
  <c r="BF25" i="11"/>
  <c r="AZ25" i="11"/>
  <c r="AT25" i="11"/>
  <c r="AR25" i="11"/>
  <c r="AP25" i="11"/>
  <c r="AO25" i="11"/>
  <c r="AN25" i="11"/>
  <c r="AM25" i="11"/>
  <c r="AE25" i="11"/>
  <c r="AD25" i="11"/>
  <c r="V25" i="11"/>
  <c r="P25" i="11"/>
  <c r="N25" i="11"/>
  <c r="L25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N9" i="11"/>
  <c r="M9" i="11"/>
  <c r="L9" i="11"/>
  <c r="K9" i="11"/>
  <c r="I9" i="11"/>
  <c r="H9" i="11"/>
  <c r="G9" i="11"/>
  <c r="F9" i="11"/>
  <c r="E9" i="11"/>
  <c r="D9" i="11"/>
  <c r="C9" i="11"/>
  <c r="B9" i="11"/>
  <c r="N8" i="11"/>
  <c r="M8" i="11"/>
  <c r="J8" i="11"/>
  <c r="I8" i="11"/>
  <c r="H8" i="11"/>
  <c r="G8" i="11"/>
  <c r="F8" i="11"/>
  <c r="E8" i="11"/>
  <c r="D8" i="11"/>
  <c r="M7" i="11"/>
  <c r="L7" i="11"/>
  <c r="J7" i="11"/>
  <c r="I7" i="11"/>
  <c r="G7" i="11"/>
  <c r="F7" i="11"/>
  <c r="E7" i="11"/>
  <c r="D7" i="11"/>
  <c r="C7" i="11"/>
  <c r="B7" i="11"/>
  <c r="N6" i="11"/>
  <c r="M6" i="11"/>
  <c r="L6" i="11"/>
  <c r="K6" i="11"/>
  <c r="H6" i="11"/>
  <c r="G6" i="11"/>
  <c r="F6" i="11"/>
  <c r="E6" i="11"/>
  <c r="D6" i="11"/>
  <c r="C6" i="11"/>
  <c r="B6" i="11"/>
  <c r="J5" i="11"/>
  <c r="H5" i="11"/>
  <c r="G5" i="11"/>
  <c r="E5" i="11"/>
  <c r="D5" i="11"/>
  <c r="C5" i="11"/>
  <c r="B5" i="11"/>
  <c r="N4" i="11"/>
  <c r="M4" i="11"/>
  <c r="K4" i="11"/>
  <c r="H4" i="11"/>
  <c r="F4" i="11"/>
  <c r="E4" i="11"/>
  <c r="D4" i="11"/>
  <c r="C4" i="11"/>
  <c r="B4" i="11"/>
  <c r="N3" i="11"/>
  <c r="H3" i="11"/>
  <c r="F3" i="11"/>
  <c r="C3" i="11"/>
  <c r="B3" i="11"/>
  <c r="H53" i="10"/>
  <c r="H52" i="10"/>
  <c r="H51" i="10"/>
  <c r="H50" i="10"/>
  <c r="H49" i="10"/>
  <c r="H48" i="10"/>
  <c r="H47" i="10"/>
  <c r="H46" i="10"/>
  <c r="H45" i="10"/>
  <c r="H44" i="10"/>
  <c r="G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G15" i="10"/>
  <c r="H14" i="10"/>
  <c r="H13" i="10"/>
  <c r="G13" i="10"/>
  <c r="H12" i="10"/>
  <c r="G12" i="10"/>
  <c r="H11" i="10"/>
  <c r="H10" i="10"/>
  <c r="H9" i="10"/>
  <c r="H8" i="10"/>
  <c r="H7" i="10"/>
  <c r="H6" i="10"/>
  <c r="H5" i="10"/>
  <c r="H4" i="10"/>
  <c r="J32" i="9"/>
  <c r="J31" i="9"/>
  <c r="J30" i="9"/>
  <c r="J29" i="9"/>
  <c r="I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7" i="9"/>
  <c r="J6" i="9"/>
  <c r="J5" i="9"/>
  <c r="J4" i="9"/>
  <c r="J3" i="9"/>
  <c r="F61" i="8"/>
  <c r="G61" i="8" s="1"/>
  <c r="E61" i="8"/>
  <c r="F60" i="8"/>
  <c r="G60" i="8" s="1"/>
  <c r="E60" i="8"/>
  <c r="E59" i="8"/>
  <c r="E58" i="8"/>
  <c r="F57" i="8"/>
  <c r="G57" i="8" s="1"/>
  <c r="E57" i="8"/>
  <c r="E56" i="8"/>
  <c r="E55" i="8"/>
  <c r="E54" i="8"/>
  <c r="F53" i="8"/>
  <c r="G53" i="8" s="1"/>
  <c r="E53" i="8"/>
  <c r="F52" i="8"/>
  <c r="G52" i="8" s="1"/>
  <c r="E52" i="8"/>
  <c r="E51" i="8"/>
  <c r="E50" i="8"/>
  <c r="E49" i="8"/>
  <c r="E48" i="8"/>
  <c r="E47" i="8"/>
  <c r="F46" i="8"/>
  <c r="G46" i="8" s="1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F29" i="8"/>
  <c r="G29" i="8" s="1"/>
  <c r="E29" i="8"/>
  <c r="E28" i="8"/>
  <c r="E27" i="8"/>
  <c r="E26" i="8"/>
  <c r="E25" i="8"/>
  <c r="E24" i="8"/>
  <c r="E23" i="8"/>
  <c r="E22" i="8"/>
  <c r="E21" i="8"/>
  <c r="F20" i="8"/>
  <c r="G20" i="8" s="1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AE100" i="7"/>
  <c r="AG100" i="7" s="1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AE96" i="7"/>
  <c r="AD96" i="7"/>
  <c r="AC96" i="7"/>
  <c r="AB96" i="7"/>
  <c r="AG96" i="7" s="1"/>
  <c r="AA96" i="7"/>
  <c r="Z96" i="7"/>
  <c r="Y96" i="7"/>
  <c r="X96" i="7"/>
  <c r="W96" i="7"/>
  <c r="V96" i="7"/>
  <c r="U96" i="7"/>
  <c r="T96" i="7"/>
  <c r="S96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AE92" i="7"/>
  <c r="AD92" i="7"/>
  <c r="AC92" i="7"/>
  <c r="AB92" i="7"/>
  <c r="AG92" i="7" s="1"/>
  <c r="AA92" i="7"/>
  <c r="Z92" i="7"/>
  <c r="Y92" i="7"/>
  <c r="X92" i="7"/>
  <c r="W92" i="7"/>
  <c r="V92" i="7"/>
  <c r="U92" i="7"/>
  <c r="T92" i="7"/>
  <c r="S92" i="7"/>
  <c r="AE91" i="7"/>
  <c r="AG91" i="7" s="1"/>
  <c r="AD91" i="7"/>
  <c r="AC91" i="7"/>
  <c r="AB91" i="7"/>
  <c r="AA91" i="7"/>
  <c r="Z91" i="7"/>
  <c r="Y91" i="7"/>
  <c r="X91" i="7"/>
  <c r="W91" i="7"/>
  <c r="V91" i="7"/>
  <c r="U91" i="7"/>
  <c r="T91" i="7"/>
  <c r="S91" i="7"/>
  <c r="AE90" i="7"/>
  <c r="AD90" i="7"/>
  <c r="AC90" i="7"/>
  <c r="AB90" i="7"/>
  <c r="AG90" i="7" s="1"/>
  <c r="AA90" i="7"/>
  <c r="Z90" i="7"/>
  <c r="Y90" i="7"/>
  <c r="X90" i="7"/>
  <c r="W90" i="7"/>
  <c r="V90" i="7"/>
  <c r="U90" i="7"/>
  <c r="T90" i="7"/>
  <c r="S90" i="7"/>
  <c r="AE89" i="7"/>
  <c r="AG89" i="7" s="1"/>
  <c r="AD89" i="7"/>
  <c r="AC89" i="7"/>
  <c r="AB89" i="7"/>
  <c r="AA89" i="7"/>
  <c r="Z89" i="7"/>
  <c r="Y89" i="7"/>
  <c r="X89" i="7"/>
  <c r="W89" i="7"/>
  <c r="V89" i="7"/>
  <c r="U89" i="7"/>
  <c r="T89" i="7"/>
  <c r="S89" i="7"/>
  <c r="AE88" i="7"/>
  <c r="AG88" i="7" s="1"/>
  <c r="AD88" i="7"/>
  <c r="AC88" i="7"/>
  <c r="AB88" i="7"/>
  <c r="AA88" i="7"/>
  <c r="Z88" i="7"/>
  <c r="Y88" i="7"/>
  <c r="X88" i="7"/>
  <c r="W88" i="7"/>
  <c r="V88" i="7"/>
  <c r="U88" i="7"/>
  <c r="T88" i="7"/>
  <c r="S88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AE86" i="7"/>
  <c r="AG86" i="7" s="1"/>
  <c r="AD86" i="7"/>
  <c r="AC86" i="7"/>
  <c r="AB86" i="7"/>
  <c r="AA86" i="7"/>
  <c r="Z86" i="7"/>
  <c r="Y86" i="7"/>
  <c r="X86" i="7"/>
  <c r="W86" i="7"/>
  <c r="V86" i="7"/>
  <c r="U86" i="7"/>
  <c r="T86" i="7"/>
  <c r="S86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AE84" i="7"/>
  <c r="AG84" i="7" s="1"/>
  <c r="AD84" i="7"/>
  <c r="AC84" i="7"/>
  <c r="AB84" i="7"/>
  <c r="AA84" i="7"/>
  <c r="Z84" i="7"/>
  <c r="Y84" i="7"/>
  <c r="X84" i="7"/>
  <c r="W84" i="7"/>
  <c r="V84" i="7"/>
  <c r="U84" i="7"/>
  <c r="T84" i="7"/>
  <c r="S84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AE78" i="7"/>
  <c r="AD78" i="7"/>
  <c r="AC78" i="7"/>
  <c r="AB78" i="7"/>
  <c r="AG78" i="7" s="1"/>
  <c r="AA78" i="7"/>
  <c r="Z78" i="7"/>
  <c r="Y78" i="7"/>
  <c r="X78" i="7"/>
  <c r="W78" i="7"/>
  <c r="V78" i="7"/>
  <c r="U78" i="7"/>
  <c r="T78" i="7"/>
  <c r="S78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AE72" i="7"/>
  <c r="AG72" i="7" s="1"/>
  <c r="AD72" i="7"/>
  <c r="AC72" i="7"/>
  <c r="AB72" i="7"/>
  <c r="AA72" i="7"/>
  <c r="Z72" i="7"/>
  <c r="Y72" i="7"/>
  <c r="X72" i="7"/>
  <c r="W72" i="7"/>
  <c r="V72" i="7"/>
  <c r="U72" i="7"/>
  <c r="T72" i="7"/>
  <c r="S72" i="7"/>
  <c r="AV71" i="7"/>
  <c r="AX71" i="7" s="1"/>
  <c r="AU71" i="7"/>
  <c r="AT71" i="7"/>
  <c r="AS71" i="7"/>
  <c r="AR71" i="7"/>
  <c r="AQ71" i="7"/>
  <c r="AP71" i="7"/>
  <c r="AO71" i="7"/>
  <c r="AN71" i="7"/>
  <c r="AM71" i="7"/>
  <c r="AL71" i="7"/>
  <c r="AK71" i="7"/>
  <c r="AJ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AJ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E69" i="7"/>
  <c r="AG69" i="7" s="1"/>
  <c r="AD69" i="7"/>
  <c r="AC69" i="7"/>
  <c r="AB69" i="7"/>
  <c r="AA69" i="7"/>
  <c r="Z69" i="7"/>
  <c r="Y69" i="7"/>
  <c r="X69" i="7"/>
  <c r="W69" i="7"/>
  <c r="V69" i="7"/>
  <c r="U69" i="7"/>
  <c r="T69" i="7"/>
  <c r="S69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E67" i="7"/>
  <c r="AG67" i="7" s="1"/>
  <c r="AD67" i="7"/>
  <c r="AC67" i="7"/>
  <c r="AB67" i="7"/>
  <c r="AA67" i="7"/>
  <c r="Z67" i="7"/>
  <c r="Y67" i="7"/>
  <c r="X67" i="7"/>
  <c r="W67" i="7"/>
  <c r="V67" i="7"/>
  <c r="U67" i="7"/>
  <c r="T67" i="7"/>
  <c r="S67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E65" i="7"/>
  <c r="AG65" i="7" s="1"/>
  <c r="AD65" i="7"/>
  <c r="AC65" i="7"/>
  <c r="AB65" i="7"/>
  <c r="AA65" i="7"/>
  <c r="Z65" i="7"/>
  <c r="Y65" i="7"/>
  <c r="X65" i="7"/>
  <c r="W65" i="7"/>
  <c r="V65" i="7"/>
  <c r="U65" i="7"/>
  <c r="T65" i="7"/>
  <c r="S65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E62" i="7"/>
  <c r="AD62" i="7"/>
  <c r="AC62" i="7"/>
  <c r="AB62" i="7"/>
  <c r="AG62" i="7" s="1"/>
  <c r="AA62" i="7"/>
  <c r="Z62" i="7"/>
  <c r="Y62" i="7"/>
  <c r="X62" i="7"/>
  <c r="W62" i="7"/>
  <c r="V62" i="7"/>
  <c r="U62" i="7"/>
  <c r="T62" i="7"/>
  <c r="S62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E60" i="7"/>
  <c r="AG60" i="7" s="1"/>
  <c r="AD60" i="7"/>
  <c r="AC60" i="7"/>
  <c r="AB60" i="7"/>
  <c r="AA60" i="7"/>
  <c r="Z60" i="7"/>
  <c r="Y60" i="7"/>
  <c r="X60" i="7"/>
  <c r="W60" i="7"/>
  <c r="V60" i="7"/>
  <c r="U60" i="7"/>
  <c r="T60" i="7"/>
  <c r="S60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E58" i="7"/>
  <c r="AG58" i="7" s="1"/>
  <c r="AD58" i="7"/>
  <c r="AC58" i="7"/>
  <c r="AB58" i="7"/>
  <c r="AA58" i="7"/>
  <c r="Z58" i="7"/>
  <c r="Y58" i="7"/>
  <c r="X58" i="7"/>
  <c r="W58" i="7"/>
  <c r="V58" i="7"/>
  <c r="U58" i="7"/>
  <c r="T58" i="7"/>
  <c r="S58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AV55" i="7"/>
  <c r="AX55" i="7" s="1"/>
  <c r="AU55" i="7"/>
  <c r="AT55" i="7"/>
  <c r="AS55" i="7"/>
  <c r="AR55" i="7"/>
  <c r="AQ55" i="7"/>
  <c r="AP55" i="7"/>
  <c r="AO55" i="7"/>
  <c r="AN55" i="7"/>
  <c r="AM55" i="7"/>
  <c r="AL55" i="7"/>
  <c r="AK55" i="7"/>
  <c r="AJ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AV54" i="7"/>
  <c r="AX54" i="7" s="1"/>
  <c r="AU54" i="7"/>
  <c r="AT54" i="7"/>
  <c r="AS54" i="7"/>
  <c r="AR54" i="7"/>
  <c r="AQ54" i="7"/>
  <c r="AP54" i="7"/>
  <c r="AO54" i="7"/>
  <c r="AN54" i="7"/>
  <c r="AM54" i="7"/>
  <c r="AL54" i="7"/>
  <c r="AK54" i="7"/>
  <c r="AJ54" i="7"/>
  <c r="AE54" i="7"/>
  <c r="AD54" i="7"/>
  <c r="AC54" i="7"/>
  <c r="AB54" i="7"/>
  <c r="AG54" i="7" s="1"/>
  <c r="AA54" i="7"/>
  <c r="Z54" i="7"/>
  <c r="Y54" i="7"/>
  <c r="X54" i="7"/>
  <c r="W54" i="7"/>
  <c r="V54" i="7"/>
  <c r="U54" i="7"/>
  <c r="T54" i="7"/>
  <c r="S54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E53" i="7"/>
  <c r="AD53" i="7"/>
  <c r="AC53" i="7"/>
  <c r="AB53" i="7"/>
  <c r="AG53" i="7" s="1"/>
  <c r="AA53" i="7"/>
  <c r="Z53" i="7"/>
  <c r="Y53" i="7"/>
  <c r="X53" i="7"/>
  <c r="W53" i="7"/>
  <c r="V53" i="7"/>
  <c r="U53" i="7"/>
  <c r="T53" i="7"/>
  <c r="S53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E50" i="7"/>
  <c r="AG50" i="7" s="1"/>
  <c r="AD50" i="7"/>
  <c r="AC50" i="7"/>
  <c r="AB50" i="7"/>
  <c r="AA50" i="7"/>
  <c r="Z50" i="7"/>
  <c r="Y50" i="7"/>
  <c r="X50" i="7"/>
  <c r="W50" i="7"/>
  <c r="V50" i="7"/>
  <c r="U50" i="7"/>
  <c r="T50" i="7"/>
  <c r="S50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E49" i="7"/>
  <c r="AD49" i="7"/>
  <c r="AC49" i="7"/>
  <c r="AB49" i="7"/>
  <c r="AG49" i="7" s="1"/>
  <c r="AA49" i="7"/>
  <c r="Z49" i="7"/>
  <c r="Y49" i="7"/>
  <c r="X49" i="7"/>
  <c r="W49" i="7"/>
  <c r="V49" i="7"/>
  <c r="U49" i="7"/>
  <c r="T49" i="7"/>
  <c r="S49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E47" i="7"/>
  <c r="AG47" i="7" s="1"/>
  <c r="AD47" i="7"/>
  <c r="AC47" i="7"/>
  <c r="AB47" i="7"/>
  <c r="AA47" i="7"/>
  <c r="Z47" i="7"/>
  <c r="Y47" i="7"/>
  <c r="X47" i="7"/>
  <c r="W47" i="7"/>
  <c r="V47" i="7"/>
  <c r="U47" i="7"/>
  <c r="T47" i="7"/>
  <c r="S47" i="7"/>
  <c r="AV46" i="7"/>
  <c r="AU46" i="7"/>
  <c r="AT46" i="7"/>
  <c r="AS46" i="7"/>
  <c r="AX46" i="7" s="1"/>
  <c r="AR46" i="7"/>
  <c r="AQ46" i="7"/>
  <c r="AP46" i="7"/>
  <c r="AO46" i="7"/>
  <c r="AN46" i="7"/>
  <c r="AM46" i="7"/>
  <c r="AL46" i="7"/>
  <c r="AK46" i="7"/>
  <c r="AJ46" i="7"/>
  <c r="AE46" i="7"/>
  <c r="AG46" i="7" s="1"/>
  <c r="AD46" i="7"/>
  <c r="AC46" i="7"/>
  <c r="AB46" i="7"/>
  <c r="AA46" i="7"/>
  <c r="Z46" i="7"/>
  <c r="Y46" i="7"/>
  <c r="X46" i="7"/>
  <c r="W46" i="7"/>
  <c r="V46" i="7"/>
  <c r="U46" i="7"/>
  <c r="T46" i="7"/>
  <c r="S46" i="7"/>
  <c r="AV45" i="7"/>
  <c r="AU45" i="7"/>
  <c r="AT45" i="7"/>
  <c r="AS45" i="7"/>
  <c r="AX45" i="7" s="1"/>
  <c r="AR45" i="7"/>
  <c r="AQ45" i="7"/>
  <c r="AP45" i="7"/>
  <c r="AO45" i="7"/>
  <c r="AN45" i="7"/>
  <c r="AM45" i="7"/>
  <c r="AL45" i="7"/>
  <c r="AK45" i="7"/>
  <c r="AJ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AV44" i="7"/>
  <c r="AU44" i="7"/>
  <c r="AT44" i="7"/>
  <c r="AS44" i="7"/>
  <c r="AX44" i="7" s="1"/>
  <c r="AR44" i="7"/>
  <c r="AQ44" i="7"/>
  <c r="AP44" i="7"/>
  <c r="AO44" i="7"/>
  <c r="AN44" i="7"/>
  <c r="AM44" i="7"/>
  <c r="AL44" i="7"/>
  <c r="AK44" i="7"/>
  <c r="AJ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AV43" i="7"/>
  <c r="AU43" i="7"/>
  <c r="AT43" i="7"/>
  <c r="AS43" i="7"/>
  <c r="AX43" i="7" s="1"/>
  <c r="AR43" i="7"/>
  <c r="AQ43" i="7"/>
  <c r="AP43" i="7"/>
  <c r="AO43" i="7"/>
  <c r="AN43" i="7"/>
  <c r="AM43" i="7"/>
  <c r="AL43" i="7"/>
  <c r="AK43" i="7"/>
  <c r="AJ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AV42" i="7"/>
  <c r="AU42" i="7"/>
  <c r="AT42" i="7"/>
  <c r="AS42" i="7"/>
  <c r="AX42" i="7" s="1"/>
  <c r="AR42" i="7"/>
  <c r="AQ42" i="7"/>
  <c r="AP42" i="7"/>
  <c r="AO42" i="7"/>
  <c r="AN42" i="7"/>
  <c r="AM42" i="7"/>
  <c r="AL42" i="7"/>
  <c r="AK42" i="7"/>
  <c r="AJ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AV41" i="7"/>
  <c r="AU41" i="7"/>
  <c r="AT41" i="7"/>
  <c r="AS41" i="7"/>
  <c r="AX41" i="7" s="1"/>
  <c r="AR41" i="7"/>
  <c r="AQ41" i="7"/>
  <c r="AP41" i="7"/>
  <c r="AO41" i="7"/>
  <c r="AN41" i="7"/>
  <c r="AM41" i="7"/>
  <c r="AL41" i="7"/>
  <c r="AK41" i="7"/>
  <c r="AJ41" i="7"/>
  <c r="AE41" i="7"/>
  <c r="AG41" i="7" s="1"/>
  <c r="AD41" i="7"/>
  <c r="AC41" i="7"/>
  <c r="AB41" i="7"/>
  <c r="AA41" i="7"/>
  <c r="Z41" i="7"/>
  <c r="Y41" i="7"/>
  <c r="X41" i="7"/>
  <c r="W41" i="7"/>
  <c r="V41" i="7"/>
  <c r="U41" i="7"/>
  <c r="T41" i="7"/>
  <c r="S41" i="7"/>
  <c r="AV40" i="7"/>
  <c r="AU40" i="7"/>
  <c r="AT40" i="7"/>
  <c r="AS40" i="7"/>
  <c r="AX40" i="7" s="1"/>
  <c r="AR40" i="7"/>
  <c r="AQ40" i="7"/>
  <c r="AP40" i="7"/>
  <c r="AO40" i="7"/>
  <c r="AN40" i="7"/>
  <c r="AM40" i="7"/>
  <c r="AL40" i="7"/>
  <c r="AK40" i="7"/>
  <c r="AJ40" i="7"/>
  <c r="AE40" i="7"/>
  <c r="AG40" i="7" s="1"/>
  <c r="AD40" i="7"/>
  <c r="AC40" i="7"/>
  <c r="AB40" i="7"/>
  <c r="AA40" i="7"/>
  <c r="Z40" i="7"/>
  <c r="Y40" i="7"/>
  <c r="X40" i="7"/>
  <c r="W40" i="7"/>
  <c r="V40" i="7"/>
  <c r="U40" i="7"/>
  <c r="T40" i="7"/>
  <c r="S40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AV33" i="7"/>
  <c r="AX33" i="7" s="1"/>
  <c r="AU33" i="7"/>
  <c r="AT33" i="7"/>
  <c r="AS33" i="7"/>
  <c r="AR33" i="7"/>
  <c r="AQ33" i="7"/>
  <c r="AP33" i="7"/>
  <c r="AO33" i="7"/>
  <c r="AN33" i="7"/>
  <c r="AM33" i="7"/>
  <c r="AL33" i="7"/>
  <c r="AK33" i="7"/>
  <c r="AJ33" i="7"/>
  <c r="AE33" i="7"/>
  <c r="AG33" i="7" s="1"/>
  <c r="AD33" i="7"/>
  <c r="AC33" i="7"/>
  <c r="AB33" i="7"/>
  <c r="AA33" i="7"/>
  <c r="Z33" i="7"/>
  <c r="Y33" i="7"/>
  <c r="X33" i="7"/>
  <c r="W33" i="7"/>
  <c r="V33" i="7"/>
  <c r="U33" i="7"/>
  <c r="T33" i="7"/>
  <c r="S33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E32" i="7"/>
  <c r="AG32" i="7" s="1"/>
  <c r="AD32" i="7"/>
  <c r="AC32" i="7"/>
  <c r="AB32" i="7"/>
  <c r="AA32" i="7"/>
  <c r="Z32" i="7"/>
  <c r="Y32" i="7"/>
  <c r="X32" i="7"/>
  <c r="W32" i="7"/>
  <c r="V32" i="7"/>
  <c r="U32" i="7"/>
  <c r="T32" i="7"/>
  <c r="S32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V28" i="7"/>
  <c r="AX28" i="7" s="1"/>
  <c r="AU28" i="7"/>
  <c r="AT28" i="7"/>
  <c r="AS28" i="7"/>
  <c r="AR28" i="7"/>
  <c r="AQ28" i="7"/>
  <c r="AP28" i="7"/>
  <c r="AO28" i="7"/>
  <c r="AN28" i="7"/>
  <c r="AM28" i="7"/>
  <c r="AL28" i="7"/>
  <c r="AK28" i="7"/>
  <c r="AJ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N28" i="7"/>
  <c r="P28" i="7" s="1"/>
  <c r="M28" i="7"/>
  <c r="L28" i="7"/>
  <c r="K28" i="7"/>
  <c r="J28" i="7"/>
  <c r="I28" i="7"/>
  <c r="H28" i="7"/>
  <c r="G28" i="7"/>
  <c r="F28" i="7"/>
  <c r="E28" i="7"/>
  <c r="D28" i="7"/>
  <c r="C28" i="7"/>
  <c r="B28" i="7"/>
  <c r="AV27" i="7"/>
  <c r="AX27" i="7" s="1"/>
  <c r="AU27" i="7"/>
  <c r="AT27" i="7"/>
  <c r="AS27" i="7"/>
  <c r="AR27" i="7"/>
  <c r="AQ27" i="7"/>
  <c r="AP27" i="7"/>
  <c r="AO27" i="7"/>
  <c r="AN27" i="7"/>
  <c r="AM27" i="7"/>
  <c r="AL27" i="7"/>
  <c r="AK27" i="7"/>
  <c r="AJ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V23" i="7"/>
  <c r="AX23" i="7" s="1"/>
  <c r="AU23" i="7"/>
  <c r="AT23" i="7"/>
  <c r="AS23" i="7"/>
  <c r="AR23" i="7"/>
  <c r="AQ23" i="7"/>
  <c r="AP23" i="7"/>
  <c r="AO23" i="7"/>
  <c r="AN23" i="7"/>
  <c r="AM23" i="7"/>
  <c r="AL23" i="7"/>
  <c r="AK23" i="7"/>
  <c r="AJ23" i="7"/>
  <c r="AE23" i="7"/>
  <c r="AG23" i="7" s="1"/>
  <c r="AD23" i="7"/>
  <c r="AC23" i="7"/>
  <c r="AB23" i="7"/>
  <c r="AA23" i="7"/>
  <c r="Z23" i="7"/>
  <c r="Y23" i="7"/>
  <c r="X23" i="7"/>
  <c r="W23" i="7"/>
  <c r="V23" i="7"/>
  <c r="U23" i="7"/>
  <c r="T23" i="7"/>
  <c r="S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V22" i="7"/>
  <c r="AX22" i="7" s="1"/>
  <c r="AU22" i="7"/>
  <c r="AT22" i="7"/>
  <c r="AS22" i="7"/>
  <c r="AR22" i="7"/>
  <c r="AQ22" i="7"/>
  <c r="AP22" i="7"/>
  <c r="AO22" i="7"/>
  <c r="AN22" i="7"/>
  <c r="AM22" i="7"/>
  <c r="AL22" i="7"/>
  <c r="AK22" i="7"/>
  <c r="AJ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E19" i="7"/>
  <c r="AG19" i="7" s="1"/>
  <c r="AD19" i="7"/>
  <c r="AC19" i="7"/>
  <c r="AB19" i="7"/>
  <c r="AA19" i="7"/>
  <c r="Z19" i="7"/>
  <c r="Y19" i="7"/>
  <c r="X19" i="7"/>
  <c r="W19" i="7"/>
  <c r="V19" i="7"/>
  <c r="U19" i="7"/>
  <c r="T19" i="7"/>
  <c r="S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V18" i="7"/>
  <c r="AX18" i="7" s="1"/>
  <c r="AU18" i="7"/>
  <c r="AT18" i="7"/>
  <c r="AS18" i="7"/>
  <c r="AR18" i="7"/>
  <c r="AQ18" i="7"/>
  <c r="AP18" i="7"/>
  <c r="AO18" i="7"/>
  <c r="AN18" i="7"/>
  <c r="AM18" i="7"/>
  <c r="AL18" i="7"/>
  <c r="AK18" i="7"/>
  <c r="AJ18" i="7"/>
  <c r="AE18" i="7"/>
  <c r="AG18" i="7" s="1"/>
  <c r="AD18" i="7"/>
  <c r="AC18" i="7"/>
  <c r="AB18" i="7"/>
  <c r="AA18" i="7"/>
  <c r="Z18" i="7"/>
  <c r="Y18" i="7"/>
  <c r="X18" i="7"/>
  <c r="W18" i="7"/>
  <c r="V18" i="7"/>
  <c r="U18" i="7"/>
  <c r="T18" i="7"/>
  <c r="S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E14" i="7"/>
  <c r="AG14" i="7" s="1"/>
  <c r="AD14" i="7"/>
  <c r="AC14" i="7"/>
  <c r="AB14" i="7"/>
  <c r="AA14" i="7"/>
  <c r="Z14" i="7"/>
  <c r="Y14" i="7"/>
  <c r="X14" i="7"/>
  <c r="W14" i="7"/>
  <c r="V14" i="7"/>
  <c r="U14" i="7"/>
  <c r="T14" i="7"/>
  <c r="S14" i="7"/>
  <c r="N14" i="7"/>
  <c r="P14" i="7" s="1"/>
  <c r="M14" i="7"/>
  <c r="L14" i="7"/>
  <c r="K14" i="7"/>
  <c r="J14" i="7"/>
  <c r="I14" i="7"/>
  <c r="H14" i="7"/>
  <c r="G14" i="7"/>
  <c r="F14" i="7"/>
  <c r="E14" i="7"/>
  <c r="D14" i="7"/>
  <c r="C14" i="7"/>
  <c r="B14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E13" i="7"/>
  <c r="AG13" i="7" s="1"/>
  <c r="AD13" i="7"/>
  <c r="AC13" i="7"/>
  <c r="AB13" i="7"/>
  <c r="AA13" i="7"/>
  <c r="Z13" i="7"/>
  <c r="Y13" i="7"/>
  <c r="X13" i="7"/>
  <c r="W13" i="7"/>
  <c r="V13" i="7"/>
  <c r="U13" i="7"/>
  <c r="T13" i="7"/>
  <c r="S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N10" i="7"/>
  <c r="P10" i="7" s="1"/>
  <c r="M10" i="7"/>
  <c r="L10" i="7"/>
  <c r="K10" i="7"/>
  <c r="J10" i="7"/>
  <c r="I10" i="7"/>
  <c r="H10" i="7"/>
  <c r="G10" i="7"/>
  <c r="F10" i="7"/>
  <c r="E10" i="7"/>
  <c r="D10" i="7"/>
  <c r="C10" i="7"/>
  <c r="B10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E9" i="7"/>
  <c r="AG9" i="7" s="1"/>
  <c r="AD9" i="7"/>
  <c r="AC9" i="7"/>
  <c r="AB9" i="7"/>
  <c r="AA9" i="7"/>
  <c r="Z9" i="7"/>
  <c r="Y9" i="7"/>
  <c r="X9" i="7"/>
  <c r="W9" i="7"/>
  <c r="V9" i="7"/>
  <c r="U9" i="7"/>
  <c r="T9" i="7"/>
  <c r="S9" i="7"/>
  <c r="N9" i="7"/>
  <c r="P9" i="7" s="1"/>
  <c r="M9" i="7"/>
  <c r="L9" i="7"/>
  <c r="K9" i="7"/>
  <c r="J9" i="7"/>
  <c r="I9" i="7"/>
  <c r="H9" i="7"/>
  <c r="G9" i="7"/>
  <c r="F9" i="7"/>
  <c r="E9" i="7"/>
  <c r="D9" i="7"/>
  <c r="C9" i="7"/>
  <c r="B9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N5" i="7"/>
  <c r="P5" i="7" s="1"/>
  <c r="M5" i="7"/>
  <c r="L5" i="7"/>
  <c r="K5" i="7"/>
  <c r="J5" i="7"/>
  <c r="I5" i="7"/>
  <c r="H5" i="7"/>
  <c r="G5" i="7"/>
  <c r="F5" i="7"/>
  <c r="E5" i="7"/>
  <c r="D5" i="7"/>
  <c r="C5" i="7"/>
  <c r="B5" i="7"/>
  <c r="AV4" i="7"/>
  <c r="AX4" i="7" s="1"/>
  <c r="AU4" i="7"/>
  <c r="AT4" i="7"/>
  <c r="AS4" i="7"/>
  <c r="AR4" i="7"/>
  <c r="AQ4" i="7"/>
  <c r="AP4" i="7"/>
  <c r="AO4" i="7"/>
  <c r="AN4" i="7"/>
  <c r="AM4" i="7"/>
  <c r="AL4" i="7"/>
  <c r="AK4" i="7"/>
  <c r="AJ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N4" i="7"/>
  <c r="P4" i="7" s="1"/>
  <c r="M4" i="7"/>
  <c r="L4" i="7"/>
  <c r="K4" i="7"/>
  <c r="J4" i="7"/>
  <c r="I4" i="7"/>
  <c r="H4" i="7"/>
  <c r="G4" i="7"/>
  <c r="F4" i="7"/>
  <c r="E4" i="7"/>
  <c r="D4" i="7"/>
  <c r="C4" i="7"/>
  <c r="B4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N3" i="7"/>
  <c r="M3" i="7"/>
  <c r="L3" i="7"/>
  <c r="I3" i="7"/>
  <c r="H3" i="7"/>
  <c r="F3" i="7"/>
  <c r="D3" i="7"/>
  <c r="C3" i="7"/>
  <c r="B3" i="7"/>
  <c r="AG4" i="7" l="1"/>
  <c r="AX13" i="7"/>
  <c r="AX8" i="7"/>
  <c r="AG22" i="7"/>
  <c r="AX31" i="7"/>
  <c r="AX26" i="7"/>
  <c r="AG8" i="7"/>
  <c r="P27" i="7"/>
  <c r="AG101" i="7"/>
  <c r="AG3" i="7"/>
  <c r="AX12" i="7"/>
  <c r="P22" i="7"/>
  <c r="AX53" i="7"/>
  <c r="AG99" i="7"/>
  <c r="AX7" i="7"/>
  <c r="P17" i="7"/>
  <c r="AX37" i="7"/>
  <c r="AG82" i="7"/>
  <c r="P12" i="7"/>
  <c r="AX30" i="7"/>
  <c r="AG44" i="7"/>
  <c r="AX52" i="7"/>
  <c r="P7" i="7"/>
  <c r="AX25" i="7"/>
  <c r="AX36" i="7"/>
  <c r="AG80" i="7"/>
  <c r="G4" i="10"/>
  <c r="AG59" i="7"/>
  <c r="AG6" i="7"/>
  <c r="P25" i="7"/>
  <c r="AX10" i="7"/>
  <c r="AG42" i="7"/>
  <c r="AG56" i="7"/>
  <c r="AG74" i="7"/>
  <c r="AG93" i="7"/>
  <c r="C30" i="11"/>
  <c r="AG39" i="7"/>
  <c r="AG71" i="7"/>
  <c r="AG85" i="7"/>
  <c r="P8" i="7"/>
  <c r="AX17" i="7"/>
  <c r="AX38" i="7"/>
  <c r="AG31" i="7"/>
  <c r="AG45" i="7"/>
  <c r="AG26" i="7"/>
  <c r="AG61" i="7"/>
  <c r="AX69" i="7"/>
  <c r="AG21" i="7"/>
  <c r="AG97" i="7"/>
  <c r="AG16" i="7"/>
  <c r="AG11" i="7"/>
  <c r="AX20" i="7"/>
  <c r="P30" i="7"/>
  <c r="AG43" i="7"/>
  <c r="AG95" i="7"/>
  <c r="AX15" i="7"/>
  <c r="AX35" i="7"/>
  <c r="AX49" i="7"/>
  <c r="P20" i="7"/>
  <c r="AG29" i="7"/>
  <c r="AX5" i="7"/>
  <c r="P15" i="7"/>
  <c r="AG24" i="7"/>
  <c r="AX34" i="7"/>
  <c r="AG57" i="7"/>
  <c r="AG76" i="7"/>
  <c r="P23" i="7"/>
  <c r="AX32" i="7"/>
  <c r="P18" i="7"/>
  <c r="AG27" i="7"/>
  <c r="P13" i="7"/>
  <c r="AG38" i="7"/>
  <c r="AG12" i="7"/>
  <c r="P31" i="7"/>
  <c r="AG98" i="7"/>
  <c r="AX16" i="7"/>
  <c r="AG37" i="7"/>
  <c r="P21" i="7"/>
  <c r="AG30" i="7"/>
  <c r="AX6" i="7"/>
  <c r="AG36" i="7"/>
  <c r="P11" i="7"/>
  <c r="AG20" i="7"/>
  <c r="AG94" i="7"/>
  <c r="P6" i="7"/>
  <c r="AG15" i="7"/>
  <c r="AX24" i="7"/>
  <c r="AX57" i="7"/>
  <c r="AG66" i="7"/>
  <c r="C26" i="11"/>
  <c r="AG10" i="7"/>
  <c r="AX19" i="7"/>
  <c r="P29" i="7"/>
  <c r="B28" i="11"/>
  <c r="AG5" i="7"/>
  <c r="AX14" i="7"/>
  <c r="P24" i="7"/>
  <c r="AG34" i="7"/>
  <c r="AX39" i="7"/>
  <c r="AG48" i="7"/>
  <c r="AX56" i="7"/>
  <c r="AG63" i="7"/>
  <c r="AG75" i="7"/>
  <c r="D32" i="11"/>
  <c r="AG55" i="7"/>
  <c r="AX3" i="7"/>
  <c r="AG17" i="7"/>
  <c r="AG70" i="7"/>
  <c r="AX21" i="7"/>
  <c r="AG7" i="7"/>
  <c r="P26" i="7"/>
  <c r="AX11" i="7"/>
  <c r="AX51" i="7"/>
  <c r="AG68" i="7"/>
  <c r="P16" i="7"/>
  <c r="AG25" i="7"/>
  <c r="B26" i="11"/>
  <c r="AX29" i="7"/>
  <c r="AG35" i="7"/>
  <c r="AX9" i="7"/>
  <c r="P19" i="7"/>
  <c r="AG28" i="7"/>
  <c r="AG64" i="7"/>
  <c r="B30" i="11"/>
  <c r="E3" i="7"/>
  <c r="O33" i="11"/>
  <c r="E3" i="11"/>
  <c r="O34" i="11"/>
  <c r="O25" i="11"/>
  <c r="AG34" i="11"/>
  <c r="AG25" i="11"/>
  <c r="AG33" i="11"/>
  <c r="AH25" i="11"/>
  <c r="AH33" i="11"/>
  <c r="AH34" i="11"/>
  <c r="G3" i="11"/>
  <c r="M34" i="11"/>
  <c r="G3" i="7"/>
  <c r="M33" i="11"/>
  <c r="M25" i="11"/>
  <c r="AK25" i="11"/>
  <c r="AK33" i="11"/>
  <c r="AK34" i="11"/>
  <c r="BC33" i="11"/>
  <c r="BC34" i="11"/>
  <c r="BC25" i="11"/>
  <c r="AY33" i="11"/>
  <c r="AY34" i="11"/>
  <c r="AY25" i="11"/>
  <c r="AL33" i="11"/>
  <c r="AL25" i="11"/>
  <c r="AL34" i="11"/>
  <c r="BE34" i="11"/>
  <c r="BE25" i="11"/>
  <c r="BE33" i="11"/>
  <c r="S33" i="11"/>
  <c r="S34" i="11"/>
  <c r="D37" i="11"/>
  <c r="S25" i="11"/>
  <c r="T34" i="11"/>
  <c r="T33" i="11"/>
  <c r="T25" i="11"/>
  <c r="W33" i="11"/>
  <c r="W34" i="11"/>
  <c r="B34" i="11" s="1"/>
  <c r="W25" i="11"/>
  <c r="AQ25" i="11"/>
  <c r="AQ33" i="11"/>
  <c r="AQ34" i="11"/>
  <c r="Y34" i="11"/>
  <c r="Y25" i="11"/>
  <c r="Y33" i="11"/>
  <c r="I25" i="11"/>
  <c r="K3" i="11"/>
  <c r="I33" i="11"/>
  <c r="C37" i="11"/>
  <c r="F3" i="8" s="1"/>
  <c r="G3" i="8" s="1"/>
  <c r="K3" i="7"/>
  <c r="P3" i="7" s="1"/>
  <c r="I34" i="11"/>
  <c r="C34" i="11" s="1"/>
  <c r="J33" i="11"/>
  <c r="J3" i="11"/>
  <c r="J25" i="11"/>
  <c r="J3" i="7"/>
  <c r="J34" i="11"/>
  <c r="AC34" i="11"/>
  <c r="AC25" i="11"/>
  <c r="AC33" i="11"/>
  <c r="AU33" i="11"/>
  <c r="AU34" i="11"/>
  <c r="AU25" i="11"/>
  <c r="AV34" i="11"/>
  <c r="AV33" i="11"/>
  <c r="AV25" i="11"/>
  <c r="AG73" i="7"/>
  <c r="AW25" i="11"/>
  <c r="CF25" i="11"/>
  <c r="Z33" i="11"/>
  <c r="BK33" i="11"/>
  <c r="L3" i="11"/>
  <c r="H25" i="11"/>
  <c r="H33" i="11"/>
  <c r="CS34" i="11"/>
  <c r="AX25" i="11"/>
  <c r="BZ34" i="11"/>
  <c r="D38" i="11"/>
  <c r="D41" i="11"/>
  <c r="AX70" i="7"/>
  <c r="C39" i="11"/>
  <c r="B39" i="11"/>
  <c r="I5" i="9" s="1"/>
  <c r="N5" i="11"/>
  <c r="AX68" i="7"/>
  <c r="R25" i="11"/>
  <c r="CP25" i="11"/>
  <c r="L26" i="11"/>
  <c r="AX67" i="7"/>
  <c r="BB25" i="11"/>
  <c r="AP34" i="11"/>
  <c r="CD34" i="11"/>
  <c r="CG34" i="11"/>
  <c r="CG25" i="11"/>
  <c r="CJ25" i="11"/>
  <c r="AX66" i="7"/>
  <c r="G34" i="11"/>
  <c r="K33" i="11"/>
  <c r="I3" i="11"/>
  <c r="C42" i="11"/>
  <c r="B42" i="11"/>
  <c r="I7" i="9" s="1"/>
  <c r="AX65" i="7"/>
  <c r="U25" i="11"/>
  <c r="BD25" i="11"/>
  <c r="H34" i="11"/>
  <c r="CF34" i="11"/>
  <c r="AT34" i="11"/>
  <c r="AX64" i="7"/>
  <c r="AX34" i="11"/>
  <c r="BT34" i="11"/>
  <c r="CW25" i="11"/>
  <c r="AX63" i="7"/>
  <c r="AO33" i="11"/>
  <c r="BY33" i="11"/>
  <c r="AX62" i="7"/>
  <c r="X25" i="11"/>
  <c r="CV25" i="11"/>
  <c r="K34" i="11"/>
  <c r="Q26" i="11"/>
  <c r="D40" i="11"/>
  <c r="AN26" i="11"/>
  <c r="CX26" i="11"/>
  <c r="AX61" i="7"/>
  <c r="J27" i="11"/>
  <c r="CA33" i="11"/>
  <c r="BG33" i="11"/>
  <c r="R26" i="11"/>
  <c r="CF26" i="11"/>
  <c r="AX60" i="7"/>
  <c r="CB33" i="11"/>
  <c r="N34" i="11"/>
  <c r="CY33" i="11"/>
  <c r="CY34" i="11"/>
  <c r="AX59" i="7"/>
  <c r="CZ25" i="11"/>
  <c r="CM34" i="11"/>
  <c r="AS25" i="11"/>
  <c r="T26" i="11"/>
  <c r="J8" i="9"/>
  <c r="N7" i="11"/>
  <c r="C41" i="11"/>
  <c r="F10" i="8" s="1"/>
  <c r="G10" i="8" s="1"/>
  <c r="B41" i="11"/>
  <c r="I8" i="9" s="1"/>
  <c r="AX58" i="7"/>
  <c r="BQ25" i="11"/>
  <c r="G33" i="11"/>
  <c r="CD33" i="11"/>
  <c r="Q34" i="11"/>
  <c r="BD34" i="11"/>
  <c r="BW33" i="11"/>
  <c r="BW34" i="11"/>
  <c r="BV34" i="11"/>
  <c r="D43" i="11"/>
  <c r="P34" i="11"/>
  <c r="D3" i="11"/>
  <c r="AE33" i="11"/>
  <c r="CL25" i="11"/>
  <c r="CL33" i="11"/>
  <c r="AW33" i="11"/>
  <c r="CP34" i="11"/>
  <c r="M3" i="11"/>
  <c r="N33" i="11"/>
  <c r="X34" i="11"/>
  <c r="BH34" i="11"/>
  <c r="BJ25" i="11"/>
  <c r="BJ33" i="11"/>
  <c r="D39" i="11"/>
  <c r="AS26" i="11"/>
  <c r="CN25" i="11"/>
  <c r="CN33" i="11"/>
  <c r="AT26" i="11"/>
  <c r="C8" i="11"/>
  <c r="D42" i="11"/>
  <c r="BL25" i="11"/>
  <c r="BL33" i="11"/>
  <c r="CO25" i="11"/>
  <c r="CO33" i="11"/>
  <c r="AX50" i="7"/>
  <c r="AG87" i="7"/>
  <c r="BM25" i="11"/>
  <c r="BM33" i="11"/>
  <c r="AX48" i="7"/>
  <c r="AG83" i="7"/>
  <c r="U33" i="11"/>
  <c r="CS33" i="11"/>
  <c r="AI25" i="11"/>
  <c r="AX47" i="7"/>
  <c r="AG81" i="7"/>
  <c r="AF34" i="11"/>
  <c r="AJ25" i="11"/>
  <c r="AJ33" i="11"/>
  <c r="BN33" i="11"/>
  <c r="CQ33" i="11"/>
  <c r="BH25" i="11"/>
  <c r="AG79" i="7"/>
  <c r="B37" i="11"/>
  <c r="F25" i="11"/>
  <c r="F33" i="11"/>
  <c r="BU26" i="11"/>
  <c r="AG77" i="7"/>
  <c r="K25" i="11"/>
  <c r="CV33" i="11"/>
  <c r="BO33" i="11"/>
  <c r="CX34" i="11"/>
  <c r="B40" i="11"/>
  <c r="I6" i="9" s="1"/>
  <c r="B43" i="11"/>
  <c r="I11" i="9" s="1"/>
  <c r="C43" i="11"/>
  <c r="C49" i="11"/>
  <c r="F12" i="8" s="1"/>
  <c r="G12" i="8" s="1"/>
  <c r="B49" i="11"/>
  <c r="D61" i="11"/>
  <c r="C57" i="11"/>
  <c r="F18" i="8" s="1"/>
  <c r="G18" i="8" s="1"/>
  <c r="B57" i="11"/>
  <c r="I25" i="9" s="1"/>
  <c r="D58" i="11"/>
  <c r="D64" i="11"/>
  <c r="C60" i="11"/>
  <c r="B60" i="11"/>
  <c r="D65" i="11"/>
  <c r="D44" i="11"/>
  <c r="C54" i="11"/>
  <c r="F16" i="8" s="1"/>
  <c r="G16" i="8" s="1"/>
  <c r="B54" i="11"/>
  <c r="D52" i="11"/>
  <c r="D53" i="11"/>
  <c r="D67" i="11"/>
  <c r="C51" i="11"/>
  <c r="F14" i="8" s="1"/>
  <c r="B51" i="11"/>
  <c r="D59" i="11"/>
  <c r="D45" i="11"/>
  <c r="C63" i="11"/>
  <c r="F24" i="8" s="1"/>
  <c r="G24" i="8" s="1"/>
  <c r="B63" i="11"/>
  <c r="I22" i="9" s="1"/>
  <c r="D62" i="11"/>
  <c r="B66" i="11"/>
  <c r="C66" i="11"/>
  <c r="F26" i="8" s="1"/>
  <c r="G26" i="8" s="1"/>
  <c r="C50" i="11"/>
  <c r="F13" i="8" s="1"/>
  <c r="G13" i="8" s="1"/>
  <c r="B50" i="11"/>
  <c r="D56" i="11"/>
  <c r="C47" i="11"/>
  <c r="B47" i="11"/>
  <c r="I13" i="9" s="1"/>
  <c r="D48" i="11"/>
  <c r="D49" i="11"/>
  <c r="C65" i="11"/>
  <c r="B65" i="11"/>
  <c r="I30" i="9" s="1"/>
  <c r="D57" i="11"/>
  <c r="C44" i="11"/>
  <c r="C52" i="11"/>
  <c r="B52" i="11"/>
  <c r="C61" i="11"/>
  <c r="F23" i="8" s="1"/>
  <c r="G23" i="8" s="1"/>
  <c r="B61" i="11"/>
  <c r="I23" i="9" s="1"/>
  <c r="C62" i="11"/>
  <c r="B62" i="11"/>
  <c r="I24" i="9" s="1"/>
  <c r="D51" i="11"/>
  <c r="D60" i="11"/>
  <c r="D63" i="11"/>
  <c r="C56" i="11"/>
  <c r="B56" i="11"/>
  <c r="I28" i="9" s="1"/>
  <c r="D66" i="11"/>
  <c r="C53" i="11"/>
  <c r="F15" i="8" s="1"/>
  <c r="G15" i="8" s="1"/>
  <c r="B53" i="11"/>
  <c r="D54" i="11"/>
  <c r="D55" i="11"/>
  <c r="C45" i="11"/>
  <c r="B45" i="11"/>
  <c r="D46" i="11"/>
  <c r="C59" i="11"/>
  <c r="B59" i="11"/>
  <c r="I27" i="9" s="1"/>
  <c r="C48" i="11"/>
  <c r="B48" i="11"/>
  <c r="I14" i="9" s="1"/>
  <c r="D47" i="11"/>
  <c r="D50" i="11"/>
  <c r="C82" i="11"/>
  <c r="B82" i="11"/>
  <c r="G23" i="10" s="1"/>
  <c r="D79" i="11"/>
  <c r="B55" i="11"/>
  <c r="D83" i="11"/>
  <c r="C85" i="11"/>
  <c r="B85" i="11"/>
  <c r="G24" i="10" s="1"/>
  <c r="C76" i="11"/>
  <c r="F6" i="8" s="1"/>
  <c r="G6" i="8" s="1"/>
  <c r="D78" i="11"/>
  <c r="C81" i="11"/>
  <c r="B81" i="11"/>
  <c r="G22" i="10" s="1"/>
  <c r="D71" i="11"/>
  <c r="D74" i="11"/>
  <c r="D86" i="11"/>
  <c r="C80" i="11"/>
  <c r="B80" i="11"/>
  <c r="G21" i="10" s="1"/>
  <c r="D70" i="11"/>
  <c r="D77" i="11"/>
  <c r="D82" i="11"/>
  <c r="C88" i="11"/>
  <c r="B88" i="11"/>
  <c r="C72" i="11"/>
  <c r="B72" i="11"/>
  <c r="B46" i="11"/>
  <c r="I15" i="9" s="1"/>
  <c r="C75" i="11"/>
  <c r="F5" i="8" s="1"/>
  <c r="G5" i="8" s="1"/>
  <c r="B75" i="11"/>
  <c r="G18" i="10" s="1"/>
  <c r="C87" i="11"/>
  <c r="B87" i="11"/>
  <c r="D89" i="11"/>
  <c r="D73" i="11"/>
  <c r="D85" i="11"/>
  <c r="C71" i="11"/>
  <c r="B71" i="11"/>
  <c r="D76" i="11"/>
  <c r="C83" i="11"/>
  <c r="B83" i="11"/>
  <c r="D81" i="11"/>
  <c r="C78" i="11"/>
  <c r="F8" i="8" s="1"/>
  <c r="G8" i="8" s="1"/>
  <c r="B78" i="11"/>
  <c r="G20" i="10" s="1"/>
  <c r="C74" i="11"/>
  <c r="B74" i="11"/>
  <c r="D80" i="11"/>
  <c r="D88" i="11"/>
  <c r="D84" i="11"/>
  <c r="C86" i="11"/>
  <c r="B86" i="11"/>
  <c r="D72" i="11"/>
  <c r="C77" i="11"/>
  <c r="F7" i="8" s="1"/>
  <c r="G7" i="8" s="1"/>
  <c r="B77" i="11"/>
  <c r="G19" i="10" s="1"/>
  <c r="C70" i="11"/>
  <c r="D75" i="11"/>
  <c r="D90" i="11"/>
  <c r="C95" i="11"/>
  <c r="F33" i="8" s="1"/>
  <c r="G33" i="8" s="1"/>
  <c r="B95" i="11"/>
  <c r="G29" i="10" s="1"/>
  <c r="C98" i="11"/>
  <c r="F49" i="8" s="1"/>
  <c r="G49" i="8" s="1"/>
  <c r="B98" i="11"/>
  <c r="G33" i="10" s="1"/>
  <c r="D100" i="11"/>
  <c r="D103" i="11"/>
  <c r="C104" i="11"/>
  <c r="F44" i="8" s="1"/>
  <c r="B104" i="11"/>
  <c r="G40" i="10" s="1"/>
  <c r="D109" i="11"/>
  <c r="B90" i="11"/>
  <c r="G25" i="10" s="1"/>
  <c r="D93" i="11"/>
  <c r="C107" i="11"/>
  <c r="F34" i="8" s="1"/>
  <c r="G34" i="8" s="1"/>
  <c r="B107" i="11"/>
  <c r="G41" i="10" s="1"/>
  <c r="D105" i="11"/>
  <c r="D96" i="11"/>
  <c r="D99" i="11"/>
  <c r="C91" i="11"/>
  <c r="F21" i="8" s="1"/>
  <c r="G21" i="8" s="1"/>
  <c r="B101" i="11"/>
  <c r="D108" i="11"/>
  <c r="C97" i="11"/>
  <c r="F48" i="8" s="1"/>
  <c r="G48" i="8" s="1"/>
  <c r="B97" i="11"/>
  <c r="G32" i="10" s="1"/>
  <c r="D102" i="11"/>
  <c r="B76" i="11"/>
  <c r="C94" i="11"/>
  <c r="F32" i="8" s="1"/>
  <c r="G32" i="8" s="1"/>
  <c r="B94" i="11"/>
  <c r="G30" i="10" s="1"/>
  <c r="D95" i="11"/>
  <c r="C100" i="11"/>
  <c r="F36" i="8" s="1"/>
  <c r="G36" i="8" s="1"/>
  <c r="B100" i="11"/>
  <c r="D98" i="11"/>
  <c r="D107" i="11"/>
  <c r="D92" i="11"/>
  <c r="C103" i="11"/>
  <c r="F43" i="8" s="1"/>
  <c r="G43" i="8" s="1"/>
  <c r="B103" i="11"/>
  <c r="G35" i="10" s="1"/>
  <c r="D104" i="11"/>
  <c r="C93" i="11"/>
  <c r="F31" i="8" s="1"/>
  <c r="G31" i="8" s="1"/>
  <c r="B93" i="11"/>
  <c r="G28" i="10" s="1"/>
  <c r="D101" i="11"/>
  <c r="C109" i="11"/>
  <c r="B109" i="11"/>
  <c r="G37" i="10" s="1"/>
  <c r="B89" i="11"/>
  <c r="G17" i="10" s="1"/>
  <c r="D91" i="11"/>
  <c r="C96" i="11"/>
  <c r="F47" i="8" s="1"/>
  <c r="G47" i="8" s="1"/>
  <c r="B96" i="11"/>
  <c r="G31" i="10" s="1"/>
  <c r="D110" i="11"/>
  <c r="B84" i="11"/>
  <c r="C108" i="11"/>
  <c r="F35" i="8" s="1"/>
  <c r="G35" i="8" s="1"/>
  <c r="D97" i="11"/>
  <c r="C99" i="11"/>
  <c r="B99" i="11"/>
  <c r="G34" i="10" s="1"/>
  <c r="C102" i="11"/>
  <c r="F38" i="8" s="1"/>
  <c r="B102" i="11"/>
  <c r="C105" i="11"/>
  <c r="F45" i="8" s="1"/>
  <c r="G45" i="8" s="1"/>
  <c r="B105" i="11"/>
  <c r="G38" i="10" s="1"/>
  <c r="D106" i="11"/>
  <c r="D111" i="11"/>
  <c r="C101" i="11"/>
  <c r="F37" i="8" s="1"/>
  <c r="G37" i="8" s="1"/>
  <c r="C127" i="11"/>
  <c r="B127" i="11"/>
  <c r="D128" i="11"/>
  <c r="D131" i="11"/>
  <c r="C120" i="11"/>
  <c r="B120" i="11"/>
  <c r="B108" i="11"/>
  <c r="G42" i="10" s="1"/>
  <c r="D121" i="11"/>
  <c r="C122" i="11"/>
  <c r="B122" i="11"/>
  <c r="C114" i="11"/>
  <c r="B114" i="11"/>
  <c r="D119" i="11"/>
  <c r="D132" i="11"/>
  <c r="C118" i="11"/>
  <c r="B118" i="11"/>
  <c r="D123" i="11"/>
  <c r="C116" i="11"/>
  <c r="B116" i="11"/>
  <c r="D130" i="11"/>
  <c r="D115" i="11"/>
  <c r="D117" i="11"/>
  <c r="C124" i="11"/>
  <c r="B124" i="11"/>
  <c r="D125" i="11"/>
  <c r="B126" i="11"/>
  <c r="C126" i="11"/>
  <c r="C112" i="11"/>
  <c r="F30" i="8" s="1"/>
  <c r="B110" i="11"/>
  <c r="G36" i="10" s="1"/>
  <c r="B111" i="11"/>
  <c r="D127" i="11"/>
  <c r="D120" i="11"/>
  <c r="C121" i="11"/>
  <c r="B121" i="11"/>
  <c r="D122" i="11"/>
  <c r="C119" i="11"/>
  <c r="B119" i="11"/>
  <c r="C128" i="11"/>
  <c r="B128" i="11"/>
  <c r="C123" i="11"/>
  <c r="B123" i="11"/>
  <c r="D116" i="11"/>
  <c r="D118" i="11"/>
  <c r="D124" i="11"/>
  <c r="D129" i="11"/>
  <c r="B106" i="11"/>
  <c r="G39" i="10" s="1"/>
  <c r="C113" i="11"/>
  <c r="F22" i="8" s="1"/>
  <c r="G22" i="8" s="1"/>
  <c r="C125" i="11"/>
  <c r="B125" i="11"/>
  <c r="D126" i="11"/>
  <c r="C130" i="11"/>
  <c r="B130" i="11"/>
  <c r="C142" i="11"/>
  <c r="B142" i="11"/>
  <c r="D151" i="11"/>
  <c r="D135" i="11"/>
  <c r="D136" i="11"/>
  <c r="D147" i="11"/>
  <c r="C149" i="11"/>
  <c r="F56" i="8" s="1"/>
  <c r="G56" i="8" s="1"/>
  <c r="B149" i="11"/>
  <c r="D157" i="11"/>
  <c r="C137" i="11"/>
  <c r="B137" i="11"/>
  <c r="C148" i="11"/>
  <c r="F55" i="8" s="1"/>
  <c r="G55" i="8" s="1"/>
  <c r="B148" i="11"/>
  <c r="G47" i="10" s="1"/>
  <c r="C152" i="11"/>
  <c r="F59" i="8" s="1"/>
  <c r="G59" i="8" s="1"/>
  <c r="B152" i="11"/>
  <c r="D140" i="11"/>
  <c r="D143" i="11"/>
  <c r="D150" i="11"/>
  <c r="D133" i="11"/>
  <c r="D139" i="11"/>
  <c r="C141" i="11"/>
  <c r="B141" i="11"/>
  <c r="C144" i="11"/>
  <c r="F51" i="8" s="1"/>
  <c r="G51" i="8" s="1"/>
  <c r="B144" i="11"/>
  <c r="D146" i="11"/>
  <c r="C136" i="11"/>
  <c r="B136" i="11"/>
  <c r="B135" i="11"/>
  <c r="B113" i="11"/>
  <c r="D142" i="11"/>
  <c r="D149" i="11"/>
  <c r="D145" i="11"/>
  <c r="C151" i="11"/>
  <c r="F58" i="8" s="1"/>
  <c r="B151" i="11"/>
  <c r="G48" i="10" s="1"/>
  <c r="D137" i="11"/>
  <c r="D138" i="11"/>
  <c r="C143" i="11"/>
  <c r="F50" i="8" s="1"/>
  <c r="G50" i="8" s="1"/>
  <c r="B143" i="11"/>
  <c r="G45" i="10" s="1"/>
  <c r="C146" i="11"/>
  <c r="F54" i="8" s="1"/>
  <c r="G54" i="8" s="1"/>
  <c r="B146" i="11"/>
  <c r="G46" i="10" s="1"/>
  <c r="D148" i="11"/>
  <c r="D152" i="11"/>
  <c r="D153" i="11"/>
  <c r="D154" i="11"/>
  <c r="B131" i="11"/>
  <c r="B132" i="11"/>
  <c r="B133" i="11"/>
  <c r="D141" i="11"/>
  <c r="D155" i="11"/>
  <c r="C139" i="11"/>
  <c r="B139" i="11"/>
  <c r="C134" i="11"/>
  <c r="B134" i="11"/>
  <c r="D144" i="11"/>
  <c r="C154" i="11"/>
  <c r="C164" i="11"/>
  <c r="F40" i="8" s="1"/>
  <c r="G40" i="8" s="1"/>
  <c r="B164" i="11"/>
  <c r="G51" i="10" s="1"/>
  <c r="D166" i="11"/>
  <c r="C155" i="11"/>
  <c r="C158" i="11"/>
  <c r="F28" i="8" s="1"/>
  <c r="G28" i="8" s="1"/>
  <c r="C168" i="11"/>
  <c r="B168" i="11"/>
  <c r="D160" i="11"/>
  <c r="D175" i="11"/>
  <c r="C173" i="11"/>
  <c r="B173" i="11"/>
  <c r="C167" i="11"/>
  <c r="B167" i="11"/>
  <c r="C162" i="11"/>
  <c r="B162" i="11"/>
  <c r="C172" i="11"/>
  <c r="B172" i="11"/>
  <c r="D164" i="11"/>
  <c r="D158" i="11"/>
  <c r="D165" i="11"/>
  <c r="C166" i="11"/>
  <c r="F42" i="8" s="1"/>
  <c r="G42" i="8" s="1"/>
  <c r="B166" i="11"/>
  <c r="G53" i="10" s="1"/>
  <c r="D156" i="11"/>
  <c r="D171" i="11"/>
  <c r="B145" i="11"/>
  <c r="B153" i="11"/>
  <c r="D173" i="11"/>
  <c r="D159" i="11"/>
  <c r="C160" i="11"/>
  <c r="B160" i="11"/>
  <c r="C165" i="11"/>
  <c r="F41" i="8" s="1"/>
  <c r="G41" i="8" s="1"/>
  <c r="B165" i="11"/>
  <c r="G52" i="10" s="1"/>
  <c r="D162" i="11"/>
  <c r="D172" i="11"/>
  <c r="C186" i="11"/>
  <c r="B186" i="11"/>
  <c r="D178" i="11"/>
  <c r="D183" i="11"/>
  <c r="D189" i="11"/>
  <c r="B180" i="11"/>
  <c r="C191" i="11"/>
  <c r="B191" i="11"/>
  <c r="B161" i="11"/>
  <c r="D184" i="11"/>
  <c r="C187" i="11"/>
  <c r="B187" i="11"/>
  <c r="C192" i="11"/>
  <c r="B192" i="11"/>
  <c r="C181" i="11"/>
  <c r="B181" i="11"/>
  <c r="D190" i="11"/>
  <c r="D185" i="11"/>
  <c r="C193" i="11"/>
  <c r="B193" i="11"/>
  <c r="C188" i="11"/>
  <c r="B188" i="11"/>
  <c r="C194" i="11"/>
  <c r="B194" i="11"/>
  <c r="C177" i="11"/>
  <c r="B177" i="11"/>
  <c r="D179" i="11"/>
  <c r="C182" i="11"/>
  <c r="B182" i="11"/>
  <c r="B175" i="11"/>
  <c r="D186" i="11"/>
  <c r="C178" i="11"/>
  <c r="B178" i="11"/>
  <c r="B163" i="11"/>
  <c r="G50" i="10" s="1"/>
  <c r="B171" i="11"/>
  <c r="D180" i="11"/>
  <c r="D176" i="11"/>
  <c r="C183" i="11"/>
  <c r="B183" i="11"/>
  <c r="D191" i="11"/>
  <c r="C189" i="11"/>
  <c r="D192" i="11"/>
  <c r="D195" i="11"/>
  <c r="B184" i="11"/>
  <c r="C184" i="11"/>
  <c r="D187" i="11"/>
  <c r="D181" i="11"/>
  <c r="D193" i="11"/>
  <c r="D196" i="11"/>
  <c r="D194" i="11"/>
  <c r="D188" i="11"/>
  <c r="D182" i="11"/>
  <c r="C185" i="11"/>
  <c r="B185" i="11"/>
  <c r="C179" i="11"/>
  <c r="B179" i="11"/>
  <c r="D177" i="11"/>
  <c r="B190" i="11"/>
  <c r="D207" i="11"/>
  <c r="C197" i="11"/>
  <c r="D215" i="11"/>
  <c r="D214" i="11"/>
  <c r="C212" i="11"/>
  <c r="B212" i="11"/>
  <c r="D200" i="11"/>
  <c r="D201" i="11"/>
  <c r="D206" i="11"/>
  <c r="D204" i="11"/>
  <c r="C203" i="11"/>
  <c r="B203" i="11"/>
  <c r="B218" i="11"/>
  <c r="C205" i="11"/>
  <c r="B205" i="11"/>
  <c r="D211" i="11"/>
  <c r="D198" i="11"/>
  <c r="D199" i="11"/>
  <c r="B214" i="11"/>
  <c r="C214" i="11"/>
  <c r="C200" i="11"/>
  <c r="B200" i="11"/>
  <c r="D219" i="11"/>
  <c r="D225" i="11"/>
  <c r="D197" i="11"/>
  <c r="D202" i="11"/>
  <c r="C220" i="11"/>
  <c r="B220" i="11"/>
  <c r="C206" i="11"/>
  <c r="B206" i="11"/>
  <c r="D212" i="11"/>
  <c r="D213" i="11"/>
  <c r="B189" i="11"/>
  <c r="C198" i="11"/>
  <c r="C201" i="11"/>
  <c r="B201" i="11"/>
  <c r="D203" i="11"/>
  <c r="D210" i="11"/>
  <c r="B195" i="11"/>
  <c r="D209" i="11"/>
  <c r="C232" i="11"/>
  <c r="D208" i="11"/>
  <c r="D220" i="11"/>
  <c r="D223" i="11"/>
  <c r="C224" i="11"/>
  <c r="B224" i="11"/>
  <c r="D239" i="11"/>
  <c r="D222" i="11"/>
  <c r="D240" i="11"/>
  <c r="C211" i="11"/>
  <c r="B208" i="11"/>
  <c r="D235" i="11"/>
  <c r="C213" i="11"/>
  <c r="D237" i="11"/>
  <c r="D230" i="11"/>
  <c r="D217" i="11"/>
  <c r="D221" i="11"/>
  <c r="D226" i="11"/>
  <c r="D231" i="11"/>
  <c r="D224" i="11"/>
  <c r="C217" i="11"/>
  <c r="B217" i="11"/>
  <c r="D216" i="11"/>
  <c r="D233" i="11"/>
  <c r="D236" i="11"/>
  <c r="C240" i="11"/>
  <c r="B240" i="11"/>
  <c r="B235" i="11"/>
  <c r="C235" i="11"/>
  <c r="D227" i="11"/>
  <c r="D234" i="11"/>
  <c r="D243" i="11"/>
  <c r="C228" i="11"/>
  <c r="B228" i="11"/>
  <c r="B223" i="11"/>
  <c r="C233" i="11"/>
  <c r="B233" i="11"/>
  <c r="C236" i="11"/>
  <c r="B236" i="11"/>
  <c r="B242" i="11"/>
  <c r="B234" i="11"/>
  <c r="C234" i="11"/>
  <c r="D241" i="11"/>
  <c r="D238" i="11"/>
  <c r="D229" i="11"/>
  <c r="D228" i="11"/>
  <c r="D232" i="11"/>
  <c r="C237" i="11"/>
  <c r="C238" i="11"/>
  <c r="B238" i="11"/>
  <c r="B241" i="11"/>
  <c r="C243" i="11"/>
  <c r="D33" i="11" l="1"/>
  <c r="G11" i="10"/>
  <c r="I17" i="9"/>
  <c r="I21" i="9"/>
  <c r="G9" i="10"/>
  <c r="I19" i="9"/>
  <c r="G16" i="10"/>
  <c r="G6" i="10"/>
  <c r="I20" i="9"/>
  <c r="I12" i="9"/>
  <c r="G8" i="10"/>
  <c r="G5" i="10"/>
  <c r="I10" i="9"/>
  <c r="D34" i="11"/>
  <c r="I32" i="9"/>
  <c r="G14" i="10"/>
  <c r="G10" i="10"/>
  <c r="I16" i="9"/>
  <c r="B33" i="11"/>
  <c r="C33" i="11"/>
  <c r="I18" i="9"/>
  <c r="G7" i="10"/>
  <c r="B25" i="11"/>
  <c r="C25" i="11"/>
  <c r="G3" i="10"/>
  <c r="I3" i="9"/>
</calcChain>
</file>

<file path=xl/sharedStrings.xml><?xml version="1.0" encoding="utf-8"?>
<sst xmlns="http://schemas.openxmlformats.org/spreadsheetml/2006/main" count="735" uniqueCount="327">
  <si>
    <t>一级行业</t>
  </si>
  <si>
    <t>二级行业</t>
  </si>
  <si>
    <t>三级行业</t>
  </si>
  <si>
    <t>景气指数</t>
  </si>
  <si>
    <t>3M变化</t>
  </si>
  <si>
    <t>石油石化</t>
  </si>
  <si>
    <t>油气开采/油服工程</t>
  </si>
  <si>
    <t>铜</t>
  </si>
  <si>
    <t>煤炭</t>
  </si>
  <si>
    <t>炼化及贸易</t>
  </si>
  <si>
    <t>铝</t>
  </si>
  <si>
    <t>有色金属</t>
  </si>
  <si>
    <t>动力煤</t>
  </si>
  <si>
    <t>铅锌</t>
  </si>
  <si>
    <t>基础化工</t>
  </si>
  <si>
    <t xml:space="preserve">焦煤 </t>
  </si>
  <si>
    <t>黄金</t>
  </si>
  <si>
    <t>钢铁</t>
  </si>
  <si>
    <t>无烟煤</t>
  </si>
  <si>
    <t>白银</t>
  </si>
  <si>
    <t>建筑材料</t>
  </si>
  <si>
    <t>工业金属</t>
  </si>
  <si>
    <t>稀土</t>
  </si>
  <si>
    <t>机械设备</t>
  </si>
  <si>
    <t>贵金属</t>
  </si>
  <si>
    <t>钨</t>
  </si>
  <si>
    <t>电力设备</t>
  </si>
  <si>
    <t>小金属</t>
  </si>
  <si>
    <t>钼</t>
  </si>
  <si>
    <t>国防军工</t>
  </si>
  <si>
    <t>能源金属</t>
  </si>
  <si>
    <t>其它小金属</t>
  </si>
  <si>
    <t>农林牧渔</t>
  </si>
  <si>
    <t>金属新材料</t>
  </si>
  <si>
    <t>锂</t>
  </si>
  <si>
    <t>食品饮料</t>
  </si>
  <si>
    <t>化学原料</t>
  </si>
  <si>
    <t>钴</t>
  </si>
  <si>
    <t>医药生物</t>
  </si>
  <si>
    <t>化学制品</t>
  </si>
  <si>
    <t>镍</t>
  </si>
  <si>
    <t>纺织服饰</t>
  </si>
  <si>
    <t>化学纤维</t>
  </si>
  <si>
    <t>磁性材料</t>
  </si>
  <si>
    <t>汽车</t>
  </si>
  <si>
    <t>塑料</t>
  </si>
  <si>
    <t>纯碱</t>
  </si>
  <si>
    <t>家用电器</t>
  </si>
  <si>
    <t>橡胶</t>
  </si>
  <si>
    <t>氯碱</t>
  </si>
  <si>
    <t>轻工制造</t>
  </si>
  <si>
    <t>农化制品</t>
  </si>
  <si>
    <t>其他化学原料</t>
  </si>
  <si>
    <t>商贸零售</t>
  </si>
  <si>
    <t>非金属材料</t>
  </si>
  <si>
    <t>煤化工</t>
  </si>
  <si>
    <t>社会服务</t>
  </si>
  <si>
    <t>新能源材料</t>
  </si>
  <si>
    <t>钛白粉</t>
  </si>
  <si>
    <t>美容护理</t>
  </si>
  <si>
    <t>冶钢原料</t>
  </si>
  <si>
    <t>涂料油墨</t>
  </si>
  <si>
    <t>电子</t>
  </si>
  <si>
    <t>普钢</t>
  </si>
  <si>
    <t>民爆制品</t>
  </si>
  <si>
    <t>计算机</t>
  </si>
  <si>
    <t>水泥</t>
  </si>
  <si>
    <t>其他化学制品</t>
  </si>
  <si>
    <t>传媒</t>
  </si>
  <si>
    <t>玻璃玻纤</t>
  </si>
  <si>
    <t>氟化工</t>
  </si>
  <si>
    <t>通信</t>
  </si>
  <si>
    <t>装修建材</t>
  </si>
  <si>
    <t>聚氨酯</t>
  </si>
  <si>
    <t>港股互联网</t>
  </si>
  <si>
    <t>通用设备</t>
  </si>
  <si>
    <t>食品及饲料添加剂</t>
  </si>
  <si>
    <t>银行</t>
  </si>
  <si>
    <t>工程机械</t>
  </si>
  <si>
    <t>有机硅</t>
  </si>
  <si>
    <t>非银金融</t>
  </si>
  <si>
    <t>自动化设备</t>
  </si>
  <si>
    <t>涤纶</t>
  </si>
  <si>
    <t>房地产</t>
  </si>
  <si>
    <t>光伏设备</t>
  </si>
  <si>
    <t>粘胶</t>
  </si>
  <si>
    <t>公用事业</t>
  </si>
  <si>
    <t>风电设备</t>
  </si>
  <si>
    <t>氨纶</t>
  </si>
  <si>
    <t>交通运输</t>
  </si>
  <si>
    <t>电池</t>
  </si>
  <si>
    <t>其他化学纤维</t>
  </si>
  <si>
    <t>电网设备</t>
  </si>
  <si>
    <t>其他塑料制品</t>
  </si>
  <si>
    <t>航海装备</t>
  </si>
  <si>
    <t>改性塑料</t>
  </si>
  <si>
    <t>航空装备</t>
  </si>
  <si>
    <t>合成树脂</t>
  </si>
  <si>
    <t>军工电子</t>
  </si>
  <si>
    <t>膜材料</t>
  </si>
  <si>
    <t>半导体</t>
  </si>
  <si>
    <t>其他橡胶制品</t>
  </si>
  <si>
    <t>元件</t>
  </si>
  <si>
    <t>炭黑</t>
  </si>
  <si>
    <t>光学光电子</t>
  </si>
  <si>
    <t>氮肥</t>
  </si>
  <si>
    <t>消费电子</t>
  </si>
  <si>
    <t>磷肥及磷化工</t>
  </si>
  <si>
    <t>通信服务</t>
  </si>
  <si>
    <t>农药</t>
  </si>
  <si>
    <t>通信设备</t>
  </si>
  <si>
    <t>钾肥</t>
  </si>
  <si>
    <t>计算机设备</t>
  </si>
  <si>
    <t>复合肥</t>
  </si>
  <si>
    <t>软件开发</t>
  </si>
  <si>
    <t>机床工具</t>
  </si>
  <si>
    <t>IT服务</t>
  </si>
  <si>
    <t>机器人</t>
  </si>
  <si>
    <t>游戏</t>
  </si>
  <si>
    <t>半导体设备</t>
  </si>
  <si>
    <t>影视院线</t>
  </si>
  <si>
    <t>半导体材料</t>
  </si>
  <si>
    <t>出版</t>
  </si>
  <si>
    <t>芯片设计</t>
  </si>
  <si>
    <t>广告营销</t>
  </si>
  <si>
    <t>数字芯片设计</t>
  </si>
  <si>
    <t>数字媒体</t>
  </si>
  <si>
    <t>集成电路制造</t>
  </si>
  <si>
    <t>互联网电商</t>
  </si>
  <si>
    <t>集成电路封测</t>
  </si>
  <si>
    <t>模拟芯片设计</t>
  </si>
  <si>
    <t>分立器件</t>
  </si>
  <si>
    <t>乘用车</t>
  </si>
  <si>
    <t>印制电路板</t>
  </si>
  <si>
    <t>汽车零部件</t>
  </si>
  <si>
    <t>被动元件</t>
  </si>
  <si>
    <t>摩托车及其他</t>
  </si>
  <si>
    <t>面板</t>
  </si>
  <si>
    <t>商用车</t>
  </si>
  <si>
    <t>LED</t>
  </si>
  <si>
    <t>白色家电</t>
  </si>
  <si>
    <t>光学元件</t>
  </si>
  <si>
    <t>黑色家电</t>
  </si>
  <si>
    <t>消费电子零组件</t>
  </si>
  <si>
    <t>小家电</t>
  </si>
  <si>
    <t>品牌消费电子</t>
  </si>
  <si>
    <t>厨卫电器</t>
  </si>
  <si>
    <t>原料药</t>
  </si>
  <si>
    <t>一般零售</t>
  </si>
  <si>
    <t>化学制剂</t>
  </si>
  <si>
    <t>旅游零售</t>
  </si>
  <si>
    <t>医院</t>
  </si>
  <si>
    <t>酒店餐饮</t>
  </si>
  <si>
    <t>医疗研发外包</t>
  </si>
  <si>
    <t>旅游及景区</t>
  </si>
  <si>
    <t>快递</t>
  </si>
  <si>
    <t>纺织制造</t>
  </si>
  <si>
    <t>铁路运输</t>
  </si>
  <si>
    <t>服装家纺</t>
  </si>
  <si>
    <t>高速公路</t>
  </si>
  <si>
    <t>饰品</t>
  </si>
  <si>
    <t>航运</t>
  </si>
  <si>
    <t>家居用品</t>
  </si>
  <si>
    <t>火力发电</t>
  </si>
  <si>
    <t>文娱用品</t>
  </si>
  <si>
    <t>水力发电</t>
  </si>
  <si>
    <t>造纸</t>
  </si>
  <si>
    <t>风力发电</t>
  </si>
  <si>
    <t>化妆品</t>
  </si>
  <si>
    <t>光伏发电</t>
  </si>
  <si>
    <t>个护用品</t>
  </si>
  <si>
    <t>医疗美容</t>
  </si>
  <si>
    <t>养殖业</t>
  </si>
  <si>
    <t>动物保健</t>
  </si>
  <si>
    <t>饲料</t>
  </si>
  <si>
    <t>农产品加工</t>
  </si>
  <si>
    <t>白酒</t>
  </si>
  <si>
    <t>非白酒</t>
  </si>
  <si>
    <t>饮料乳品</t>
  </si>
  <si>
    <t>休闲食品</t>
  </si>
  <si>
    <t>调味发酵品</t>
  </si>
  <si>
    <t>化学制药</t>
  </si>
  <si>
    <t>医药商业</t>
  </si>
  <si>
    <t>医疗器械</t>
  </si>
  <si>
    <t>医疗服务</t>
  </si>
  <si>
    <t>中药</t>
  </si>
  <si>
    <t>国有大型银行</t>
  </si>
  <si>
    <t>股份制银行</t>
  </si>
  <si>
    <t>城商行</t>
  </si>
  <si>
    <t>农商行</t>
  </si>
  <si>
    <t>证券</t>
  </si>
  <si>
    <t>保险</t>
  </si>
  <si>
    <t>房地产开发</t>
  </si>
  <si>
    <t>房地产服务</t>
  </si>
  <si>
    <t>电力</t>
  </si>
  <si>
    <t>燃气</t>
  </si>
  <si>
    <t>物流</t>
  </si>
  <si>
    <t>铁路公路</t>
  </si>
  <si>
    <t>航空机场</t>
  </si>
  <si>
    <t>航运港口</t>
  </si>
  <si>
    <t>简称</t>
    <phoneticPr fontId="11" type="noConversion"/>
  </si>
  <si>
    <t>一级/二级行业</t>
    <phoneticPr fontId="11" type="noConversion"/>
  </si>
  <si>
    <t>当前景气度</t>
    <phoneticPr fontId="11" type="noConversion"/>
  </si>
  <si>
    <t>3M变化</t>
    <phoneticPr fontId="11" type="noConversion"/>
  </si>
  <si>
    <t>3M变化（处理后）</t>
    <phoneticPr fontId="11" type="noConversion"/>
  </si>
  <si>
    <t>石化</t>
    <phoneticPr fontId="11" type="noConversion"/>
  </si>
  <si>
    <t>工业金属</t>
    <phoneticPr fontId="11" type="noConversion"/>
  </si>
  <si>
    <t>贵金属</t>
    <phoneticPr fontId="11" type="noConversion"/>
  </si>
  <si>
    <t>小金属</t>
    <phoneticPr fontId="11" type="noConversion"/>
  </si>
  <si>
    <t>能源金属</t>
    <phoneticPr fontId="11" type="noConversion"/>
  </si>
  <si>
    <t>基化</t>
    <phoneticPr fontId="11" type="noConversion"/>
  </si>
  <si>
    <t>农业</t>
    <phoneticPr fontId="11" type="noConversion"/>
  </si>
  <si>
    <t>纺服</t>
    <phoneticPr fontId="11" type="noConversion"/>
  </si>
  <si>
    <t>家电</t>
    <phoneticPr fontId="11" type="noConversion"/>
  </si>
  <si>
    <t>商贸</t>
    <phoneticPr fontId="11" type="noConversion"/>
  </si>
  <si>
    <t>社服</t>
    <phoneticPr fontId="11" type="noConversion"/>
  </si>
  <si>
    <t>医美</t>
    <phoneticPr fontId="11" type="noConversion"/>
  </si>
  <si>
    <t>消费建材</t>
    <phoneticPr fontId="11" type="noConversion"/>
  </si>
  <si>
    <t>装修建材</t>
    <phoneticPr fontId="11" type="noConversion"/>
  </si>
  <si>
    <t>水泥</t>
    <phoneticPr fontId="11" type="noConversion"/>
  </si>
  <si>
    <t>玻璃</t>
    <phoneticPr fontId="11" type="noConversion"/>
  </si>
  <si>
    <t>玻璃玻纤</t>
    <phoneticPr fontId="11" type="noConversion"/>
  </si>
  <si>
    <t>院线</t>
    <phoneticPr fontId="11" type="noConversion"/>
  </si>
  <si>
    <t>影视院线</t>
    <phoneticPr fontId="11" type="noConversion"/>
  </si>
  <si>
    <t>地产</t>
    <phoneticPr fontId="11" type="noConversion"/>
  </si>
  <si>
    <t>环保</t>
    <phoneticPr fontId="11" type="noConversion"/>
  </si>
  <si>
    <t>建筑</t>
    <phoneticPr fontId="11" type="noConversion"/>
  </si>
  <si>
    <t>保险</t>
    <phoneticPr fontId="11" type="noConversion"/>
  </si>
  <si>
    <t>电商</t>
    <phoneticPr fontId="11" type="noConversion"/>
  </si>
  <si>
    <t>互联网电商</t>
    <phoneticPr fontId="11" type="noConversion"/>
  </si>
  <si>
    <t>游戏</t>
    <phoneticPr fontId="11" type="noConversion"/>
  </si>
  <si>
    <t>通用设备</t>
    <phoneticPr fontId="11" type="noConversion"/>
  </si>
  <si>
    <t>工程机械</t>
    <phoneticPr fontId="11" type="noConversion"/>
  </si>
  <si>
    <t>自动化</t>
    <phoneticPr fontId="11" type="noConversion"/>
  </si>
  <si>
    <t>自动化设备</t>
    <phoneticPr fontId="11" type="noConversion"/>
  </si>
  <si>
    <t>通信服务</t>
    <phoneticPr fontId="11" type="noConversion"/>
  </si>
  <si>
    <t>通信设备</t>
    <phoneticPr fontId="11" type="noConversion"/>
  </si>
  <si>
    <t>航海装备</t>
    <phoneticPr fontId="11" type="noConversion"/>
  </si>
  <si>
    <t>航空装备</t>
    <phoneticPr fontId="11" type="noConversion"/>
  </si>
  <si>
    <t>军工电子</t>
    <phoneticPr fontId="11" type="noConversion"/>
  </si>
  <si>
    <t>光电</t>
    <phoneticPr fontId="11" type="noConversion"/>
  </si>
  <si>
    <t>消电</t>
    <phoneticPr fontId="11" type="noConversion"/>
  </si>
  <si>
    <t>光伏</t>
    <phoneticPr fontId="11" type="noConversion"/>
  </si>
  <si>
    <t>风电</t>
    <phoneticPr fontId="11" type="noConversion"/>
  </si>
  <si>
    <t>白酒</t>
    <phoneticPr fontId="11" type="noConversion"/>
  </si>
  <si>
    <t>啤酒</t>
    <phoneticPr fontId="11" type="noConversion"/>
  </si>
  <si>
    <t>非白酒</t>
    <phoneticPr fontId="11" type="noConversion"/>
  </si>
  <si>
    <t>调味品</t>
    <phoneticPr fontId="11" type="noConversion"/>
  </si>
  <si>
    <t>调味发酵品</t>
    <phoneticPr fontId="11" type="noConversion"/>
  </si>
  <si>
    <t>饮料乳品</t>
    <phoneticPr fontId="11" type="noConversion"/>
  </si>
  <si>
    <t>食品</t>
    <phoneticPr fontId="11" type="noConversion"/>
  </si>
  <si>
    <t>休闲食品</t>
    <phoneticPr fontId="11" type="noConversion"/>
  </si>
  <si>
    <t>化药</t>
    <phoneticPr fontId="11" type="noConversion"/>
  </si>
  <si>
    <t>造纸</t>
    <phoneticPr fontId="11" type="noConversion"/>
  </si>
  <si>
    <t>家居</t>
    <phoneticPr fontId="11" type="noConversion"/>
  </si>
  <si>
    <t>家居用品</t>
    <phoneticPr fontId="11" type="noConversion"/>
  </si>
  <si>
    <t>简称</t>
  </si>
  <si>
    <t>一级/二级行业</t>
  </si>
  <si>
    <t>估值分位数</t>
  </si>
  <si>
    <t>公募配置系数分位数</t>
  </si>
  <si>
    <t>北向配置系数分位数</t>
  </si>
  <si>
    <t>10.31至今涨跌幅</t>
  </si>
  <si>
    <t>景气度变化</t>
  </si>
  <si>
    <t>当前景气度</t>
  </si>
  <si>
    <t>石化</t>
  </si>
  <si>
    <t>有色</t>
  </si>
  <si>
    <t>基化</t>
  </si>
  <si>
    <t>建材</t>
  </si>
  <si>
    <t>电新</t>
  </si>
  <si>
    <t>军工</t>
  </si>
  <si>
    <t>机械</t>
  </si>
  <si>
    <t>食饮</t>
  </si>
  <si>
    <t>医药</t>
  </si>
  <si>
    <t>农业</t>
  </si>
  <si>
    <t>商贸</t>
  </si>
  <si>
    <t>社服</t>
  </si>
  <si>
    <t>家电</t>
  </si>
  <si>
    <t>医美</t>
  </si>
  <si>
    <t>纺服</t>
  </si>
  <si>
    <t>轻工</t>
  </si>
  <si>
    <t>地产</t>
  </si>
  <si>
    <t>非银</t>
  </si>
  <si>
    <t>公用</t>
  </si>
  <si>
    <t>交运</t>
  </si>
  <si>
    <t>建筑</t>
  </si>
  <si>
    <t>环保</t>
  </si>
  <si>
    <t xml:space="preserve"> </t>
    <phoneticPr fontId="4" type="noConversion"/>
  </si>
  <si>
    <t>2022.10.31至今涨跌幅</t>
    <phoneticPr fontId="4" type="noConversion"/>
  </si>
  <si>
    <t>化纤</t>
  </si>
  <si>
    <t>农化</t>
  </si>
  <si>
    <t>玻璃</t>
  </si>
  <si>
    <t>通用</t>
  </si>
  <si>
    <t>自动化</t>
  </si>
  <si>
    <t>光伏</t>
  </si>
  <si>
    <t>风电</t>
  </si>
  <si>
    <t>电网</t>
  </si>
  <si>
    <t>软件</t>
  </si>
  <si>
    <t>光电</t>
  </si>
  <si>
    <t>消电</t>
  </si>
  <si>
    <t>港股电商</t>
  </si>
  <si>
    <t>港股游戏</t>
  </si>
  <si>
    <t>食品</t>
  </si>
  <si>
    <t>化药</t>
  </si>
  <si>
    <t>大类板块</t>
  </si>
  <si>
    <t>22年10月至今</t>
    <phoneticPr fontId="4" type="noConversion"/>
  </si>
  <si>
    <t>3M chg</t>
  </si>
  <si>
    <t>上游资源</t>
  </si>
  <si>
    <t>中游材料</t>
  </si>
  <si>
    <t>中游制造</t>
  </si>
  <si>
    <t>必选消费</t>
  </si>
  <si>
    <t>可选消费</t>
  </si>
  <si>
    <t>TMT</t>
  </si>
  <si>
    <t>大金融</t>
  </si>
  <si>
    <t>公共产业</t>
  </si>
  <si>
    <t>全行业</t>
  </si>
  <si>
    <t>全部非金融行业</t>
  </si>
  <si>
    <t>10月至今</t>
  </si>
  <si>
    <t>标准差</t>
  </si>
  <si>
    <t>权重</t>
  </si>
  <si>
    <t>Pct-chg</t>
  </si>
  <si>
    <t>通用设备</t>
    <phoneticPr fontId="4" type="noConversion"/>
  </si>
  <si>
    <t>基础建设</t>
  </si>
  <si>
    <t>房屋建设</t>
  </si>
  <si>
    <t>光伏辅材</t>
  </si>
  <si>
    <t>光伏电池组件</t>
  </si>
  <si>
    <t>逆变器</t>
  </si>
  <si>
    <t>安防设备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</si>
</sst>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yyyy\-mm"/>
    <numFmt numFmtId="177" formatCode="0.0%"/>
    <numFmt numFmtId="178" formatCode=";;;"/>
    <numFmt numFmtId="179" formatCode="0.0"/>
    <numFmt numFmtId="180" formatCode="0.0_ "/>
    <numFmt numFmtId="181" formatCode="[$-409]mmm\-yy;@"/>
    <numFmt numFmtId="182" formatCode="0.0_);[Red]\(0.0\)"/>
  </numFmts>
  <fonts count="16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楷体"/>
      <family val="3"/>
      <charset val="134"/>
    </font>
    <font>
      <b/>
      <sz val="10"/>
      <color theme="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i/>
      <sz val="10"/>
      <color theme="0" tint="-0.249977111117893"/>
      <name val="等线"/>
      <family val="3"/>
      <charset val="134"/>
      <scheme val="minor"/>
    </font>
    <font>
      <i/>
      <sz val="11"/>
      <color theme="0" tint="-0.249977111117893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i/>
      <sz val="10"/>
      <color theme="1"/>
      <name val="等线"/>
      <family val="3"/>
      <charset val="134"/>
      <scheme val="minor"/>
    </font>
    <font>
      <i/>
      <sz val="10"/>
      <color rgb="FFFF0000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  <font>
      <sz val="10"/>
      <color theme="1" tint="0.499984740745262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77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EBF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Border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 applyBorder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6" fillId="2" borderId="0" xfId="2" applyFont="1" applyFill="1" applyAlignment="1">
      <alignment horizontal="center" vertical="center"/>
    </xf>
    <xf numFmtId="176" fontId="7" fillId="3" borderId="0" xfId="2" applyNumberFormat="1" applyFont="1" applyFill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9" fontId="8" fillId="0" borderId="0" xfId="1" applyFont="1" applyAlignment="1">
      <alignment horizontal="center" vertical="center"/>
    </xf>
    <xf numFmtId="177" fontId="9" fillId="0" borderId="0" xfId="2" applyNumberFormat="1" applyFont="1" applyAlignment="1">
      <alignment horizontal="center" vertical="center"/>
    </xf>
    <xf numFmtId="178" fontId="10" fillId="0" borderId="0" xfId="2" applyNumberFormat="1" applyFont="1" applyAlignment="1">
      <alignment horizontal="center" vertical="center"/>
    </xf>
    <xf numFmtId="9" fontId="2" fillId="0" borderId="0" xfId="0" applyNumberFormat="1" applyFont="1">
      <alignment vertical="center"/>
    </xf>
    <xf numFmtId="177" fontId="9" fillId="0" borderId="0" xfId="2" applyNumberFormat="1" applyFont="1" applyAlignment="1">
      <alignment horizontal="left" vertical="center"/>
    </xf>
    <xf numFmtId="178" fontId="10" fillId="0" borderId="0" xfId="2" applyNumberFormat="1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4" borderId="0" xfId="2" applyFont="1" applyFill="1" applyAlignment="1">
      <alignment horizontal="center" vertical="center"/>
    </xf>
    <xf numFmtId="176" fontId="7" fillId="4" borderId="0" xfId="2" applyNumberFormat="1" applyFont="1" applyFill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0" fontId="7" fillId="5" borderId="0" xfId="3" applyFont="1" applyFill="1">
      <alignment vertical="center"/>
    </xf>
    <xf numFmtId="0" fontId="8" fillId="0" borderId="0" xfId="3" applyFont="1">
      <alignment vertical="center"/>
    </xf>
    <xf numFmtId="0" fontId="6" fillId="2" borderId="1" xfId="3" applyFont="1" applyFill="1" applyBorder="1">
      <alignment vertical="center"/>
    </xf>
    <xf numFmtId="0" fontId="6" fillId="2" borderId="1" xfId="3" applyFont="1" applyFill="1" applyBorder="1" applyAlignment="1">
      <alignment horizontal="right" vertical="center"/>
    </xf>
    <xf numFmtId="0" fontId="7" fillId="0" borderId="0" xfId="3" applyFont="1">
      <alignment vertical="center"/>
    </xf>
    <xf numFmtId="0" fontId="8" fillId="5" borderId="0" xfId="3" applyFont="1" applyFill="1">
      <alignment vertical="center"/>
    </xf>
    <xf numFmtId="0" fontId="7" fillId="6" borderId="1" xfId="3" applyFont="1" applyFill="1" applyBorder="1">
      <alignment vertical="center"/>
    </xf>
    <xf numFmtId="0" fontId="7" fillId="0" borderId="1" xfId="3" applyFont="1" applyBorder="1">
      <alignment vertical="center"/>
    </xf>
    <xf numFmtId="177" fontId="12" fillId="0" borderId="1" xfId="4" applyNumberFormat="1" applyFont="1" applyBorder="1" applyAlignment="1">
      <alignment horizontal="right" vertical="center"/>
    </xf>
    <xf numFmtId="179" fontId="12" fillId="0" borderId="1" xfId="3" applyNumberFormat="1" applyFont="1" applyBorder="1" applyAlignment="1">
      <alignment horizontal="right" vertical="center"/>
    </xf>
    <xf numFmtId="179" fontId="13" fillId="0" borderId="1" xfId="3" applyNumberFormat="1" applyFont="1" applyBorder="1" applyAlignment="1">
      <alignment horizontal="right" vertical="center"/>
    </xf>
    <xf numFmtId="0" fontId="8" fillId="0" borderId="0" xfId="3" applyFont="1" applyAlignment="1">
      <alignment horizontal="righ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right" vertical="center"/>
    </xf>
    <xf numFmtId="0" fontId="8" fillId="0" borderId="0" xfId="0" applyFont="1">
      <alignment vertical="center"/>
    </xf>
    <xf numFmtId="0" fontId="7" fillId="6" borderId="1" xfId="0" applyFont="1" applyFill="1" applyBorder="1">
      <alignment vertical="center"/>
    </xf>
    <xf numFmtId="180" fontId="12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5" borderId="0" xfId="0" applyFont="1" applyFill="1">
      <alignment vertical="center"/>
    </xf>
    <xf numFmtId="0" fontId="6" fillId="0" borderId="0" xfId="0" applyFont="1">
      <alignment vertical="center"/>
    </xf>
    <xf numFmtId="0" fontId="6" fillId="2" borderId="2" xfId="0" applyFont="1" applyFill="1" applyBorder="1" applyAlignment="1">
      <alignment horizontal="right" vertical="center"/>
    </xf>
    <xf numFmtId="180" fontId="12" fillId="0" borderId="2" xfId="0" applyNumberFormat="1" applyFont="1" applyBorder="1" applyAlignment="1">
      <alignment horizontal="right" vertical="center"/>
    </xf>
    <xf numFmtId="0" fontId="8" fillId="5" borderId="0" xfId="0" applyFont="1" applyFill="1" applyAlignment="1">
      <alignment horizontal="center" vertical="center"/>
    </xf>
    <xf numFmtId="181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81" fontId="6" fillId="2" borderId="0" xfId="0" applyNumberFormat="1" applyFont="1" applyFill="1" applyAlignment="1">
      <alignment horizontal="center" vertical="center"/>
    </xf>
    <xf numFmtId="0" fontId="14" fillId="2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182" fontId="8" fillId="0" borderId="0" xfId="0" applyNumberFormat="1" applyFont="1" applyAlignment="1">
      <alignment horizontal="center" vertical="center"/>
    </xf>
    <xf numFmtId="177" fontId="8" fillId="0" borderId="0" xfId="1" applyNumberFormat="1" applyFont="1" applyFill="1" applyAlignment="1">
      <alignment horizontal="center" vertical="center"/>
    </xf>
    <xf numFmtId="182" fontId="8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7" fillId="3" borderId="0" xfId="2" applyFont="1" applyFill="1" applyAlignment="1">
      <alignment horizontal="center" vertical="center"/>
    </xf>
    <xf numFmtId="0" fontId="7" fillId="4" borderId="0" xfId="2" applyFont="1" applyFill="1" applyAlignment="1">
      <alignment horizontal="center" vertical="center"/>
    </xf>
  </cellXfs>
  <cellStyles count="5">
    <cellStyle name="百分比" xfId="1" builtinId="5"/>
    <cellStyle name="百分比 2" xfId="4" xr:uid="{5868CA8B-5F1C-4856-8DE3-2BAEC3C4A476}"/>
    <cellStyle name="常规" xfId="0" builtinId="0"/>
    <cellStyle name="常规 2" xfId="2" xr:uid="{49082CA6-8F36-41DC-B198-392A63476959}"/>
    <cellStyle name="常规 3" xfId="3" xr:uid="{1449E72A-A424-47C0-BC9D-F033ECDC0C5C}"/>
  </cellStyles>
  <dxfs count="0"/>
  <tableStyles count="1" defaultTableStyle="TableStyleMedium2" defaultPivotStyle="PivotStyleLight16">
    <tableStyle name="Invisible" pivot="0" table="0" count="0" xr9:uid="{24DA6F35-D687-4639-9D1E-9C7C46F18A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005426983443866"/>
          <c:y val="4.1088893493576452E-2"/>
          <c:w val="0.8250136408547285"/>
          <c:h val="0.8703508081226688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5DAA4A03-99E0-4144-A44B-85B8E32AE55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2CB-4D88-A905-E4868D5D1B1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432035-F925-49F7-BB5F-DD655AC548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2CB-4D88-A905-E4868D5D1B1F}"/>
                </c:ext>
              </c:extLst>
            </c:dLbl>
            <c:dLbl>
              <c:idx val="2"/>
              <c:layout>
                <c:manualLayout>
                  <c:x val="-2.8146258503401359E-2"/>
                  <c:y val="-1.0833402403647009E-2"/>
                </c:manualLayout>
              </c:layout>
              <c:tx>
                <c:rich>
                  <a:bodyPr/>
                  <a:lstStyle/>
                  <a:p>
                    <a:fld id="{F32AAFF6-B0B5-48B7-A7BB-6112117B006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2CB-4D88-A905-E4868D5D1B1F}"/>
                </c:ext>
              </c:extLst>
            </c:dLbl>
            <c:dLbl>
              <c:idx val="3"/>
              <c:layout>
                <c:manualLayout>
                  <c:x val="-5.9587685467887945E-2"/>
                  <c:y val="-4.918342467484585E-17"/>
                </c:manualLayout>
              </c:layout>
              <c:tx>
                <c:rich>
                  <a:bodyPr/>
                  <a:lstStyle/>
                  <a:p>
                    <a:fld id="{A708FF88-7A95-4ED0-BEAF-935266D5E0A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2CB-4D88-A905-E4868D5D1B1F}"/>
                </c:ext>
              </c:extLst>
            </c:dLbl>
            <c:dLbl>
              <c:idx val="4"/>
              <c:layout>
                <c:manualLayout>
                  <c:x val="-3.7478841930472913E-2"/>
                  <c:y val="0"/>
                </c:manualLayout>
              </c:layout>
              <c:tx>
                <c:rich>
                  <a:bodyPr/>
                  <a:lstStyle/>
                  <a:p>
                    <a:fld id="{DAB7FC25-F65D-41C9-AB15-16538F3E3C1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2CB-4D88-A905-E4868D5D1B1F}"/>
                </c:ext>
              </c:extLst>
            </c:dLbl>
            <c:dLbl>
              <c:idx val="5"/>
              <c:layout>
                <c:manualLayout>
                  <c:x val="-3.8350340136054421E-2"/>
                  <c:y val="1.6096579476861168E-2"/>
                </c:manualLayout>
              </c:layout>
              <c:tx>
                <c:rich>
                  <a:bodyPr/>
                  <a:lstStyle/>
                  <a:p>
                    <a:fld id="{85AB3DF6-3FE5-445C-ACA3-750E25B4FF5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2CB-4D88-A905-E4868D5D1B1F}"/>
                </c:ext>
              </c:extLst>
            </c:dLbl>
            <c:dLbl>
              <c:idx val="6"/>
              <c:layout>
                <c:manualLayout>
                  <c:x val="-2.4702447908297238E-2"/>
                  <c:y val="2.1308533616396445E-2"/>
                </c:manualLayout>
              </c:layout>
              <c:tx>
                <c:rich>
                  <a:bodyPr/>
                  <a:lstStyle/>
                  <a:p>
                    <a:fld id="{532B4001-3E81-416B-A9B7-35103D64280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2CB-4D88-A905-E4868D5D1B1F}"/>
                </c:ext>
              </c:extLst>
            </c:dLbl>
            <c:dLbl>
              <c:idx val="7"/>
              <c:layout>
                <c:manualLayout>
                  <c:x val="-4.1709250629385609E-2"/>
                  <c:y val="-9.83668493496917E-17"/>
                </c:manualLayout>
              </c:layout>
              <c:tx>
                <c:rich>
                  <a:bodyPr/>
                  <a:lstStyle/>
                  <a:p>
                    <a:fld id="{470FF937-9653-4161-A620-6BCFFBDF8AD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2CB-4D88-A905-E4868D5D1B1F}"/>
                </c:ext>
              </c:extLst>
            </c:dLbl>
            <c:dLbl>
              <c:idx val="8"/>
              <c:layout>
                <c:manualLayout>
                  <c:x val="-3.660720981305908E-2"/>
                  <c:y val="-5.3655264922870555E-3"/>
                </c:manualLayout>
              </c:layout>
              <c:tx>
                <c:rich>
                  <a:bodyPr/>
                  <a:lstStyle/>
                  <a:p>
                    <a:fld id="{3EF9946B-77CC-430D-97E1-1171F1DBE79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2CB-4D88-A905-E4868D5D1B1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FCEC7D3-9216-41EA-A40F-10FBED46A34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2CB-4D88-A905-E4868D5D1B1F}"/>
                </c:ext>
              </c:extLst>
            </c:dLbl>
            <c:dLbl>
              <c:idx val="10"/>
              <c:layout>
                <c:manualLayout>
                  <c:x val="-4.0008570357276896E-2"/>
                  <c:y val="2.6827632461435278E-3"/>
                </c:manualLayout>
              </c:layout>
              <c:tx>
                <c:rich>
                  <a:bodyPr/>
                  <a:lstStyle/>
                  <a:p>
                    <a:fld id="{6DD24CF1-D417-466E-91EE-E5F0DD994C8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2CB-4D88-A905-E4868D5D1B1F}"/>
                </c:ext>
              </c:extLst>
            </c:dLbl>
            <c:dLbl>
              <c:idx val="11"/>
              <c:layout>
                <c:manualLayout>
                  <c:x val="-1.7899726819861805E-2"/>
                  <c:y val="8.0482897384305339E-3"/>
                </c:manualLayout>
              </c:layout>
              <c:tx>
                <c:rich>
                  <a:bodyPr/>
                  <a:lstStyle/>
                  <a:p>
                    <a:fld id="{889C6D51-2FC7-4F8E-B006-5BCA62CB250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2CB-4D88-A905-E4868D5D1B1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1FC95C9-13A0-4854-B788-935B43EFB74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2CB-4D88-A905-E4868D5D1B1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CF2101A-714F-4513-870A-BACBA15E631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2CB-4D88-A905-E4868D5D1B1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2E2EE90-E57A-4472-9C90-DB6939FE7E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2CB-4D88-A905-E4868D5D1B1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1F44F54-C33D-46F5-8B4E-5AC51191D0C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2CB-4D88-A905-E4868D5D1B1F}"/>
                </c:ext>
              </c:extLst>
            </c:dLbl>
            <c:dLbl>
              <c:idx val="16"/>
              <c:layout>
                <c:manualLayout>
                  <c:x val="-4.855442176870748E-2"/>
                  <c:y val="-1.8779342723004695E-2"/>
                </c:manualLayout>
              </c:layout>
              <c:tx>
                <c:rich>
                  <a:bodyPr/>
                  <a:lstStyle/>
                  <a:p>
                    <a:fld id="{00AC2CF6-BCFF-4714-9A29-DFAE7A10BE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62CB-4D88-A905-E4868D5D1B1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13D5EAD-76CA-443F-B997-A37A8434FD3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2CB-4D88-A905-E4868D5D1B1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E7E8AC3-A1BA-4E2E-8F05-64D39C7FFB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2CB-4D88-A905-E4868D5D1B1F}"/>
                </c:ext>
              </c:extLst>
            </c:dLbl>
            <c:dLbl>
              <c:idx val="19"/>
              <c:layout>
                <c:manualLayout>
                  <c:x val="-2.9804488724623709E-2"/>
                  <c:y val="1.0731052984574111E-2"/>
                </c:manualLayout>
              </c:layout>
              <c:tx>
                <c:rich>
                  <a:bodyPr/>
                  <a:lstStyle/>
                  <a:p>
                    <a:fld id="{68798044-48E4-4215-9D31-9AEC91D54ED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62CB-4D88-A905-E4868D5D1B1F}"/>
                </c:ext>
              </c:extLst>
            </c:dLbl>
            <c:dLbl>
              <c:idx val="20"/>
              <c:layout>
                <c:manualLayout>
                  <c:x val="-1.9600407091970647E-2"/>
                  <c:y val="-1.6096579476861266E-2"/>
                </c:manualLayout>
              </c:layout>
              <c:tx>
                <c:rich>
                  <a:bodyPr/>
                  <a:lstStyle/>
                  <a:p>
                    <a:fld id="{F62277DF-753D-4EA8-ADA7-F3A268856EF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62CB-4D88-A905-E4868D5D1B1F}"/>
                </c:ext>
              </c:extLst>
            </c:dLbl>
            <c:dLbl>
              <c:idx val="21"/>
              <c:layout>
                <c:manualLayout>
                  <c:x val="-2.1301087364079551E-2"/>
                  <c:y val="1.0731052984574012E-2"/>
                </c:manualLayout>
              </c:layout>
              <c:tx>
                <c:rich>
                  <a:bodyPr/>
                  <a:lstStyle/>
                  <a:p>
                    <a:fld id="{E3529CE9-DE38-4D55-BD1E-B5ADD162DD8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62CB-4D88-A905-E4868D5D1B1F}"/>
                </c:ext>
              </c:extLst>
            </c:dLbl>
            <c:dLbl>
              <c:idx val="22"/>
              <c:layout>
                <c:manualLayout>
                  <c:x val="-4.5153061224489796E-2"/>
                  <c:y val="1.6096579476861168E-2"/>
                </c:manualLayout>
              </c:layout>
              <c:tx>
                <c:rich>
                  <a:bodyPr/>
                  <a:lstStyle/>
                  <a:p>
                    <a:fld id="{6E3E9836-BF66-446F-B854-3A3A2BCD099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62CB-4D88-A905-E4868D5D1B1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C073242-351A-4479-A510-2D9D5EC21AE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2CB-4D88-A905-E4868D5D1B1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6A83EC2-4574-4579-8D2A-94155BD36B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2CB-4D88-A905-E4868D5D1B1F}"/>
                </c:ext>
              </c:extLst>
            </c:dLbl>
            <c:dLbl>
              <c:idx val="25"/>
              <c:layout>
                <c:manualLayout>
                  <c:x val="-1.6199046547752959E-2"/>
                  <c:y val="2.6827632461434788E-3"/>
                </c:manualLayout>
              </c:layout>
              <c:tx>
                <c:rich>
                  <a:bodyPr/>
                  <a:lstStyle/>
                  <a:p>
                    <a:fld id="{7FE2E46E-8565-499C-BBB9-D2614437F45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62CB-4D88-A905-E4868D5D1B1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4D203C0-6452-45E0-91F2-7F55FD7D3F7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2CB-4D88-A905-E4868D5D1B1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E0790063-4A74-486E-91D7-B701C3FBBF2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2CB-4D88-A905-E4868D5D1B1F}"/>
                </c:ext>
              </c:extLst>
            </c:dLbl>
            <c:dLbl>
              <c:idx val="28"/>
              <c:layout>
                <c:manualLayout>
                  <c:x val="-1.7310514757083936E-2"/>
                  <c:y val="-2.4144869215291801E-2"/>
                </c:manualLayout>
              </c:layout>
              <c:tx>
                <c:rich>
                  <a:bodyPr/>
                  <a:lstStyle/>
                  <a:p>
                    <a:fld id="{39B35154-C638-4EB8-9160-268AD469DA9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62CB-4D88-A905-E4868D5D1B1F}"/>
                </c:ext>
              </c:extLst>
            </c:dLbl>
            <c:dLbl>
              <c:idx val="29"/>
              <c:layout>
                <c:manualLayout>
                  <c:x val="-3.1547619047619047E-2"/>
                  <c:y val="-5.2631578947369383E-3"/>
                </c:manualLayout>
              </c:layout>
              <c:tx>
                <c:rich>
                  <a:bodyPr/>
                  <a:lstStyle/>
                  <a:p>
                    <a:fld id="{1DA54D8B-E09B-45B4-A9B0-91C18F56B69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62CB-4D88-A905-E4868D5D1B1F}"/>
                </c:ext>
              </c:extLst>
            </c:dLbl>
            <c:dLbl>
              <c:idx val="30"/>
              <c:layout>
                <c:manualLayout>
                  <c:x val="-2.0472039209384542E-2"/>
                  <c:y val="-9.83668493496917E-17"/>
                </c:manualLayout>
              </c:layout>
              <c:tx>
                <c:rich>
                  <a:bodyPr/>
                  <a:lstStyle/>
                  <a:p>
                    <a:fld id="{95E8CB83-E1ED-4A07-9F7E-93C0E046E01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62CB-4D88-A905-E4868D5D1B1F}"/>
                </c:ext>
              </c:extLst>
            </c:dLbl>
            <c:dLbl>
              <c:idx val="31"/>
              <c:layout>
                <c:manualLayout>
                  <c:x val="-3.8350340136054421E-2"/>
                  <c:y val="8.0482897384306813E-3"/>
                </c:manualLayout>
              </c:layout>
              <c:tx>
                <c:rich>
                  <a:bodyPr/>
                  <a:lstStyle/>
                  <a:p>
                    <a:fld id="{F9724D73-3D5C-41E3-81CD-BCA641189E9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62CB-4D88-A905-E4868D5D1B1F}"/>
                </c:ext>
              </c:extLst>
            </c:dLbl>
            <c:dLbl>
              <c:idx val="32"/>
              <c:layout>
                <c:manualLayout>
                  <c:x val="-4.5153061224489671E-2"/>
                  <c:y val="-2.6827632461435772E-3"/>
                </c:manualLayout>
              </c:layout>
              <c:tx>
                <c:rich>
                  <a:bodyPr/>
                  <a:lstStyle/>
                  <a:p>
                    <a:fld id="{884D4BDB-D6B8-4A84-82EB-E8D715980BE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62CB-4D88-A905-E4868D5D1B1F}"/>
                </c:ext>
              </c:extLst>
            </c:dLbl>
            <c:dLbl>
              <c:idx val="33"/>
              <c:layout>
                <c:manualLayout>
                  <c:x val="-4.8554421768707542E-2"/>
                  <c:y val="1.4755197853789403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700" b="1" i="0">
                        <a:solidFill>
                          <a:srgbClr val="003778"/>
                        </a:solidFill>
                      </a:defRPr>
                    </a:pPr>
                    <a:fld id="{142277D7-B795-4084-A653-DF0B3CED1BED}" type="CELLRANGE">
                      <a:rPr lang="en-US" altLang="zh-CN"/>
                      <a:pPr>
                        <a:defRPr sz="700" b="1" i="0">
                          <a:solidFill>
                            <a:srgbClr val="003778"/>
                          </a:solidFill>
                        </a:defRPr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rgbClr val="BFEBFB">
                    <a:alpha val="70000"/>
                  </a:srgbClr>
                </a:solidFill>
                <a:ln w="6350">
                  <a:solidFill>
                    <a:sysClr val="windowText" lastClr="000000"/>
                  </a:solidFill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993197278911571E-2"/>
                      <c:h val="3.514419852448021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62CB-4D88-A905-E4868D5D1B1F}"/>
                </c:ext>
              </c:extLst>
            </c:dLbl>
            <c:dLbl>
              <c:idx val="34"/>
              <c:layout>
                <c:manualLayout>
                  <c:x val="-3.8350340136054484E-2"/>
                  <c:y val="-1.8779342723004792E-2"/>
                </c:manualLayout>
              </c:layout>
              <c:tx>
                <c:rich>
                  <a:bodyPr/>
                  <a:lstStyle/>
                  <a:p>
                    <a:fld id="{AA92B7B8-1BD2-4915-A4E2-FF6E6D9F442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62CB-4D88-A905-E4868D5D1B1F}"/>
                </c:ext>
              </c:extLst>
            </c:dLbl>
            <c:dLbl>
              <c:idx val="35"/>
              <c:layout>
                <c:manualLayout>
                  <c:x val="-4.5153061224489796E-2"/>
                  <c:y val="1.341381623071764E-2"/>
                </c:manualLayout>
              </c:layout>
              <c:tx>
                <c:rich>
                  <a:bodyPr/>
                  <a:lstStyle/>
                  <a:p>
                    <a:fld id="{F14D9A22-9E8D-4F02-BA20-DDD02D35BC3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62CB-4D88-A905-E4868D5D1B1F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034DF21B-5452-42A8-B954-37C93B1DADB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2CB-4D88-A905-E4868D5D1B1F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C6241613-7661-44A9-A3EA-9CB1CD1146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62CB-4D88-A905-E4868D5D1B1F}"/>
                </c:ext>
              </c:extLst>
            </c:dLbl>
            <c:dLbl>
              <c:idx val="38"/>
              <c:layout>
                <c:manualLayout>
                  <c:x val="-4.3452380952380888E-2"/>
                  <c:y val="-5.3655264922870555E-3"/>
                </c:manualLayout>
              </c:layout>
              <c:tx>
                <c:rich>
                  <a:bodyPr/>
                  <a:lstStyle/>
                  <a:p>
                    <a:fld id="{129F59D2-D612-461F-B27A-86D6A2A8F18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62CB-4D88-A905-E4868D5D1B1F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B4ADB56B-CC9B-4A6E-AFFC-464B2D0A12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62CB-4D88-A905-E4868D5D1B1F}"/>
                </c:ext>
              </c:extLst>
            </c:dLbl>
            <c:dLbl>
              <c:idx val="40"/>
              <c:layout>
                <c:manualLayout>
                  <c:x val="-4.7682923563126166E-2"/>
                  <c:y val="-2.6827632461435278E-3"/>
                </c:manualLayout>
              </c:layout>
              <c:tx>
                <c:rich>
                  <a:bodyPr/>
                  <a:lstStyle/>
                  <a:p>
                    <a:fld id="{C550D4E9-8BE4-4961-9936-9C1365C2538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62CB-4D88-A905-E4868D5D1B1F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5547163C-7028-46A4-97F3-E475BC1AB7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62CB-4D88-A905-E4868D5D1B1F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45B2DA11-BE32-4999-874B-1306D373B77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62CB-4D88-A905-E4868D5D1B1F}"/>
                </c:ext>
              </c:extLst>
            </c:dLbl>
            <c:dLbl>
              <c:idx val="43"/>
              <c:layout>
                <c:manualLayout>
                  <c:x val="-4.51106111736033E-2"/>
                  <c:y val="1.6096579476861168E-2"/>
                </c:manualLayout>
              </c:layout>
              <c:tx>
                <c:rich>
                  <a:bodyPr/>
                  <a:lstStyle/>
                  <a:p>
                    <a:fld id="{FD311349-43E5-4FEF-801B-9256480D792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62CB-4D88-A905-E4868D5D1B1F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A57B1C96-0963-4515-A778-0F357FAF222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62CB-4D88-A905-E4868D5D1B1F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FF94E1C6-EDE6-4BBC-94C0-637BCEA6CA4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62CB-4D88-A905-E4868D5D1B1F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6E127FF5-A6C9-4A3D-9F41-0390A71F95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62CB-4D88-A905-E4868D5D1B1F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ABBFA75F-21B0-48CA-9963-6E3671AF906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62CB-4D88-A905-E4868D5D1B1F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36A59904-0B84-452D-B0F6-EA39EB245D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62CB-4D88-A905-E4868D5D1B1F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C3F5CFBF-6ECF-4B7A-A8D0-4D5F126E895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62CB-4D88-A905-E4868D5D1B1F}"/>
                </c:ext>
              </c:extLst>
            </c:dLbl>
            <c:dLbl>
              <c:idx val="50"/>
              <c:layout>
                <c:manualLayout>
                  <c:x val="-1.6241496598639455E-2"/>
                  <c:y val="1.0731052984574111E-2"/>
                </c:manualLayout>
              </c:layout>
              <c:tx>
                <c:rich>
                  <a:bodyPr/>
                  <a:lstStyle/>
                  <a:p>
                    <a:fld id="{9CA5EA01-DC10-4A53-9FB1-7FC208F520B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62CB-4D88-A905-E4868D5D1B1F}"/>
                </c:ext>
              </c:extLst>
            </c:dLbl>
            <c:dLbl>
              <c:idx val="51"/>
              <c:layout>
                <c:manualLayout>
                  <c:x val="-2.8103808452514926E-2"/>
                  <c:y val="2.6827632461434293E-3"/>
                </c:manualLayout>
              </c:layout>
              <c:tx>
                <c:rich>
                  <a:bodyPr/>
                  <a:lstStyle/>
                  <a:p>
                    <a:fld id="{B80D180E-3693-4A05-8394-84A5B78755E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62CB-4D88-A905-E4868D5D1B1F}"/>
                </c:ext>
              </c:extLst>
            </c:dLbl>
            <c:dLbl>
              <c:idx val="52"/>
              <c:layout>
                <c:manualLayout>
                  <c:x val="-2.3001767636188334E-2"/>
                  <c:y val="8.0482897384305842E-3"/>
                </c:manualLayout>
              </c:layout>
              <c:tx>
                <c:rich>
                  <a:bodyPr/>
                  <a:lstStyle/>
                  <a:p>
                    <a:fld id="{EE9FA946-8A4B-44A6-B7D9-8E91B6756A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62CB-4D88-A905-E4868D5D1B1F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2230E1A7-980F-4334-A11C-48D6632A7A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62CB-4D88-A905-E4868D5D1B1F}"/>
                </c:ext>
              </c:extLst>
            </c:dLbl>
            <c:dLbl>
              <c:idx val="54"/>
              <c:layout>
                <c:manualLayout>
                  <c:x val="-4.3452380952381013E-2"/>
                  <c:y val="8.0482897384305339E-3"/>
                </c:manualLayout>
              </c:layout>
              <c:tx>
                <c:rich>
                  <a:bodyPr/>
                  <a:lstStyle/>
                  <a:p>
                    <a:fld id="{F5B012C5-DC6C-4766-AABB-B4C8332379E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62CB-4D88-A905-E4868D5D1B1F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86B98279-7EBF-4688-B10C-ABD5990A746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62CB-4D88-A905-E4868D5D1B1F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9593D01C-4C3B-4C97-9F3F-CBD9DAB8F2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62CB-4D88-A905-E4868D5D1B1F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EFFA12FC-5077-4BE2-9842-16578D62166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62CB-4D88-A905-E4868D5D1B1F}"/>
                </c:ext>
              </c:extLst>
            </c:dLbl>
            <c:dLbl>
              <c:idx val="58"/>
              <c:layout>
                <c:manualLayout>
                  <c:x val="-1.6199046547753084E-2"/>
                  <c:y val="8.0482897384305339E-3"/>
                </c:manualLayout>
              </c:layout>
              <c:tx>
                <c:rich>
                  <a:bodyPr/>
                  <a:lstStyle/>
                  <a:p>
                    <a:fld id="{DBB2245F-258B-48FA-808B-3EB187902A7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62CB-4D88-A905-E4868D5D1B1F}"/>
                </c:ext>
              </c:extLst>
            </c:dLbl>
            <c:spPr>
              <a:solidFill>
                <a:srgbClr val="BFEBFB">
                  <a:alpha val="70000"/>
                </a:srgbClr>
              </a:solidFill>
              <a:ln w="6350">
                <a:solidFill>
                  <a:sysClr val="windowText" lastClr="000000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 i="0">
                    <a:solidFill>
                      <a:srgbClr val="003778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景气时钟!$G$3:$G$61</c:f>
              <c:numCache>
                <c:formatCode>0.0</c:formatCode>
                <c:ptCount val="59"/>
                <c:pt idx="0">
                  <c:v>19.375000000000004</c:v>
                </c:pt>
                <c:pt idx="1">
                  <c:v>-6.966666666666665</c:v>
                </c:pt>
                <c:pt idx="2">
                  <c:v>3.6041529255237736</c:v>
                </c:pt>
                <c:pt idx="3">
                  <c:v>1.5000000000000013</c:v>
                </c:pt>
                <c:pt idx="4">
                  <c:v>-7.6749999999999927</c:v>
                </c:pt>
                <c:pt idx="5">
                  <c:v>5.333333333333333</c:v>
                </c:pt>
                <c:pt idx="6">
                  <c:v>-4.6615933026952492</c:v>
                </c:pt>
                <c:pt idx="7">
                  <c:v>-11.230179477390939</c:v>
                </c:pt>
                <c:pt idx="8">
                  <c:v>-2.2662999427954205</c:v>
                </c:pt>
                <c:pt idx="9">
                  <c:v>9.8842874996168391</c:v>
                </c:pt>
                <c:pt idx="10">
                  <c:v>-52.00500000000001</c:v>
                </c:pt>
                <c:pt idx="11">
                  <c:v>-30</c:v>
                </c:pt>
                <c:pt idx="12">
                  <c:v>-8.8321356634750607</c:v>
                </c:pt>
                <c:pt idx="13">
                  <c:v>-5.5801111956601757</c:v>
                </c:pt>
                <c:pt idx="14">
                  <c:v>-0.19110063965216695</c:v>
                </c:pt>
                <c:pt idx="15">
                  <c:v>12.135549645960515</c:v>
                </c:pt>
                <c:pt idx="16">
                  <c:v>-35.100465903177835</c:v>
                </c:pt>
                <c:pt idx="17">
                  <c:v>9.6</c:v>
                </c:pt>
                <c:pt idx="18">
                  <c:v>-13.750000000000007</c:v>
                </c:pt>
                <c:pt idx="19">
                  <c:v>1.0000000000000009</c:v>
                </c:pt>
                <c:pt idx="20">
                  <c:v>0</c:v>
                </c:pt>
                <c:pt idx="21">
                  <c:v>-9.1684242317866129</c:v>
                </c:pt>
                <c:pt idx="22">
                  <c:v>11.01410974405923</c:v>
                </c:pt>
                <c:pt idx="23">
                  <c:v>2.5500000000000025</c:v>
                </c:pt>
                <c:pt idx="24">
                  <c:v>-2.3024999999999904</c:v>
                </c:pt>
                <c:pt idx="25">
                  <c:v>-1.375000000000004</c:v>
                </c:pt>
                <c:pt idx="26">
                  <c:v>8.9161491690676939</c:v>
                </c:pt>
                <c:pt idx="27">
                  <c:v>-30</c:v>
                </c:pt>
                <c:pt idx="28">
                  <c:v>-2.6000000000000023</c:v>
                </c:pt>
                <c:pt idx="29">
                  <c:v>-0.36249999999999893</c:v>
                </c:pt>
                <c:pt idx="30">
                  <c:v>-5.8833333333333346</c:v>
                </c:pt>
                <c:pt idx="31">
                  <c:v>1.5</c:v>
                </c:pt>
                <c:pt idx="32">
                  <c:v>-19.521428571428544</c:v>
                </c:pt>
                <c:pt idx="33">
                  <c:v>2.0750000000000046</c:v>
                </c:pt>
                <c:pt idx="34">
                  <c:v>5.1000000000000005</c:v>
                </c:pt>
                <c:pt idx="35">
                  <c:v>30</c:v>
                </c:pt>
                <c:pt idx="36">
                  <c:v>7.8499999999999908</c:v>
                </c:pt>
                <c:pt idx="37">
                  <c:v>-11.499999999999988</c:v>
                </c:pt>
                <c:pt idx="38">
                  <c:v>-17.400000000000006</c:v>
                </c:pt>
                <c:pt idx="39">
                  <c:v>4.3000000000000149</c:v>
                </c:pt>
                <c:pt idx="40">
                  <c:v>6.9071428571428566</c:v>
                </c:pt>
                <c:pt idx="41">
                  <c:v>30</c:v>
                </c:pt>
                <c:pt idx="42">
                  <c:v>3.4500000000000028</c:v>
                </c:pt>
                <c:pt idx="43">
                  <c:v>10.672727272727279</c:v>
                </c:pt>
                <c:pt idx="44">
                  <c:v>-17.246666666666666</c:v>
                </c:pt>
                <c:pt idx="45">
                  <c:v>-4.3999999999999932</c:v>
                </c:pt>
                <c:pt idx="46">
                  <c:v>3.6666666666666625</c:v>
                </c:pt>
                <c:pt idx="47">
                  <c:v>10.315577889447219</c:v>
                </c:pt>
                <c:pt idx="48">
                  <c:v>4.1433121019108228</c:v>
                </c:pt>
                <c:pt idx="49">
                  <c:v>0.5833333333333468</c:v>
                </c:pt>
                <c:pt idx="50">
                  <c:v>4.7753396188676689E-2</c:v>
                </c:pt>
                <c:pt idx="51">
                  <c:v>0</c:v>
                </c:pt>
                <c:pt idx="52">
                  <c:v>-24.708333333333314</c:v>
                </c:pt>
                <c:pt idx="53">
                  <c:v>1.9999999999999998</c:v>
                </c:pt>
                <c:pt idx="54">
                  <c:v>-3.1399999999999983</c:v>
                </c:pt>
                <c:pt idx="55">
                  <c:v>-30</c:v>
                </c:pt>
                <c:pt idx="56">
                  <c:v>-11.300000000000004</c:v>
                </c:pt>
                <c:pt idx="57">
                  <c:v>6.65</c:v>
                </c:pt>
                <c:pt idx="58">
                  <c:v>-35.956249999999997</c:v>
                </c:pt>
              </c:numCache>
            </c:numRef>
          </c:xVal>
          <c:yVal>
            <c:numRef>
              <c:f>景气时钟!$E$3:$E$61</c:f>
              <c:numCache>
                <c:formatCode>0.0%</c:formatCode>
                <c:ptCount val="59"/>
                <c:pt idx="0">
                  <c:v>0.63639999999999997</c:v>
                </c:pt>
                <c:pt idx="1">
                  <c:v>0.64833333333333398</c:v>
                </c:pt>
                <c:pt idx="2">
                  <c:v>0.51100625101558872</c:v>
                </c:pt>
                <c:pt idx="3">
                  <c:v>0.64749999999999996</c:v>
                </c:pt>
                <c:pt idx="4">
                  <c:v>0.40250000000000002</c:v>
                </c:pt>
                <c:pt idx="5">
                  <c:v>0.17233333333333334</c:v>
                </c:pt>
                <c:pt idx="6">
                  <c:v>0.29217727371569763</c:v>
                </c:pt>
                <c:pt idx="7">
                  <c:v>0.23806671746836505</c:v>
                </c:pt>
                <c:pt idx="8">
                  <c:v>0.11322437831309613</c:v>
                </c:pt>
                <c:pt idx="9">
                  <c:v>0.76413109973610982</c:v>
                </c:pt>
                <c:pt idx="10">
                  <c:v>0.36739999999999995</c:v>
                </c:pt>
                <c:pt idx="11">
                  <c:v>0.69497447789524913</c:v>
                </c:pt>
                <c:pt idx="12">
                  <c:v>0.44206455468493067</c:v>
                </c:pt>
                <c:pt idx="13">
                  <c:v>0.79312489260904795</c:v>
                </c:pt>
                <c:pt idx="14">
                  <c:v>0.18454490187981673</c:v>
                </c:pt>
                <c:pt idx="15">
                  <c:v>0.39883642522078722</c:v>
                </c:pt>
                <c:pt idx="16">
                  <c:v>0.22698744031100149</c:v>
                </c:pt>
                <c:pt idx="17">
                  <c:v>0.29649999999999999</c:v>
                </c:pt>
                <c:pt idx="18">
                  <c:v>0.21399999999999997</c:v>
                </c:pt>
                <c:pt idx="19">
                  <c:v>0.91800000000000004</c:v>
                </c:pt>
                <c:pt idx="20">
                  <c:v>0.48442182682747492</c:v>
                </c:pt>
                <c:pt idx="21">
                  <c:v>0.12599833667704846</c:v>
                </c:pt>
                <c:pt idx="22">
                  <c:v>0.5854522381843178</c:v>
                </c:pt>
                <c:pt idx="23">
                  <c:v>0.27550000000000002</c:v>
                </c:pt>
                <c:pt idx="24">
                  <c:v>0.27102500000000007</c:v>
                </c:pt>
                <c:pt idx="25">
                  <c:v>0.48699999999999999</c:v>
                </c:pt>
                <c:pt idx="26">
                  <c:v>0.52309367217256164</c:v>
                </c:pt>
                <c:pt idx="27">
                  <c:v>0.78856249999999994</c:v>
                </c:pt>
                <c:pt idx="28">
                  <c:v>0.76724999999999999</c:v>
                </c:pt>
                <c:pt idx="29">
                  <c:v>0.31762500000000005</c:v>
                </c:pt>
                <c:pt idx="30">
                  <c:v>0.26499999999999996</c:v>
                </c:pt>
                <c:pt idx="31">
                  <c:v>0.11700000000000001</c:v>
                </c:pt>
                <c:pt idx="32">
                  <c:v>0.34635714285714303</c:v>
                </c:pt>
                <c:pt idx="33">
                  <c:v>0.70650000000000002</c:v>
                </c:pt>
                <c:pt idx="34">
                  <c:v>7.1000000000000008E-2</c:v>
                </c:pt>
                <c:pt idx="35">
                  <c:v>0.193</c:v>
                </c:pt>
                <c:pt idx="36">
                  <c:v>0.45974999999999999</c:v>
                </c:pt>
                <c:pt idx="37">
                  <c:v>0.64</c:v>
                </c:pt>
                <c:pt idx="38">
                  <c:v>0.82599999999999996</c:v>
                </c:pt>
                <c:pt idx="39">
                  <c:v>0.82600000000000007</c:v>
                </c:pt>
                <c:pt idx="40">
                  <c:v>0.48635714285714288</c:v>
                </c:pt>
                <c:pt idx="41">
                  <c:v>0.28299999999999997</c:v>
                </c:pt>
                <c:pt idx="42">
                  <c:v>0.47959999999999992</c:v>
                </c:pt>
                <c:pt idx="43">
                  <c:v>0.60127272727272729</c:v>
                </c:pt>
                <c:pt idx="44">
                  <c:v>0.39873333333333338</c:v>
                </c:pt>
                <c:pt idx="45">
                  <c:v>0.55800000000000027</c:v>
                </c:pt>
                <c:pt idx="46">
                  <c:v>0.3349583333333333</c:v>
                </c:pt>
                <c:pt idx="47">
                  <c:v>0.36108542713567832</c:v>
                </c:pt>
                <c:pt idx="48">
                  <c:v>0.79322292993630561</c:v>
                </c:pt>
                <c:pt idx="49">
                  <c:v>0.77233333333333332</c:v>
                </c:pt>
                <c:pt idx="50">
                  <c:v>0.24029169730483804</c:v>
                </c:pt>
                <c:pt idx="51">
                  <c:v>0.09</c:v>
                </c:pt>
                <c:pt idx="52">
                  <c:v>0.25475000000000009</c:v>
                </c:pt>
                <c:pt idx="53">
                  <c:v>0.03</c:v>
                </c:pt>
                <c:pt idx="54">
                  <c:v>0.69699999999999995</c:v>
                </c:pt>
                <c:pt idx="55">
                  <c:v>8.0125000000000002E-2</c:v>
                </c:pt>
                <c:pt idx="56">
                  <c:v>0.44800000000000001</c:v>
                </c:pt>
                <c:pt idx="57">
                  <c:v>0.16300000000000001</c:v>
                </c:pt>
                <c:pt idx="58">
                  <c:v>0.25868749999999996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景气时钟!$C$3:$C$61</c15:f>
                <c15:dlblRangeCache>
                  <c:ptCount val="59"/>
                  <c:pt idx="0">
                    <c:v>石化</c:v>
                  </c:pt>
                  <c:pt idx="1">
                    <c:v>煤炭</c:v>
                  </c:pt>
                  <c:pt idx="2">
                    <c:v>工业金属</c:v>
                  </c:pt>
                  <c:pt idx="3">
                    <c:v>贵金属</c:v>
                  </c:pt>
                  <c:pt idx="4">
                    <c:v>小金属</c:v>
                  </c:pt>
                  <c:pt idx="5">
                    <c:v>能源金属</c:v>
                  </c:pt>
                  <c:pt idx="6">
                    <c:v>基化</c:v>
                  </c:pt>
                  <c:pt idx="7">
                    <c:v>钢铁</c:v>
                  </c:pt>
                  <c:pt idx="8">
                    <c:v>农业</c:v>
                  </c:pt>
                  <c:pt idx="9">
                    <c:v>纺服</c:v>
                  </c:pt>
                  <c:pt idx="10">
                    <c:v>汽车</c:v>
                  </c:pt>
                  <c:pt idx="11">
                    <c:v>家电</c:v>
                  </c:pt>
                  <c:pt idx="12">
                    <c:v>商贸</c:v>
                  </c:pt>
                  <c:pt idx="13">
                    <c:v>社服</c:v>
                  </c:pt>
                  <c:pt idx="14">
                    <c:v>医美</c:v>
                  </c:pt>
                  <c:pt idx="15">
                    <c:v>计算机</c:v>
                  </c:pt>
                  <c:pt idx="16">
                    <c:v>消费建材</c:v>
                  </c:pt>
                  <c:pt idx="17">
                    <c:v>水泥</c:v>
                  </c:pt>
                  <c:pt idx="18">
                    <c:v>玻璃</c:v>
                  </c:pt>
                  <c:pt idx="19">
                    <c:v>院线</c:v>
                  </c:pt>
                  <c:pt idx="20">
                    <c:v>银行</c:v>
                  </c:pt>
                  <c:pt idx="21">
                    <c:v>地产</c:v>
                  </c:pt>
                  <c:pt idx="22">
                    <c:v>公用事业</c:v>
                  </c:pt>
                  <c:pt idx="23">
                    <c:v>环保</c:v>
                  </c:pt>
                  <c:pt idx="24">
                    <c:v>建筑</c:v>
                  </c:pt>
                  <c:pt idx="25">
                    <c:v>保险</c:v>
                  </c:pt>
                  <c:pt idx="26">
                    <c:v>电商</c:v>
                  </c:pt>
                  <c:pt idx="27">
                    <c:v>游戏</c:v>
                  </c:pt>
                  <c:pt idx="28">
                    <c:v>通用设备</c:v>
                  </c:pt>
                  <c:pt idx="29">
                    <c:v>工程机械</c:v>
                  </c:pt>
                  <c:pt idx="30">
                    <c:v>自动化</c:v>
                  </c:pt>
                  <c:pt idx="31">
                    <c:v>通信服务</c:v>
                  </c:pt>
                  <c:pt idx="32">
                    <c:v>通信设备</c:v>
                  </c:pt>
                  <c:pt idx="33">
                    <c:v>航海装备</c:v>
                  </c:pt>
                  <c:pt idx="34">
                    <c:v>航空装备</c:v>
                  </c:pt>
                  <c:pt idx="35">
                    <c:v>军工电子</c:v>
                  </c:pt>
                  <c:pt idx="36">
                    <c:v>物流</c:v>
                  </c:pt>
                  <c:pt idx="37">
                    <c:v>铁路公路</c:v>
                  </c:pt>
                  <c:pt idx="38">
                    <c:v>航空机场</c:v>
                  </c:pt>
                  <c:pt idx="39">
                    <c:v>航运港口</c:v>
                  </c:pt>
                  <c:pt idx="40">
                    <c:v>半导体</c:v>
                  </c:pt>
                  <c:pt idx="41">
                    <c:v>元件</c:v>
                  </c:pt>
                  <c:pt idx="42">
                    <c:v>光电</c:v>
                  </c:pt>
                  <c:pt idx="43">
                    <c:v>消电</c:v>
                  </c:pt>
                  <c:pt idx="44">
                    <c:v>光伏</c:v>
                  </c:pt>
                  <c:pt idx="45">
                    <c:v>风电</c:v>
                  </c:pt>
                  <c:pt idx="46">
                    <c:v>电池</c:v>
                  </c:pt>
                  <c:pt idx="47">
                    <c:v>白酒</c:v>
                  </c:pt>
                  <c:pt idx="48">
                    <c:v>啤酒</c:v>
                  </c:pt>
                  <c:pt idx="49">
                    <c:v>调味品</c:v>
                  </c:pt>
                  <c:pt idx="50">
                    <c:v>饮料乳品</c:v>
                  </c:pt>
                  <c:pt idx="51">
                    <c:v>食品</c:v>
                  </c:pt>
                  <c:pt idx="52">
                    <c:v>化药</c:v>
                  </c:pt>
                  <c:pt idx="53">
                    <c:v>医药商业</c:v>
                  </c:pt>
                  <c:pt idx="54">
                    <c:v>医疗器械</c:v>
                  </c:pt>
                  <c:pt idx="55">
                    <c:v>医疗服务</c:v>
                  </c:pt>
                  <c:pt idx="56">
                    <c:v>中药</c:v>
                  </c:pt>
                  <c:pt idx="57">
                    <c:v>造纸</c:v>
                  </c:pt>
                  <c:pt idx="58">
                    <c:v>家居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B-62CB-4D88-A905-E4868D5D1B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-405725312"/>
        <c:axId val="-405730752"/>
      </c:scatterChart>
      <c:valAx>
        <c:axId val="-405725312"/>
        <c:scaling>
          <c:orientation val="minMax"/>
          <c:max val="30"/>
          <c:min val="-30"/>
        </c:scaling>
        <c:delete val="0"/>
        <c:axPos val="b"/>
        <c:title>
          <c:tx>
            <c:rich>
              <a:bodyPr rot="0" vert="horz"/>
              <a:lstStyle/>
              <a:p>
                <a:pPr algn="ctr">
                  <a:defRPr sz="700" b="1"/>
                </a:pPr>
                <a:r>
                  <a:rPr lang="en-US" altLang="zh-CN" sz="700" b="1"/>
                  <a:t>3M</a:t>
                </a:r>
                <a:r>
                  <a:rPr lang="zh-CN" sz="700" b="1"/>
                  <a:t>景气</a:t>
                </a:r>
                <a:r>
                  <a:rPr lang="zh-CN" altLang="en-US" sz="700" b="1"/>
                  <a:t>指数环比</a:t>
                </a:r>
                <a:r>
                  <a:rPr lang="zh-CN" sz="700" b="1"/>
                  <a:t>变化（</a:t>
                </a:r>
                <a:r>
                  <a:rPr lang="en-US" sz="700" b="1"/>
                  <a:t>pct</a:t>
                </a:r>
                <a:r>
                  <a:rPr lang="zh-CN" sz="700" b="1"/>
                  <a:t>）</a:t>
                </a:r>
              </a:p>
            </c:rich>
          </c:tx>
          <c:layout>
            <c:manualLayout>
              <c:xMode val="edge"/>
              <c:yMode val="edge"/>
              <c:x val="0.46040468155766245"/>
              <c:y val="0.9652523012088277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low"/>
        <c:spPr>
          <a:ln w="317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700"/>
            </a:pPr>
            <a:endParaRPr lang="zh-CN"/>
          </a:p>
        </c:txPr>
        <c:crossAx val="-405730752"/>
        <c:crossesAt val="0.5"/>
        <c:crossBetween val="midCat"/>
        <c:majorUnit val="5"/>
      </c:valAx>
      <c:valAx>
        <c:axId val="-405730752"/>
        <c:scaling>
          <c:orientation val="minMax"/>
          <c:max val="1"/>
        </c:scaling>
        <c:delete val="0"/>
        <c:axPos val="l"/>
        <c:title>
          <c:tx>
            <c:rich>
              <a:bodyPr rot="0" vert="eaVert"/>
              <a:lstStyle/>
              <a:p>
                <a:pPr>
                  <a:defRPr sz="700" b="1"/>
                </a:pPr>
                <a:r>
                  <a:rPr lang="zh-CN" sz="700" b="1"/>
                  <a:t>当前</a:t>
                </a:r>
                <a:r>
                  <a:rPr lang="zh-CN" altLang="en-US" sz="700" b="1"/>
                  <a:t>景气指数</a:t>
                </a:r>
                <a:r>
                  <a:rPr lang="zh-CN" sz="700" b="1"/>
                  <a:t>（</a:t>
                </a:r>
                <a:r>
                  <a:rPr lang="en-US" sz="700" b="1"/>
                  <a:t>2024</a:t>
                </a:r>
                <a:r>
                  <a:rPr lang="zh-CN" sz="700" b="1"/>
                  <a:t>年</a:t>
                </a:r>
                <a:r>
                  <a:rPr lang="en-US" sz="700" b="1"/>
                  <a:t>2</a:t>
                </a:r>
                <a:r>
                  <a:rPr lang="zh-CN" sz="700" b="1"/>
                  <a:t>月）</a:t>
                </a:r>
              </a:p>
            </c:rich>
          </c:tx>
          <c:layout>
            <c:manualLayout>
              <c:xMode val="edge"/>
              <c:yMode val="edge"/>
              <c:x val="3.623386362418983E-3"/>
              <c:y val="0.32433153750518029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low"/>
        <c:spPr>
          <a:ln w="6350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700"/>
            </a:pPr>
            <a:endParaRPr lang="zh-CN"/>
          </a:p>
        </c:txPr>
        <c:crossAx val="-40572531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chemeClr val="tx1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525191703978181E-2"/>
          <c:y val="5.1761124740254773E-2"/>
          <c:w val="0.91282659067899596"/>
          <c:h val="0.8544418359028812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003778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D71B07B-8C15-42F2-835F-DD2C4CC4CB0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829-49C1-A6B0-1BD9A8D5A935}"/>
                </c:ext>
              </c:extLst>
            </c:dLbl>
            <c:dLbl>
              <c:idx val="1"/>
              <c:layout>
                <c:manualLayout>
                  <c:x val="-8.714596949891195E-3"/>
                  <c:y val="-2.1182700794351281E-2"/>
                </c:manualLayout>
              </c:layout>
              <c:tx>
                <c:rich>
                  <a:bodyPr/>
                  <a:lstStyle/>
                  <a:p>
                    <a:fld id="{EFB10F2A-F79D-4E78-BC1A-FD9790D9B08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829-49C1-A6B0-1BD9A8D5A93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413BE33-78F4-471A-A902-FA70386BEA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829-49C1-A6B0-1BD9A8D5A935}"/>
                </c:ext>
              </c:extLst>
            </c:dLbl>
            <c:dLbl>
              <c:idx val="3"/>
              <c:layout>
                <c:manualLayout>
                  <c:x val="-4.7058823529411827E-2"/>
                  <c:y val="1.7652250661959398E-2"/>
                </c:manualLayout>
              </c:layout>
              <c:tx>
                <c:rich>
                  <a:bodyPr/>
                  <a:lstStyle/>
                  <a:p>
                    <a:fld id="{147720AB-BE0F-4C01-AE88-E8F02C961DC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829-49C1-A6B0-1BD9A8D5A935}"/>
                </c:ext>
              </c:extLst>
            </c:dLbl>
            <c:dLbl>
              <c:idx val="4"/>
              <c:layout>
                <c:manualLayout>
                  <c:x val="-5.2287581699346402E-3"/>
                  <c:y val="3.5304501323918801E-3"/>
                </c:manualLayout>
              </c:layout>
              <c:tx>
                <c:rich>
                  <a:bodyPr/>
                  <a:lstStyle/>
                  <a:p>
                    <a:fld id="{B65908BB-0642-4782-973C-2C77D1777E0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829-49C1-A6B0-1BD9A8D5A93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C6E6524-CF48-4204-86A2-C42DA5E269D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829-49C1-A6B0-1BD9A8D5A935}"/>
                </c:ext>
              </c:extLst>
            </c:dLbl>
            <c:dLbl>
              <c:idx val="6"/>
              <c:layout>
                <c:manualLayout>
                  <c:x val="-6.971677559912918E-3"/>
                  <c:y val="7.0609002647836951E-3"/>
                </c:manualLayout>
              </c:layout>
              <c:tx>
                <c:rich>
                  <a:bodyPr/>
                  <a:lstStyle/>
                  <a:p>
                    <a:fld id="{5A2B00AC-8A08-41BE-BC14-A6FCB8D02E7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829-49C1-A6B0-1BD9A8D5A935}"/>
                </c:ext>
              </c:extLst>
            </c:dLbl>
            <c:dLbl>
              <c:idx val="7"/>
              <c:layout>
                <c:manualLayout>
                  <c:x val="-1.7429193899782135E-3"/>
                  <c:y val="-3.5304501323918801E-3"/>
                </c:manualLayout>
              </c:layout>
              <c:tx>
                <c:rich>
                  <a:bodyPr/>
                  <a:lstStyle/>
                  <a:p>
                    <a:fld id="{CB659842-33C6-48EC-AFEE-839D9537415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829-49C1-A6B0-1BD9A8D5A935}"/>
                </c:ext>
              </c:extLst>
            </c:dLbl>
            <c:dLbl>
              <c:idx val="8"/>
              <c:layout>
                <c:manualLayout>
                  <c:x val="-4.8801742919389976E-2"/>
                  <c:y val="1.0591350397175641E-2"/>
                </c:manualLayout>
              </c:layout>
              <c:tx>
                <c:rich>
                  <a:bodyPr/>
                  <a:lstStyle/>
                  <a:p>
                    <a:fld id="{71443833-3B23-4F13-831D-6FCBE1AA6BF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829-49C1-A6B0-1BD9A8D5A93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8E6275A-2D3C-4B6C-A2B9-F3D11794D80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829-49C1-A6B0-1BD9A8D5A93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D303784-7CC2-4F89-95DC-0E3800CA10D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829-49C1-A6B0-1BD9A8D5A935}"/>
                </c:ext>
              </c:extLst>
            </c:dLbl>
            <c:dLbl>
              <c:idx val="11"/>
              <c:layout>
                <c:manualLayout>
                  <c:x val="-4.8801742919389976E-2"/>
                  <c:y val="3.5304501323918801E-3"/>
                </c:manualLayout>
              </c:layout>
              <c:tx>
                <c:rich>
                  <a:bodyPr/>
                  <a:lstStyle/>
                  <a:p>
                    <a:fld id="{6339CDE9-DA83-4C51-AF30-2A9B4801C9A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829-49C1-A6B0-1BD9A8D5A935}"/>
                </c:ext>
              </c:extLst>
            </c:dLbl>
            <c:dLbl>
              <c:idx val="12"/>
              <c:layout>
                <c:manualLayout>
                  <c:x val="-4.7058823529411764E-2"/>
                  <c:y val="-6.4724171394700049E-17"/>
                </c:manualLayout>
              </c:layout>
              <c:tx>
                <c:rich>
                  <a:bodyPr/>
                  <a:lstStyle/>
                  <a:p>
                    <a:fld id="{63D14147-1DB0-4BFB-A801-D72B6DFEC2A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829-49C1-A6B0-1BD9A8D5A935}"/>
                </c:ext>
              </c:extLst>
            </c:dLbl>
            <c:dLbl>
              <c:idx val="13"/>
              <c:layout>
                <c:manualLayout>
                  <c:x val="-5.2287581699347043E-3"/>
                  <c:y val="-3.5304501323920093E-3"/>
                </c:manualLayout>
              </c:layout>
              <c:tx>
                <c:rich>
                  <a:bodyPr/>
                  <a:lstStyle/>
                  <a:p>
                    <a:fld id="{FE290447-D803-4062-9272-F2367CE134C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829-49C1-A6B0-1BD9A8D5A93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BF7C329-ED46-4282-ACFB-7A49AD4BB9F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829-49C1-A6B0-1BD9A8D5A93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E6ACDB9-EBAF-494C-84D2-CCC360DA16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829-49C1-A6B0-1BD9A8D5A935}"/>
                </c:ext>
              </c:extLst>
            </c:dLbl>
            <c:dLbl>
              <c:idx val="16"/>
              <c:layout>
                <c:manualLayout>
                  <c:x val="-6.9716775599128538E-3"/>
                  <c:y val="-1.412180052956752E-2"/>
                </c:manualLayout>
              </c:layout>
              <c:tx>
                <c:rich>
                  <a:bodyPr/>
                  <a:lstStyle/>
                  <a:p>
                    <a:fld id="{9C52094F-F667-4248-9CFA-B2258663533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6829-49C1-A6B0-1BD9A8D5A935}"/>
                </c:ext>
              </c:extLst>
            </c:dLbl>
            <c:dLbl>
              <c:idx val="17"/>
              <c:layout>
                <c:manualLayout>
                  <c:x val="-5.2287581699346402E-3"/>
                  <c:y val="3.5304501323918801E-3"/>
                </c:manualLayout>
              </c:layout>
              <c:tx>
                <c:rich>
                  <a:bodyPr/>
                  <a:lstStyle/>
                  <a:p>
                    <a:fld id="{C0E106EF-63D5-4297-8BE8-D003F483100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601307189542485E-2"/>
                      <c:h val="4.27184466019417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6829-49C1-A6B0-1BD9A8D5A935}"/>
                </c:ext>
              </c:extLst>
            </c:dLbl>
            <c:dLbl>
              <c:idx val="18"/>
              <c:layout>
                <c:manualLayout>
                  <c:x val="-4.357298474945534E-2"/>
                  <c:y val="0"/>
                </c:manualLayout>
              </c:layout>
              <c:tx>
                <c:rich>
                  <a:bodyPr/>
                  <a:lstStyle/>
                  <a:p>
                    <a:fld id="{439E79B6-43CF-4FEE-A351-BB05DEB4791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6829-49C1-A6B0-1BD9A8D5A93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5E146EE-6C88-47A5-9005-F50646D93F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829-49C1-A6B0-1BD9A8D5A935}"/>
                </c:ext>
              </c:extLst>
            </c:dLbl>
            <c:dLbl>
              <c:idx val="20"/>
              <c:layout>
                <c:manualLayout>
                  <c:x val="-4.8801742919389976E-2"/>
                  <c:y val="-1.0591350397175641E-2"/>
                </c:manualLayout>
              </c:layout>
              <c:tx>
                <c:rich>
                  <a:bodyPr/>
                  <a:lstStyle/>
                  <a:p>
                    <a:fld id="{281E8A2B-DE25-4AE5-B8BD-1A2CD0AA06C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6829-49C1-A6B0-1BD9A8D5A935}"/>
                </c:ext>
              </c:extLst>
            </c:dLbl>
            <c:dLbl>
              <c:idx val="21"/>
              <c:layout>
                <c:manualLayout>
                  <c:x val="-4.7058823529411764E-2"/>
                  <c:y val="-6.4724171394700049E-17"/>
                </c:manualLayout>
              </c:layout>
              <c:tx>
                <c:rich>
                  <a:bodyPr/>
                  <a:lstStyle/>
                  <a:p>
                    <a:fld id="{5C0BC6D5-EE4B-4E0A-9F6C-EF728577FA6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6829-49C1-A6B0-1BD9A8D5A93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9E5CB96-1999-457C-92A8-0646D9D3067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829-49C1-A6B0-1BD9A8D5A935}"/>
                </c:ext>
              </c:extLst>
            </c:dLbl>
            <c:dLbl>
              <c:idx val="23"/>
              <c:layout>
                <c:manualLayout>
                  <c:x val="-4.7058823529411896E-2"/>
                  <c:y val="7.0609002647837602E-3"/>
                </c:manualLayout>
              </c:layout>
              <c:tx>
                <c:rich>
                  <a:bodyPr/>
                  <a:lstStyle/>
                  <a:p>
                    <a:fld id="{0BCAD4EC-9F57-42B2-8541-4CBFECAE4F5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6829-49C1-A6B0-1BD9A8D5A93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C20CFA9-5358-4560-ACE6-6566F576BB3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829-49C1-A6B0-1BD9A8D5A935}"/>
                </c:ext>
              </c:extLst>
            </c:dLbl>
            <c:dLbl>
              <c:idx val="25"/>
              <c:layout>
                <c:manualLayout>
                  <c:x val="-5.2287581699347685E-3"/>
                  <c:y val="-3.5304501323918801E-3"/>
                </c:manualLayout>
              </c:layout>
              <c:tx>
                <c:rich>
                  <a:bodyPr/>
                  <a:lstStyle/>
                  <a:p>
                    <a:fld id="{F223C203-F4F9-412E-AD3D-0A8F77F9DF6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6829-49C1-A6B0-1BD9A8D5A93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704867B-3BC0-429F-B16A-EE5EF7208E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829-49C1-A6B0-1BD9A8D5A93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D3B6453-B7B3-42CE-AB1E-8A260A3C1A8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829-49C1-A6B0-1BD9A8D5A935}"/>
                </c:ext>
              </c:extLst>
            </c:dLbl>
            <c:dLbl>
              <c:idx val="28"/>
              <c:layout>
                <c:manualLayout>
                  <c:x val="-3.4858387799564911E-3"/>
                  <c:y val="-7.0609002647838244E-3"/>
                </c:manualLayout>
              </c:layout>
              <c:tx>
                <c:rich>
                  <a:bodyPr/>
                  <a:lstStyle/>
                  <a:p>
                    <a:fld id="{D6D6E077-F9B5-47D8-A8D8-8C8FBA885C3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6829-49C1-A6B0-1BD9A8D5A935}"/>
                </c:ext>
              </c:extLst>
            </c:dLbl>
            <c:dLbl>
              <c:idx val="29"/>
              <c:layout>
                <c:manualLayout>
                  <c:x val="-4.5315904139433615E-2"/>
                  <c:y val="1.76522506619593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zh-CN" sz="700" b="0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楷体" panose="02010609060101010101" pitchFamily="49" charset="-122"/>
                        <a:cs typeface="Arial" panose="020B0604020202020204" pitchFamily="34" charset="0"/>
                      </a:defRPr>
                    </a:pPr>
                    <a:fld id="{B7E57B87-8140-47F4-B5A9-BD3412E3541B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7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楷体" panose="02010609060101010101" pitchFamily="49" charset="-122"/>
                      <a:cs typeface="Arial" panose="020B0604020202020204" pitchFamily="34" charset="0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344226579520697E-2"/>
                      <c:h val="4.977934686672550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6829-49C1-A6B0-1BD9A8D5A9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'安全边际（一级行业）'!$J$3:$J$32</c:f>
              <c:numCache>
                <c:formatCode>0.0_ </c:formatCode>
                <c:ptCount val="30"/>
                <c:pt idx="0">
                  <c:v>63.639999999999993</c:v>
                </c:pt>
                <c:pt idx="1">
                  <c:v>64.8333333333334</c:v>
                </c:pt>
                <c:pt idx="2">
                  <c:v>48.655130732944357</c:v>
                </c:pt>
                <c:pt idx="3">
                  <c:v>29.217727371569762</c:v>
                </c:pt>
                <c:pt idx="4">
                  <c:v>26.686984816800052</c:v>
                </c:pt>
                <c:pt idx="5">
                  <c:v>23.806671746836507</c:v>
                </c:pt>
                <c:pt idx="6">
                  <c:v>45.549044215383191</c:v>
                </c:pt>
                <c:pt idx="7">
                  <c:v>30.929650990134327</c:v>
                </c:pt>
                <c:pt idx="8">
                  <c:v>51.855580461091435</c:v>
                </c:pt>
                <c:pt idx="9">
                  <c:v>36.739999999999995</c:v>
                </c:pt>
                <c:pt idx="10">
                  <c:v>36.871466261115934</c:v>
                </c:pt>
                <c:pt idx="11">
                  <c:v>22.473957654466236</c:v>
                </c:pt>
                <c:pt idx="12">
                  <c:v>11.322437831309614</c:v>
                </c:pt>
                <c:pt idx="13">
                  <c:v>44.206455468493068</c:v>
                </c:pt>
                <c:pt idx="14">
                  <c:v>79.312489260904798</c:v>
                </c:pt>
                <c:pt idx="15">
                  <c:v>69.497447789524912</c:v>
                </c:pt>
                <c:pt idx="16">
                  <c:v>18.454490187981673</c:v>
                </c:pt>
                <c:pt idx="17">
                  <c:v>76.413109973610986</c:v>
                </c:pt>
                <c:pt idx="18">
                  <c:v>20.139872167346589</c:v>
                </c:pt>
                <c:pt idx="19">
                  <c:v>12.599833667704846</c:v>
                </c:pt>
                <c:pt idx="20">
                  <c:v>48.442182682747493</c:v>
                </c:pt>
                <c:pt idx="21">
                  <c:v>47.380063718141216</c:v>
                </c:pt>
                <c:pt idx="22">
                  <c:v>39.883642522078723</c:v>
                </c:pt>
                <c:pt idx="23">
                  <c:v>73.033499999999989</c:v>
                </c:pt>
                <c:pt idx="24">
                  <c:v>19.661303935491013</c:v>
                </c:pt>
                <c:pt idx="25">
                  <c:v>53.801433709008442</c:v>
                </c:pt>
                <c:pt idx="26">
                  <c:v>58.545223818431779</c:v>
                </c:pt>
                <c:pt idx="27">
                  <c:v>54.915539128618519</c:v>
                </c:pt>
                <c:pt idx="28">
                  <c:v>27.102500000000006</c:v>
                </c:pt>
                <c:pt idx="29">
                  <c:v>27.55</c:v>
                </c:pt>
              </c:numCache>
            </c:numRef>
          </c:xVal>
          <c:yVal>
            <c:numRef>
              <c:f>'安全边际（一级行业）'!$F$3:$F$32</c:f>
              <c:numCache>
                <c:formatCode>0.0_ </c:formatCode>
                <c:ptCount val="30"/>
                <c:pt idx="0">
                  <c:v>74.099999999999994</c:v>
                </c:pt>
                <c:pt idx="1">
                  <c:v>100</c:v>
                </c:pt>
                <c:pt idx="2">
                  <c:v>87</c:v>
                </c:pt>
                <c:pt idx="3">
                  <c:v>12.9</c:v>
                </c:pt>
                <c:pt idx="4">
                  <c:v>3.2</c:v>
                </c:pt>
                <c:pt idx="5">
                  <c:v>87</c:v>
                </c:pt>
                <c:pt idx="6">
                  <c:v>57.999999999999993</c:v>
                </c:pt>
                <c:pt idx="7">
                  <c:v>70.899999999999991</c:v>
                </c:pt>
                <c:pt idx="8">
                  <c:v>54.800000000000004</c:v>
                </c:pt>
                <c:pt idx="9">
                  <c:v>35.4</c:v>
                </c:pt>
                <c:pt idx="10">
                  <c:v>41.9</c:v>
                </c:pt>
                <c:pt idx="11">
                  <c:v>41.9</c:v>
                </c:pt>
                <c:pt idx="12">
                  <c:v>74.099999999999994</c:v>
                </c:pt>
                <c:pt idx="13">
                  <c:v>12.9</c:v>
                </c:pt>
                <c:pt idx="14">
                  <c:v>0</c:v>
                </c:pt>
                <c:pt idx="15">
                  <c:v>48.3</c:v>
                </c:pt>
                <c:pt idx="16">
                  <c:v>96.7</c:v>
                </c:pt>
                <c:pt idx="17">
                  <c:v>93.5</c:v>
                </c:pt>
                <c:pt idx="18">
                  <c:v>57.999999999999993</c:v>
                </c:pt>
                <c:pt idx="19">
                  <c:v>38.700000000000003</c:v>
                </c:pt>
                <c:pt idx="20">
                  <c:v>12.9</c:v>
                </c:pt>
                <c:pt idx="21">
                  <c:v>9.6</c:v>
                </c:pt>
                <c:pt idx="22">
                  <c:v>22.5</c:v>
                </c:pt>
                <c:pt idx="23">
                  <c:v>3.2</c:v>
                </c:pt>
                <c:pt idx="24">
                  <c:v>90.3</c:v>
                </c:pt>
                <c:pt idx="25">
                  <c:v>45.1</c:v>
                </c:pt>
                <c:pt idx="26">
                  <c:v>77.400000000000006</c:v>
                </c:pt>
                <c:pt idx="27">
                  <c:v>54.800000000000004</c:v>
                </c:pt>
                <c:pt idx="28">
                  <c:v>61.199999999999996</c:v>
                </c:pt>
                <c:pt idx="29">
                  <c:v>28.999999999999996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{"石化","煤炭","有色","基化","建材","钢铁","电新","军工","机械","汽车","食饮","医药","农业","商贸","社服","家电","医美","纺服","轻工","地产","银行","非银","计算机","传媒","通信","电子","公用","交运","建筑","环保"}</c15:f>
                <c15:dlblRangeCache>
                  <c:ptCount val="30"/>
                  <c:pt idx="0">
                    <c:v>石化</c:v>
                  </c:pt>
                  <c:pt idx="1">
                    <c:v>煤炭</c:v>
                  </c:pt>
                  <c:pt idx="2">
                    <c:v>有色</c:v>
                  </c:pt>
                  <c:pt idx="3">
                    <c:v>基化</c:v>
                  </c:pt>
                  <c:pt idx="4">
                    <c:v>建材</c:v>
                  </c:pt>
                  <c:pt idx="5">
                    <c:v>钢铁</c:v>
                  </c:pt>
                  <c:pt idx="6">
                    <c:v>电新</c:v>
                  </c:pt>
                  <c:pt idx="7">
                    <c:v>军工</c:v>
                  </c:pt>
                  <c:pt idx="8">
                    <c:v>机械</c:v>
                  </c:pt>
                  <c:pt idx="9">
                    <c:v>汽车</c:v>
                  </c:pt>
                  <c:pt idx="10">
                    <c:v>食饮</c:v>
                  </c:pt>
                  <c:pt idx="11">
                    <c:v>医药</c:v>
                  </c:pt>
                  <c:pt idx="12">
                    <c:v>农业</c:v>
                  </c:pt>
                  <c:pt idx="13">
                    <c:v>商贸</c:v>
                  </c:pt>
                  <c:pt idx="14">
                    <c:v>社服</c:v>
                  </c:pt>
                  <c:pt idx="15">
                    <c:v>家电</c:v>
                  </c:pt>
                  <c:pt idx="16">
                    <c:v>医美</c:v>
                  </c:pt>
                  <c:pt idx="17">
                    <c:v>纺服</c:v>
                  </c:pt>
                  <c:pt idx="18">
                    <c:v>轻工</c:v>
                  </c:pt>
                  <c:pt idx="19">
                    <c:v>地产</c:v>
                  </c:pt>
                  <c:pt idx="20">
                    <c:v>银行</c:v>
                  </c:pt>
                  <c:pt idx="21">
                    <c:v>非银</c:v>
                  </c:pt>
                  <c:pt idx="22">
                    <c:v>计算机</c:v>
                  </c:pt>
                  <c:pt idx="23">
                    <c:v>传媒</c:v>
                  </c:pt>
                  <c:pt idx="24">
                    <c:v>通信</c:v>
                  </c:pt>
                  <c:pt idx="25">
                    <c:v>电子</c:v>
                  </c:pt>
                  <c:pt idx="26">
                    <c:v>公用</c:v>
                  </c:pt>
                  <c:pt idx="27">
                    <c:v>交运</c:v>
                  </c:pt>
                  <c:pt idx="28">
                    <c:v>建筑</c:v>
                  </c:pt>
                  <c:pt idx="29">
                    <c:v>环保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6829-49C1-A6B0-1BD9A8D5A9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1332687"/>
        <c:axId val="1891328111"/>
      </c:scatterChart>
      <c:valAx>
        <c:axId val="189133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r>
                  <a:rPr lang="zh-CN" b="1">
                    <a:solidFill>
                      <a:sysClr val="windowText" lastClr="000000"/>
                    </a:solidFill>
                  </a:rPr>
                  <a:t>景气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指数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（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2024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2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月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,%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43873631482339215"/>
              <c:y val="0.9572815533980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7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楷体" panose="02010609060101010101" pitchFamily="49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#,##0_);[Red]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891328111"/>
        <c:crosses val="autoZero"/>
        <c:crossBetween val="midCat"/>
      </c:valAx>
      <c:valAx>
        <c:axId val="1891328111"/>
        <c:scaling>
          <c:orientation val="minMax"/>
          <c:max val="100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r>
                  <a:rPr lang="zh-CN" altLang="en-US" b="1">
                    <a:solidFill>
                      <a:sysClr val="windowText" lastClr="000000"/>
                    </a:solidFill>
                  </a:rPr>
                  <a:t>公募配置系数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分位数（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2016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以来）</a:t>
                </a:r>
              </a:p>
            </c:rich>
          </c:tx>
          <c:layout>
            <c:manualLayout>
              <c:xMode val="edge"/>
              <c:yMode val="edge"/>
              <c:x val="0"/>
              <c:y val="0.286346470592323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lang="zh-CN" sz="7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楷体" panose="02010609060101010101" pitchFamily="49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#,##0_);[Red]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891332687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700">
          <a:solidFill>
            <a:schemeClr val="tx1"/>
          </a:solidFill>
          <a:latin typeface="Arial" panose="020B0604020202020204" pitchFamily="34" charset="0"/>
          <a:ea typeface="楷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525191703978181E-2"/>
          <c:y val="5.1761124740254773E-2"/>
          <c:w val="0.91282659067899596"/>
          <c:h val="0.8544418359028812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003778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5.2287581699347685E-3"/>
                  <c:y val="0"/>
                </c:manualLayout>
              </c:layout>
              <c:tx>
                <c:rich>
                  <a:bodyPr/>
                  <a:lstStyle/>
                  <a:p>
                    <a:fld id="{DABE6CA3-687A-452D-A950-E1EB874DA6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9D5-4DB2-912D-5FF13C713CCC}"/>
                </c:ext>
              </c:extLst>
            </c:dLbl>
            <c:dLbl>
              <c:idx val="1"/>
              <c:layout>
                <c:manualLayout>
                  <c:x val="-5.2287581699347685E-3"/>
                  <c:y val="0"/>
                </c:manualLayout>
              </c:layout>
              <c:tx>
                <c:rich>
                  <a:bodyPr/>
                  <a:lstStyle/>
                  <a:p>
                    <a:fld id="{C1AD836E-D937-4436-844F-FAD375CD9D3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9D5-4DB2-912D-5FF13C713CC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23B1CCB-F5EE-4D70-91FB-BFE1D5B5E6B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9D5-4DB2-912D-5FF13C713CCC}"/>
                </c:ext>
              </c:extLst>
            </c:dLbl>
            <c:dLbl>
              <c:idx val="3"/>
              <c:layout>
                <c:manualLayout>
                  <c:x val="-3.834422657952076E-2"/>
                  <c:y val="-2.4713150926743161E-2"/>
                </c:manualLayout>
              </c:layout>
              <c:tx>
                <c:rich>
                  <a:bodyPr/>
                  <a:lstStyle/>
                  <a:p>
                    <a:fld id="{4A49F869-1EE4-4FD0-A0FA-80BDBDA9CD3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9D5-4DB2-912D-5FF13C713CCC}"/>
                </c:ext>
              </c:extLst>
            </c:dLbl>
            <c:dLbl>
              <c:idx val="4"/>
              <c:layout>
                <c:manualLayout>
                  <c:x val="-6.971677559912918E-3"/>
                  <c:y val="-1.0591350397175641E-2"/>
                </c:manualLayout>
              </c:layout>
              <c:tx>
                <c:rich>
                  <a:bodyPr/>
                  <a:lstStyle/>
                  <a:p>
                    <a:fld id="{28728F40-36DE-4851-A3BE-D307944581E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344226579520697E-2"/>
                      <c:h val="4.27184466019417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9D5-4DB2-912D-5FF13C713C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6386590-C519-4EB2-95DE-DECC436B655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9D5-4DB2-912D-5FF13C713CCC}"/>
                </c:ext>
              </c:extLst>
            </c:dLbl>
            <c:dLbl>
              <c:idx val="6"/>
              <c:layout>
                <c:manualLayout>
                  <c:x val="-6.971677559912918E-3"/>
                  <c:y val="7.0609002647836951E-3"/>
                </c:manualLayout>
              </c:layout>
              <c:tx>
                <c:rich>
                  <a:bodyPr/>
                  <a:lstStyle/>
                  <a:p>
                    <a:fld id="{C522520C-0CB8-4C96-BDF5-5CE949348E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9D5-4DB2-912D-5FF13C713CCC}"/>
                </c:ext>
              </c:extLst>
            </c:dLbl>
            <c:dLbl>
              <c:idx val="7"/>
              <c:layout>
                <c:manualLayout>
                  <c:x val="-1.2200435729847558E-2"/>
                  <c:y val="1.412180052956739E-2"/>
                </c:manualLayout>
              </c:layout>
              <c:tx>
                <c:rich>
                  <a:bodyPr/>
                  <a:lstStyle/>
                  <a:p>
                    <a:fld id="{10DD9AD3-0E7F-4D0D-AE6C-0F2389C061A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9D5-4DB2-912D-5FF13C713CC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3A5E718-E92A-418C-A2AD-F1E512963C5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9D5-4DB2-912D-5FF13C713CC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B4F096D-01DE-4CBD-A7A2-B013B54A9B1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9D5-4DB2-912D-5FF13C713CC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67B38C1-D867-445B-8F7B-CC69BDB5721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9D5-4DB2-912D-5FF13C713CCC}"/>
                </c:ext>
              </c:extLst>
            </c:dLbl>
            <c:dLbl>
              <c:idx val="11"/>
              <c:layout>
                <c:manualLayout>
                  <c:x val="-8.7145969498910684E-3"/>
                  <c:y val="0"/>
                </c:manualLayout>
              </c:layout>
              <c:tx>
                <c:rich>
                  <a:bodyPr/>
                  <a:lstStyle/>
                  <a:p>
                    <a:fld id="{0FC36DD6-8285-4928-BD0E-80CFD79A26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9D5-4DB2-912D-5FF13C713CCC}"/>
                </c:ext>
              </c:extLst>
            </c:dLbl>
            <c:dLbl>
              <c:idx val="12"/>
              <c:layout>
                <c:manualLayout>
                  <c:x val="-4.7058823529411764E-2"/>
                  <c:y val="-6.4724171394700049E-17"/>
                </c:manualLayout>
              </c:layout>
              <c:tx>
                <c:rich>
                  <a:bodyPr/>
                  <a:lstStyle/>
                  <a:p>
                    <a:fld id="{D4304F00-885C-4D93-A4EE-FF1453B8725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09D5-4DB2-912D-5FF13C713CCC}"/>
                </c:ext>
              </c:extLst>
            </c:dLbl>
            <c:dLbl>
              <c:idx val="13"/>
              <c:layout>
                <c:manualLayout>
                  <c:x val="-5.2287581699347043E-3"/>
                  <c:y val="-1.412180052956752E-2"/>
                </c:manualLayout>
              </c:layout>
              <c:tx>
                <c:rich>
                  <a:bodyPr/>
                  <a:lstStyle/>
                  <a:p>
                    <a:fld id="{923F8A54-308F-41AC-81DA-E15E72BCF21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9D5-4DB2-912D-5FF13C713CCC}"/>
                </c:ext>
              </c:extLst>
            </c:dLbl>
            <c:dLbl>
              <c:idx val="14"/>
              <c:layout>
                <c:manualLayout>
                  <c:x val="-1.7429193899783414E-3"/>
                  <c:y val="-1.412180052956752E-2"/>
                </c:manualLayout>
              </c:layout>
              <c:tx>
                <c:rich>
                  <a:bodyPr/>
                  <a:lstStyle/>
                  <a:p>
                    <a:fld id="{5A0224C1-D941-490B-BAC7-CA39B9DA720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9D5-4DB2-912D-5FF13C713CC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1EFC266-B9C3-4220-8E55-F515CC1F28E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9D5-4DB2-912D-5FF13C713CCC}"/>
                </c:ext>
              </c:extLst>
            </c:dLbl>
            <c:dLbl>
              <c:idx val="16"/>
              <c:layout>
                <c:manualLayout>
                  <c:x val="-6.9716775599128538E-3"/>
                  <c:y val="-1.412180052956752E-2"/>
                </c:manualLayout>
              </c:layout>
              <c:tx>
                <c:rich>
                  <a:bodyPr/>
                  <a:lstStyle/>
                  <a:p>
                    <a:fld id="{D48008D9-56F4-4CF4-B266-17D5D8B23F8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9D5-4DB2-912D-5FF13C713CCC}"/>
                </c:ext>
              </c:extLst>
            </c:dLbl>
            <c:dLbl>
              <c:idx val="17"/>
              <c:layout>
                <c:manualLayout>
                  <c:x val="-1.2200435729847494E-2"/>
                  <c:y val="2.8243601059135041E-2"/>
                </c:manualLayout>
              </c:layout>
              <c:tx>
                <c:rich>
                  <a:bodyPr/>
                  <a:lstStyle/>
                  <a:p>
                    <a:fld id="{69628CA5-3D70-4FC3-B32B-6DB751C5A2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601307189542485E-2"/>
                      <c:h val="4.27184466019417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9D5-4DB2-912D-5FF13C713CCC}"/>
                </c:ext>
              </c:extLst>
            </c:dLbl>
            <c:dLbl>
              <c:idx val="18"/>
              <c:layout>
                <c:manualLayout>
                  <c:x val="-4.357298474945534E-2"/>
                  <c:y val="0"/>
                </c:manualLayout>
              </c:layout>
              <c:tx>
                <c:rich>
                  <a:bodyPr/>
                  <a:lstStyle/>
                  <a:p>
                    <a:fld id="{1C66B111-7446-421C-AABB-A75F58A571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09D5-4DB2-912D-5FF13C713CCC}"/>
                </c:ext>
              </c:extLst>
            </c:dLbl>
            <c:dLbl>
              <c:idx val="19"/>
              <c:layout>
                <c:manualLayout>
                  <c:x val="-4.8801742919389976E-2"/>
                  <c:y val="0"/>
                </c:manualLayout>
              </c:layout>
              <c:tx>
                <c:rich>
                  <a:bodyPr/>
                  <a:lstStyle/>
                  <a:p>
                    <a:fld id="{E2579627-AA9C-403D-A515-CE0A568B146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9D5-4DB2-912D-5FF13C713CCC}"/>
                </c:ext>
              </c:extLst>
            </c:dLbl>
            <c:dLbl>
              <c:idx val="20"/>
              <c:layout>
                <c:manualLayout>
                  <c:x val="-5.2287581699346402E-3"/>
                  <c:y val="-1.294483427894001E-16"/>
                </c:manualLayout>
              </c:layout>
              <c:tx>
                <c:rich>
                  <a:bodyPr/>
                  <a:lstStyle/>
                  <a:p>
                    <a:fld id="{E3DED3F8-B272-40E7-AB95-D1C4A9E66B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9D5-4DB2-912D-5FF13C713CCC}"/>
                </c:ext>
              </c:extLst>
            </c:dLbl>
            <c:dLbl>
              <c:idx val="21"/>
              <c:layout>
                <c:manualLayout>
                  <c:x val="-3.4858387799564911E-3"/>
                  <c:y val="0"/>
                </c:manualLayout>
              </c:layout>
              <c:tx>
                <c:rich>
                  <a:bodyPr/>
                  <a:lstStyle/>
                  <a:p>
                    <a:fld id="{3DE205C1-8E83-4DE9-A924-496628D684F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9D5-4DB2-912D-5FF13C713CCC}"/>
                </c:ext>
              </c:extLst>
            </c:dLbl>
            <c:dLbl>
              <c:idx val="22"/>
              <c:layout>
                <c:manualLayout>
                  <c:x val="-5.2287581699346723E-3"/>
                  <c:y val="3.5304501323917504E-3"/>
                </c:manualLayout>
              </c:layout>
              <c:tx>
                <c:rich>
                  <a:bodyPr/>
                  <a:lstStyle/>
                  <a:p>
                    <a:fld id="{A069905C-A993-4CDD-890A-37A78003E6C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9D5-4DB2-912D-5FF13C713CCC}"/>
                </c:ext>
              </c:extLst>
            </c:dLbl>
            <c:dLbl>
              <c:idx val="23"/>
              <c:layout>
                <c:manualLayout>
                  <c:x val="-4.7058823529411896E-2"/>
                  <c:y val="-7.0609002647837602E-3"/>
                </c:manualLayout>
              </c:layout>
              <c:tx>
                <c:rich>
                  <a:bodyPr/>
                  <a:lstStyle/>
                  <a:p>
                    <a:fld id="{E8EB8337-FB58-4AA4-9DAD-4D2ECA573C4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09D5-4DB2-912D-5FF13C713CC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E5C41DD-3476-4AFD-ACE2-B06AFCFA068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9D5-4DB2-912D-5FF13C713CCC}"/>
                </c:ext>
              </c:extLst>
            </c:dLbl>
            <c:dLbl>
              <c:idx val="25"/>
              <c:layout>
                <c:manualLayout>
                  <c:x val="-5.0544662309368257E-2"/>
                  <c:y val="7.0609002647837602E-3"/>
                </c:manualLayout>
              </c:layout>
              <c:tx>
                <c:rich>
                  <a:bodyPr/>
                  <a:lstStyle/>
                  <a:p>
                    <a:fld id="{A64B4FB9-B278-4BCD-AC2D-D34FAA59AA6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09D5-4DB2-912D-5FF13C713CC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3208956-A9E4-46D8-8F9D-98D891E49C6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9D5-4DB2-912D-5FF13C713CC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F1EFB07-6622-48A1-AF89-6F02A1F97F6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9D5-4DB2-912D-5FF13C713CCC}"/>
                </c:ext>
              </c:extLst>
            </c:dLbl>
            <c:dLbl>
              <c:idx val="28"/>
              <c:layout>
                <c:manualLayout>
                  <c:x val="-4.357298474945534E-2"/>
                  <c:y val="1.0591350397175641E-2"/>
                </c:manualLayout>
              </c:layout>
              <c:tx>
                <c:rich>
                  <a:bodyPr/>
                  <a:lstStyle/>
                  <a:p>
                    <a:fld id="{91927390-AF3C-45BD-B41A-CEF8C64F5F2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858387799564274E-2"/>
                      <c:h val="4.27184466019417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09D5-4DB2-912D-5FF13C713CCC}"/>
                </c:ext>
              </c:extLst>
            </c:dLbl>
            <c:dLbl>
              <c:idx val="29"/>
              <c:layout>
                <c:manualLayout>
                  <c:x val="-3.485838779956459E-3"/>
                  <c:y val="0"/>
                </c:manualLayout>
              </c:layout>
              <c:tx>
                <c:rich>
                  <a:bodyPr/>
                  <a:lstStyle/>
                  <a:p>
                    <a:fld id="{C396A7A0-54A8-41D8-B669-7EE1B0EB914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09D5-4DB2-912D-5FF13C713C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'安全边际（一级行业）'!$J$3:$J$32</c:f>
              <c:numCache>
                <c:formatCode>0.0_ </c:formatCode>
                <c:ptCount val="30"/>
                <c:pt idx="0">
                  <c:v>63.639999999999993</c:v>
                </c:pt>
                <c:pt idx="1">
                  <c:v>64.8333333333334</c:v>
                </c:pt>
                <c:pt idx="2">
                  <c:v>48.655130732944357</c:v>
                </c:pt>
                <c:pt idx="3">
                  <c:v>29.217727371569762</c:v>
                </c:pt>
                <c:pt idx="4">
                  <c:v>26.686984816800052</c:v>
                </c:pt>
                <c:pt idx="5">
                  <c:v>23.806671746836507</c:v>
                </c:pt>
                <c:pt idx="6">
                  <c:v>45.549044215383191</c:v>
                </c:pt>
                <c:pt idx="7">
                  <c:v>30.929650990134327</c:v>
                </c:pt>
                <c:pt idx="8">
                  <c:v>51.855580461091435</c:v>
                </c:pt>
                <c:pt idx="9">
                  <c:v>36.739999999999995</c:v>
                </c:pt>
                <c:pt idx="10">
                  <c:v>36.871466261115934</c:v>
                </c:pt>
                <c:pt idx="11">
                  <c:v>22.473957654466236</c:v>
                </c:pt>
                <c:pt idx="12">
                  <c:v>11.322437831309614</c:v>
                </c:pt>
                <c:pt idx="13">
                  <c:v>44.206455468493068</c:v>
                </c:pt>
                <c:pt idx="14">
                  <c:v>79.312489260904798</c:v>
                </c:pt>
                <c:pt idx="15">
                  <c:v>69.497447789524912</c:v>
                </c:pt>
                <c:pt idx="16">
                  <c:v>18.454490187981673</c:v>
                </c:pt>
                <c:pt idx="17">
                  <c:v>76.413109973610986</c:v>
                </c:pt>
                <c:pt idx="18">
                  <c:v>20.139872167346589</c:v>
                </c:pt>
                <c:pt idx="19">
                  <c:v>12.599833667704846</c:v>
                </c:pt>
                <c:pt idx="20">
                  <c:v>48.442182682747493</c:v>
                </c:pt>
                <c:pt idx="21">
                  <c:v>47.380063718141216</c:v>
                </c:pt>
                <c:pt idx="22">
                  <c:v>39.883642522078723</c:v>
                </c:pt>
                <c:pt idx="23">
                  <c:v>73.033499999999989</c:v>
                </c:pt>
                <c:pt idx="24">
                  <c:v>19.661303935491013</c:v>
                </c:pt>
                <c:pt idx="25">
                  <c:v>53.801433709008442</c:v>
                </c:pt>
                <c:pt idx="26">
                  <c:v>58.545223818431779</c:v>
                </c:pt>
                <c:pt idx="27">
                  <c:v>54.915539128618519</c:v>
                </c:pt>
                <c:pt idx="28">
                  <c:v>27.102500000000006</c:v>
                </c:pt>
                <c:pt idx="29">
                  <c:v>27.55</c:v>
                </c:pt>
              </c:numCache>
            </c:numRef>
          </c:xVal>
          <c:yVal>
            <c:numRef>
              <c:f>'安全边际（一级行业）'!$G$3:$G$32</c:f>
              <c:numCache>
                <c:formatCode>0.0_ </c:formatCode>
                <c:ptCount val="30"/>
                <c:pt idx="0">
                  <c:v>99</c:v>
                </c:pt>
                <c:pt idx="1">
                  <c:v>83.1</c:v>
                </c:pt>
                <c:pt idx="2">
                  <c:v>90.8</c:v>
                </c:pt>
                <c:pt idx="3">
                  <c:v>99</c:v>
                </c:pt>
                <c:pt idx="4">
                  <c:v>20.399999999999999</c:v>
                </c:pt>
                <c:pt idx="5">
                  <c:v>56.2</c:v>
                </c:pt>
                <c:pt idx="6">
                  <c:v>79.3</c:v>
                </c:pt>
                <c:pt idx="7">
                  <c:v>18.399999999999999</c:v>
                </c:pt>
                <c:pt idx="8">
                  <c:v>99.2</c:v>
                </c:pt>
                <c:pt idx="9">
                  <c:v>79.5</c:v>
                </c:pt>
                <c:pt idx="10">
                  <c:v>30.3</c:v>
                </c:pt>
                <c:pt idx="11">
                  <c:v>15</c:v>
                </c:pt>
                <c:pt idx="12">
                  <c:v>26.5</c:v>
                </c:pt>
                <c:pt idx="13">
                  <c:v>0.7</c:v>
                </c:pt>
                <c:pt idx="14">
                  <c:v>0.8</c:v>
                </c:pt>
                <c:pt idx="15">
                  <c:v>48.2</c:v>
                </c:pt>
                <c:pt idx="16">
                  <c:v>78.3</c:v>
                </c:pt>
                <c:pt idx="17">
                  <c:v>99.7</c:v>
                </c:pt>
                <c:pt idx="18">
                  <c:v>42.4</c:v>
                </c:pt>
                <c:pt idx="19">
                  <c:v>15.5</c:v>
                </c:pt>
                <c:pt idx="20">
                  <c:v>59.8</c:v>
                </c:pt>
                <c:pt idx="21">
                  <c:v>36.700000000000003</c:v>
                </c:pt>
                <c:pt idx="22">
                  <c:v>10.7</c:v>
                </c:pt>
                <c:pt idx="23">
                  <c:v>100</c:v>
                </c:pt>
                <c:pt idx="24">
                  <c:v>100</c:v>
                </c:pt>
                <c:pt idx="25">
                  <c:v>66.3</c:v>
                </c:pt>
                <c:pt idx="26">
                  <c:v>54</c:v>
                </c:pt>
                <c:pt idx="27">
                  <c:v>27</c:v>
                </c:pt>
                <c:pt idx="28">
                  <c:v>97.5</c:v>
                </c:pt>
                <c:pt idx="29">
                  <c:v>59.3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{"石化","煤炭","有色","基化","建材","钢铁","电新","军工","机械","汽车","食饮","医药","农业","商贸","社服","家电","医美","纺服","轻工","地产","银行","非银","计算机","传媒","通信","电子","公用","交运","建筑","环保"}</c15:f>
                <c15:dlblRangeCache>
                  <c:ptCount val="30"/>
                  <c:pt idx="0">
                    <c:v>石化</c:v>
                  </c:pt>
                  <c:pt idx="1">
                    <c:v>煤炭</c:v>
                  </c:pt>
                  <c:pt idx="2">
                    <c:v>有色</c:v>
                  </c:pt>
                  <c:pt idx="3">
                    <c:v>基化</c:v>
                  </c:pt>
                  <c:pt idx="4">
                    <c:v>建材</c:v>
                  </c:pt>
                  <c:pt idx="5">
                    <c:v>钢铁</c:v>
                  </c:pt>
                  <c:pt idx="6">
                    <c:v>电新</c:v>
                  </c:pt>
                  <c:pt idx="7">
                    <c:v>军工</c:v>
                  </c:pt>
                  <c:pt idx="8">
                    <c:v>机械</c:v>
                  </c:pt>
                  <c:pt idx="9">
                    <c:v>汽车</c:v>
                  </c:pt>
                  <c:pt idx="10">
                    <c:v>食饮</c:v>
                  </c:pt>
                  <c:pt idx="11">
                    <c:v>医药</c:v>
                  </c:pt>
                  <c:pt idx="12">
                    <c:v>农业</c:v>
                  </c:pt>
                  <c:pt idx="13">
                    <c:v>商贸</c:v>
                  </c:pt>
                  <c:pt idx="14">
                    <c:v>社服</c:v>
                  </c:pt>
                  <c:pt idx="15">
                    <c:v>家电</c:v>
                  </c:pt>
                  <c:pt idx="16">
                    <c:v>医美</c:v>
                  </c:pt>
                  <c:pt idx="17">
                    <c:v>纺服</c:v>
                  </c:pt>
                  <c:pt idx="18">
                    <c:v>轻工</c:v>
                  </c:pt>
                  <c:pt idx="19">
                    <c:v>地产</c:v>
                  </c:pt>
                  <c:pt idx="20">
                    <c:v>银行</c:v>
                  </c:pt>
                  <c:pt idx="21">
                    <c:v>非银</c:v>
                  </c:pt>
                  <c:pt idx="22">
                    <c:v>计算机</c:v>
                  </c:pt>
                  <c:pt idx="23">
                    <c:v>传媒</c:v>
                  </c:pt>
                  <c:pt idx="24">
                    <c:v>通信</c:v>
                  </c:pt>
                  <c:pt idx="25">
                    <c:v>电子</c:v>
                  </c:pt>
                  <c:pt idx="26">
                    <c:v>公用</c:v>
                  </c:pt>
                  <c:pt idx="27">
                    <c:v>交运</c:v>
                  </c:pt>
                  <c:pt idx="28">
                    <c:v>建筑</c:v>
                  </c:pt>
                  <c:pt idx="29">
                    <c:v>环保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09D5-4DB2-912D-5FF13C713C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1332687"/>
        <c:axId val="1891328111"/>
      </c:scatterChart>
      <c:valAx>
        <c:axId val="189133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r>
                  <a:rPr lang="zh-CN" b="1">
                    <a:solidFill>
                      <a:sysClr val="windowText" lastClr="000000"/>
                    </a:solidFill>
                  </a:rPr>
                  <a:t>景气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指数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（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2024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2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月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,%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44570799238330505"/>
              <c:y val="0.957396026209312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7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楷体" panose="02010609060101010101" pitchFamily="49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#,##0_);[Red]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891328111"/>
        <c:crosses val="autoZero"/>
        <c:crossBetween val="midCat"/>
      </c:valAx>
      <c:valAx>
        <c:axId val="1891328111"/>
        <c:scaling>
          <c:orientation val="minMax"/>
          <c:max val="100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r>
                  <a:rPr lang="zh-CN" altLang="en-US" b="1">
                    <a:solidFill>
                      <a:sysClr val="windowText" lastClr="000000"/>
                    </a:solidFill>
                  </a:rPr>
                  <a:t>北向配置系数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分位数（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2016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以来）</a:t>
                </a:r>
              </a:p>
            </c:rich>
          </c:tx>
          <c:layout>
            <c:manualLayout>
              <c:xMode val="edge"/>
              <c:yMode val="edge"/>
              <c:x val="0"/>
              <c:y val="0.286346470592323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lang="zh-CN" sz="7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楷体" panose="02010609060101010101" pitchFamily="49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#,##0_);[Red]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891332687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700">
          <a:solidFill>
            <a:schemeClr val="tx1"/>
          </a:solidFill>
          <a:latin typeface="Arial" panose="020B0604020202020204" pitchFamily="34" charset="0"/>
          <a:ea typeface="楷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29093370236"/>
          <c:h val="0.71101148148148197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'面板-景气指数'!$A$37</c:f>
              <c:strCache>
                <c:ptCount val="1"/>
                <c:pt idx="0">
                  <c:v>石油石化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'面板-景气指数'!$G$37:$CZ$37</c:f>
              <c:numCache>
                <c:formatCode>0.0%</c:formatCode>
                <c:ptCount val="98"/>
                <c:pt idx="0">
                  <c:v>0.59319999999999995</c:v>
                </c:pt>
                <c:pt idx="1">
                  <c:v>0.47809999999999997</c:v>
                </c:pt>
                <c:pt idx="2">
                  <c:v>0.44264999999999993</c:v>
                </c:pt>
                <c:pt idx="3">
                  <c:v>0.57094999999999996</c:v>
                </c:pt>
                <c:pt idx="4">
                  <c:v>0.72839999999999994</c:v>
                </c:pt>
                <c:pt idx="5">
                  <c:v>0.80289999999999995</c:v>
                </c:pt>
                <c:pt idx="6">
                  <c:v>0.75119999999999998</c:v>
                </c:pt>
                <c:pt idx="7">
                  <c:v>0.64515000000000011</c:v>
                </c:pt>
                <c:pt idx="8">
                  <c:v>0.59604999999999997</c:v>
                </c:pt>
                <c:pt idx="9">
                  <c:v>0.73924999999999996</c:v>
                </c:pt>
                <c:pt idx="10">
                  <c:v>0.76705000000000001</c:v>
                </c:pt>
                <c:pt idx="11">
                  <c:v>0.7742</c:v>
                </c:pt>
                <c:pt idx="12">
                  <c:v>0.64639999999999997</c:v>
                </c:pt>
                <c:pt idx="13">
                  <c:v>0.61309999999999998</c:v>
                </c:pt>
                <c:pt idx="14">
                  <c:v>0.54499999999999993</c:v>
                </c:pt>
                <c:pt idx="15">
                  <c:v>0.57455000000000001</c:v>
                </c:pt>
                <c:pt idx="16">
                  <c:v>0.65375000000000005</c:v>
                </c:pt>
                <c:pt idx="17">
                  <c:v>0.69240000000000002</c:v>
                </c:pt>
                <c:pt idx="18">
                  <c:v>0.68235000000000001</c:v>
                </c:pt>
                <c:pt idx="19">
                  <c:v>0.6925</c:v>
                </c:pt>
                <c:pt idx="20">
                  <c:v>0.65969999999999995</c:v>
                </c:pt>
                <c:pt idx="21">
                  <c:v>0.69000000000000006</c:v>
                </c:pt>
                <c:pt idx="22">
                  <c:v>0.66895000000000004</c:v>
                </c:pt>
                <c:pt idx="23">
                  <c:v>0.72404999999999997</c:v>
                </c:pt>
                <c:pt idx="24">
                  <c:v>0.78680000000000005</c:v>
                </c:pt>
                <c:pt idx="25">
                  <c:v>0.87435000000000007</c:v>
                </c:pt>
                <c:pt idx="26">
                  <c:v>0.82529999999999992</c:v>
                </c:pt>
                <c:pt idx="27">
                  <c:v>0.77859999999999996</c:v>
                </c:pt>
                <c:pt idx="28">
                  <c:v>0.76764999999999994</c:v>
                </c:pt>
                <c:pt idx="29">
                  <c:v>0.80695000000000006</c:v>
                </c:pt>
                <c:pt idx="30">
                  <c:v>0.7399</c:v>
                </c:pt>
                <c:pt idx="31">
                  <c:v>0.66725000000000001</c:v>
                </c:pt>
                <c:pt idx="32">
                  <c:v>0.57674999999999998</c:v>
                </c:pt>
                <c:pt idx="33">
                  <c:v>0.46019999999999994</c:v>
                </c:pt>
                <c:pt idx="34">
                  <c:v>0.37534999999999996</c:v>
                </c:pt>
                <c:pt idx="35">
                  <c:v>0.38224999999999998</c:v>
                </c:pt>
                <c:pt idx="36">
                  <c:v>0.36749999999999999</c:v>
                </c:pt>
                <c:pt idx="37">
                  <c:v>0.35345000000000004</c:v>
                </c:pt>
                <c:pt idx="38">
                  <c:v>0.34004999999999996</c:v>
                </c:pt>
                <c:pt idx="39">
                  <c:v>0.2681</c:v>
                </c:pt>
                <c:pt idx="40">
                  <c:v>0.23714999999999997</c:v>
                </c:pt>
                <c:pt idx="41">
                  <c:v>0.17874999999999999</c:v>
                </c:pt>
                <c:pt idx="42">
                  <c:v>0.2041</c:v>
                </c:pt>
                <c:pt idx="43">
                  <c:v>0.27689999999999998</c:v>
                </c:pt>
                <c:pt idx="44">
                  <c:v>0.3075</c:v>
                </c:pt>
                <c:pt idx="45">
                  <c:v>0.33200000000000002</c:v>
                </c:pt>
                <c:pt idx="46">
                  <c:v>0.32364999999999999</c:v>
                </c:pt>
                <c:pt idx="47">
                  <c:v>0.26944999999999997</c:v>
                </c:pt>
                <c:pt idx="48">
                  <c:v>0.27790000000000004</c:v>
                </c:pt>
                <c:pt idx="49">
                  <c:v>0.32584999999999997</c:v>
                </c:pt>
                <c:pt idx="50">
                  <c:v>0.28055000000000002</c:v>
                </c:pt>
                <c:pt idx="51">
                  <c:v>0.29990000000000006</c:v>
                </c:pt>
                <c:pt idx="52">
                  <c:v>0.31410000000000005</c:v>
                </c:pt>
                <c:pt idx="53">
                  <c:v>0.32845000000000002</c:v>
                </c:pt>
                <c:pt idx="54">
                  <c:v>0.39534999999999998</c:v>
                </c:pt>
                <c:pt idx="55">
                  <c:v>0.44400000000000006</c:v>
                </c:pt>
                <c:pt idx="56">
                  <c:v>0.46395000000000003</c:v>
                </c:pt>
                <c:pt idx="57">
                  <c:v>0.43830000000000002</c:v>
                </c:pt>
                <c:pt idx="58">
                  <c:v>0.42700000000000005</c:v>
                </c:pt>
                <c:pt idx="59">
                  <c:v>0.39590000000000009</c:v>
                </c:pt>
                <c:pt idx="60">
                  <c:v>0.44315000000000004</c:v>
                </c:pt>
                <c:pt idx="61">
                  <c:v>0.44025000000000003</c:v>
                </c:pt>
                <c:pt idx="62">
                  <c:v>0.48094999999999999</c:v>
                </c:pt>
                <c:pt idx="63">
                  <c:v>0.53220000000000001</c:v>
                </c:pt>
                <c:pt idx="64">
                  <c:v>0.61834999999999996</c:v>
                </c:pt>
                <c:pt idx="65">
                  <c:v>0.67359999999999998</c:v>
                </c:pt>
                <c:pt idx="66">
                  <c:v>0.66010000000000002</c:v>
                </c:pt>
                <c:pt idx="67">
                  <c:v>0.62565000000000004</c:v>
                </c:pt>
                <c:pt idx="68">
                  <c:v>0.61935000000000007</c:v>
                </c:pt>
                <c:pt idx="69">
                  <c:v>0.64935000000000009</c:v>
                </c:pt>
                <c:pt idx="70">
                  <c:v>0.67159999999999997</c:v>
                </c:pt>
                <c:pt idx="71">
                  <c:v>0.72235000000000005</c:v>
                </c:pt>
                <c:pt idx="72">
                  <c:v>0.71870000000000001</c:v>
                </c:pt>
                <c:pt idx="73">
                  <c:v>0.71114999999999995</c:v>
                </c:pt>
                <c:pt idx="74">
                  <c:v>0.66684999999999994</c:v>
                </c:pt>
                <c:pt idx="75">
                  <c:v>0.62030000000000007</c:v>
                </c:pt>
                <c:pt idx="76">
                  <c:v>0.56005000000000005</c:v>
                </c:pt>
                <c:pt idx="77">
                  <c:v>0.54475000000000007</c:v>
                </c:pt>
                <c:pt idx="78">
                  <c:v>0.5494</c:v>
                </c:pt>
                <c:pt idx="79">
                  <c:v>0.53579999999999994</c:v>
                </c:pt>
                <c:pt idx="80">
                  <c:v>0.53849999999999998</c:v>
                </c:pt>
                <c:pt idx="81">
                  <c:v>0.48594999999999999</c:v>
                </c:pt>
                <c:pt idx="82">
                  <c:v>0.39734999999999998</c:v>
                </c:pt>
                <c:pt idx="83">
                  <c:v>0.29649999999999999</c:v>
                </c:pt>
                <c:pt idx="84">
                  <c:v>0.23124999999999998</c:v>
                </c:pt>
                <c:pt idx="85">
                  <c:v>0.21860000000000002</c:v>
                </c:pt>
                <c:pt idx="86">
                  <c:v>0.22995000000000002</c:v>
                </c:pt>
                <c:pt idx="87">
                  <c:v>0.23569999999999999</c:v>
                </c:pt>
                <c:pt idx="88">
                  <c:v>0.19434999999999999</c:v>
                </c:pt>
                <c:pt idx="89">
                  <c:v>0.17515000000000003</c:v>
                </c:pt>
                <c:pt idx="90">
                  <c:v>0.15875</c:v>
                </c:pt>
                <c:pt idx="91">
                  <c:v>0.16475000000000001</c:v>
                </c:pt>
                <c:pt idx="92">
                  <c:v>0.18380000000000002</c:v>
                </c:pt>
                <c:pt idx="93">
                  <c:v>0.32400000000000001</c:v>
                </c:pt>
                <c:pt idx="94">
                  <c:v>0.34484999999999999</c:v>
                </c:pt>
                <c:pt idx="95">
                  <c:v>0.36959999999999998</c:v>
                </c:pt>
                <c:pt idx="96">
                  <c:v>0.30654999999999999</c:v>
                </c:pt>
                <c:pt idx="97">
                  <c:v>0.30374999999999996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43-45C7-B3C7-D42638FD1419}"/>
            </c:ext>
          </c:extLst>
        </c:ser>
        <c:ser>
          <c:idx val="1"/>
          <c:order val="1"/>
          <c:tx>
            <c:strRef>
              <c:f>'面板-景气指数'!$A$70</c:f>
              <c:strCache>
                <c:ptCount val="1"/>
                <c:pt idx="0">
                  <c:v>油气开采/油服工程</c:v>
                </c:pt>
              </c:strCache>
            </c:strRef>
          </c:tx>
          <c:spPr>
            <a:ln w="12700" cap="rnd" cmpd="sng" algn="ctr">
              <a:solidFill>
                <a:srgbClr val="00AEEF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'面板-景气指数'!$G$70:$CZ$70</c:f>
              <c:numCache>
                <c:formatCode>0.0%</c:formatCode>
                <c:ptCount val="98"/>
                <c:pt idx="0">
                  <c:v>0.6740769230769228</c:v>
                </c:pt>
                <c:pt idx="1">
                  <c:v>0.65799999999999981</c:v>
                </c:pt>
                <c:pt idx="2">
                  <c:v>0.65353846153846129</c:v>
                </c:pt>
                <c:pt idx="3">
                  <c:v>0.6786153846153844</c:v>
                </c:pt>
                <c:pt idx="4">
                  <c:v>0.71569230769230752</c:v>
                </c:pt>
                <c:pt idx="5">
                  <c:v>0.75815384615384596</c:v>
                </c:pt>
                <c:pt idx="6">
                  <c:v>0.75615384615384595</c:v>
                </c:pt>
                <c:pt idx="7">
                  <c:v>0.69853846153846144</c:v>
                </c:pt>
                <c:pt idx="8">
                  <c:v>0.64776923076923065</c:v>
                </c:pt>
                <c:pt idx="9">
                  <c:v>0.60476923076923061</c:v>
                </c:pt>
                <c:pt idx="10">
                  <c:v>0.64161538461538448</c:v>
                </c:pt>
                <c:pt idx="11">
                  <c:v>0.66392307692307673</c:v>
                </c:pt>
                <c:pt idx="12">
                  <c:v>0.68376923076923068</c:v>
                </c:pt>
                <c:pt idx="13">
                  <c:v>0.71061538461538443</c:v>
                </c:pt>
                <c:pt idx="14">
                  <c:v>0.7167692307692306</c:v>
                </c:pt>
                <c:pt idx="15">
                  <c:v>0.73423076923076913</c:v>
                </c:pt>
                <c:pt idx="16">
                  <c:v>0.75053846153846138</c:v>
                </c:pt>
                <c:pt idx="17">
                  <c:v>0.77661538461538449</c:v>
                </c:pt>
                <c:pt idx="18">
                  <c:v>0.78915384615384598</c:v>
                </c:pt>
                <c:pt idx="19">
                  <c:v>0.81607692307692292</c:v>
                </c:pt>
                <c:pt idx="20">
                  <c:v>0.84853846153846135</c:v>
                </c:pt>
                <c:pt idx="21">
                  <c:v>0.85099999999999987</c:v>
                </c:pt>
                <c:pt idx="22">
                  <c:v>0.85199999999999998</c:v>
                </c:pt>
                <c:pt idx="23">
                  <c:v>0.83661538461538432</c:v>
                </c:pt>
                <c:pt idx="24">
                  <c:v>0.85561538461538444</c:v>
                </c:pt>
                <c:pt idx="25">
                  <c:v>0.84599999999999986</c:v>
                </c:pt>
                <c:pt idx="26">
                  <c:v>0.7479230769230768</c:v>
                </c:pt>
                <c:pt idx="27">
                  <c:v>0.68738461538461526</c:v>
                </c:pt>
                <c:pt idx="28">
                  <c:v>0.715230769230769</c:v>
                </c:pt>
                <c:pt idx="29">
                  <c:v>0.74769230769230755</c:v>
                </c:pt>
                <c:pt idx="30">
                  <c:v>0.68869230769230749</c:v>
                </c:pt>
                <c:pt idx="31">
                  <c:v>0.67707692307692291</c:v>
                </c:pt>
                <c:pt idx="32">
                  <c:v>0.66007692307692289</c:v>
                </c:pt>
                <c:pt idx="33">
                  <c:v>0.62507692307692286</c:v>
                </c:pt>
                <c:pt idx="34">
                  <c:v>0.5446153846153845</c:v>
                </c:pt>
                <c:pt idx="35">
                  <c:v>0.51592307692307682</c:v>
                </c:pt>
                <c:pt idx="36">
                  <c:v>0.44907692307692298</c:v>
                </c:pt>
                <c:pt idx="37">
                  <c:v>0.40538461538461534</c:v>
                </c:pt>
                <c:pt idx="38">
                  <c:v>0.34007692307692294</c:v>
                </c:pt>
                <c:pt idx="39">
                  <c:v>0.24069230769230765</c:v>
                </c:pt>
                <c:pt idx="40">
                  <c:v>0.20438461538461533</c:v>
                </c:pt>
                <c:pt idx="41">
                  <c:v>0.18669230769230766</c:v>
                </c:pt>
                <c:pt idx="42">
                  <c:v>0.20899999999999996</c:v>
                </c:pt>
                <c:pt idx="43">
                  <c:v>0.20953846153846148</c:v>
                </c:pt>
                <c:pt idx="44">
                  <c:v>0.15699999999999997</c:v>
                </c:pt>
                <c:pt idx="45">
                  <c:v>8.9153846153846139E-2</c:v>
                </c:pt>
                <c:pt idx="46">
                  <c:v>5.9615384615384612E-2</c:v>
                </c:pt>
                <c:pt idx="47">
                  <c:v>7.046153846153845E-2</c:v>
                </c:pt>
                <c:pt idx="48">
                  <c:v>0.16153846153846152</c:v>
                </c:pt>
                <c:pt idx="49">
                  <c:v>0.34623076923076912</c:v>
                </c:pt>
                <c:pt idx="50">
                  <c:v>0.38746153846153841</c:v>
                </c:pt>
                <c:pt idx="51">
                  <c:v>0.40053846153846151</c:v>
                </c:pt>
                <c:pt idx="52">
                  <c:v>0.37230769230769228</c:v>
                </c:pt>
                <c:pt idx="53">
                  <c:v>0.36099999999999993</c:v>
                </c:pt>
                <c:pt idx="54">
                  <c:v>0.41438461538461524</c:v>
                </c:pt>
                <c:pt idx="55">
                  <c:v>0.47792307692307689</c:v>
                </c:pt>
                <c:pt idx="56">
                  <c:v>0.49192307692307685</c:v>
                </c:pt>
                <c:pt idx="57">
                  <c:v>0.5466923076923077</c:v>
                </c:pt>
                <c:pt idx="58">
                  <c:v>0.55730769230769217</c:v>
                </c:pt>
                <c:pt idx="59">
                  <c:v>0.55953846153846154</c:v>
                </c:pt>
                <c:pt idx="60">
                  <c:v>0.49330769230769228</c:v>
                </c:pt>
                <c:pt idx="61">
                  <c:v>0.39461538461538453</c:v>
                </c:pt>
                <c:pt idx="62">
                  <c:v>0.36838461538461537</c:v>
                </c:pt>
                <c:pt idx="63">
                  <c:v>0.43053846153846143</c:v>
                </c:pt>
                <c:pt idx="64">
                  <c:v>0.56846153846153835</c:v>
                </c:pt>
                <c:pt idx="65">
                  <c:v>0.67015384615384599</c:v>
                </c:pt>
                <c:pt idx="66">
                  <c:v>0.67738461538461525</c:v>
                </c:pt>
                <c:pt idx="67">
                  <c:v>0.63515384615384607</c:v>
                </c:pt>
                <c:pt idx="68">
                  <c:v>0.64753846153846151</c:v>
                </c:pt>
                <c:pt idx="69">
                  <c:v>0.66623076923076918</c:v>
                </c:pt>
                <c:pt idx="70">
                  <c:v>0.63961538461538447</c:v>
                </c:pt>
                <c:pt idx="71">
                  <c:v>0.6229230769230768</c:v>
                </c:pt>
                <c:pt idx="72">
                  <c:v>0.60061538461538455</c:v>
                </c:pt>
                <c:pt idx="73">
                  <c:v>0.5782307692307691</c:v>
                </c:pt>
                <c:pt idx="74">
                  <c:v>0.55423076923076919</c:v>
                </c:pt>
                <c:pt idx="75">
                  <c:v>0.49930769230769229</c:v>
                </c:pt>
                <c:pt idx="76">
                  <c:v>0.44538461538461532</c:v>
                </c:pt>
                <c:pt idx="77">
                  <c:v>0.41107692307692301</c:v>
                </c:pt>
                <c:pt idx="78">
                  <c:v>0.40153846153846146</c:v>
                </c:pt>
                <c:pt idx="79">
                  <c:v>0.36392307692307685</c:v>
                </c:pt>
                <c:pt idx="80">
                  <c:v>0.34599999999999997</c:v>
                </c:pt>
                <c:pt idx="81">
                  <c:v>0.3146923076923076</c:v>
                </c:pt>
                <c:pt idx="82">
                  <c:v>0.31192307692307686</c:v>
                </c:pt>
                <c:pt idx="83">
                  <c:v>0.32315384615384612</c:v>
                </c:pt>
                <c:pt idx="84">
                  <c:v>0.33369230769230762</c:v>
                </c:pt>
                <c:pt idx="85">
                  <c:v>0.32015384615384612</c:v>
                </c:pt>
                <c:pt idx="86">
                  <c:v>0.28753846153846152</c:v>
                </c:pt>
                <c:pt idx="87">
                  <c:v>0.26838461538461533</c:v>
                </c:pt>
                <c:pt idx="88">
                  <c:v>0.24353846153846148</c:v>
                </c:pt>
                <c:pt idx="89">
                  <c:v>0.25869230769230767</c:v>
                </c:pt>
                <c:pt idx="90">
                  <c:v>0.2442307692307692</c:v>
                </c:pt>
                <c:pt idx="91">
                  <c:v>0.24807692307692303</c:v>
                </c:pt>
                <c:pt idx="92">
                  <c:v>0.24399999999999997</c:v>
                </c:pt>
                <c:pt idx="93">
                  <c:v>0.25453846153846149</c:v>
                </c:pt>
                <c:pt idx="94">
                  <c:v>0.20907692307692302</c:v>
                </c:pt>
                <c:pt idx="95">
                  <c:v>0.15830769230769226</c:v>
                </c:pt>
                <c:pt idx="96">
                  <c:v>0.11084615384615383</c:v>
                </c:pt>
                <c:pt idx="97">
                  <c:v>8.9846153846153839E-2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B43-45C7-B3C7-D42638FD1419}"/>
            </c:ext>
          </c:extLst>
        </c:ser>
        <c:ser>
          <c:idx val="2"/>
          <c:order val="2"/>
          <c:tx>
            <c:strRef>
              <c:f>'面板-景气指数'!$A$71</c:f>
              <c:strCache>
                <c:ptCount val="1"/>
                <c:pt idx="0">
                  <c:v>炼化及贸易</c:v>
                </c:pt>
              </c:strCache>
            </c:strRef>
          </c:tx>
          <c:spPr>
            <a:ln w="12700" cap="rnd" cmpd="sng" algn="ctr">
              <a:solidFill>
                <a:srgbClr val="FF6464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'面板-景气指数'!$F$71:$CZ$71</c:f>
              <c:numCache>
                <c:formatCode>0.0%</c:formatCode>
                <c:ptCount val="99"/>
                <c:pt idx="0">
                  <c:v>0.505</c:v>
                </c:pt>
                <c:pt idx="1">
                  <c:v>0.443</c:v>
                </c:pt>
                <c:pt idx="2">
                  <c:v>0.14399999999999999</c:v>
                </c:pt>
                <c:pt idx="3">
                  <c:v>5.0999999999999997E-2</c:v>
                </c:pt>
                <c:pt idx="4">
                  <c:v>0.371</c:v>
                </c:pt>
                <c:pt idx="5">
                  <c:v>0.752</c:v>
                </c:pt>
                <c:pt idx="6">
                  <c:v>0.88600000000000001</c:v>
                </c:pt>
                <c:pt idx="7">
                  <c:v>0.74199999999999999</c:v>
                </c:pt>
                <c:pt idx="8">
                  <c:v>0.54600000000000004</c:v>
                </c:pt>
                <c:pt idx="9">
                  <c:v>0.5</c:v>
                </c:pt>
                <c:pt idx="10">
                  <c:v>0.98899999999999999</c:v>
                </c:pt>
                <c:pt idx="11">
                  <c:v>1</c:v>
                </c:pt>
                <c:pt idx="12">
                  <c:v>0.97899999999999998</c:v>
                </c:pt>
                <c:pt idx="13">
                  <c:v>0.57699999999999996</c:v>
                </c:pt>
                <c:pt idx="14">
                  <c:v>0.43200000000000005</c:v>
                </c:pt>
                <c:pt idx="15">
                  <c:v>0.22600000000000003</c:v>
                </c:pt>
                <c:pt idx="16">
                  <c:v>0.27800000000000002</c:v>
                </c:pt>
                <c:pt idx="17">
                  <c:v>0.47400000000000003</c:v>
                </c:pt>
                <c:pt idx="18">
                  <c:v>0.53600000000000003</c:v>
                </c:pt>
                <c:pt idx="19">
                  <c:v>0.48400000000000004</c:v>
                </c:pt>
                <c:pt idx="20">
                  <c:v>0.46300000000000002</c:v>
                </c:pt>
                <c:pt idx="21">
                  <c:v>0.309</c:v>
                </c:pt>
                <c:pt idx="22">
                  <c:v>0.39100000000000001</c:v>
                </c:pt>
                <c:pt idx="23">
                  <c:v>0.32900000000000001</c:v>
                </c:pt>
                <c:pt idx="24">
                  <c:v>0.51500000000000001</c:v>
                </c:pt>
                <c:pt idx="25">
                  <c:v>0.65900000000000003</c:v>
                </c:pt>
                <c:pt idx="26">
                  <c:v>0.92700000000000016</c:v>
                </c:pt>
                <c:pt idx="27">
                  <c:v>0.96899999999999997</c:v>
                </c:pt>
                <c:pt idx="28">
                  <c:v>0.94800000000000006</c:v>
                </c:pt>
                <c:pt idx="29">
                  <c:v>0.86499999999999999</c:v>
                </c:pt>
                <c:pt idx="30">
                  <c:v>0.91700000000000015</c:v>
                </c:pt>
                <c:pt idx="31">
                  <c:v>0.83499999999999996</c:v>
                </c:pt>
                <c:pt idx="32">
                  <c:v>0.64900000000000002</c:v>
                </c:pt>
                <c:pt idx="33">
                  <c:v>0.42200000000000004</c:v>
                </c:pt>
                <c:pt idx="34">
                  <c:v>0.154</c:v>
                </c:pt>
                <c:pt idx="35">
                  <c:v>6.0999999999999999E-2</c:v>
                </c:pt>
                <c:pt idx="36">
                  <c:v>0.13400000000000001</c:v>
                </c:pt>
                <c:pt idx="37">
                  <c:v>0.21600000000000003</c:v>
                </c:pt>
                <c:pt idx="38">
                  <c:v>0.25700000000000001</c:v>
                </c:pt>
                <c:pt idx="39">
                  <c:v>0.34</c:v>
                </c:pt>
                <c:pt idx="40">
                  <c:v>0.31900000000000001</c:v>
                </c:pt>
                <c:pt idx="41">
                  <c:v>0.29799999999999999</c:v>
                </c:pt>
                <c:pt idx="42">
                  <c:v>0.16400000000000001</c:v>
                </c:pt>
                <c:pt idx="43">
                  <c:v>0.19499999999999998</c:v>
                </c:pt>
                <c:pt idx="44">
                  <c:v>0.40200000000000002</c:v>
                </c:pt>
                <c:pt idx="45">
                  <c:v>0.58699999999999997</c:v>
                </c:pt>
                <c:pt idx="46">
                  <c:v>0.78300000000000014</c:v>
                </c:pt>
                <c:pt idx="47">
                  <c:v>0.81400000000000006</c:v>
                </c:pt>
                <c:pt idx="48">
                  <c:v>0.63900000000000001</c:v>
                </c:pt>
                <c:pt idx="49">
                  <c:v>0.49400000000000005</c:v>
                </c:pt>
                <c:pt idx="50">
                  <c:v>0.28799999999999998</c:v>
                </c:pt>
                <c:pt idx="51">
                  <c:v>8.2000000000000003E-2</c:v>
                </c:pt>
                <c:pt idx="52">
                  <c:v>0.11300000000000002</c:v>
                </c:pt>
                <c:pt idx="53">
                  <c:v>0.20600000000000002</c:v>
                </c:pt>
                <c:pt idx="54">
                  <c:v>0.26800000000000002</c:v>
                </c:pt>
                <c:pt idx="55">
                  <c:v>0.36000000000000004</c:v>
                </c:pt>
                <c:pt idx="56">
                  <c:v>0.38100000000000001</c:v>
                </c:pt>
                <c:pt idx="57">
                  <c:v>0.41200000000000003</c:v>
                </c:pt>
                <c:pt idx="58">
                  <c:v>0.23700000000000002</c:v>
                </c:pt>
                <c:pt idx="59">
                  <c:v>0.18500000000000003</c:v>
                </c:pt>
                <c:pt idx="60">
                  <c:v>9.1999999999999998E-2</c:v>
                </c:pt>
                <c:pt idx="61">
                  <c:v>0.35</c:v>
                </c:pt>
                <c:pt idx="62">
                  <c:v>0.52500000000000002</c:v>
                </c:pt>
                <c:pt idx="63">
                  <c:v>0.69</c:v>
                </c:pt>
                <c:pt idx="64">
                  <c:v>0.72099999999999997</c:v>
                </c:pt>
                <c:pt idx="65">
                  <c:v>0.71099999999999997</c:v>
                </c:pt>
                <c:pt idx="66">
                  <c:v>0.68</c:v>
                </c:pt>
                <c:pt idx="67">
                  <c:v>0.628</c:v>
                </c:pt>
                <c:pt idx="68">
                  <c:v>0.60799999999999998</c:v>
                </c:pt>
                <c:pt idx="69">
                  <c:v>0.56699999999999995</c:v>
                </c:pt>
                <c:pt idx="70">
                  <c:v>0.61799999999999999</c:v>
                </c:pt>
                <c:pt idx="71">
                  <c:v>0.73099999999999998</c:v>
                </c:pt>
                <c:pt idx="72">
                  <c:v>0.90700000000000014</c:v>
                </c:pt>
                <c:pt idx="73">
                  <c:v>0.93800000000000006</c:v>
                </c:pt>
                <c:pt idx="74">
                  <c:v>0.95800000000000007</c:v>
                </c:pt>
                <c:pt idx="75">
                  <c:v>0.876</c:v>
                </c:pt>
                <c:pt idx="76">
                  <c:v>0.84499999999999997</c:v>
                </c:pt>
                <c:pt idx="77">
                  <c:v>0.77300000000000013</c:v>
                </c:pt>
                <c:pt idx="78">
                  <c:v>0.79300000000000015</c:v>
                </c:pt>
                <c:pt idx="79">
                  <c:v>0.82400000000000007</c:v>
                </c:pt>
                <c:pt idx="80">
                  <c:v>0.85499999999999998</c:v>
                </c:pt>
                <c:pt idx="81">
                  <c:v>0.89600000000000002</c:v>
                </c:pt>
                <c:pt idx="82">
                  <c:v>0.80400000000000005</c:v>
                </c:pt>
                <c:pt idx="83">
                  <c:v>0.55600000000000005</c:v>
                </c:pt>
                <c:pt idx="84">
                  <c:v>0.24700000000000003</c:v>
                </c:pt>
                <c:pt idx="85">
                  <c:v>4.1000000000000002E-2</c:v>
                </c:pt>
                <c:pt idx="86">
                  <c:v>0.03</c:v>
                </c:pt>
                <c:pt idx="87">
                  <c:v>0.123</c:v>
                </c:pt>
                <c:pt idx="88">
                  <c:v>0.17499999999999999</c:v>
                </c:pt>
                <c:pt idx="89">
                  <c:v>0.10300000000000001</c:v>
                </c:pt>
                <c:pt idx="90">
                  <c:v>0.02</c:v>
                </c:pt>
                <c:pt idx="91">
                  <c:v>0</c:v>
                </c:pt>
                <c:pt idx="92">
                  <c:v>0.01</c:v>
                </c:pt>
                <c:pt idx="93">
                  <c:v>7.1999999999999995E-2</c:v>
                </c:pt>
                <c:pt idx="94">
                  <c:v>0.45300000000000001</c:v>
                </c:pt>
                <c:pt idx="95">
                  <c:v>0.59699999999999998</c:v>
                </c:pt>
                <c:pt idx="96">
                  <c:v>0.76200000000000001</c:v>
                </c:pt>
                <c:pt idx="97">
                  <c:v>0.67</c:v>
                </c:pt>
                <c:pt idx="98">
                  <c:v>0.70099999999999996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B43-45C7-B3C7-D42638FD1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8.7787401574803206E-2"/>
          <c:y val="9.1138086905803405E-3"/>
          <c:w val="0.80958583880718604"/>
          <c:h val="9.5064887722367999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712664352848793E-2"/>
          <c:y val="0.12103185185185185"/>
          <c:w val="0.89764310495670796"/>
          <c:h val="0.70987740740740701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'面板-景气指数'!$A$38</c:f>
              <c:strCache>
                <c:ptCount val="1"/>
                <c:pt idx="0">
                  <c:v>煤炭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'面板-景气指数'!$F$38:$CZ$38</c:f>
              <c:numCache>
                <c:formatCode>0.0%</c:formatCode>
                <c:ptCount val="99"/>
                <c:pt idx="0">
                  <c:v>0.64833333333333398</c:v>
                </c:pt>
                <c:pt idx="1">
                  <c:v>0.6620000000000007</c:v>
                </c:pt>
                <c:pt idx="2">
                  <c:v>0.67366666666666741</c:v>
                </c:pt>
                <c:pt idx="3">
                  <c:v>0.71800000000000064</c:v>
                </c:pt>
                <c:pt idx="4">
                  <c:v>0.69533333333333402</c:v>
                </c:pt>
                <c:pt idx="5">
                  <c:v>0.66250000000000064</c:v>
                </c:pt>
                <c:pt idx="6">
                  <c:v>0.63600000000000056</c:v>
                </c:pt>
                <c:pt idx="7">
                  <c:v>0.62400000000000055</c:v>
                </c:pt>
                <c:pt idx="8">
                  <c:v>0.63483333333333392</c:v>
                </c:pt>
                <c:pt idx="9">
                  <c:v>0.67583333333333406</c:v>
                </c:pt>
                <c:pt idx="10">
                  <c:v>0.77450000000000063</c:v>
                </c:pt>
                <c:pt idx="11">
                  <c:v>0.83283333333333409</c:v>
                </c:pt>
                <c:pt idx="12">
                  <c:v>0.85050000000000092</c:v>
                </c:pt>
                <c:pt idx="13">
                  <c:v>0.84500000000000075</c:v>
                </c:pt>
                <c:pt idx="14">
                  <c:v>0.80900000000000072</c:v>
                </c:pt>
                <c:pt idx="15">
                  <c:v>0.8461666666666674</c:v>
                </c:pt>
                <c:pt idx="16">
                  <c:v>0.82350000000000068</c:v>
                </c:pt>
                <c:pt idx="17">
                  <c:v>0.82166666666666732</c:v>
                </c:pt>
                <c:pt idx="18">
                  <c:v>0.81833333333333391</c:v>
                </c:pt>
                <c:pt idx="19">
                  <c:v>0.83016666666666727</c:v>
                </c:pt>
                <c:pt idx="20">
                  <c:v>0.83716666666666739</c:v>
                </c:pt>
                <c:pt idx="21">
                  <c:v>0.85800000000000076</c:v>
                </c:pt>
                <c:pt idx="22">
                  <c:v>0.84450000000000069</c:v>
                </c:pt>
                <c:pt idx="23">
                  <c:v>0.92450000000000088</c:v>
                </c:pt>
                <c:pt idx="24">
                  <c:v>0.91100000000000081</c:v>
                </c:pt>
                <c:pt idx="25">
                  <c:v>0.87366666666666748</c:v>
                </c:pt>
                <c:pt idx="26">
                  <c:v>0.85683333333333411</c:v>
                </c:pt>
                <c:pt idx="27">
                  <c:v>0.84466666666666756</c:v>
                </c:pt>
                <c:pt idx="28">
                  <c:v>0.86083333333333423</c:v>
                </c:pt>
                <c:pt idx="29">
                  <c:v>0.78650000000000064</c:v>
                </c:pt>
                <c:pt idx="30">
                  <c:v>0.76366666666666727</c:v>
                </c:pt>
                <c:pt idx="31">
                  <c:v>0.71533333333333393</c:v>
                </c:pt>
                <c:pt idx="32">
                  <c:v>0.64833333333333387</c:v>
                </c:pt>
                <c:pt idx="33">
                  <c:v>0.62500000000000044</c:v>
                </c:pt>
                <c:pt idx="34">
                  <c:v>0.61366666666666714</c:v>
                </c:pt>
                <c:pt idx="35">
                  <c:v>0.56716666666666704</c:v>
                </c:pt>
                <c:pt idx="36">
                  <c:v>0.42866666666666703</c:v>
                </c:pt>
                <c:pt idx="37">
                  <c:v>0.49650000000000033</c:v>
                </c:pt>
                <c:pt idx="38">
                  <c:v>0.56433333333333369</c:v>
                </c:pt>
                <c:pt idx="39">
                  <c:v>0.5843333333333337</c:v>
                </c:pt>
                <c:pt idx="40">
                  <c:v>0.40483333333333371</c:v>
                </c:pt>
                <c:pt idx="41">
                  <c:v>0.24250000000000022</c:v>
                </c:pt>
                <c:pt idx="42">
                  <c:v>0.18650000000000017</c:v>
                </c:pt>
                <c:pt idx="43">
                  <c:v>0.17050000000000015</c:v>
                </c:pt>
                <c:pt idx="44">
                  <c:v>0.15700000000000011</c:v>
                </c:pt>
                <c:pt idx="45">
                  <c:v>0.12150000000000012</c:v>
                </c:pt>
                <c:pt idx="46">
                  <c:v>0.12050000000000015</c:v>
                </c:pt>
                <c:pt idx="47">
                  <c:v>0.13550000000000018</c:v>
                </c:pt>
                <c:pt idx="48">
                  <c:v>0.12783333333333347</c:v>
                </c:pt>
                <c:pt idx="49">
                  <c:v>0.16300000000000017</c:v>
                </c:pt>
                <c:pt idx="50">
                  <c:v>0.15383333333333349</c:v>
                </c:pt>
                <c:pt idx="51">
                  <c:v>0.20333333333333362</c:v>
                </c:pt>
                <c:pt idx="52">
                  <c:v>0.29816666666666714</c:v>
                </c:pt>
                <c:pt idx="53">
                  <c:v>0.33333333333333381</c:v>
                </c:pt>
                <c:pt idx="54">
                  <c:v>0.35066666666666713</c:v>
                </c:pt>
                <c:pt idx="55">
                  <c:v>0.38400000000000051</c:v>
                </c:pt>
                <c:pt idx="56">
                  <c:v>0.41150000000000059</c:v>
                </c:pt>
                <c:pt idx="57">
                  <c:v>0.45700000000000068</c:v>
                </c:pt>
                <c:pt idx="58">
                  <c:v>0.4905000000000006</c:v>
                </c:pt>
                <c:pt idx="59">
                  <c:v>0.50766666666666727</c:v>
                </c:pt>
                <c:pt idx="60">
                  <c:v>0.44833333333333386</c:v>
                </c:pt>
                <c:pt idx="61">
                  <c:v>0.42466666666666719</c:v>
                </c:pt>
                <c:pt idx="62">
                  <c:v>0.41650000000000059</c:v>
                </c:pt>
                <c:pt idx="63">
                  <c:v>0.44516666666666727</c:v>
                </c:pt>
                <c:pt idx="64">
                  <c:v>0.48966666666666725</c:v>
                </c:pt>
                <c:pt idx="65">
                  <c:v>0.51166666666666727</c:v>
                </c:pt>
                <c:pt idx="66">
                  <c:v>0.46900000000000053</c:v>
                </c:pt>
                <c:pt idx="67">
                  <c:v>0.47233333333333383</c:v>
                </c:pt>
                <c:pt idx="68">
                  <c:v>0.5048333333333338</c:v>
                </c:pt>
                <c:pt idx="69">
                  <c:v>0.5098333333333338</c:v>
                </c:pt>
                <c:pt idx="70">
                  <c:v>0.4448333333333338</c:v>
                </c:pt>
                <c:pt idx="71">
                  <c:v>0.42666666666666719</c:v>
                </c:pt>
                <c:pt idx="72">
                  <c:v>0.52016666666666722</c:v>
                </c:pt>
                <c:pt idx="73">
                  <c:v>0.54716666666666713</c:v>
                </c:pt>
                <c:pt idx="74">
                  <c:v>0.54050000000000042</c:v>
                </c:pt>
                <c:pt idx="75">
                  <c:v>0.52333333333333376</c:v>
                </c:pt>
                <c:pt idx="76">
                  <c:v>0.52850000000000041</c:v>
                </c:pt>
                <c:pt idx="77">
                  <c:v>0.53216666666666712</c:v>
                </c:pt>
                <c:pt idx="78">
                  <c:v>0.50800000000000045</c:v>
                </c:pt>
                <c:pt idx="79">
                  <c:v>0.42466666666666697</c:v>
                </c:pt>
                <c:pt idx="80">
                  <c:v>0.29916666666666697</c:v>
                </c:pt>
                <c:pt idx="81">
                  <c:v>0.26816666666666694</c:v>
                </c:pt>
                <c:pt idx="82">
                  <c:v>0.31066666666666698</c:v>
                </c:pt>
                <c:pt idx="83">
                  <c:v>0.3958333333333337</c:v>
                </c:pt>
                <c:pt idx="84">
                  <c:v>0.42133333333333367</c:v>
                </c:pt>
                <c:pt idx="85">
                  <c:v>0.3873333333333337</c:v>
                </c:pt>
                <c:pt idx="86">
                  <c:v>0.3821666666666671</c:v>
                </c:pt>
                <c:pt idx="87">
                  <c:v>0.46200000000000041</c:v>
                </c:pt>
                <c:pt idx="88">
                  <c:v>0.44000000000000034</c:v>
                </c:pt>
                <c:pt idx="89">
                  <c:v>0.31916666666666693</c:v>
                </c:pt>
                <c:pt idx="90">
                  <c:v>0.17633333333333351</c:v>
                </c:pt>
                <c:pt idx="91">
                  <c:v>0.14250000000000021</c:v>
                </c:pt>
                <c:pt idx="92">
                  <c:v>0.13416666666666688</c:v>
                </c:pt>
                <c:pt idx="93">
                  <c:v>0.12583333333333352</c:v>
                </c:pt>
                <c:pt idx="94">
                  <c:v>0.11666666666666686</c:v>
                </c:pt>
                <c:pt idx="95">
                  <c:v>0.1083333333333335</c:v>
                </c:pt>
                <c:pt idx="96">
                  <c:v>9.6666666666666817E-2</c:v>
                </c:pt>
                <c:pt idx="97">
                  <c:v>8.83333333333335E-2</c:v>
                </c:pt>
                <c:pt idx="98">
                  <c:v>9.0000000000000177E-2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5F-493A-A1B5-A32A06DFACE3}"/>
            </c:ext>
          </c:extLst>
        </c:ser>
        <c:ser>
          <c:idx val="1"/>
          <c:order val="1"/>
          <c:tx>
            <c:strRef>
              <c:f>'面板-景气指数'!$A$73</c:f>
              <c:strCache>
                <c:ptCount val="1"/>
                <c:pt idx="0">
                  <c:v>焦煤 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'面板-景气指数'!$F$73:$CZ$73</c:f>
              <c:numCache>
                <c:formatCode>0.0%</c:formatCode>
                <c:ptCount val="99"/>
                <c:pt idx="0">
                  <c:v>0.73399999999999999</c:v>
                </c:pt>
                <c:pt idx="1">
                  <c:v>0.76500000000000001</c:v>
                </c:pt>
                <c:pt idx="2">
                  <c:v>0.78499999999999992</c:v>
                </c:pt>
                <c:pt idx="3">
                  <c:v>0.77500000000000002</c:v>
                </c:pt>
                <c:pt idx="4">
                  <c:v>0.74399999999999999</c:v>
                </c:pt>
                <c:pt idx="5">
                  <c:v>0.71399999999999997</c:v>
                </c:pt>
                <c:pt idx="6">
                  <c:v>0.68300000000000005</c:v>
                </c:pt>
                <c:pt idx="7">
                  <c:v>0.59099999999999997</c:v>
                </c:pt>
                <c:pt idx="8">
                  <c:v>0.622</c:v>
                </c:pt>
                <c:pt idx="9">
                  <c:v>0.65300000000000002</c:v>
                </c:pt>
                <c:pt idx="10">
                  <c:v>0.70399999999999996</c:v>
                </c:pt>
                <c:pt idx="11">
                  <c:v>0.755</c:v>
                </c:pt>
                <c:pt idx="12">
                  <c:v>0.79500000000000004</c:v>
                </c:pt>
                <c:pt idx="13">
                  <c:v>0.82600000000000007</c:v>
                </c:pt>
                <c:pt idx="14">
                  <c:v>0.84599999999999997</c:v>
                </c:pt>
                <c:pt idx="15">
                  <c:v>0.8570000000000001</c:v>
                </c:pt>
                <c:pt idx="16">
                  <c:v>0.86699999999999988</c:v>
                </c:pt>
                <c:pt idx="17">
                  <c:v>0.83599999999999985</c:v>
                </c:pt>
                <c:pt idx="18">
                  <c:v>0.81599999999999995</c:v>
                </c:pt>
                <c:pt idx="19">
                  <c:v>0.877</c:v>
                </c:pt>
                <c:pt idx="20">
                  <c:v>0.89700000000000002</c:v>
                </c:pt>
                <c:pt idx="21">
                  <c:v>0.92800000000000005</c:v>
                </c:pt>
                <c:pt idx="22">
                  <c:v>0.95899999999999996</c:v>
                </c:pt>
                <c:pt idx="23">
                  <c:v>0.96899999999999997</c:v>
                </c:pt>
                <c:pt idx="24">
                  <c:v>0.93799999999999994</c:v>
                </c:pt>
                <c:pt idx="25">
                  <c:v>0.91800000000000004</c:v>
                </c:pt>
                <c:pt idx="26">
                  <c:v>0.88700000000000001</c:v>
                </c:pt>
                <c:pt idx="27">
                  <c:v>0.90800000000000003</c:v>
                </c:pt>
                <c:pt idx="28">
                  <c:v>0.97899999999999998</c:v>
                </c:pt>
                <c:pt idx="29">
                  <c:v>1</c:v>
                </c:pt>
                <c:pt idx="30">
                  <c:v>0.9890000000000001</c:v>
                </c:pt>
                <c:pt idx="31">
                  <c:v>0.94799999999999995</c:v>
                </c:pt>
                <c:pt idx="32">
                  <c:v>0.80600000000000005</c:v>
                </c:pt>
                <c:pt idx="33">
                  <c:v>0.72399999999999998</c:v>
                </c:pt>
                <c:pt idx="34">
                  <c:v>0.69299999999999995</c:v>
                </c:pt>
                <c:pt idx="35">
                  <c:v>0.54</c:v>
                </c:pt>
                <c:pt idx="36">
                  <c:v>0.39700000000000008</c:v>
                </c:pt>
                <c:pt idx="37">
                  <c:v>0.40799999999999997</c:v>
                </c:pt>
                <c:pt idx="38">
                  <c:v>0.38700000000000001</c:v>
                </c:pt>
                <c:pt idx="39">
                  <c:v>0.32600000000000001</c:v>
                </c:pt>
                <c:pt idx="40">
                  <c:v>0.224</c:v>
                </c:pt>
                <c:pt idx="41">
                  <c:v>0.16300000000000001</c:v>
                </c:pt>
                <c:pt idx="42">
                  <c:v>0.13200000000000001</c:v>
                </c:pt>
                <c:pt idx="43">
                  <c:v>0.122</c:v>
                </c:pt>
                <c:pt idx="44">
                  <c:v>0.14199999999999999</c:v>
                </c:pt>
                <c:pt idx="45">
                  <c:v>0.153</c:v>
                </c:pt>
                <c:pt idx="46">
                  <c:v>0.183</c:v>
                </c:pt>
                <c:pt idx="47">
                  <c:v>0.214</c:v>
                </c:pt>
                <c:pt idx="48">
                  <c:v>0.255</c:v>
                </c:pt>
                <c:pt idx="49">
                  <c:v>0.30599999999999999</c:v>
                </c:pt>
                <c:pt idx="50">
                  <c:v>0.26500000000000001</c:v>
                </c:pt>
                <c:pt idx="51">
                  <c:v>0.24399999999999999</c:v>
                </c:pt>
                <c:pt idx="52">
                  <c:v>0.23400000000000001</c:v>
                </c:pt>
                <c:pt idx="53">
                  <c:v>0.29499999999999998</c:v>
                </c:pt>
                <c:pt idx="54">
                  <c:v>0.36699999999999999</c:v>
                </c:pt>
                <c:pt idx="55">
                  <c:v>0.42799999999999999</c:v>
                </c:pt>
                <c:pt idx="56">
                  <c:v>0.44800000000000001</c:v>
                </c:pt>
                <c:pt idx="57">
                  <c:v>0.52</c:v>
                </c:pt>
                <c:pt idx="58">
                  <c:v>0.57099999999999995</c:v>
                </c:pt>
                <c:pt idx="59">
                  <c:v>0.60199999999999998</c:v>
                </c:pt>
                <c:pt idx="60">
                  <c:v>0.63200000000000001</c:v>
                </c:pt>
                <c:pt idx="61">
                  <c:v>0.66300000000000003</c:v>
                </c:pt>
                <c:pt idx="62">
                  <c:v>0.67300000000000004</c:v>
                </c:pt>
                <c:pt idx="63">
                  <c:v>0.64200000000000002</c:v>
                </c:pt>
                <c:pt idx="64">
                  <c:v>0.61199999999999999</c:v>
                </c:pt>
                <c:pt idx="65">
                  <c:v>0.56100000000000005</c:v>
                </c:pt>
                <c:pt idx="66">
                  <c:v>0.46899999999999997</c:v>
                </c:pt>
                <c:pt idx="67">
                  <c:v>0.47900000000000004</c:v>
                </c:pt>
                <c:pt idx="68">
                  <c:v>0.48899999999999999</c:v>
                </c:pt>
                <c:pt idx="69">
                  <c:v>0.5</c:v>
                </c:pt>
                <c:pt idx="70">
                  <c:v>0.53</c:v>
                </c:pt>
                <c:pt idx="71">
                  <c:v>0.55100000000000005</c:v>
                </c:pt>
                <c:pt idx="72">
                  <c:v>0.58099999999999996</c:v>
                </c:pt>
                <c:pt idx="73">
                  <c:v>0.51</c:v>
                </c:pt>
                <c:pt idx="74">
                  <c:v>0.41799999999999993</c:v>
                </c:pt>
                <c:pt idx="75">
                  <c:v>0.34599999999999997</c:v>
                </c:pt>
                <c:pt idx="76">
                  <c:v>0.33600000000000002</c:v>
                </c:pt>
                <c:pt idx="77">
                  <c:v>0.35699999999999998</c:v>
                </c:pt>
                <c:pt idx="78">
                  <c:v>0.316</c:v>
                </c:pt>
                <c:pt idx="79">
                  <c:v>0.193</c:v>
                </c:pt>
                <c:pt idx="80">
                  <c:v>0.10199999999999999</c:v>
                </c:pt>
                <c:pt idx="81">
                  <c:v>0.112</c:v>
                </c:pt>
                <c:pt idx="82">
                  <c:v>0.17299999999999999</c:v>
                </c:pt>
                <c:pt idx="83">
                  <c:v>0.20399999999999999</c:v>
                </c:pt>
                <c:pt idx="84">
                  <c:v>0.27500000000000002</c:v>
                </c:pt>
                <c:pt idx="85">
                  <c:v>0.37699999999999995</c:v>
                </c:pt>
                <c:pt idx="86">
                  <c:v>0.45900000000000002</c:v>
                </c:pt>
                <c:pt idx="87">
                  <c:v>0.43800000000000006</c:v>
                </c:pt>
                <c:pt idx="88">
                  <c:v>0.28499999999999998</c:v>
                </c:pt>
                <c:pt idx="89">
                  <c:v>9.0999999999999998E-2</c:v>
                </c:pt>
                <c:pt idx="90">
                  <c:v>8.1000000000000003E-2</c:v>
                </c:pt>
                <c:pt idx="91">
                  <c:v>7.0999999999999994E-2</c:v>
                </c:pt>
                <c:pt idx="92">
                  <c:v>6.0999999999999999E-2</c:v>
                </c:pt>
                <c:pt idx="93">
                  <c:v>5.0999999999999997E-2</c:v>
                </c:pt>
                <c:pt idx="94">
                  <c:v>0.04</c:v>
                </c:pt>
                <c:pt idx="95">
                  <c:v>0.03</c:v>
                </c:pt>
                <c:pt idx="96">
                  <c:v>0.01</c:v>
                </c:pt>
                <c:pt idx="97">
                  <c:v>0</c:v>
                </c:pt>
                <c:pt idx="98">
                  <c:v>0.02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15F-493A-A1B5-A32A06DFACE3}"/>
            </c:ext>
          </c:extLst>
        </c:ser>
        <c:ser>
          <c:idx val="2"/>
          <c:order val="2"/>
          <c:tx>
            <c:strRef>
              <c:f>'面板-景气指数'!$A$72</c:f>
              <c:strCache>
                <c:ptCount val="1"/>
                <c:pt idx="0">
                  <c:v>动力煤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'面板-景气指数'!$F$72:$CZ$72</c:f>
              <c:numCache>
                <c:formatCode>0.0%</c:formatCode>
                <c:ptCount val="99"/>
                <c:pt idx="0">
                  <c:v>0.66300000000000003</c:v>
                </c:pt>
                <c:pt idx="1">
                  <c:v>0.67300000000000004</c:v>
                </c:pt>
                <c:pt idx="2">
                  <c:v>0.68300000000000005</c:v>
                </c:pt>
                <c:pt idx="3">
                  <c:v>0.70399999999999996</c:v>
                </c:pt>
                <c:pt idx="4">
                  <c:v>0.72399999999999998</c:v>
                </c:pt>
                <c:pt idx="5">
                  <c:v>0.68300000000000005</c:v>
                </c:pt>
                <c:pt idx="6">
                  <c:v>0.65300000000000002</c:v>
                </c:pt>
                <c:pt idx="7">
                  <c:v>0.61199999999999999</c:v>
                </c:pt>
                <c:pt idx="8">
                  <c:v>0.60199999999999998</c:v>
                </c:pt>
                <c:pt idx="9">
                  <c:v>0.64200000000000002</c:v>
                </c:pt>
                <c:pt idx="10">
                  <c:v>0.78500000000000003</c:v>
                </c:pt>
                <c:pt idx="11">
                  <c:v>0.84599999999999997</c:v>
                </c:pt>
                <c:pt idx="12">
                  <c:v>0.86699999999999999</c:v>
                </c:pt>
                <c:pt idx="13">
                  <c:v>0.877</c:v>
                </c:pt>
                <c:pt idx="14">
                  <c:v>0.89700000000000002</c:v>
                </c:pt>
                <c:pt idx="15">
                  <c:v>0.98899999999999999</c:v>
                </c:pt>
                <c:pt idx="16">
                  <c:v>0.93799999999999994</c:v>
                </c:pt>
                <c:pt idx="17">
                  <c:v>0.93799999999999994</c:v>
                </c:pt>
                <c:pt idx="18">
                  <c:v>0.93799999999999994</c:v>
                </c:pt>
                <c:pt idx="19">
                  <c:v>0.93799999999999994</c:v>
                </c:pt>
                <c:pt idx="20">
                  <c:v>0.90800000000000003</c:v>
                </c:pt>
                <c:pt idx="21">
                  <c:v>0.92800000000000005</c:v>
                </c:pt>
                <c:pt idx="22">
                  <c:v>0.91800000000000004</c:v>
                </c:pt>
                <c:pt idx="23">
                  <c:v>1</c:v>
                </c:pt>
                <c:pt idx="24">
                  <c:v>0.97899999999999998</c:v>
                </c:pt>
                <c:pt idx="25">
                  <c:v>0.88700000000000001</c:v>
                </c:pt>
                <c:pt idx="26">
                  <c:v>0.85699999999999998</c:v>
                </c:pt>
                <c:pt idx="27">
                  <c:v>0.79500000000000004</c:v>
                </c:pt>
                <c:pt idx="28">
                  <c:v>0.80600000000000005</c:v>
                </c:pt>
                <c:pt idx="29">
                  <c:v>0.81599999999999995</c:v>
                </c:pt>
                <c:pt idx="30">
                  <c:v>0.81599999999999995</c:v>
                </c:pt>
                <c:pt idx="31">
                  <c:v>0.81599999999999995</c:v>
                </c:pt>
                <c:pt idx="32">
                  <c:v>0.74399999999999999</c:v>
                </c:pt>
                <c:pt idx="33">
                  <c:v>0.74399999999999999</c:v>
                </c:pt>
                <c:pt idx="34">
                  <c:v>0.74399999999999999</c:v>
                </c:pt>
                <c:pt idx="35">
                  <c:v>0.74399999999999999</c:v>
                </c:pt>
                <c:pt idx="36">
                  <c:v>0.55100000000000005</c:v>
                </c:pt>
                <c:pt idx="37">
                  <c:v>0.63200000000000001</c:v>
                </c:pt>
                <c:pt idx="38">
                  <c:v>0.73399999999999999</c:v>
                </c:pt>
                <c:pt idx="39">
                  <c:v>0.71399999999999997</c:v>
                </c:pt>
                <c:pt idx="40">
                  <c:v>0.44800000000000001</c:v>
                </c:pt>
                <c:pt idx="41">
                  <c:v>0.26500000000000001</c:v>
                </c:pt>
                <c:pt idx="42">
                  <c:v>0.214</c:v>
                </c:pt>
                <c:pt idx="43">
                  <c:v>0.193</c:v>
                </c:pt>
                <c:pt idx="44">
                  <c:v>0.17299999999999999</c:v>
                </c:pt>
                <c:pt idx="45">
                  <c:v>0.112</c:v>
                </c:pt>
                <c:pt idx="46">
                  <c:v>9.0999999999999998E-2</c:v>
                </c:pt>
                <c:pt idx="47">
                  <c:v>8.1000000000000003E-2</c:v>
                </c:pt>
                <c:pt idx="48">
                  <c:v>0.10199999999999999</c:v>
                </c:pt>
                <c:pt idx="49">
                  <c:v>0.16300000000000001</c:v>
                </c:pt>
                <c:pt idx="50">
                  <c:v>0.153</c:v>
                </c:pt>
                <c:pt idx="51">
                  <c:v>0.122</c:v>
                </c:pt>
                <c:pt idx="52">
                  <c:v>0.14199999999999999</c:v>
                </c:pt>
                <c:pt idx="53">
                  <c:v>0.183</c:v>
                </c:pt>
                <c:pt idx="54">
                  <c:v>0.20399999999999999</c:v>
                </c:pt>
                <c:pt idx="55">
                  <c:v>0.224</c:v>
                </c:pt>
                <c:pt idx="56">
                  <c:v>0.23400000000000001</c:v>
                </c:pt>
                <c:pt idx="57">
                  <c:v>0.27500000000000002</c:v>
                </c:pt>
                <c:pt idx="58">
                  <c:v>0.32600000000000001</c:v>
                </c:pt>
                <c:pt idx="59">
                  <c:v>0.36699999999999999</c:v>
                </c:pt>
                <c:pt idx="60">
                  <c:v>0.34599999999999997</c:v>
                </c:pt>
                <c:pt idx="61">
                  <c:v>0.28499999999999998</c:v>
                </c:pt>
                <c:pt idx="62">
                  <c:v>0.255</c:v>
                </c:pt>
                <c:pt idx="63">
                  <c:v>0.316</c:v>
                </c:pt>
                <c:pt idx="64">
                  <c:v>0.40799999999999997</c:v>
                </c:pt>
                <c:pt idx="65">
                  <c:v>0.45900000000000002</c:v>
                </c:pt>
                <c:pt idx="66">
                  <c:v>0.41799999999999998</c:v>
                </c:pt>
                <c:pt idx="67">
                  <c:v>0.42799999999999999</c:v>
                </c:pt>
                <c:pt idx="68">
                  <c:v>0.5</c:v>
                </c:pt>
                <c:pt idx="69">
                  <c:v>0.53</c:v>
                </c:pt>
                <c:pt idx="70">
                  <c:v>0.39700000000000002</c:v>
                </c:pt>
                <c:pt idx="71">
                  <c:v>0.35699999999999998</c:v>
                </c:pt>
                <c:pt idx="72">
                  <c:v>0.51</c:v>
                </c:pt>
                <c:pt idx="73">
                  <c:v>0.59099999999999997</c:v>
                </c:pt>
                <c:pt idx="74">
                  <c:v>0.622</c:v>
                </c:pt>
                <c:pt idx="75">
                  <c:v>0.58099999999999996</c:v>
                </c:pt>
                <c:pt idx="76">
                  <c:v>0.57099999999999995</c:v>
                </c:pt>
                <c:pt idx="77">
                  <c:v>0.56100000000000005</c:v>
                </c:pt>
                <c:pt idx="78">
                  <c:v>0.54</c:v>
                </c:pt>
                <c:pt idx="79">
                  <c:v>0.47899999999999998</c:v>
                </c:pt>
                <c:pt idx="80">
                  <c:v>0.30599999999999999</c:v>
                </c:pt>
                <c:pt idx="81">
                  <c:v>0.24399999999999999</c:v>
                </c:pt>
                <c:pt idx="82">
                  <c:v>0.29499999999999998</c:v>
                </c:pt>
                <c:pt idx="83">
                  <c:v>0.438</c:v>
                </c:pt>
                <c:pt idx="84">
                  <c:v>0.46899999999999997</c:v>
                </c:pt>
                <c:pt idx="85">
                  <c:v>0.377</c:v>
                </c:pt>
                <c:pt idx="86">
                  <c:v>0.33600000000000002</c:v>
                </c:pt>
                <c:pt idx="87">
                  <c:v>0.48899999999999999</c:v>
                </c:pt>
                <c:pt idx="88">
                  <c:v>0.52</c:v>
                </c:pt>
                <c:pt idx="89">
                  <c:v>0.38700000000000001</c:v>
                </c:pt>
                <c:pt idx="90">
                  <c:v>0.13200000000000001</c:v>
                </c:pt>
                <c:pt idx="91">
                  <c:v>7.0999999999999994E-2</c:v>
                </c:pt>
                <c:pt idx="92">
                  <c:v>6.0999999999999999E-2</c:v>
                </c:pt>
                <c:pt idx="93">
                  <c:v>5.0999999999999997E-2</c:v>
                </c:pt>
                <c:pt idx="94">
                  <c:v>0.04</c:v>
                </c:pt>
                <c:pt idx="95">
                  <c:v>0.03</c:v>
                </c:pt>
                <c:pt idx="96">
                  <c:v>0.02</c:v>
                </c:pt>
                <c:pt idx="97">
                  <c:v>0.01</c:v>
                </c:pt>
                <c:pt idx="9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15F-493A-A1B5-A32A06DFA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112871464646465"/>
          <c:y val="2.7959629629629602E-2"/>
          <c:w val="0.79515030788215901"/>
          <c:h val="6.9371943988499496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'面板-景气指数'!$A$41</c:f>
              <c:strCache>
                <c:ptCount val="1"/>
                <c:pt idx="0">
                  <c:v>钢铁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'面板-景气指数'!$F$24:$CZ$24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'面板-景气指数'!$F$41:$CZ$41</c:f>
              <c:numCache>
                <c:formatCode>0.0%</c:formatCode>
                <c:ptCount val="99"/>
                <c:pt idx="0">
                  <c:v>0.23806671746836505</c:v>
                </c:pt>
                <c:pt idx="1">
                  <c:v>0.24664027945571113</c:v>
                </c:pt>
                <c:pt idx="2">
                  <c:v>0.30124616160215623</c:v>
                </c:pt>
                <c:pt idx="3">
                  <c:v>0.35036851224227444</c:v>
                </c:pt>
                <c:pt idx="4">
                  <c:v>0.36832560573594747</c:v>
                </c:pt>
                <c:pt idx="5">
                  <c:v>0.35451645740137355</c:v>
                </c:pt>
                <c:pt idx="6">
                  <c:v>0.35121995025492841</c:v>
                </c:pt>
                <c:pt idx="7">
                  <c:v>0.35986888009582929</c:v>
                </c:pt>
                <c:pt idx="8">
                  <c:v>0.30860179477390931</c:v>
                </c:pt>
                <c:pt idx="9">
                  <c:v>0.22800261595831633</c:v>
                </c:pt>
                <c:pt idx="10">
                  <c:v>0.16319650714644515</c:v>
                </c:pt>
                <c:pt idx="11">
                  <c:v>0.15995321047729733</c:v>
                </c:pt>
                <c:pt idx="12">
                  <c:v>0.21410131913379118</c:v>
                </c:pt>
                <c:pt idx="13">
                  <c:v>0.21499591262746418</c:v>
                </c:pt>
                <c:pt idx="14">
                  <c:v>0.15641970128023633</c:v>
                </c:pt>
                <c:pt idx="15">
                  <c:v>9.9985716443057163E-2</c:v>
                </c:pt>
                <c:pt idx="16">
                  <c:v>7.4890342623742445E-2</c:v>
                </c:pt>
                <c:pt idx="17">
                  <c:v>6.3175248974692066E-2</c:v>
                </c:pt>
                <c:pt idx="18">
                  <c:v>7.2804195159099111E-2</c:v>
                </c:pt>
                <c:pt idx="19">
                  <c:v>6.1472328330852158E-2</c:v>
                </c:pt>
                <c:pt idx="20">
                  <c:v>9.400625E-2</c:v>
                </c:pt>
                <c:pt idx="21">
                  <c:v>0.12874397666542609</c:v>
                </c:pt>
                <c:pt idx="22">
                  <c:v>0.25672278166170431</c:v>
                </c:pt>
                <c:pt idx="23">
                  <c:v>0.39692050015537733</c:v>
                </c:pt>
                <c:pt idx="24">
                  <c:v>0.50014946864905041</c:v>
                </c:pt>
                <c:pt idx="25">
                  <c:v>0.57553941365277228</c:v>
                </c:pt>
                <c:pt idx="26">
                  <c:v>0.5900856718245252</c:v>
                </c:pt>
                <c:pt idx="27">
                  <c:v>0.58025777348995145</c:v>
                </c:pt>
                <c:pt idx="28">
                  <c:v>0.59951235881187126</c:v>
                </c:pt>
                <c:pt idx="29">
                  <c:v>0.62990323278656313</c:v>
                </c:pt>
                <c:pt idx="30">
                  <c:v>0.66906324692407615</c:v>
                </c:pt>
                <c:pt idx="31">
                  <c:v>0.5840891758950465</c:v>
                </c:pt>
                <c:pt idx="32">
                  <c:v>0.51259086288239253</c:v>
                </c:pt>
                <c:pt idx="33">
                  <c:v>0.61982579154260831</c:v>
                </c:pt>
                <c:pt idx="34">
                  <c:v>0.6768352297106397</c:v>
                </c:pt>
                <c:pt idx="35">
                  <c:v>0.67366312804521356</c:v>
                </c:pt>
                <c:pt idx="36">
                  <c:v>0.53053790137978729</c:v>
                </c:pt>
                <c:pt idx="37">
                  <c:v>0.49722204971436129</c:v>
                </c:pt>
                <c:pt idx="38">
                  <c:v>0.53273415955154046</c:v>
                </c:pt>
                <c:pt idx="39">
                  <c:v>0.55751456605786731</c:v>
                </c:pt>
                <c:pt idx="40">
                  <c:v>0.51481684756419432</c:v>
                </c:pt>
                <c:pt idx="41">
                  <c:v>0.46748117573966924</c:v>
                </c:pt>
                <c:pt idx="42">
                  <c:v>0.46069930891142225</c:v>
                </c:pt>
                <c:pt idx="43">
                  <c:v>0.46618701326758238</c:v>
                </c:pt>
                <c:pt idx="44">
                  <c:v>0.47325742794566245</c:v>
                </c:pt>
                <c:pt idx="45">
                  <c:v>0.45785802246464341</c:v>
                </c:pt>
                <c:pt idx="46">
                  <c:v>0.43383943596203811</c:v>
                </c:pt>
                <c:pt idx="47">
                  <c:v>0.4127998811211373</c:v>
                </c:pt>
                <c:pt idx="48">
                  <c:v>0.42101618611741548</c:v>
                </c:pt>
                <c:pt idx="49">
                  <c:v>0.48356445827130412</c:v>
                </c:pt>
                <c:pt idx="50">
                  <c:v>0.56048098993300843</c:v>
                </c:pt>
                <c:pt idx="51">
                  <c:v>0.53756933342668145</c:v>
                </c:pt>
                <c:pt idx="52">
                  <c:v>0.46606347358950234</c:v>
                </c:pt>
                <c:pt idx="53">
                  <c:v>0.37238641874860134</c:v>
                </c:pt>
                <c:pt idx="54">
                  <c:v>0.32931890240509526</c:v>
                </c:pt>
                <c:pt idx="55">
                  <c:v>0.34322019922962044</c:v>
                </c:pt>
                <c:pt idx="56">
                  <c:v>0.40895564438871956</c:v>
                </c:pt>
                <c:pt idx="57">
                  <c:v>0.51570558122068821</c:v>
                </c:pt>
                <c:pt idx="58">
                  <c:v>0.58159848772701528</c:v>
                </c:pt>
                <c:pt idx="59">
                  <c:v>0.59837912089876832</c:v>
                </c:pt>
                <c:pt idx="60">
                  <c:v>0.56076287907052136</c:v>
                </c:pt>
                <c:pt idx="61">
                  <c:v>0.51318345724599623</c:v>
                </c:pt>
                <c:pt idx="62">
                  <c:v>0.4863014269203545</c:v>
                </c:pt>
                <c:pt idx="63">
                  <c:v>0.49665494208317534</c:v>
                </c:pt>
                <c:pt idx="64">
                  <c:v>0.58363391057684832</c:v>
                </c:pt>
                <c:pt idx="65">
                  <c:v>0.65520761375232295</c:v>
                </c:pt>
                <c:pt idx="66">
                  <c:v>0.69867718493673014</c:v>
                </c:pt>
                <c:pt idx="67">
                  <c:v>0.71156702961108853</c:v>
                </c:pt>
                <c:pt idx="68">
                  <c:v>0.73772031810848304</c:v>
                </c:pt>
                <c:pt idx="69">
                  <c:v>0.76937389643933529</c:v>
                </c:pt>
                <c:pt idx="70">
                  <c:v>0.79442862294938421</c:v>
                </c:pt>
                <c:pt idx="71">
                  <c:v>0.72752257730554404</c:v>
                </c:pt>
                <c:pt idx="72">
                  <c:v>0.67409901531819827</c:v>
                </c:pt>
                <c:pt idx="73">
                  <c:v>0.65191106198734605</c:v>
                </c:pt>
                <c:pt idx="74">
                  <c:v>0.73987424198362428</c:v>
                </c:pt>
                <c:pt idx="75">
                  <c:v>0.77845878048101891</c:v>
                </c:pt>
                <c:pt idx="76">
                  <c:v>0.81475115563639655</c:v>
                </c:pt>
                <c:pt idx="77">
                  <c:v>0.84598509961481017</c:v>
                </c:pt>
                <c:pt idx="78">
                  <c:v>0.88051552843040304</c:v>
                </c:pt>
                <c:pt idx="79">
                  <c:v>0.90355159041774913</c:v>
                </c:pt>
                <c:pt idx="80">
                  <c:v>0.89336477041402751</c:v>
                </c:pt>
                <c:pt idx="81">
                  <c:v>0.83513489525865015</c:v>
                </c:pt>
                <c:pt idx="82">
                  <c:v>0.76096285676125519</c:v>
                </c:pt>
                <c:pt idx="83">
                  <c:v>0.74362186390770035</c:v>
                </c:pt>
                <c:pt idx="84">
                  <c:v>0.75559871439244142</c:v>
                </c:pt>
                <c:pt idx="85">
                  <c:v>0.75324330788611427</c:v>
                </c:pt>
                <c:pt idx="86">
                  <c:v>0.69743126121696652</c:v>
                </c:pt>
                <c:pt idx="87">
                  <c:v>0.67598041772329354</c:v>
                </c:pt>
                <c:pt idx="88">
                  <c:v>0.64757264423334215</c:v>
                </c:pt>
                <c:pt idx="89">
                  <c:v>0.60259655176497717</c:v>
                </c:pt>
                <c:pt idx="90">
                  <c:v>0.57685033445198941</c:v>
                </c:pt>
                <c:pt idx="91">
                  <c:v>0.57900512413006933</c:v>
                </c:pt>
                <c:pt idx="92">
                  <c:v>0.55742235064011814</c:v>
                </c:pt>
                <c:pt idx="93">
                  <c:v>0.52895343714272336</c:v>
                </c:pt>
                <c:pt idx="94">
                  <c:v>0.56027029579921728</c:v>
                </c:pt>
                <c:pt idx="95">
                  <c:v>0.5268773892928903</c:v>
                </c:pt>
                <c:pt idx="96">
                  <c:v>0.39870717897097036</c:v>
                </c:pt>
                <c:pt idx="97">
                  <c:v>0.24992584349367303</c:v>
                </c:pt>
                <c:pt idx="98">
                  <c:v>0.16848192999627826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64-4C1C-BE62-897C9A168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97752525252501"/>
          <c:y val="2.7959629629629602E-2"/>
          <c:w val="0.69338042631157304"/>
          <c:h val="7.35664341121567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'面板-景气指数'!$A$42</c:f>
              <c:strCache>
                <c:ptCount val="1"/>
                <c:pt idx="0">
                  <c:v>建筑材料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'面板-景气指数'!$F$42:$CZ$42</c:f>
              <c:numCache>
                <c:formatCode>0.0%</c:formatCode>
                <c:ptCount val="99"/>
                <c:pt idx="0">
                  <c:v>0.26686984816800052</c:v>
                </c:pt>
                <c:pt idx="1">
                  <c:v>0.2991988140862773</c:v>
                </c:pt>
                <c:pt idx="2">
                  <c:v>0.32432891574785283</c:v>
                </c:pt>
                <c:pt idx="3">
                  <c:v>0.33005736260165353</c:v>
                </c:pt>
                <c:pt idx="4">
                  <c:v>0.30185508620885537</c:v>
                </c:pt>
                <c:pt idx="5">
                  <c:v>0.26119797631611236</c:v>
                </c:pt>
                <c:pt idx="6">
                  <c:v>0.25369445724967793</c:v>
                </c:pt>
                <c:pt idx="7">
                  <c:v>0.25760360714089697</c:v>
                </c:pt>
                <c:pt idx="8">
                  <c:v>0.25376029520313509</c:v>
                </c:pt>
                <c:pt idx="9">
                  <c:v>0.25206014737968591</c:v>
                </c:pt>
                <c:pt idx="10">
                  <c:v>0.24858189508289841</c:v>
                </c:pt>
                <c:pt idx="11">
                  <c:v>0.27320400113946447</c:v>
                </c:pt>
                <c:pt idx="12">
                  <c:v>0.2604630542157661</c:v>
                </c:pt>
                <c:pt idx="13">
                  <c:v>0.22929302713366082</c:v>
                </c:pt>
                <c:pt idx="14">
                  <c:v>0.1590024985649289</c:v>
                </c:pt>
                <c:pt idx="15">
                  <c:v>9.2188590729215189E-2</c:v>
                </c:pt>
                <c:pt idx="16">
                  <c:v>8.376960644842385E-2</c:v>
                </c:pt>
                <c:pt idx="17">
                  <c:v>0.10595171163509942</c:v>
                </c:pt>
                <c:pt idx="18">
                  <c:v>0.13474733713060646</c:v>
                </c:pt>
                <c:pt idx="19">
                  <c:v>0.23176089139141826</c:v>
                </c:pt>
                <c:pt idx="20">
                  <c:v>0.27194488747894074</c:v>
                </c:pt>
                <c:pt idx="21">
                  <c:v>0.31739579685426667</c:v>
                </c:pt>
                <c:pt idx="22">
                  <c:v>0.38863604044539657</c:v>
                </c:pt>
                <c:pt idx="23">
                  <c:v>0.45284924267977222</c:v>
                </c:pt>
                <c:pt idx="24">
                  <c:v>0.54665886437676003</c:v>
                </c:pt>
                <c:pt idx="25">
                  <c:v>0.62946676688330283</c:v>
                </c:pt>
                <c:pt idx="26">
                  <c:v>0.64202718436837869</c:v>
                </c:pt>
                <c:pt idx="27">
                  <c:v>0.66422878325434798</c:v>
                </c:pt>
                <c:pt idx="28">
                  <c:v>0.77694276917685345</c:v>
                </c:pt>
                <c:pt idx="29">
                  <c:v>0.88681800031830516</c:v>
                </c:pt>
                <c:pt idx="30">
                  <c:v>0.87035926719490808</c:v>
                </c:pt>
                <c:pt idx="31">
                  <c:v>0.75853509776811123</c:v>
                </c:pt>
                <c:pt idx="32">
                  <c:v>0.69042978255385223</c:v>
                </c:pt>
                <c:pt idx="33">
                  <c:v>0.7576765768004412</c:v>
                </c:pt>
                <c:pt idx="34">
                  <c:v>0.83433689157975499</c:v>
                </c:pt>
                <c:pt idx="35">
                  <c:v>0.77734110342726503</c:v>
                </c:pt>
                <c:pt idx="36">
                  <c:v>0.71195663282913169</c:v>
                </c:pt>
                <c:pt idx="37">
                  <c:v>0.58840558441125856</c:v>
                </c:pt>
                <c:pt idx="38">
                  <c:v>0.54522479671457846</c:v>
                </c:pt>
                <c:pt idx="39">
                  <c:v>0.53956043434182688</c:v>
                </c:pt>
                <c:pt idx="40">
                  <c:v>0.52840265341393988</c:v>
                </c:pt>
                <c:pt idx="41">
                  <c:v>0.53203156267839302</c:v>
                </c:pt>
                <c:pt idx="42">
                  <c:v>0.46422747596420255</c:v>
                </c:pt>
                <c:pt idx="43">
                  <c:v>0.37144011907909791</c:v>
                </c:pt>
                <c:pt idx="44">
                  <c:v>0.35341984973348517</c:v>
                </c:pt>
                <c:pt idx="45">
                  <c:v>0.36152898904447889</c:v>
                </c:pt>
                <c:pt idx="46">
                  <c:v>0.32909984538018749</c:v>
                </c:pt>
                <c:pt idx="47">
                  <c:v>0.28319186560330101</c:v>
                </c:pt>
                <c:pt idx="48">
                  <c:v>0.26148357956061252</c:v>
                </c:pt>
                <c:pt idx="49">
                  <c:v>0.34022071445880175</c:v>
                </c:pt>
                <c:pt idx="50">
                  <c:v>0.44576353762331428</c:v>
                </c:pt>
                <c:pt idx="51">
                  <c:v>0.57363979261406095</c:v>
                </c:pt>
                <c:pt idx="52">
                  <c:v>0.54955363320577999</c:v>
                </c:pt>
                <c:pt idx="53">
                  <c:v>0.54084789337704864</c:v>
                </c:pt>
                <c:pt idx="54">
                  <c:v>0.49293577340643646</c:v>
                </c:pt>
                <c:pt idx="55">
                  <c:v>0.40013662335568523</c:v>
                </c:pt>
                <c:pt idx="56">
                  <c:v>0.33849987455371622</c:v>
                </c:pt>
                <c:pt idx="57">
                  <c:v>0.35426682192124903</c:v>
                </c:pt>
                <c:pt idx="58">
                  <c:v>0.43056065536575749</c:v>
                </c:pt>
                <c:pt idx="59">
                  <c:v>0.44827656464301663</c:v>
                </c:pt>
                <c:pt idx="60">
                  <c:v>0.46273948978511886</c:v>
                </c:pt>
                <c:pt idx="61">
                  <c:v>0.4371645537824409</c:v>
                </c:pt>
                <c:pt idx="62">
                  <c:v>0.56886610445379138</c:v>
                </c:pt>
                <c:pt idx="63">
                  <c:v>0.63060554985324113</c:v>
                </c:pt>
                <c:pt idx="64">
                  <c:v>0.65708069469258945</c:v>
                </c:pt>
                <c:pt idx="65">
                  <c:v>0.67167633985047415</c:v>
                </c:pt>
                <c:pt idx="66">
                  <c:v>0.64885743355038461</c:v>
                </c:pt>
                <c:pt idx="67">
                  <c:v>0.61962860957642629</c:v>
                </c:pt>
                <c:pt idx="68">
                  <c:v>0.62862242493575626</c:v>
                </c:pt>
                <c:pt idx="69">
                  <c:v>0.67574690711175445</c:v>
                </c:pt>
                <c:pt idx="70">
                  <c:v>0.67274032238651149</c:v>
                </c:pt>
                <c:pt idx="71">
                  <c:v>0.66484115118238285</c:v>
                </c:pt>
                <c:pt idx="72">
                  <c:v>0.63315119425214339</c:v>
                </c:pt>
                <c:pt idx="73">
                  <c:v>0.66948665435727062</c:v>
                </c:pt>
                <c:pt idx="74">
                  <c:v>0.7455633196828324</c:v>
                </c:pt>
                <c:pt idx="75">
                  <c:v>0.72755170520739765</c:v>
                </c:pt>
                <c:pt idx="76">
                  <c:v>0.63703215667703195</c:v>
                </c:pt>
                <c:pt idx="77">
                  <c:v>0.58151240398235782</c:v>
                </c:pt>
                <c:pt idx="78">
                  <c:v>0.61873636167248147</c:v>
                </c:pt>
                <c:pt idx="79">
                  <c:v>0.62324355749866656</c:v>
                </c:pt>
                <c:pt idx="80">
                  <c:v>0.63579658418149065</c:v>
                </c:pt>
                <c:pt idx="81">
                  <c:v>0.66298441939444164</c:v>
                </c:pt>
                <c:pt idx="82">
                  <c:v>0.69621656686621269</c:v>
                </c:pt>
                <c:pt idx="83">
                  <c:v>0.7475194159981825</c:v>
                </c:pt>
                <c:pt idx="84">
                  <c:v>0.75532487617456656</c:v>
                </c:pt>
                <c:pt idx="85">
                  <c:v>0.74620082219466866</c:v>
                </c:pt>
                <c:pt idx="86">
                  <c:v>0.72632023489545383</c:v>
                </c:pt>
                <c:pt idx="87">
                  <c:v>0.70971155506637706</c:v>
                </c:pt>
                <c:pt idx="88">
                  <c:v>0.69840184415556927</c:v>
                </c:pt>
                <c:pt idx="89">
                  <c:v>0.66612467031702394</c:v>
                </c:pt>
                <c:pt idx="90">
                  <c:v>0.62552001011462521</c:v>
                </c:pt>
                <c:pt idx="91">
                  <c:v>0.56347901648609566</c:v>
                </c:pt>
                <c:pt idx="92">
                  <c:v>0.54044197298142527</c:v>
                </c:pt>
                <c:pt idx="93">
                  <c:v>0.48199273593523118</c:v>
                </c:pt>
                <c:pt idx="94">
                  <c:v>0.43235579702471744</c:v>
                </c:pt>
                <c:pt idx="95">
                  <c:v>0.40075647861135366</c:v>
                </c:pt>
                <c:pt idx="96">
                  <c:v>0.40888500883852208</c:v>
                </c:pt>
                <c:pt idx="97">
                  <c:v>0.39613904738848632</c:v>
                </c:pt>
                <c:pt idx="98">
                  <c:v>0.33089272791507995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F2-4803-97E3-742E1E629146}"/>
            </c:ext>
          </c:extLst>
        </c:ser>
        <c:ser>
          <c:idx val="1"/>
          <c:order val="1"/>
          <c:tx>
            <c:strRef>
              <c:f>'面板-景气指数'!$A$90</c:f>
              <c:strCache>
                <c:ptCount val="1"/>
                <c:pt idx="0">
                  <c:v>水泥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'面板-景气指数'!$F$90:$CZ$90</c:f>
              <c:numCache>
                <c:formatCode>0.0%</c:formatCode>
                <c:ptCount val="99"/>
                <c:pt idx="0">
                  <c:v>0.29649999999999999</c:v>
                </c:pt>
                <c:pt idx="1">
                  <c:v>0.27699999999999997</c:v>
                </c:pt>
                <c:pt idx="2">
                  <c:v>0.2455</c:v>
                </c:pt>
                <c:pt idx="3">
                  <c:v>0.20049999999999998</c:v>
                </c:pt>
                <c:pt idx="4">
                  <c:v>0.12700000000000003</c:v>
                </c:pt>
                <c:pt idx="5">
                  <c:v>6.0000000000000026E-2</c:v>
                </c:pt>
                <c:pt idx="6">
                  <c:v>5.3000000000000005E-2</c:v>
                </c:pt>
                <c:pt idx="7">
                  <c:v>7.6499999999999999E-2</c:v>
                </c:pt>
                <c:pt idx="8">
                  <c:v>9.2999999999999999E-2</c:v>
                </c:pt>
                <c:pt idx="9">
                  <c:v>0.10000000000000002</c:v>
                </c:pt>
                <c:pt idx="10">
                  <c:v>0.11999999999999998</c:v>
                </c:pt>
                <c:pt idx="11">
                  <c:v>0.17699999999999999</c:v>
                </c:pt>
                <c:pt idx="12">
                  <c:v>0.17299999999999999</c:v>
                </c:pt>
                <c:pt idx="13">
                  <c:v>0.13100000000000001</c:v>
                </c:pt>
                <c:pt idx="14">
                  <c:v>6.2999999999999987E-2</c:v>
                </c:pt>
                <c:pt idx="15">
                  <c:v>3.5500000000000025E-2</c:v>
                </c:pt>
                <c:pt idx="16">
                  <c:v>3.6999999999999977E-2</c:v>
                </c:pt>
                <c:pt idx="17">
                  <c:v>9.2999999999999999E-2</c:v>
                </c:pt>
                <c:pt idx="18">
                  <c:v>0.18149999999999999</c:v>
                </c:pt>
                <c:pt idx="19">
                  <c:v>0.33600000000000002</c:v>
                </c:pt>
                <c:pt idx="20">
                  <c:v>0.3745</c:v>
                </c:pt>
                <c:pt idx="21">
                  <c:v>0.36599999999999999</c:v>
                </c:pt>
                <c:pt idx="22">
                  <c:v>0.42450000000000004</c:v>
                </c:pt>
                <c:pt idx="23">
                  <c:v>0.51250000000000007</c:v>
                </c:pt>
                <c:pt idx="24">
                  <c:v>0.59399999999999986</c:v>
                </c:pt>
                <c:pt idx="25">
                  <c:v>0.6865</c:v>
                </c:pt>
                <c:pt idx="26">
                  <c:v>0.64200000000000002</c:v>
                </c:pt>
                <c:pt idx="27">
                  <c:v>0.63400000000000001</c:v>
                </c:pt>
                <c:pt idx="28">
                  <c:v>0.77400000000000002</c:v>
                </c:pt>
                <c:pt idx="29">
                  <c:v>0.90700000000000003</c:v>
                </c:pt>
                <c:pt idx="30">
                  <c:v>0.82799999999999996</c:v>
                </c:pt>
                <c:pt idx="31">
                  <c:v>0.63949999999999996</c:v>
                </c:pt>
                <c:pt idx="32">
                  <c:v>0.52949999999999997</c:v>
                </c:pt>
                <c:pt idx="33">
                  <c:v>0.64750000000000008</c:v>
                </c:pt>
                <c:pt idx="34">
                  <c:v>0.77749999999999997</c:v>
                </c:pt>
                <c:pt idx="35">
                  <c:v>0.69950000000000001</c:v>
                </c:pt>
                <c:pt idx="36">
                  <c:v>0.56799999999999995</c:v>
                </c:pt>
                <c:pt idx="37">
                  <c:v>0.40099999999999997</c:v>
                </c:pt>
                <c:pt idx="38">
                  <c:v>0.40900000000000003</c:v>
                </c:pt>
                <c:pt idx="39">
                  <c:v>0.48750000000000004</c:v>
                </c:pt>
                <c:pt idx="40">
                  <c:v>0.4955</c:v>
                </c:pt>
                <c:pt idx="41">
                  <c:v>0.55349999999999999</c:v>
                </c:pt>
                <c:pt idx="42">
                  <c:v>0.48149999999999998</c:v>
                </c:pt>
                <c:pt idx="43">
                  <c:v>0.3805</c:v>
                </c:pt>
                <c:pt idx="44">
                  <c:v>0.36049999999999999</c:v>
                </c:pt>
                <c:pt idx="45">
                  <c:v>0.41800000000000004</c:v>
                </c:pt>
                <c:pt idx="46">
                  <c:v>0.42949999999999999</c:v>
                </c:pt>
                <c:pt idx="47">
                  <c:v>0.36549999999999999</c:v>
                </c:pt>
                <c:pt idx="48">
                  <c:v>0.31899999999999995</c:v>
                </c:pt>
                <c:pt idx="49">
                  <c:v>0.40450000000000003</c:v>
                </c:pt>
                <c:pt idx="50">
                  <c:v>0.49099999999999999</c:v>
                </c:pt>
                <c:pt idx="51">
                  <c:v>0.67099999999999993</c:v>
                </c:pt>
                <c:pt idx="52">
                  <c:v>0.65849999999999997</c:v>
                </c:pt>
                <c:pt idx="53">
                  <c:v>0.6695000000000001</c:v>
                </c:pt>
                <c:pt idx="54">
                  <c:v>0.61799999999999988</c:v>
                </c:pt>
                <c:pt idx="55">
                  <c:v>0.47650000000000003</c:v>
                </c:pt>
                <c:pt idx="56">
                  <c:v>0.41849999999999998</c:v>
                </c:pt>
                <c:pt idx="57">
                  <c:v>0.43750000000000006</c:v>
                </c:pt>
                <c:pt idx="58">
                  <c:v>0.55200000000000005</c:v>
                </c:pt>
                <c:pt idx="59">
                  <c:v>0.57099999999999995</c:v>
                </c:pt>
                <c:pt idx="60">
                  <c:v>0.58350000000000002</c:v>
                </c:pt>
                <c:pt idx="61">
                  <c:v>0.56100000000000005</c:v>
                </c:pt>
                <c:pt idx="62">
                  <c:v>0.71499999999999997</c:v>
                </c:pt>
                <c:pt idx="63">
                  <c:v>0.80900000000000005</c:v>
                </c:pt>
                <c:pt idx="64">
                  <c:v>0.83650000000000002</c:v>
                </c:pt>
                <c:pt idx="65">
                  <c:v>0.87650000000000017</c:v>
                </c:pt>
                <c:pt idx="66">
                  <c:v>0.82450000000000001</c:v>
                </c:pt>
                <c:pt idx="67">
                  <c:v>0.75449999999999995</c:v>
                </c:pt>
                <c:pt idx="68">
                  <c:v>0.74750000000000005</c:v>
                </c:pt>
                <c:pt idx="69">
                  <c:v>0.81049999999999989</c:v>
                </c:pt>
                <c:pt idx="70">
                  <c:v>0.81049999999999989</c:v>
                </c:pt>
                <c:pt idx="71">
                  <c:v>0.77200000000000002</c:v>
                </c:pt>
                <c:pt idx="72">
                  <c:v>0.73299999999999998</c:v>
                </c:pt>
                <c:pt idx="73">
                  <c:v>0.79949999999999999</c:v>
                </c:pt>
                <c:pt idx="74">
                  <c:v>0.87449999999999994</c:v>
                </c:pt>
                <c:pt idx="75">
                  <c:v>0.82950000000000002</c:v>
                </c:pt>
                <c:pt idx="76">
                  <c:v>0.66700000000000015</c:v>
                </c:pt>
                <c:pt idx="77">
                  <c:v>0.54799999999999993</c:v>
                </c:pt>
                <c:pt idx="78">
                  <c:v>0.59250000000000003</c:v>
                </c:pt>
                <c:pt idx="79">
                  <c:v>0.59450000000000003</c:v>
                </c:pt>
                <c:pt idx="80">
                  <c:v>0.60550000000000004</c:v>
                </c:pt>
                <c:pt idx="81">
                  <c:v>0.63200000000000001</c:v>
                </c:pt>
                <c:pt idx="82">
                  <c:v>0.67249999999999999</c:v>
                </c:pt>
                <c:pt idx="83">
                  <c:v>0.75</c:v>
                </c:pt>
                <c:pt idx="84">
                  <c:v>0.74450000000000005</c:v>
                </c:pt>
                <c:pt idx="85">
                  <c:v>0.73450000000000004</c:v>
                </c:pt>
                <c:pt idx="86">
                  <c:v>0.72399999999999998</c:v>
                </c:pt>
                <c:pt idx="87">
                  <c:v>0.71400000000000008</c:v>
                </c:pt>
                <c:pt idx="88">
                  <c:v>0.69850000000000001</c:v>
                </c:pt>
                <c:pt idx="89">
                  <c:v>0.64250000000000007</c:v>
                </c:pt>
                <c:pt idx="90">
                  <c:v>0.56600000000000006</c:v>
                </c:pt>
                <c:pt idx="91">
                  <c:v>0.45399999999999996</c:v>
                </c:pt>
                <c:pt idx="92">
                  <c:v>0.42849999999999999</c:v>
                </c:pt>
                <c:pt idx="93">
                  <c:v>0.38750000000000001</c:v>
                </c:pt>
                <c:pt idx="94">
                  <c:v>0.34150000000000003</c:v>
                </c:pt>
                <c:pt idx="95">
                  <c:v>0.30599999999999999</c:v>
                </c:pt>
                <c:pt idx="96">
                  <c:v>0.28049999999999997</c:v>
                </c:pt>
                <c:pt idx="97">
                  <c:v>0.26500000000000001</c:v>
                </c:pt>
                <c:pt idx="98">
                  <c:v>0.26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F2-4803-97E3-742E1E629146}"/>
            </c:ext>
          </c:extLst>
        </c:ser>
        <c:ser>
          <c:idx val="2"/>
          <c:order val="2"/>
          <c:tx>
            <c:strRef>
              <c:f>'面板-景气指数'!$A$91</c:f>
              <c:strCache>
                <c:ptCount val="1"/>
                <c:pt idx="0">
                  <c:v>玻璃玻纤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'面板-景气指数'!$F$91:$DA$91</c:f>
              <c:numCache>
                <c:formatCode>0.0%</c:formatCode>
                <c:ptCount val="100"/>
                <c:pt idx="0">
                  <c:v>0.21399999999999997</c:v>
                </c:pt>
                <c:pt idx="1">
                  <c:v>0.22399999999999998</c:v>
                </c:pt>
                <c:pt idx="2">
                  <c:v>0.316</c:v>
                </c:pt>
                <c:pt idx="3">
                  <c:v>0.35150000000000003</c:v>
                </c:pt>
                <c:pt idx="4">
                  <c:v>0.36649999999999999</c:v>
                </c:pt>
                <c:pt idx="5">
                  <c:v>0.35200000000000004</c:v>
                </c:pt>
                <c:pt idx="6">
                  <c:v>0.32600000000000001</c:v>
                </c:pt>
                <c:pt idx="7">
                  <c:v>0.34649999999999997</c:v>
                </c:pt>
                <c:pt idx="8">
                  <c:v>0.40749999999999997</c:v>
                </c:pt>
                <c:pt idx="9">
                  <c:v>0.433</c:v>
                </c:pt>
                <c:pt idx="10">
                  <c:v>0.38200000000000001</c:v>
                </c:pt>
                <c:pt idx="11">
                  <c:v>0.37700000000000006</c:v>
                </c:pt>
                <c:pt idx="12">
                  <c:v>0.30049999999999999</c:v>
                </c:pt>
                <c:pt idx="13">
                  <c:v>0.29049999999999998</c:v>
                </c:pt>
                <c:pt idx="14">
                  <c:v>0.29549999999999998</c:v>
                </c:pt>
                <c:pt idx="15">
                  <c:v>0.41299999999999998</c:v>
                </c:pt>
                <c:pt idx="16">
                  <c:v>0.39250000000000002</c:v>
                </c:pt>
                <c:pt idx="17">
                  <c:v>0.29549999999999998</c:v>
                </c:pt>
                <c:pt idx="18">
                  <c:v>5.5500000000000001E-2</c:v>
                </c:pt>
                <c:pt idx="19">
                  <c:v>3.5499999999999997E-2</c:v>
                </c:pt>
                <c:pt idx="20">
                  <c:v>4.5499999999999992E-2</c:v>
                </c:pt>
                <c:pt idx="21">
                  <c:v>0.29549999999999998</c:v>
                </c:pt>
                <c:pt idx="22">
                  <c:v>0.44849999999999995</c:v>
                </c:pt>
                <c:pt idx="23">
                  <c:v>0.49449999999999994</c:v>
                </c:pt>
                <c:pt idx="24">
                  <c:v>0.58600000000000008</c:v>
                </c:pt>
                <c:pt idx="25">
                  <c:v>0.69349999999999989</c:v>
                </c:pt>
                <c:pt idx="26">
                  <c:v>0.70350000000000001</c:v>
                </c:pt>
                <c:pt idx="27">
                  <c:v>0.63700000000000001</c:v>
                </c:pt>
                <c:pt idx="28">
                  <c:v>0.68300000000000005</c:v>
                </c:pt>
                <c:pt idx="29">
                  <c:v>0.85699999999999998</c:v>
                </c:pt>
                <c:pt idx="30">
                  <c:v>0.93799999999999994</c:v>
                </c:pt>
                <c:pt idx="31">
                  <c:v>0.97399999999999998</c:v>
                </c:pt>
                <c:pt idx="32">
                  <c:v>0.98449999999999993</c:v>
                </c:pt>
                <c:pt idx="33">
                  <c:v>0.98449999999999993</c:v>
                </c:pt>
                <c:pt idx="34">
                  <c:v>0.94850000000000012</c:v>
                </c:pt>
                <c:pt idx="35">
                  <c:v>0.93299999999999994</c:v>
                </c:pt>
                <c:pt idx="36">
                  <c:v>0.90749999999999997</c:v>
                </c:pt>
                <c:pt idx="37">
                  <c:v>0.86199999999999999</c:v>
                </c:pt>
                <c:pt idx="38">
                  <c:v>0.82099999999999995</c:v>
                </c:pt>
                <c:pt idx="39">
                  <c:v>0.80549999999999999</c:v>
                </c:pt>
                <c:pt idx="40">
                  <c:v>0.79549999999999987</c:v>
                </c:pt>
                <c:pt idx="41">
                  <c:v>0.76</c:v>
                </c:pt>
                <c:pt idx="42">
                  <c:v>0.74950000000000006</c:v>
                </c:pt>
                <c:pt idx="43">
                  <c:v>0.64249999999999996</c:v>
                </c:pt>
                <c:pt idx="44">
                  <c:v>0.45400000000000001</c:v>
                </c:pt>
                <c:pt idx="45">
                  <c:v>0.29549999999999998</c:v>
                </c:pt>
                <c:pt idx="46">
                  <c:v>0.23899999999999999</c:v>
                </c:pt>
                <c:pt idx="47">
                  <c:v>0.24950000000000003</c:v>
                </c:pt>
                <c:pt idx="48">
                  <c:v>0.27500000000000002</c:v>
                </c:pt>
                <c:pt idx="49">
                  <c:v>0.34649999999999997</c:v>
                </c:pt>
                <c:pt idx="50">
                  <c:v>0.38199999999999995</c:v>
                </c:pt>
                <c:pt idx="51">
                  <c:v>0.40299999999999997</c:v>
                </c:pt>
                <c:pt idx="52">
                  <c:v>0.36149999999999999</c:v>
                </c:pt>
                <c:pt idx="53">
                  <c:v>0.31099999999999994</c:v>
                </c:pt>
                <c:pt idx="54">
                  <c:v>0.24949999999999997</c:v>
                </c:pt>
                <c:pt idx="55">
                  <c:v>0.22900000000000001</c:v>
                </c:pt>
                <c:pt idx="56">
                  <c:v>0.24949999999999997</c:v>
                </c:pt>
                <c:pt idx="57">
                  <c:v>0.30049999999999999</c:v>
                </c:pt>
                <c:pt idx="58">
                  <c:v>0.27499999999999997</c:v>
                </c:pt>
                <c:pt idx="59">
                  <c:v>0.25449999999999995</c:v>
                </c:pt>
                <c:pt idx="60">
                  <c:v>0.24399999999999997</c:v>
                </c:pt>
                <c:pt idx="61">
                  <c:v>0.24950000000000003</c:v>
                </c:pt>
                <c:pt idx="62">
                  <c:v>0.25999999999999995</c:v>
                </c:pt>
                <c:pt idx="63">
                  <c:v>0.27499999999999997</c:v>
                </c:pt>
                <c:pt idx="64">
                  <c:v>0.38199999999999995</c:v>
                </c:pt>
                <c:pt idx="65">
                  <c:v>0.44850000000000001</c:v>
                </c:pt>
                <c:pt idx="66">
                  <c:v>0.49399999999999999</c:v>
                </c:pt>
                <c:pt idx="67">
                  <c:v>0.48949999999999999</c:v>
                </c:pt>
                <c:pt idx="68">
                  <c:v>0.42799999999999994</c:v>
                </c:pt>
                <c:pt idx="69">
                  <c:v>0.43299999999999994</c:v>
                </c:pt>
                <c:pt idx="70">
                  <c:v>0.44849999999999995</c:v>
                </c:pt>
                <c:pt idx="71">
                  <c:v>0.57100000000000006</c:v>
                </c:pt>
                <c:pt idx="72">
                  <c:v>0.64200000000000002</c:v>
                </c:pt>
                <c:pt idx="73">
                  <c:v>0.70350000000000001</c:v>
                </c:pt>
                <c:pt idx="74">
                  <c:v>0.70350000000000001</c:v>
                </c:pt>
                <c:pt idx="75">
                  <c:v>0.70850000000000002</c:v>
                </c:pt>
                <c:pt idx="76">
                  <c:v>0.70900000000000007</c:v>
                </c:pt>
                <c:pt idx="77">
                  <c:v>0.69349999999999989</c:v>
                </c:pt>
                <c:pt idx="78">
                  <c:v>0.64749999999999996</c:v>
                </c:pt>
                <c:pt idx="79">
                  <c:v>0.67300000000000004</c:v>
                </c:pt>
                <c:pt idx="80">
                  <c:v>0.72899999999999998</c:v>
                </c:pt>
                <c:pt idx="81">
                  <c:v>0.76500000000000001</c:v>
                </c:pt>
                <c:pt idx="82">
                  <c:v>0.7599999999999999</c:v>
                </c:pt>
                <c:pt idx="83">
                  <c:v>0.69299999999999995</c:v>
                </c:pt>
                <c:pt idx="84">
                  <c:v>0.61649999999999994</c:v>
                </c:pt>
                <c:pt idx="85">
                  <c:v>0.53549999999999998</c:v>
                </c:pt>
                <c:pt idx="86">
                  <c:v>0.54549999999999998</c:v>
                </c:pt>
                <c:pt idx="87">
                  <c:v>0.54049999999999998</c:v>
                </c:pt>
                <c:pt idx="88">
                  <c:v>0.53049999999999997</c:v>
                </c:pt>
                <c:pt idx="89">
                  <c:v>0.53500000000000003</c:v>
                </c:pt>
                <c:pt idx="90">
                  <c:v>0.54049999999999998</c:v>
                </c:pt>
                <c:pt idx="91">
                  <c:v>0.60649999999999993</c:v>
                </c:pt>
                <c:pt idx="92">
                  <c:v>0.58100000000000007</c:v>
                </c:pt>
                <c:pt idx="93">
                  <c:v>0.50449999999999995</c:v>
                </c:pt>
                <c:pt idx="94">
                  <c:v>0.44799999999999995</c:v>
                </c:pt>
                <c:pt idx="95">
                  <c:v>0.41749999999999998</c:v>
                </c:pt>
                <c:pt idx="96">
                  <c:v>0.39699999999999991</c:v>
                </c:pt>
                <c:pt idx="97">
                  <c:v>0.32600000000000001</c:v>
                </c:pt>
                <c:pt idx="98">
                  <c:v>0.31549999999999995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7F2-4803-97E3-742E1E629146}"/>
            </c:ext>
          </c:extLst>
        </c:ser>
        <c:ser>
          <c:idx val="3"/>
          <c:order val="3"/>
          <c:tx>
            <c:strRef>
              <c:f>'面板-景气指数'!$A$92</c:f>
              <c:strCache>
                <c:ptCount val="1"/>
                <c:pt idx="0">
                  <c:v>装修建材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'面板-景气指数'!$F$92:$CZ$92</c:f>
              <c:numCache>
                <c:formatCode>0.0%</c:formatCode>
                <c:ptCount val="99"/>
                <c:pt idx="0">
                  <c:v>0.22698744031100149</c:v>
                </c:pt>
                <c:pt idx="1">
                  <c:v>0.36987487792600532</c:v>
                </c:pt>
                <c:pt idx="2">
                  <c:v>0.48272894965461066</c:v>
                </c:pt>
                <c:pt idx="3">
                  <c:v>0.57799209934277984</c:v>
                </c:pt>
                <c:pt idx="4">
                  <c:v>0.62376942953266845</c:v>
                </c:pt>
                <c:pt idx="5">
                  <c:v>0.62580112712474723</c:v>
                </c:pt>
                <c:pt idx="6">
                  <c:v>0.62402090116059816</c:v>
                </c:pt>
                <c:pt idx="7">
                  <c:v>0.58315770129483235</c:v>
                </c:pt>
                <c:pt idx="8">
                  <c:v>0.51557055665741558</c:v>
                </c:pt>
                <c:pt idx="9">
                  <c:v>0.48680200875350615</c:v>
                </c:pt>
                <c:pt idx="10">
                  <c:v>0.4541214396341734</c:v>
                </c:pt>
                <c:pt idx="11">
                  <c:v>0.42540083145116231</c:v>
                </c:pt>
                <c:pt idx="12">
                  <c:v>0.41851049806189816</c:v>
                </c:pt>
                <c:pt idx="13">
                  <c:v>0.40113768176299314</c:v>
                </c:pt>
                <c:pt idx="14">
                  <c:v>0.29913390435997383</c:v>
                </c:pt>
                <c:pt idx="15">
                  <c:v>8.7838616265346434E-2</c:v>
                </c:pt>
                <c:pt idx="16">
                  <c:v>6.4194749621052136E-2</c:v>
                </c:pt>
                <c:pt idx="17">
                  <c:v>6.2663886176133457E-2</c:v>
                </c:pt>
                <c:pt idx="18">
                  <c:v>7.0781894258468855E-2</c:v>
                </c:pt>
                <c:pt idx="19">
                  <c:v>9.6355692541326171E-2</c:v>
                </c:pt>
                <c:pt idx="20">
                  <c:v>0.15074808755769079</c:v>
                </c:pt>
                <c:pt idx="21">
                  <c:v>0.22866800943033422</c:v>
                </c:pt>
                <c:pt idx="22">
                  <c:v>0.29534357366670722</c:v>
                </c:pt>
                <c:pt idx="23">
                  <c:v>0.31900412325420074</c:v>
                </c:pt>
                <c:pt idx="24">
                  <c:v>0.43784273951954727</c:v>
                </c:pt>
                <c:pt idx="25">
                  <c:v>0.49238861761334529</c:v>
                </c:pt>
                <c:pt idx="26">
                  <c:v>0.61872016736863145</c:v>
                </c:pt>
                <c:pt idx="27">
                  <c:v>0.73278523084710878</c:v>
                </c:pt>
                <c:pt idx="28">
                  <c:v>0.81553042263053921</c:v>
                </c:pt>
                <c:pt idx="29">
                  <c:v>0.85623101128171109</c:v>
                </c:pt>
                <c:pt idx="30">
                  <c:v>0.92816638861761325</c:v>
                </c:pt>
                <c:pt idx="31">
                  <c:v>0.91459092204043613</c:v>
                </c:pt>
                <c:pt idx="32">
                  <c:v>0.90096373833934107</c:v>
                </c:pt>
                <c:pt idx="33">
                  <c:v>0.89209342448191598</c:v>
                </c:pt>
                <c:pt idx="34">
                  <c:v>0.9039716389965613</c:v>
                </c:pt>
                <c:pt idx="35">
                  <c:v>0.87357046169421748</c:v>
                </c:pt>
                <c:pt idx="36">
                  <c:v>0.92460760498363537</c:v>
                </c:pt>
                <c:pt idx="37">
                  <c:v>0.85890245226388318</c:v>
                </c:pt>
                <c:pt idx="38">
                  <c:v>0.71376898871828887</c:v>
                </c:pt>
                <c:pt idx="39">
                  <c:v>0.54520598686691202</c:v>
                </c:pt>
                <c:pt idx="40">
                  <c:v>0.49575353325503008</c:v>
                </c:pt>
                <c:pt idx="41">
                  <c:v>0.40602001953183919</c:v>
                </c:pt>
                <c:pt idx="42">
                  <c:v>0.32585029432558593</c:v>
                </c:pt>
                <c:pt idx="43">
                  <c:v>0.25461550564085556</c:v>
                </c:pt>
                <c:pt idx="44">
                  <c:v>0.30235613335570571</c:v>
                </c:pt>
                <c:pt idx="45">
                  <c:v>0.27316972520625321</c:v>
                </c:pt>
                <c:pt idx="46">
                  <c:v>0.16263218858405479</c:v>
                </c:pt>
                <c:pt idx="47">
                  <c:v>0.13213302273121477</c:v>
                </c:pt>
                <c:pt idx="48">
                  <c:v>0.14238071695612511</c:v>
                </c:pt>
                <c:pt idx="49">
                  <c:v>0.21023390705597142</c:v>
                </c:pt>
                <c:pt idx="50">
                  <c:v>0.37866388617613345</c:v>
                </c:pt>
                <c:pt idx="51">
                  <c:v>0.44198042128254034</c:v>
                </c:pt>
                <c:pt idx="52">
                  <c:v>0.40133154975528629</c:v>
                </c:pt>
                <c:pt idx="53">
                  <c:v>0.36881736925356684</c:v>
                </c:pt>
                <c:pt idx="54">
                  <c:v>0.33300878228597913</c:v>
                </c:pt>
                <c:pt idx="55">
                  <c:v>0.31047791884106046</c:v>
                </c:pt>
                <c:pt idx="56">
                  <c:v>0.21196830240792136</c:v>
                </c:pt>
                <c:pt idx="57">
                  <c:v>0.20853876410213881</c:v>
                </c:pt>
                <c:pt idx="58">
                  <c:v>0.24604460313225857</c:v>
                </c:pt>
                <c:pt idx="59">
                  <c:v>0.27504793972089836</c:v>
                </c:pt>
                <c:pt idx="60">
                  <c:v>0.30242075601980345</c:v>
                </c:pt>
                <c:pt idx="61">
                  <c:v>0.25953876410213883</c:v>
                </c:pt>
                <c:pt idx="62">
                  <c:v>0.39086197238582543</c:v>
                </c:pt>
                <c:pt idx="63">
                  <c:v>0.40563552517269469</c:v>
                </c:pt>
                <c:pt idx="64">
                  <c:v>0.40084151203960677</c:v>
                </c:pt>
                <c:pt idx="65">
                  <c:v>0.34634357366670721</c:v>
                </c:pt>
                <c:pt idx="66">
                  <c:v>0.35650996228432053</c:v>
                </c:pt>
                <c:pt idx="67">
                  <c:v>0.39900745984284069</c:v>
                </c:pt>
                <c:pt idx="68">
                  <c:v>0.46518218993205357</c:v>
                </c:pt>
                <c:pt idx="69">
                  <c:v>0.49610088432475663</c:v>
                </c:pt>
                <c:pt idx="70">
                  <c:v>0.48044200303158291</c:v>
                </c:pt>
                <c:pt idx="71">
                  <c:v>0.48580147297592852</c:v>
                </c:pt>
                <c:pt idx="72">
                  <c:v>0.43138861761334529</c:v>
                </c:pt>
                <c:pt idx="73">
                  <c:v>0.39887443711162585</c:v>
                </c:pt>
                <c:pt idx="74">
                  <c:v>0.50453876410213883</c:v>
                </c:pt>
                <c:pt idx="75">
                  <c:v>0.53159548610901641</c:v>
                </c:pt>
                <c:pt idx="76">
                  <c:v>0.55059882269765636</c:v>
                </c:pt>
                <c:pt idx="77">
                  <c:v>0.60622266981011141</c:v>
                </c:pt>
                <c:pt idx="78">
                  <c:v>0.65916928439187372</c:v>
                </c:pt>
                <c:pt idx="79">
                  <c:v>0.66101624212881971</c:v>
                </c:pt>
                <c:pt idx="80">
                  <c:v>0.66086653645440574</c:v>
                </c:pt>
                <c:pt idx="81">
                  <c:v>0.68617428927483337</c:v>
                </c:pt>
                <c:pt idx="82">
                  <c:v>0.71883817545096695</c:v>
                </c:pt>
                <c:pt idx="83">
                  <c:v>0.76113425021115533</c:v>
                </c:pt>
                <c:pt idx="84">
                  <c:v>0.82581315103616793</c:v>
                </c:pt>
                <c:pt idx="85">
                  <c:v>0.84449872503846046</c:v>
                </c:pt>
                <c:pt idx="86">
                  <c:v>0.79526226805941014</c:v>
                </c:pt>
                <c:pt idx="87">
                  <c:v>0.7614002956735848</c:v>
                </c:pt>
                <c:pt idx="88">
                  <c:v>0.75792281764690383</c:v>
                </c:pt>
                <c:pt idx="89">
                  <c:v>0.75928729247420912</c:v>
                </c:pt>
                <c:pt idx="90">
                  <c:v>0.77303292507201904</c:v>
                </c:pt>
                <c:pt idx="91">
                  <c:v>0.76348581949828054</c:v>
                </c:pt>
                <c:pt idx="92">
                  <c:v>0.74625191244230926</c:v>
                </c:pt>
                <c:pt idx="93">
                  <c:v>0.65993125408170161</c:v>
                </c:pt>
                <c:pt idx="94">
                  <c:v>0.60567188179655174</c:v>
                </c:pt>
                <c:pt idx="95">
                  <c:v>0.58144209799478097</c:v>
                </c:pt>
                <c:pt idx="96">
                  <c:v>0.66645377605502054</c:v>
                </c:pt>
                <c:pt idx="97">
                  <c:v>0.68029906549764663</c:v>
                </c:pt>
                <c:pt idx="98">
                  <c:v>0.47614558242021326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7F2-4803-97E3-742E1E629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77777777803E-2"/>
          <c:y val="1.8552222222222199E-2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'面板-景气指数'!$A$43</c:f>
              <c:strCache>
                <c:ptCount val="1"/>
                <c:pt idx="0">
                  <c:v>机械设备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'面板-景气指数'!$F$43:$CZ$43</c:f>
              <c:numCache>
                <c:formatCode>0.0%</c:formatCode>
                <c:ptCount val="99"/>
                <c:pt idx="0">
                  <c:v>0.51855580461091433</c:v>
                </c:pt>
                <c:pt idx="1">
                  <c:v>0.51855580461091433</c:v>
                </c:pt>
                <c:pt idx="2">
                  <c:v>0.54828112232808401</c:v>
                </c:pt>
                <c:pt idx="3">
                  <c:v>0.5400431985887536</c:v>
                </c:pt>
                <c:pt idx="4">
                  <c:v>0.49422051315553384</c:v>
                </c:pt>
                <c:pt idx="5">
                  <c:v>0.42514267400738498</c:v>
                </c:pt>
                <c:pt idx="6">
                  <c:v>0.35192771424217395</c:v>
                </c:pt>
                <c:pt idx="7">
                  <c:v>0.29601371530871184</c:v>
                </c:pt>
                <c:pt idx="8">
                  <c:v>0.26957783723114737</c:v>
                </c:pt>
                <c:pt idx="9">
                  <c:v>0.21891264739218239</c:v>
                </c:pt>
                <c:pt idx="10">
                  <c:v>0.26956094722756929</c:v>
                </c:pt>
                <c:pt idx="11">
                  <c:v>0.30310760604230946</c:v>
                </c:pt>
                <c:pt idx="12">
                  <c:v>0.36539701607343938</c:v>
                </c:pt>
                <c:pt idx="13">
                  <c:v>0.35855474529929138</c:v>
                </c:pt>
                <c:pt idx="14">
                  <c:v>0.29875659959470141</c:v>
                </c:pt>
                <c:pt idx="15">
                  <c:v>0.23923797470904049</c:v>
                </c:pt>
                <c:pt idx="16">
                  <c:v>0.33277703700901884</c:v>
                </c:pt>
                <c:pt idx="17">
                  <c:v>0.38580270309116543</c:v>
                </c:pt>
                <c:pt idx="18">
                  <c:v>0.4454623976231793</c:v>
                </c:pt>
                <c:pt idx="19">
                  <c:v>0.41735948434174991</c:v>
                </c:pt>
                <c:pt idx="20">
                  <c:v>0.38661436037750196</c:v>
                </c:pt>
                <c:pt idx="21">
                  <c:v>0.41828795750513381</c:v>
                </c:pt>
                <c:pt idx="22">
                  <c:v>0.39478871309943525</c:v>
                </c:pt>
                <c:pt idx="23">
                  <c:v>0.4363017608613336</c:v>
                </c:pt>
                <c:pt idx="24">
                  <c:v>0.46605298351632912</c:v>
                </c:pt>
                <c:pt idx="25">
                  <c:v>0.49483519685321581</c:v>
                </c:pt>
                <c:pt idx="26">
                  <c:v>0.53431512657547053</c:v>
                </c:pt>
                <c:pt idx="27">
                  <c:v>0.44212378652037082</c:v>
                </c:pt>
                <c:pt idx="28">
                  <c:v>0.44203559683725357</c:v>
                </c:pt>
                <c:pt idx="29">
                  <c:v>0.4921164964427609</c:v>
                </c:pt>
                <c:pt idx="30">
                  <c:v>0.58201673468975834</c:v>
                </c:pt>
                <c:pt idx="31">
                  <c:v>0.64554792491656499</c:v>
                </c:pt>
                <c:pt idx="32">
                  <c:v>0.69123413585881688</c:v>
                </c:pt>
                <c:pt idx="33">
                  <c:v>0.71483933845804171</c:v>
                </c:pt>
                <c:pt idx="34">
                  <c:v>0.75062958229704713</c:v>
                </c:pt>
                <c:pt idx="35">
                  <c:v>0.82638032372983772</c:v>
                </c:pt>
                <c:pt idx="36">
                  <c:v>0.93192052671064074</c:v>
                </c:pt>
                <c:pt idx="37">
                  <c:v>0.96848090014306099</c:v>
                </c:pt>
                <c:pt idx="38">
                  <c:v>0.91366744863323768</c:v>
                </c:pt>
                <c:pt idx="39">
                  <c:v>0.84672070909763386</c:v>
                </c:pt>
                <c:pt idx="40">
                  <c:v>0.7965669550113581</c:v>
                </c:pt>
                <c:pt idx="41">
                  <c:v>0.76246235575627308</c:v>
                </c:pt>
                <c:pt idx="42">
                  <c:v>0.66260393018656727</c:v>
                </c:pt>
                <c:pt idx="43">
                  <c:v>0.63170192428114991</c:v>
                </c:pt>
                <c:pt idx="44">
                  <c:v>0.60261336489308315</c:v>
                </c:pt>
                <c:pt idx="45">
                  <c:v>0.5803639518950392</c:v>
                </c:pt>
                <c:pt idx="46">
                  <c:v>0.57420293283442203</c:v>
                </c:pt>
                <c:pt idx="47">
                  <c:v>0.40774210398371658</c:v>
                </c:pt>
                <c:pt idx="48">
                  <c:v>0.3107772121096346</c:v>
                </c:pt>
                <c:pt idx="49">
                  <c:v>0.18465378102681168</c:v>
                </c:pt>
                <c:pt idx="50">
                  <c:v>0.35441735937328006</c:v>
                </c:pt>
                <c:pt idx="51">
                  <c:v>0.39003147804322574</c:v>
                </c:pt>
                <c:pt idx="52">
                  <c:v>0.43045762975161794</c:v>
                </c:pt>
                <c:pt idx="53">
                  <c:v>0.38470009215680662</c:v>
                </c:pt>
                <c:pt idx="54">
                  <c:v>0.32918670170263542</c:v>
                </c:pt>
                <c:pt idx="55">
                  <c:v>0.3330082317007852</c:v>
                </c:pt>
                <c:pt idx="56">
                  <c:v>0.35734679027210126</c:v>
                </c:pt>
                <c:pt idx="57">
                  <c:v>0.33075296812192995</c:v>
                </c:pt>
                <c:pt idx="58">
                  <c:v>0.26262289605885897</c:v>
                </c:pt>
                <c:pt idx="59">
                  <c:v>0.26286898633400374</c:v>
                </c:pt>
                <c:pt idx="60">
                  <c:v>0.31380208777251622</c:v>
                </c:pt>
                <c:pt idx="61">
                  <c:v>0.39589887944060304</c:v>
                </c:pt>
                <c:pt idx="62">
                  <c:v>0.25373695435296234</c:v>
                </c:pt>
                <c:pt idx="63">
                  <c:v>0.23798180814699205</c:v>
                </c:pt>
                <c:pt idx="64">
                  <c:v>0.29371378802170689</c:v>
                </c:pt>
                <c:pt idx="65">
                  <c:v>0.31735243271228758</c:v>
                </c:pt>
                <c:pt idx="66">
                  <c:v>0.34124211804735211</c:v>
                </c:pt>
                <c:pt idx="67">
                  <c:v>0.34220646430502477</c:v>
                </c:pt>
                <c:pt idx="68">
                  <c:v>0.3601699745218358</c:v>
                </c:pt>
                <c:pt idx="69">
                  <c:v>0.42636724802080894</c:v>
                </c:pt>
                <c:pt idx="70">
                  <c:v>0.48284198838599857</c:v>
                </c:pt>
                <c:pt idx="71">
                  <c:v>0.50524919051829886</c:v>
                </c:pt>
                <c:pt idx="72">
                  <c:v>0.45859350895457685</c:v>
                </c:pt>
                <c:pt idx="73">
                  <c:v>0.50805111026378291</c:v>
                </c:pt>
                <c:pt idx="74">
                  <c:v>0.55766394583665668</c:v>
                </c:pt>
                <c:pt idx="75">
                  <c:v>0.63590914444414803</c:v>
                </c:pt>
                <c:pt idx="76">
                  <c:v>0.60415403869517692</c:v>
                </c:pt>
                <c:pt idx="77">
                  <c:v>0.63714117164567963</c:v>
                </c:pt>
                <c:pt idx="78">
                  <c:v>0.65009696269844941</c:v>
                </c:pt>
                <c:pt idx="79">
                  <c:v>0.68780601757399595</c:v>
                </c:pt>
                <c:pt idx="80">
                  <c:v>0.69860070589224221</c:v>
                </c:pt>
                <c:pt idx="81">
                  <c:v>0.72205831632407991</c:v>
                </c:pt>
                <c:pt idx="82">
                  <c:v>0.71455719595781741</c:v>
                </c:pt>
                <c:pt idx="83">
                  <c:v>0.7018883343730199</c:v>
                </c:pt>
                <c:pt idx="84">
                  <c:v>0.70605186559441213</c:v>
                </c:pt>
                <c:pt idx="85">
                  <c:v>0.68377379805199512</c:v>
                </c:pt>
                <c:pt idx="86">
                  <c:v>0.73096985461364916</c:v>
                </c:pt>
                <c:pt idx="87">
                  <c:v>0.6995602724477038</c:v>
                </c:pt>
                <c:pt idx="88">
                  <c:v>0.68653781791460722</c:v>
                </c:pt>
                <c:pt idx="89">
                  <c:v>0.69790504618026095</c:v>
                </c:pt>
                <c:pt idx="90">
                  <c:v>0.66610647285103741</c:v>
                </c:pt>
                <c:pt idx="91">
                  <c:v>0.61305625868839564</c:v>
                </c:pt>
                <c:pt idx="92">
                  <c:v>0.52760361955934998</c:v>
                </c:pt>
                <c:pt idx="93">
                  <c:v>0.43968427670636301</c:v>
                </c:pt>
                <c:pt idx="94">
                  <c:v>0.40477184626187446</c:v>
                </c:pt>
                <c:pt idx="95">
                  <c:v>0.41806365496721026</c:v>
                </c:pt>
                <c:pt idx="96">
                  <c:v>0.45035219128021586</c:v>
                </c:pt>
                <c:pt idx="97">
                  <c:v>0.45707775721954047</c:v>
                </c:pt>
                <c:pt idx="98">
                  <c:v>0.2865912918753355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0A-439A-BE8B-A97BD48B6E33}"/>
            </c:ext>
          </c:extLst>
        </c:ser>
        <c:ser>
          <c:idx val="1"/>
          <c:order val="1"/>
          <c:tx>
            <c:strRef>
              <c:f>'面板-景气指数'!$A$93</c:f>
              <c:strCache>
                <c:ptCount val="1"/>
                <c:pt idx="0">
                  <c:v>通用设备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'面板-景气指数'!$F$93:$CZ$93</c:f>
              <c:numCache>
                <c:formatCode>0.0%</c:formatCode>
                <c:ptCount val="99"/>
                <c:pt idx="0">
                  <c:v>0.76724999999999999</c:v>
                </c:pt>
                <c:pt idx="1">
                  <c:v>0.76724999999999999</c:v>
                </c:pt>
                <c:pt idx="2">
                  <c:v>0.75224999999999997</c:v>
                </c:pt>
                <c:pt idx="3">
                  <c:v>0.79325000000000001</c:v>
                </c:pt>
                <c:pt idx="4">
                  <c:v>0.76724999999999999</c:v>
                </c:pt>
                <c:pt idx="5">
                  <c:v>0.70874999999999999</c:v>
                </c:pt>
                <c:pt idx="6">
                  <c:v>0.55574999999999997</c:v>
                </c:pt>
                <c:pt idx="7">
                  <c:v>0.45074999999999998</c:v>
                </c:pt>
                <c:pt idx="8">
                  <c:v>0.37674999999999997</c:v>
                </c:pt>
                <c:pt idx="9">
                  <c:v>0.17574999999999996</c:v>
                </c:pt>
                <c:pt idx="10">
                  <c:v>0.183</c:v>
                </c:pt>
                <c:pt idx="11">
                  <c:v>0.24225000000000002</c:v>
                </c:pt>
                <c:pt idx="12">
                  <c:v>0.36399999999999999</c:v>
                </c:pt>
                <c:pt idx="13">
                  <c:v>0.44874999999999993</c:v>
                </c:pt>
                <c:pt idx="14">
                  <c:v>0.32074999999999998</c:v>
                </c:pt>
                <c:pt idx="15">
                  <c:v>0.21149999999999997</c:v>
                </c:pt>
                <c:pt idx="16">
                  <c:v>0.28799999999999998</c:v>
                </c:pt>
                <c:pt idx="17">
                  <c:v>0.3105</c:v>
                </c:pt>
                <c:pt idx="18">
                  <c:v>0.42824999999999996</c:v>
                </c:pt>
                <c:pt idx="19">
                  <c:v>0.38450000000000001</c:v>
                </c:pt>
                <c:pt idx="20">
                  <c:v>0.36449999999999999</c:v>
                </c:pt>
                <c:pt idx="21">
                  <c:v>0.48924999999999996</c:v>
                </c:pt>
                <c:pt idx="22">
                  <c:v>0.58349999999999991</c:v>
                </c:pt>
                <c:pt idx="23">
                  <c:v>0.67274999999999996</c:v>
                </c:pt>
                <c:pt idx="24">
                  <c:v>0.61424999999999996</c:v>
                </c:pt>
                <c:pt idx="25">
                  <c:v>0.59150000000000003</c:v>
                </c:pt>
                <c:pt idx="26">
                  <c:v>0.60699999999999998</c:v>
                </c:pt>
                <c:pt idx="27">
                  <c:v>0.52975000000000005</c:v>
                </c:pt>
                <c:pt idx="28">
                  <c:v>0.58125000000000004</c:v>
                </c:pt>
                <c:pt idx="29">
                  <c:v>0.69049999999999989</c:v>
                </c:pt>
                <c:pt idx="30">
                  <c:v>0.79049999999999987</c:v>
                </c:pt>
                <c:pt idx="31">
                  <c:v>0.82324999999999993</c:v>
                </c:pt>
                <c:pt idx="32">
                  <c:v>0.87475000000000003</c:v>
                </c:pt>
                <c:pt idx="33">
                  <c:v>0.90999999999999992</c:v>
                </c:pt>
                <c:pt idx="34">
                  <c:v>0.94599999999999995</c:v>
                </c:pt>
                <c:pt idx="35">
                  <c:v>0.97124999999999995</c:v>
                </c:pt>
                <c:pt idx="36">
                  <c:v>0.96350000000000013</c:v>
                </c:pt>
                <c:pt idx="37">
                  <c:v>0.99224999999999997</c:v>
                </c:pt>
                <c:pt idx="38">
                  <c:v>0.94350000000000001</c:v>
                </c:pt>
                <c:pt idx="39">
                  <c:v>0.96099999999999997</c:v>
                </c:pt>
                <c:pt idx="40">
                  <c:v>0.94324999999999992</c:v>
                </c:pt>
                <c:pt idx="41">
                  <c:v>0.84925000000000006</c:v>
                </c:pt>
                <c:pt idx="42">
                  <c:v>0.67325000000000002</c:v>
                </c:pt>
                <c:pt idx="43">
                  <c:v>0.65525</c:v>
                </c:pt>
                <c:pt idx="44">
                  <c:v>0.57650000000000001</c:v>
                </c:pt>
                <c:pt idx="45">
                  <c:v>0.49699999999999994</c:v>
                </c:pt>
                <c:pt idx="46">
                  <c:v>0.46874999999999994</c:v>
                </c:pt>
                <c:pt idx="47">
                  <c:v>0.26250000000000001</c:v>
                </c:pt>
                <c:pt idx="48">
                  <c:v>0.26225000000000004</c:v>
                </c:pt>
                <c:pt idx="49">
                  <c:v>0.11675000000000001</c:v>
                </c:pt>
                <c:pt idx="50">
                  <c:v>0.44574999999999998</c:v>
                </c:pt>
                <c:pt idx="51">
                  <c:v>0.38250000000000001</c:v>
                </c:pt>
                <c:pt idx="52">
                  <c:v>0.36899999999999994</c:v>
                </c:pt>
                <c:pt idx="53">
                  <c:v>0.313</c:v>
                </c:pt>
                <c:pt idx="54">
                  <c:v>0.23675000000000002</c:v>
                </c:pt>
                <c:pt idx="55">
                  <c:v>0.23649999999999999</c:v>
                </c:pt>
                <c:pt idx="56">
                  <c:v>0.31824999999999992</c:v>
                </c:pt>
                <c:pt idx="57">
                  <c:v>0.28775000000000001</c:v>
                </c:pt>
                <c:pt idx="58">
                  <c:v>0.14775000000000002</c:v>
                </c:pt>
                <c:pt idx="59">
                  <c:v>0.11149999999999999</c:v>
                </c:pt>
                <c:pt idx="60">
                  <c:v>0.13224999999999998</c:v>
                </c:pt>
                <c:pt idx="61">
                  <c:v>0.31349999999999995</c:v>
                </c:pt>
                <c:pt idx="62">
                  <c:v>5.5999999999999994E-2</c:v>
                </c:pt>
                <c:pt idx="63">
                  <c:v>5.0500000000000003E-2</c:v>
                </c:pt>
                <c:pt idx="64">
                  <c:v>8.1249999999999989E-2</c:v>
                </c:pt>
                <c:pt idx="65">
                  <c:v>9.1749999999999998E-2</c:v>
                </c:pt>
                <c:pt idx="66">
                  <c:v>8.3750000000000005E-2</c:v>
                </c:pt>
                <c:pt idx="67">
                  <c:v>7.5749999999999998E-2</c:v>
                </c:pt>
                <c:pt idx="68">
                  <c:v>7.8750000000000001E-2</c:v>
                </c:pt>
                <c:pt idx="69">
                  <c:v>0.18325</c:v>
                </c:pt>
                <c:pt idx="70">
                  <c:v>0.23400000000000001</c:v>
                </c:pt>
                <c:pt idx="71">
                  <c:v>0.28549999999999998</c:v>
                </c:pt>
                <c:pt idx="72">
                  <c:v>0.29550000000000004</c:v>
                </c:pt>
                <c:pt idx="73">
                  <c:v>0.316</c:v>
                </c:pt>
                <c:pt idx="74">
                  <c:v>0.38474999999999998</c:v>
                </c:pt>
                <c:pt idx="75">
                  <c:v>0.46925</c:v>
                </c:pt>
                <c:pt idx="76">
                  <c:v>0.44375000000000003</c:v>
                </c:pt>
                <c:pt idx="77">
                  <c:v>0.50175000000000003</c:v>
                </c:pt>
                <c:pt idx="78">
                  <c:v>0.55049999999999999</c:v>
                </c:pt>
                <c:pt idx="79">
                  <c:v>0.62449999999999994</c:v>
                </c:pt>
                <c:pt idx="80">
                  <c:v>0.6702499999999999</c:v>
                </c:pt>
                <c:pt idx="81">
                  <c:v>0.72949999999999993</c:v>
                </c:pt>
                <c:pt idx="82">
                  <c:v>0.74174999999999991</c:v>
                </c:pt>
                <c:pt idx="83">
                  <c:v>0.72375</c:v>
                </c:pt>
                <c:pt idx="84">
                  <c:v>0.67325000000000002</c:v>
                </c:pt>
                <c:pt idx="85">
                  <c:v>0.62699999999999989</c:v>
                </c:pt>
                <c:pt idx="86">
                  <c:v>0.74199999999999999</c:v>
                </c:pt>
                <c:pt idx="87">
                  <c:v>0.7955000000000001</c:v>
                </c:pt>
                <c:pt idx="88">
                  <c:v>0.75674999999999992</c:v>
                </c:pt>
                <c:pt idx="89">
                  <c:v>0.80825000000000002</c:v>
                </c:pt>
                <c:pt idx="90">
                  <c:v>0.77725000000000011</c:v>
                </c:pt>
                <c:pt idx="91">
                  <c:v>0.71875</c:v>
                </c:pt>
                <c:pt idx="92">
                  <c:v>0.56324999999999992</c:v>
                </c:pt>
                <c:pt idx="93">
                  <c:v>0.45624999999999999</c:v>
                </c:pt>
                <c:pt idx="94">
                  <c:v>0.41749999999999998</c:v>
                </c:pt>
                <c:pt idx="95">
                  <c:v>0.44574999999999998</c:v>
                </c:pt>
                <c:pt idx="96">
                  <c:v>0.46149999999999997</c:v>
                </c:pt>
                <c:pt idx="97">
                  <c:v>0.4945</c:v>
                </c:pt>
                <c:pt idx="98">
                  <c:v>0.22375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30A-439A-BE8B-A97BD48B6E33}"/>
            </c:ext>
          </c:extLst>
        </c:ser>
        <c:ser>
          <c:idx val="2"/>
          <c:order val="2"/>
          <c:tx>
            <c:strRef>
              <c:f>'面板-景气指数'!$A$94</c:f>
              <c:strCache>
                <c:ptCount val="1"/>
                <c:pt idx="0">
                  <c:v>工程机械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'面板-景气指数'!$F$94:$CZ$94</c:f>
              <c:numCache>
                <c:formatCode>0.0%</c:formatCode>
                <c:ptCount val="99"/>
                <c:pt idx="0">
                  <c:v>0.31762500000000005</c:v>
                </c:pt>
                <c:pt idx="1">
                  <c:v>0.31762500000000005</c:v>
                </c:pt>
                <c:pt idx="2">
                  <c:v>0.36512500000000003</c:v>
                </c:pt>
                <c:pt idx="3">
                  <c:v>0.32125000000000004</c:v>
                </c:pt>
                <c:pt idx="4">
                  <c:v>0.26375000000000004</c:v>
                </c:pt>
                <c:pt idx="5">
                  <c:v>0.19425000000000003</c:v>
                </c:pt>
                <c:pt idx="6">
                  <c:v>0.18475000000000003</c:v>
                </c:pt>
                <c:pt idx="7">
                  <c:v>0.16362500000000002</c:v>
                </c:pt>
                <c:pt idx="8">
                  <c:v>0.18750000000000006</c:v>
                </c:pt>
                <c:pt idx="9">
                  <c:v>0.26675000000000004</c:v>
                </c:pt>
                <c:pt idx="10">
                  <c:v>0.32824999999999999</c:v>
                </c:pt>
                <c:pt idx="11">
                  <c:v>0.30787500000000007</c:v>
                </c:pt>
                <c:pt idx="12">
                  <c:v>0.35087500000000005</c:v>
                </c:pt>
                <c:pt idx="13">
                  <c:v>0.26424999999999998</c:v>
                </c:pt>
                <c:pt idx="14">
                  <c:v>0.30200000000000005</c:v>
                </c:pt>
                <c:pt idx="15">
                  <c:v>0.25900000000000006</c:v>
                </c:pt>
                <c:pt idx="16">
                  <c:v>0.37062500000000004</c:v>
                </c:pt>
                <c:pt idx="17">
                  <c:v>0.46000000000000008</c:v>
                </c:pt>
                <c:pt idx="18">
                  <c:v>0.46287500000000004</c:v>
                </c:pt>
                <c:pt idx="19">
                  <c:v>0.46662500000000007</c:v>
                </c:pt>
                <c:pt idx="20">
                  <c:v>0.4048750000000001</c:v>
                </c:pt>
                <c:pt idx="21">
                  <c:v>0.37675000000000003</c:v>
                </c:pt>
                <c:pt idx="22">
                  <c:v>0.24787500000000004</c:v>
                </c:pt>
                <c:pt idx="23">
                  <c:v>0.22450000000000006</c:v>
                </c:pt>
                <c:pt idx="24">
                  <c:v>0.31687500000000007</c:v>
                </c:pt>
                <c:pt idx="25">
                  <c:v>0.37062500000000004</c:v>
                </c:pt>
                <c:pt idx="26">
                  <c:v>0.456625</c:v>
                </c:pt>
                <c:pt idx="27">
                  <c:v>0.32550000000000001</c:v>
                </c:pt>
                <c:pt idx="28">
                  <c:v>0.29112500000000002</c:v>
                </c:pt>
                <c:pt idx="29">
                  <c:v>0.28162500000000007</c:v>
                </c:pt>
                <c:pt idx="30">
                  <c:v>0.361875</c:v>
                </c:pt>
                <c:pt idx="31">
                  <c:v>0.4361250000000001</c:v>
                </c:pt>
                <c:pt idx="32">
                  <c:v>0.49025000000000007</c:v>
                </c:pt>
                <c:pt idx="33">
                  <c:v>0.49537500000000007</c:v>
                </c:pt>
                <c:pt idx="34">
                  <c:v>0.51537500000000003</c:v>
                </c:pt>
                <c:pt idx="35">
                  <c:v>0.63150000000000006</c:v>
                </c:pt>
                <c:pt idx="36">
                  <c:v>0.88987500000000008</c:v>
                </c:pt>
                <c:pt idx="37">
                  <c:v>0.93337500000000007</c:v>
                </c:pt>
                <c:pt idx="38">
                  <c:v>0.91512500000000008</c:v>
                </c:pt>
                <c:pt idx="39">
                  <c:v>0.74762499999999998</c:v>
                </c:pt>
                <c:pt idx="40">
                  <c:v>0.65750000000000008</c:v>
                </c:pt>
                <c:pt idx="41">
                  <c:v>0.67787500000000012</c:v>
                </c:pt>
                <c:pt idx="42">
                  <c:v>0.63025000000000009</c:v>
                </c:pt>
                <c:pt idx="43">
                  <c:v>0.58624999999999994</c:v>
                </c:pt>
                <c:pt idx="44">
                  <c:v>0.62125000000000008</c:v>
                </c:pt>
                <c:pt idx="45">
                  <c:v>0.64162500000000011</c:v>
                </c:pt>
                <c:pt idx="46">
                  <c:v>0.65162500000000012</c:v>
                </c:pt>
                <c:pt idx="47">
                  <c:v>0.5358750000000001</c:v>
                </c:pt>
                <c:pt idx="48">
                  <c:v>0.34075000000000005</c:v>
                </c:pt>
                <c:pt idx="49">
                  <c:v>0.224</c:v>
                </c:pt>
                <c:pt idx="50">
                  <c:v>0.26524999999999999</c:v>
                </c:pt>
                <c:pt idx="51">
                  <c:v>0.39912500000000006</c:v>
                </c:pt>
                <c:pt idx="52">
                  <c:v>0.49625000000000008</c:v>
                </c:pt>
                <c:pt idx="53">
                  <c:v>0.45899999999999996</c:v>
                </c:pt>
                <c:pt idx="54">
                  <c:v>0.44350000000000006</c:v>
                </c:pt>
                <c:pt idx="55">
                  <c:v>0.46212500000000006</c:v>
                </c:pt>
                <c:pt idx="56">
                  <c:v>0.42662500000000009</c:v>
                </c:pt>
                <c:pt idx="57">
                  <c:v>0.37637500000000002</c:v>
                </c:pt>
                <c:pt idx="58">
                  <c:v>0.36975000000000008</c:v>
                </c:pt>
                <c:pt idx="59">
                  <c:v>0.41912500000000003</c:v>
                </c:pt>
                <c:pt idx="60">
                  <c:v>0.52400000000000002</c:v>
                </c:pt>
                <c:pt idx="61">
                  <c:v>0.53175000000000006</c:v>
                </c:pt>
                <c:pt idx="62">
                  <c:v>0.46750000000000003</c:v>
                </c:pt>
                <c:pt idx="63">
                  <c:v>0.42237500000000006</c:v>
                </c:pt>
                <c:pt idx="64">
                  <c:v>0.51700000000000002</c:v>
                </c:pt>
                <c:pt idx="65">
                  <c:v>0.5655</c:v>
                </c:pt>
                <c:pt idx="66">
                  <c:v>0.62037500000000001</c:v>
                </c:pt>
                <c:pt idx="67">
                  <c:v>0.62150000000000005</c:v>
                </c:pt>
                <c:pt idx="68">
                  <c:v>0.65400000000000003</c:v>
                </c:pt>
                <c:pt idx="69">
                  <c:v>0.68625000000000003</c:v>
                </c:pt>
                <c:pt idx="70">
                  <c:v>0.7476250000000001</c:v>
                </c:pt>
                <c:pt idx="71">
                  <c:v>0.72475000000000012</c:v>
                </c:pt>
                <c:pt idx="72">
                  <c:v>0.59862500000000007</c:v>
                </c:pt>
                <c:pt idx="73">
                  <c:v>0.70350000000000024</c:v>
                </c:pt>
                <c:pt idx="74">
                  <c:v>0.71125000000000016</c:v>
                </c:pt>
                <c:pt idx="75">
                  <c:v>0.82100000000000006</c:v>
                </c:pt>
                <c:pt idx="76">
                  <c:v>0.762625</c:v>
                </c:pt>
                <c:pt idx="77">
                  <c:v>0.76387500000000019</c:v>
                </c:pt>
                <c:pt idx="78">
                  <c:v>0.73637500000000011</c:v>
                </c:pt>
                <c:pt idx="79">
                  <c:v>0.73975000000000002</c:v>
                </c:pt>
                <c:pt idx="80">
                  <c:v>0.7210000000000002</c:v>
                </c:pt>
                <c:pt idx="81">
                  <c:v>0.7163750000000001</c:v>
                </c:pt>
                <c:pt idx="82">
                  <c:v>0.69575000000000009</c:v>
                </c:pt>
                <c:pt idx="83">
                  <c:v>0.67612499999999998</c:v>
                </c:pt>
                <c:pt idx="84">
                  <c:v>0.73950000000000016</c:v>
                </c:pt>
                <c:pt idx="85">
                  <c:v>0.730375</c:v>
                </c:pt>
                <c:pt idx="86">
                  <c:v>0.74687500000000007</c:v>
                </c:pt>
                <c:pt idx="87">
                  <c:v>0.60162500000000008</c:v>
                </c:pt>
                <c:pt idx="88">
                  <c:v>0.62962499999999999</c:v>
                </c:pt>
                <c:pt idx="89">
                  <c:v>0.60550000000000004</c:v>
                </c:pt>
                <c:pt idx="90">
                  <c:v>0.55675000000000008</c:v>
                </c:pt>
                <c:pt idx="91">
                  <c:v>0.48149999999999998</c:v>
                </c:pt>
                <c:pt idx="92">
                  <c:v>0.43212500000000004</c:v>
                </c:pt>
                <c:pt idx="93">
                  <c:v>0.35912500000000003</c:v>
                </c:pt>
                <c:pt idx="94">
                  <c:v>0.33612500000000012</c:v>
                </c:pt>
                <c:pt idx="95">
                  <c:v>0.359375</c:v>
                </c:pt>
                <c:pt idx="96">
                  <c:v>0.41812500000000008</c:v>
                </c:pt>
                <c:pt idx="97">
                  <c:v>0.38987500000000003</c:v>
                </c:pt>
                <c:pt idx="98">
                  <c:v>0.28675000000000006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30A-439A-BE8B-A97BD48B6E33}"/>
            </c:ext>
          </c:extLst>
        </c:ser>
        <c:ser>
          <c:idx val="3"/>
          <c:order val="3"/>
          <c:tx>
            <c:strRef>
              <c:f>'面板-景气指数'!$A$95</c:f>
              <c:strCache>
                <c:ptCount val="1"/>
                <c:pt idx="0">
                  <c:v>自动化设备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'面板-景气指数'!$F$95:$CZ$95</c:f>
              <c:numCache>
                <c:formatCode>0.0%</c:formatCode>
                <c:ptCount val="99"/>
                <c:pt idx="0">
                  <c:v>0.26499999999999996</c:v>
                </c:pt>
                <c:pt idx="1">
                  <c:v>0.26499999999999996</c:v>
                </c:pt>
                <c:pt idx="2">
                  <c:v>0.39449999999999996</c:v>
                </c:pt>
                <c:pt idx="3">
                  <c:v>0.32383333333333331</c:v>
                </c:pt>
                <c:pt idx="4">
                  <c:v>0.245</c:v>
                </c:pt>
                <c:pt idx="5">
                  <c:v>0.14116666666666661</c:v>
                </c:pt>
                <c:pt idx="6">
                  <c:v>0.15149999999999988</c:v>
                </c:pt>
                <c:pt idx="7">
                  <c:v>0.15999999999999992</c:v>
                </c:pt>
                <c:pt idx="8">
                  <c:v>0.14699999999999991</c:v>
                </c:pt>
                <c:pt idx="9">
                  <c:v>0.22466666666666668</c:v>
                </c:pt>
                <c:pt idx="10">
                  <c:v>0.39099999999999996</c:v>
                </c:pt>
                <c:pt idx="11">
                  <c:v>0.49616666666666664</c:v>
                </c:pt>
                <c:pt idx="12">
                  <c:v>0.41299999999999981</c:v>
                </c:pt>
                <c:pt idx="13">
                  <c:v>0.32983333333333315</c:v>
                </c:pt>
                <c:pt idx="14">
                  <c:v>0.21433333333333324</c:v>
                </c:pt>
                <c:pt idx="15">
                  <c:v>0.27533333333333337</c:v>
                </c:pt>
                <c:pt idx="16">
                  <c:v>0.37350000000000005</c:v>
                </c:pt>
                <c:pt idx="17">
                  <c:v>0.42316666666666675</c:v>
                </c:pt>
                <c:pt idx="18">
                  <c:v>0.45266666666666666</c:v>
                </c:pt>
                <c:pt idx="19">
                  <c:v>0.3838333333333333</c:v>
                </c:pt>
                <c:pt idx="20">
                  <c:v>0.40800000000000003</c:v>
                </c:pt>
                <c:pt idx="21">
                  <c:v>0.29933333333333328</c:v>
                </c:pt>
                <c:pt idx="22">
                  <c:v>0.18600000000000005</c:v>
                </c:pt>
                <c:pt idx="23">
                  <c:v>0.25650000000000012</c:v>
                </c:pt>
                <c:pt idx="24">
                  <c:v>0.40183333333333338</c:v>
                </c:pt>
                <c:pt idx="25">
                  <c:v>0.53233333333333321</c:v>
                </c:pt>
                <c:pt idx="26">
                  <c:v>0.51616666666666666</c:v>
                </c:pt>
                <c:pt idx="27">
                  <c:v>0.48800000000000004</c:v>
                </c:pt>
                <c:pt idx="28">
                  <c:v>0.41350000000000009</c:v>
                </c:pt>
                <c:pt idx="29">
                  <c:v>0.43800000000000011</c:v>
                </c:pt>
                <c:pt idx="30">
                  <c:v>0.52200000000000013</c:v>
                </c:pt>
                <c:pt idx="31">
                  <c:v>0.65866666666666684</c:v>
                </c:pt>
                <c:pt idx="32">
                  <c:v>0.65966666666666685</c:v>
                </c:pt>
                <c:pt idx="33">
                  <c:v>0.69816666666666694</c:v>
                </c:pt>
                <c:pt idx="34">
                  <c:v>0.77983333333333338</c:v>
                </c:pt>
                <c:pt idx="35">
                  <c:v>0.90833333333333355</c:v>
                </c:pt>
                <c:pt idx="36">
                  <c:v>0.9484999999999999</c:v>
                </c:pt>
                <c:pt idx="37">
                  <c:v>0.99116666666666675</c:v>
                </c:pt>
                <c:pt idx="38">
                  <c:v>0.80783333333333329</c:v>
                </c:pt>
                <c:pt idx="39">
                  <c:v>0.75016666666666654</c:v>
                </c:pt>
                <c:pt idx="40">
                  <c:v>0.70766666666666678</c:v>
                </c:pt>
                <c:pt idx="41">
                  <c:v>0.71666666666666679</c:v>
                </c:pt>
                <c:pt idx="42">
                  <c:v>0.72183333333333355</c:v>
                </c:pt>
                <c:pt idx="43">
                  <c:v>0.68566666666666676</c:v>
                </c:pt>
                <c:pt idx="44">
                  <c:v>0.63650000000000007</c:v>
                </c:pt>
                <c:pt idx="45">
                  <c:v>0.68333333333333335</c:v>
                </c:pt>
                <c:pt idx="46">
                  <c:v>0.70466666666666666</c:v>
                </c:pt>
                <c:pt idx="47">
                  <c:v>0.52400000000000002</c:v>
                </c:pt>
                <c:pt idx="48">
                  <c:v>0.38750000000000018</c:v>
                </c:pt>
                <c:pt idx="49">
                  <c:v>0.29966666666666686</c:v>
                </c:pt>
                <c:pt idx="50">
                  <c:v>0.30666666666666681</c:v>
                </c:pt>
                <c:pt idx="51">
                  <c:v>0.38883333333333336</c:v>
                </c:pt>
                <c:pt idx="52">
                  <c:v>0.44549999999999995</c:v>
                </c:pt>
                <c:pt idx="53">
                  <c:v>0.40949999999999998</c:v>
                </c:pt>
                <c:pt idx="54">
                  <c:v>0.30649999999999988</c:v>
                </c:pt>
                <c:pt idx="55">
                  <c:v>0.28049999999999986</c:v>
                </c:pt>
                <c:pt idx="56">
                  <c:v>0.28599999999999987</c:v>
                </c:pt>
                <c:pt idx="57">
                  <c:v>0.34249999999999992</c:v>
                </c:pt>
                <c:pt idx="58">
                  <c:v>0.33749999999999986</c:v>
                </c:pt>
                <c:pt idx="59">
                  <c:v>0.31699999999999984</c:v>
                </c:pt>
                <c:pt idx="60">
                  <c:v>0.31149999999999989</c:v>
                </c:pt>
                <c:pt idx="61">
                  <c:v>0.2754999999999998</c:v>
                </c:pt>
                <c:pt idx="62">
                  <c:v>0.29599999999999982</c:v>
                </c:pt>
                <c:pt idx="63">
                  <c:v>0.33199999999999991</c:v>
                </c:pt>
                <c:pt idx="64">
                  <c:v>0.35799999999999987</c:v>
                </c:pt>
                <c:pt idx="65">
                  <c:v>0.35299999999999987</c:v>
                </c:pt>
                <c:pt idx="66">
                  <c:v>0.39399999999999991</c:v>
                </c:pt>
                <c:pt idx="67">
                  <c:v>0.42499999999999993</c:v>
                </c:pt>
                <c:pt idx="68">
                  <c:v>0.45100000000000001</c:v>
                </c:pt>
                <c:pt idx="69">
                  <c:v>0.48699999999999999</c:v>
                </c:pt>
                <c:pt idx="70">
                  <c:v>0.5485000000000001</c:v>
                </c:pt>
                <c:pt idx="71">
                  <c:v>0.60550000000000015</c:v>
                </c:pt>
                <c:pt idx="72">
                  <c:v>0.60050000000000014</c:v>
                </c:pt>
                <c:pt idx="73">
                  <c:v>0.58500000000000008</c:v>
                </c:pt>
                <c:pt idx="74">
                  <c:v>0.69300000000000028</c:v>
                </c:pt>
                <c:pt idx="75">
                  <c:v>0.65700000000000025</c:v>
                </c:pt>
                <c:pt idx="76">
                  <c:v>0.68250000000000033</c:v>
                </c:pt>
                <c:pt idx="77">
                  <c:v>0.72400000000000031</c:v>
                </c:pt>
                <c:pt idx="78">
                  <c:v>0.73450000000000037</c:v>
                </c:pt>
                <c:pt idx="79">
                  <c:v>0.75000000000000033</c:v>
                </c:pt>
                <c:pt idx="80">
                  <c:v>0.72900000000000031</c:v>
                </c:pt>
                <c:pt idx="81">
                  <c:v>0.71350000000000036</c:v>
                </c:pt>
                <c:pt idx="82">
                  <c:v>0.67750000000000021</c:v>
                </c:pt>
                <c:pt idx="83">
                  <c:v>0.70350000000000035</c:v>
                </c:pt>
                <c:pt idx="84">
                  <c:v>0.71900000000000031</c:v>
                </c:pt>
                <c:pt idx="85">
                  <c:v>0.73950000000000038</c:v>
                </c:pt>
                <c:pt idx="86">
                  <c:v>0.6465000000000003</c:v>
                </c:pt>
                <c:pt idx="87">
                  <c:v>0.66200000000000025</c:v>
                </c:pt>
                <c:pt idx="88">
                  <c:v>0.61550000000000016</c:v>
                </c:pt>
                <c:pt idx="89">
                  <c:v>0.5950000000000002</c:v>
                </c:pt>
                <c:pt idx="90">
                  <c:v>0.61050000000000015</c:v>
                </c:pt>
                <c:pt idx="91">
                  <c:v>0.64150000000000029</c:v>
                </c:pt>
                <c:pt idx="92">
                  <c:v>0.68800000000000028</c:v>
                </c:pt>
                <c:pt idx="93">
                  <c:v>0.62100000000000011</c:v>
                </c:pt>
                <c:pt idx="94">
                  <c:v>0.56400000000000017</c:v>
                </c:pt>
                <c:pt idx="95">
                  <c:v>0.49700000000000005</c:v>
                </c:pt>
                <c:pt idx="96">
                  <c:v>0.50750000000000006</c:v>
                </c:pt>
                <c:pt idx="97">
                  <c:v>0.52800000000000002</c:v>
                </c:pt>
                <c:pt idx="9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30A-439A-BE8B-A97BD48B6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'面板-景气指数'!$A$44</c:f>
              <c:strCache>
                <c:ptCount val="1"/>
                <c:pt idx="0">
                  <c:v>电力设备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'面板-景气指数'!$F$24:$CZ$24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'面板-景气指数'!$F$44:$CZ$44</c:f>
              <c:numCache>
                <c:formatCode>0.0%</c:formatCode>
                <c:ptCount val="99"/>
                <c:pt idx="0">
                  <c:v>0.45549044215383189</c:v>
                </c:pt>
                <c:pt idx="1">
                  <c:v>0.45183098553168816</c:v>
                </c:pt>
                <c:pt idx="2">
                  <c:v>0.46000405013152945</c:v>
                </c:pt>
                <c:pt idx="3">
                  <c:v>0.47312014395334967</c:v>
                </c:pt>
                <c:pt idx="4">
                  <c:v>0.45681005444792339</c:v>
                </c:pt>
                <c:pt idx="5">
                  <c:v>0.42271090142868517</c:v>
                </c:pt>
                <c:pt idx="6">
                  <c:v>0.40768674035565855</c:v>
                </c:pt>
                <c:pt idx="7">
                  <c:v>0.41705812905059247</c:v>
                </c:pt>
                <c:pt idx="8">
                  <c:v>0.44502906432507183</c:v>
                </c:pt>
                <c:pt idx="9">
                  <c:v>0.4764490110586137</c:v>
                </c:pt>
                <c:pt idx="10">
                  <c:v>0.50472554141985648</c:v>
                </c:pt>
                <c:pt idx="11">
                  <c:v>0.50168186454978281</c:v>
                </c:pt>
                <c:pt idx="12">
                  <c:v>0.47734997836174442</c:v>
                </c:pt>
                <c:pt idx="13">
                  <c:v>0.40833457871152978</c:v>
                </c:pt>
                <c:pt idx="14">
                  <c:v>0.38037146419220108</c:v>
                </c:pt>
                <c:pt idx="15">
                  <c:v>0.47556698443193729</c:v>
                </c:pt>
                <c:pt idx="16">
                  <c:v>0.54193697060832058</c:v>
                </c:pt>
                <c:pt idx="17">
                  <c:v>0.60927762529984009</c:v>
                </c:pt>
                <c:pt idx="18">
                  <c:v>0.63860829111488482</c:v>
                </c:pt>
                <c:pt idx="19">
                  <c:v>0.67781868462142547</c:v>
                </c:pt>
                <c:pt idx="20">
                  <c:v>0.68552190874816776</c:v>
                </c:pt>
                <c:pt idx="21">
                  <c:v>0.67566287317170481</c:v>
                </c:pt>
                <c:pt idx="22">
                  <c:v>0.65187986305311096</c:v>
                </c:pt>
                <c:pt idx="23">
                  <c:v>0.68145496210406875</c:v>
                </c:pt>
                <c:pt idx="24">
                  <c:v>0.79805432082395567</c:v>
                </c:pt>
                <c:pt idx="25">
                  <c:v>0.83380721936593427</c:v>
                </c:pt>
                <c:pt idx="26">
                  <c:v>0.77453644095550889</c:v>
                </c:pt>
                <c:pt idx="27">
                  <c:v>0.59644089384507426</c:v>
                </c:pt>
                <c:pt idx="28">
                  <c:v>0.58564082574911591</c:v>
                </c:pt>
                <c:pt idx="29">
                  <c:v>0.60647843078370833</c:v>
                </c:pt>
                <c:pt idx="30">
                  <c:v>0.64245278915355197</c:v>
                </c:pt>
                <c:pt idx="31">
                  <c:v>0.64989476889351327</c:v>
                </c:pt>
                <c:pt idx="32">
                  <c:v>0.66648399544613723</c:v>
                </c:pt>
                <c:pt idx="33">
                  <c:v>0.69380972366292148</c:v>
                </c:pt>
                <c:pt idx="34">
                  <c:v>0.74089617108022321</c:v>
                </c:pt>
                <c:pt idx="35">
                  <c:v>0.76365431335263823</c:v>
                </c:pt>
                <c:pt idx="36">
                  <c:v>0.80754156516727504</c:v>
                </c:pt>
                <c:pt idx="37">
                  <c:v>0.79950573090343435</c:v>
                </c:pt>
                <c:pt idx="38">
                  <c:v>0.7222205645971812</c:v>
                </c:pt>
                <c:pt idx="39">
                  <c:v>0.54222168671171411</c:v>
                </c:pt>
                <c:pt idx="40">
                  <c:v>0.47183400294685807</c:v>
                </c:pt>
                <c:pt idx="41">
                  <c:v>0.43228181889577877</c:v>
                </c:pt>
                <c:pt idx="42">
                  <c:v>0.36637673996557052</c:v>
                </c:pt>
                <c:pt idx="43">
                  <c:v>0.29148288416753432</c:v>
                </c:pt>
                <c:pt idx="44">
                  <c:v>0.23340861615078085</c:v>
                </c:pt>
                <c:pt idx="45">
                  <c:v>0.20077687298189734</c:v>
                </c:pt>
                <c:pt idx="46">
                  <c:v>0.15653866334329344</c:v>
                </c:pt>
                <c:pt idx="47">
                  <c:v>0.12315816658359917</c:v>
                </c:pt>
                <c:pt idx="48">
                  <c:v>9.8718584070883256E-2</c:v>
                </c:pt>
                <c:pt idx="49">
                  <c:v>9.0630155500006762E-2</c:v>
                </c:pt>
                <c:pt idx="50">
                  <c:v>0.12119279153440413</c:v>
                </c:pt>
                <c:pt idx="51">
                  <c:v>0.27403781415866102</c:v>
                </c:pt>
                <c:pt idx="52">
                  <c:v>0.26536183143823805</c:v>
                </c:pt>
                <c:pt idx="53">
                  <c:v>0.24100843700159136</c:v>
                </c:pt>
                <c:pt idx="54">
                  <c:v>0.22758131849955798</c:v>
                </c:pt>
                <c:pt idx="55">
                  <c:v>0.21883889218038177</c:v>
                </c:pt>
                <c:pt idx="56">
                  <c:v>0.22342747929691886</c:v>
                </c:pt>
                <c:pt idx="57">
                  <c:v>0.24900841212053748</c:v>
                </c:pt>
                <c:pt idx="58">
                  <c:v>0.29317634197791986</c:v>
                </c:pt>
                <c:pt idx="59">
                  <c:v>0.30473347348026891</c:v>
                </c:pt>
                <c:pt idx="60">
                  <c:v>0.33575679825304483</c:v>
                </c:pt>
                <c:pt idx="61">
                  <c:v>0.36076705160098177</c:v>
                </c:pt>
                <c:pt idx="62">
                  <c:v>0.37891230474813414</c:v>
                </c:pt>
                <c:pt idx="63">
                  <c:v>0.40053757540135526</c:v>
                </c:pt>
                <c:pt idx="64">
                  <c:v>0.37619367938758286</c:v>
                </c:pt>
                <c:pt idx="65">
                  <c:v>0.36346776952230248</c:v>
                </c:pt>
                <c:pt idx="66">
                  <c:v>0.34947319396031967</c:v>
                </c:pt>
                <c:pt idx="67">
                  <c:v>0.35098883347957682</c:v>
                </c:pt>
                <c:pt idx="68">
                  <c:v>0.36959197044842096</c:v>
                </c:pt>
                <c:pt idx="69">
                  <c:v>0.41423950348001531</c:v>
                </c:pt>
                <c:pt idx="70">
                  <c:v>0.42789399495831737</c:v>
                </c:pt>
                <c:pt idx="71">
                  <c:v>0.46573194933438955</c:v>
                </c:pt>
                <c:pt idx="72">
                  <c:v>0.50089086964590435</c:v>
                </c:pt>
                <c:pt idx="73">
                  <c:v>0.59020847430917112</c:v>
                </c:pt>
                <c:pt idx="74">
                  <c:v>0.57578717403929069</c:v>
                </c:pt>
                <c:pt idx="75">
                  <c:v>0.52662226695133507</c:v>
                </c:pt>
                <c:pt idx="76">
                  <c:v>0.51338750287245294</c:v>
                </c:pt>
                <c:pt idx="77">
                  <c:v>0.55994269478952952</c:v>
                </c:pt>
                <c:pt idx="78">
                  <c:v>0.59448132348416993</c:v>
                </c:pt>
                <c:pt idx="79">
                  <c:v>0.60025133147943122</c:v>
                </c:pt>
                <c:pt idx="80">
                  <c:v>0.56594693490337789</c:v>
                </c:pt>
                <c:pt idx="81">
                  <c:v>0.55018333913237838</c:v>
                </c:pt>
                <c:pt idx="82">
                  <c:v>0.54285790011689194</c:v>
                </c:pt>
                <c:pt idx="83">
                  <c:v>0.53854818779956326</c:v>
                </c:pt>
                <c:pt idx="84">
                  <c:v>0.53584362403738894</c:v>
                </c:pt>
                <c:pt idx="85">
                  <c:v>0.48158242352359304</c:v>
                </c:pt>
                <c:pt idx="86">
                  <c:v>0.55956562080736039</c:v>
                </c:pt>
                <c:pt idx="87">
                  <c:v>0.56687502660466571</c:v>
                </c:pt>
                <c:pt idx="88">
                  <c:v>0.59096541312406869</c:v>
                </c:pt>
                <c:pt idx="89">
                  <c:v>0.59413864846506736</c:v>
                </c:pt>
                <c:pt idx="90">
                  <c:v>0.60408774959673683</c:v>
                </c:pt>
                <c:pt idx="91">
                  <c:v>0.61722608699542247</c:v>
                </c:pt>
                <c:pt idx="92">
                  <c:v>0.60561533412357216</c:v>
                </c:pt>
                <c:pt idx="93">
                  <c:v>0.61603304958663885</c:v>
                </c:pt>
                <c:pt idx="94">
                  <c:v>0.61926437088794062</c:v>
                </c:pt>
                <c:pt idx="95">
                  <c:v>0.64023439532682014</c:v>
                </c:pt>
                <c:pt idx="96">
                  <c:v>0.60035521362394118</c:v>
                </c:pt>
                <c:pt idx="97">
                  <c:v>0.5840557513711464</c:v>
                </c:pt>
                <c:pt idx="98">
                  <c:v>0.57978730996657479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C6-49F4-AFF1-FFA33D132729}"/>
            </c:ext>
          </c:extLst>
        </c:ser>
        <c:ser>
          <c:idx val="1"/>
          <c:order val="1"/>
          <c:tx>
            <c:strRef>
              <c:f>'面板-景气指数'!$A$96</c:f>
              <c:strCache>
                <c:ptCount val="1"/>
                <c:pt idx="0">
                  <c:v>光伏设备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'面板-景气指数'!$F$24:$CZ$24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'面板-景气指数'!$F$96:$CZ$96</c:f>
              <c:numCache>
                <c:formatCode>0.0%</c:formatCode>
                <c:ptCount val="99"/>
                <c:pt idx="0">
                  <c:v>0.39873333333333338</c:v>
                </c:pt>
                <c:pt idx="1">
                  <c:v>0.39000000000000007</c:v>
                </c:pt>
                <c:pt idx="2">
                  <c:v>0.47586666666666677</c:v>
                </c:pt>
                <c:pt idx="3">
                  <c:v>0.57120000000000004</c:v>
                </c:pt>
                <c:pt idx="4">
                  <c:v>0.5646000000000001</c:v>
                </c:pt>
                <c:pt idx="5">
                  <c:v>0.58826666666666683</c:v>
                </c:pt>
                <c:pt idx="6">
                  <c:v>0.58860000000000001</c:v>
                </c:pt>
                <c:pt idx="7">
                  <c:v>0.60706666666666675</c:v>
                </c:pt>
                <c:pt idx="8">
                  <c:v>0.59126666666666672</c:v>
                </c:pt>
                <c:pt idx="9">
                  <c:v>0.6709333333333336</c:v>
                </c:pt>
                <c:pt idx="10">
                  <c:v>0.75613333333333344</c:v>
                </c:pt>
                <c:pt idx="11">
                  <c:v>0.82340000000000002</c:v>
                </c:pt>
                <c:pt idx="12">
                  <c:v>0.78886666666666672</c:v>
                </c:pt>
                <c:pt idx="13">
                  <c:v>0.71653333333333336</c:v>
                </c:pt>
                <c:pt idx="14">
                  <c:v>0.60113333333333341</c:v>
                </c:pt>
                <c:pt idx="15">
                  <c:v>0.58613333333333351</c:v>
                </c:pt>
                <c:pt idx="16">
                  <c:v>0.64306666666666668</c:v>
                </c:pt>
                <c:pt idx="17">
                  <c:v>0.69613333333333338</c:v>
                </c:pt>
                <c:pt idx="18">
                  <c:v>0.71826666666666672</c:v>
                </c:pt>
                <c:pt idx="19">
                  <c:v>0.77120000000000011</c:v>
                </c:pt>
                <c:pt idx="20">
                  <c:v>0.78573333333333339</c:v>
                </c:pt>
                <c:pt idx="21">
                  <c:v>0.81873333333333342</c:v>
                </c:pt>
                <c:pt idx="22">
                  <c:v>0.82180000000000009</c:v>
                </c:pt>
                <c:pt idx="23">
                  <c:v>0.82406666666666673</c:v>
                </c:pt>
                <c:pt idx="24">
                  <c:v>0.8828666666666668</c:v>
                </c:pt>
                <c:pt idx="25">
                  <c:v>0.88720000000000032</c:v>
                </c:pt>
                <c:pt idx="26">
                  <c:v>0.75726666666666664</c:v>
                </c:pt>
                <c:pt idx="27">
                  <c:v>0.53026666666666677</c:v>
                </c:pt>
                <c:pt idx="28">
                  <c:v>0.5280666666666668</c:v>
                </c:pt>
                <c:pt idx="29">
                  <c:v>0.53526666666666667</c:v>
                </c:pt>
                <c:pt idx="30">
                  <c:v>0.56413333333333338</c:v>
                </c:pt>
                <c:pt idx="31">
                  <c:v>0.54506666666666681</c:v>
                </c:pt>
                <c:pt idx="32">
                  <c:v>0.51933333333333342</c:v>
                </c:pt>
                <c:pt idx="33">
                  <c:v>0.50139999999999996</c:v>
                </c:pt>
                <c:pt idx="34">
                  <c:v>0.50560000000000016</c:v>
                </c:pt>
                <c:pt idx="35">
                  <c:v>0.50093333333333345</c:v>
                </c:pt>
                <c:pt idx="36">
                  <c:v>0.63086666666666669</c:v>
                </c:pt>
                <c:pt idx="37">
                  <c:v>0.67313333333333358</c:v>
                </c:pt>
                <c:pt idx="38">
                  <c:v>0.70286666666666675</c:v>
                </c:pt>
                <c:pt idx="39">
                  <c:v>0.53</c:v>
                </c:pt>
                <c:pt idx="40">
                  <c:v>0.49600000000000005</c:v>
                </c:pt>
                <c:pt idx="41">
                  <c:v>0.3928666666666667</c:v>
                </c:pt>
                <c:pt idx="42">
                  <c:v>0.32180000000000003</c:v>
                </c:pt>
                <c:pt idx="43">
                  <c:v>0.23626666666666671</c:v>
                </c:pt>
                <c:pt idx="44">
                  <c:v>0.19953333333333334</c:v>
                </c:pt>
                <c:pt idx="45">
                  <c:v>0.16113333333333338</c:v>
                </c:pt>
                <c:pt idx="46">
                  <c:v>0.1482</c:v>
                </c:pt>
                <c:pt idx="47">
                  <c:v>0.13586666666666669</c:v>
                </c:pt>
                <c:pt idx="48">
                  <c:v>0.15546666666666664</c:v>
                </c:pt>
                <c:pt idx="49">
                  <c:v>0.1516666666666667</c:v>
                </c:pt>
                <c:pt idx="50">
                  <c:v>0.11606666666666668</c:v>
                </c:pt>
                <c:pt idx="51">
                  <c:v>0.21426666666666669</c:v>
                </c:pt>
                <c:pt idx="52">
                  <c:v>0.22600000000000001</c:v>
                </c:pt>
                <c:pt idx="53">
                  <c:v>0.22440000000000004</c:v>
                </c:pt>
                <c:pt idx="54">
                  <c:v>0.21046666666666669</c:v>
                </c:pt>
                <c:pt idx="55">
                  <c:v>0.19606666666666669</c:v>
                </c:pt>
                <c:pt idx="56">
                  <c:v>0.19713333333333335</c:v>
                </c:pt>
                <c:pt idx="57">
                  <c:v>0.25880000000000003</c:v>
                </c:pt>
                <c:pt idx="58">
                  <c:v>0.2676</c:v>
                </c:pt>
                <c:pt idx="59">
                  <c:v>0.26966666666666672</c:v>
                </c:pt>
                <c:pt idx="60">
                  <c:v>0.24713333333333334</c:v>
                </c:pt>
                <c:pt idx="61">
                  <c:v>0.23966666666666669</c:v>
                </c:pt>
                <c:pt idx="62">
                  <c:v>0.29860000000000003</c:v>
                </c:pt>
                <c:pt idx="63">
                  <c:v>0.31153333333333333</c:v>
                </c:pt>
                <c:pt idx="64">
                  <c:v>0.28426666666666672</c:v>
                </c:pt>
                <c:pt idx="65">
                  <c:v>0.27306666666666668</c:v>
                </c:pt>
                <c:pt idx="66">
                  <c:v>0.2950666666666667</c:v>
                </c:pt>
                <c:pt idx="67">
                  <c:v>0.29773333333333341</c:v>
                </c:pt>
                <c:pt idx="68">
                  <c:v>0.31693333333333334</c:v>
                </c:pt>
                <c:pt idx="69">
                  <c:v>0.34013333333333334</c:v>
                </c:pt>
                <c:pt idx="70">
                  <c:v>0.38546666666666662</c:v>
                </c:pt>
                <c:pt idx="71">
                  <c:v>0.54280000000000006</c:v>
                </c:pt>
                <c:pt idx="72">
                  <c:v>0.67573333333333352</c:v>
                </c:pt>
                <c:pt idx="73">
                  <c:v>0.73973333333333346</c:v>
                </c:pt>
                <c:pt idx="74">
                  <c:v>0.6412000000000001</c:v>
                </c:pt>
                <c:pt idx="75">
                  <c:v>0.52993333333333337</c:v>
                </c:pt>
                <c:pt idx="76">
                  <c:v>0.57766666666666688</c:v>
                </c:pt>
                <c:pt idx="77">
                  <c:v>0.59880000000000022</c:v>
                </c:pt>
                <c:pt idx="78">
                  <c:v>0.57933333333333348</c:v>
                </c:pt>
                <c:pt idx="79">
                  <c:v>0.52733333333333354</c:v>
                </c:pt>
                <c:pt idx="80">
                  <c:v>0.4811333333333333</c:v>
                </c:pt>
                <c:pt idx="81">
                  <c:v>0.44433333333333336</c:v>
                </c:pt>
                <c:pt idx="82">
                  <c:v>0.42906666666666665</c:v>
                </c:pt>
                <c:pt idx="83">
                  <c:v>0.40893333333333332</c:v>
                </c:pt>
                <c:pt idx="84">
                  <c:v>0.38453333333333339</c:v>
                </c:pt>
                <c:pt idx="85">
                  <c:v>0.36273333333333335</c:v>
                </c:pt>
                <c:pt idx="86">
                  <c:v>0.55566666666666675</c:v>
                </c:pt>
                <c:pt idx="87">
                  <c:v>0.71253333333333368</c:v>
                </c:pt>
                <c:pt idx="88">
                  <c:v>0.70213333333333361</c:v>
                </c:pt>
                <c:pt idx="89">
                  <c:v>0.69686666666666686</c:v>
                </c:pt>
                <c:pt idx="90">
                  <c:v>0.69753333333333356</c:v>
                </c:pt>
                <c:pt idx="91">
                  <c:v>0.707666666666667</c:v>
                </c:pt>
                <c:pt idx="92">
                  <c:v>0.73253333333333359</c:v>
                </c:pt>
                <c:pt idx="93">
                  <c:v>0.71493333333333353</c:v>
                </c:pt>
                <c:pt idx="94">
                  <c:v>0.60240000000000016</c:v>
                </c:pt>
                <c:pt idx="95">
                  <c:v>0.46500000000000002</c:v>
                </c:pt>
                <c:pt idx="96">
                  <c:v>0.47486666666666671</c:v>
                </c:pt>
                <c:pt idx="97">
                  <c:v>0.45739999999999997</c:v>
                </c:pt>
                <c:pt idx="98">
                  <c:v>0.49513333333333331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FC6-49F4-AFF1-FFA33D132729}"/>
            </c:ext>
          </c:extLst>
        </c:ser>
        <c:ser>
          <c:idx val="2"/>
          <c:order val="2"/>
          <c:tx>
            <c:strRef>
              <c:f>'面板-景气指数'!$A$97</c:f>
              <c:strCache>
                <c:ptCount val="1"/>
                <c:pt idx="0">
                  <c:v>风电设备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'面板-景气指数'!$F$24:$CZ$24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'面板-景气指数'!$F$97:$CZ$97</c:f>
              <c:numCache>
                <c:formatCode>0.0%</c:formatCode>
                <c:ptCount val="99"/>
                <c:pt idx="0">
                  <c:v>0.55800000000000027</c:v>
                </c:pt>
                <c:pt idx="1">
                  <c:v>0.55300000000000027</c:v>
                </c:pt>
                <c:pt idx="2">
                  <c:v>0.58650000000000024</c:v>
                </c:pt>
                <c:pt idx="3">
                  <c:v>0.6020000000000002</c:v>
                </c:pt>
                <c:pt idx="4">
                  <c:v>0.61200000000000021</c:v>
                </c:pt>
                <c:pt idx="5">
                  <c:v>0.60975000000000024</c:v>
                </c:pt>
                <c:pt idx="6">
                  <c:v>0.59925000000000017</c:v>
                </c:pt>
                <c:pt idx="7">
                  <c:v>0.59400000000000019</c:v>
                </c:pt>
                <c:pt idx="8">
                  <c:v>0.60925000000000029</c:v>
                </c:pt>
                <c:pt idx="9">
                  <c:v>0.58400000000000019</c:v>
                </c:pt>
                <c:pt idx="10">
                  <c:v>0.55100000000000027</c:v>
                </c:pt>
                <c:pt idx="11">
                  <c:v>0.4720000000000002</c:v>
                </c:pt>
                <c:pt idx="12">
                  <c:v>0.42075000000000018</c:v>
                </c:pt>
                <c:pt idx="13">
                  <c:v>0.39</c:v>
                </c:pt>
                <c:pt idx="14">
                  <c:v>0.33124999999999982</c:v>
                </c:pt>
                <c:pt idx="15">
                  <c:v>0.38249999999999978</c:v>
                </c:pt>
                <c:pt idx="16">
                  <c:v>0.41049999999999975</c:v>
                </c:pt>
                <c:pt idx="17">
                  <c:v>0.48474999999999985</c:v>
                </c:pt>
                <c:pt idx="18">
                  <c:v>0.5249999999999998</c:v>
                </c:pt>
                <c:pt idx="19">
                  <c:v>0.55299999999999983</c:v>
                </c:pt>
                <c:pt idx="20">
                  <c:v>0.52774999999999994</c:v>
                </c:pt>
                <c:pt idx="21">
                  <c:v>0.55825000000000002</c:v>
                </c:pt>
                <c:pt idx="22">
                  <c:v>0.57874999999999999</c:v>
                </c:pt>
                <c:pt idx="23">
                  <c:v>0.6170000000000001</c:v>
                </c:pt>
                <c:pt idx="24">
                  <c:v>0.6452500000000001</c:v>
                </c:pt>
                <c:pt idx="25">
                  <c:v>0.67075000000000018</c:v>
                </c:pt>
                <c:pt idx="26">
                  <c:v>0.48449999999999993</c:v>
                </c:pt>
                <c:pt idx="27">
                  <c:v>0.32399999999999979</c:v>
                </c:pt>
                <c:pt idx="28">
                  <c:v>0.32874999999999982</c:v>
                </c:pt>
                <c:pt idx="29">
                  <c:v>0.4157499999999999</c:v>
                </c:pt>
                <c:pt idx="30">
                  <c:v>0.4945</c:v>
                </c:pt>
                <c:pt idx="31">
                  <c:v>0.53300000000000014</c:v>
                </c:pt>
                <c:pt idx="32">
                  <c:v>0.62475000000000025</c:v>
                </c:pt>
                <c:pt idx="33">
                  <c:v>0.6070000000000001</c:v>
                </c:pt>
                <c:pt idx="34">
                  <c:v>0.65275000000000016</c:v>
                </c:pt>
                <c:pt idx="35">
                  <c:v>0.67050000000000021</c:v>
                </c:pt>
                <c:pt idx="36">
                  <c:v>0.71650000000000014</c:v>
                </c:pt>
                <c:pt idx="37">
                  <c:v>0.74975000000000025</c:v>
                </c:pt>
                <c:pt idx="38">
                  <c:v>0.74750000000000016</c:v>
                </c:pt>
                <c:pt idx="39">
                  <c:v>0.75475000000000014</c:v>
                </c:pt>
                <c:pt idx="40">
                  <c:v>0.7140000000000003</c:v>
                </c:pt>
                <c:pt idx="41">
                  <c:v>0.5585</c:v>
                </c:pt>
                <c:pt idx="42">
                  <c:v>0.41549999999999981</c:v>
                </c:pt>
                <c:pt idx="43">
                  <c:v>0.37699999999999978</c:v>
                </c:pt>
                <c:pt idx="44">
                  <c:v>0.32624999999999976</c:v>
                </c:pt>
                <c:pt idx="45">
                  <c:v>0.33399999999999974</c:v>
                </c:pt>
                <c:pt idx="46">
                  <c:v>0.28324999999999972</c:v>
                </c:pt>
                <c:pt idx="47">
                  <c:v>0.2879999999999997</c:v>
                </c:pt>
                <c:pt idx="48">
                  <c:v>0.27524999999999972</c:v>
                </c:pt>
                <c:pt idx="49">
                  <c:v>0.23699999999999977</c:v>
                </c:pt>
                <c:pt idx="50">
                  <c:v>0.34674999999999984</c:v>
                </c:pt>
                <c:pt idx="51">
                  <c:v>0.36699999999999988</c:v>
                </c:pt>
                <c:pt idx="52">
                  <c:v>0.36449999999999999</c:v>
                </c:pt>
                <c:pt idx="53">
                  <c:v>0.34149999999999986</c:v>
                </c:pt>
                <c:pt idx="54">
                  <c:v>0.35949999999999993</c:v>
                </c:pt>
                <c:pt idx="55">
                  <c:v>0.3824999999999999</c:v>
                </c:pt>
                <c:pt idx="56">
                  <c:v>0.45374999999999999</c:v>
                </c:pt>
                <c:pt idx="57">
                  <c:v>0.4514999999999999</c:v>
                </c:pt>
                <c:pt idx="58">
                  <c:v>0.43574999999999997</c:v>
                </c:pt>
                <c:pt idx="59">
                  <c:v>0.36424999999999985</c:v>
                </c:pt>
                <c:pt idx="60">
                  <c:v>0.30349999999999977</c:v>
                </c:pt>
                <c:pt idx="61">
                  <c:v>0.26524999999999976</c:v>
                </c:pt>
                <c:pt idx="62">
                  <c:v>0.33899999999999963</c:v>
                </c:pt>
                <c:pt idx="63">
                  <c:v>0.55374999999999996</c:v>
                </c:pt>
                <c:pt idx="64">
                  <c:v>0.51524999999999999</c:v>
                </c:pt>
                <c:pt idx="65">
                  <c:v>0.43600000000000017</c:v>
                </c:pt>
                <c:pt idx="66">
                  <c:v>0.37475000000000019</c:v>
                </c:pt>
                <c:pt idx="67">
                  <c:v>0.43075000000000024</c:v>
                </c:pt>
                <c:pt idx="68">
                  <c:v>0.43850000000000022</c:v>
                </c:pt>
                <c:pt idx="69">
                  <c:v>0.49200000000000016</c:v>
                </c:pt>
                <c:pt idx="70">
                  <c:v>0.4512500000000001</c:v>
                </c:pt>
                <c:pt idx="71">
                  <c:v>0.50250000000000006</c:v>
                </c:pt>
                <c:pt idx="72">
                  <c:v>0.55575000000000008</c:v>
                </c:pt>
                <c:pt idx="73">
                  <c:v>0.59125000000000016</c:v>
                </c:pt>
                <c:pt idx="74">
                  <c:v>0.46950000000000014</c:v>
                </c:pt>
                <c:pt idx="75">
                  <c:v>0.27799999999999997</c:v>
                </c:pt>
                <c:pt idx="76">
                  <c:v>0.28774999999999995</c:v>
                </c:pt>
                <c:pt idx="77">
                  <c:v>0.39524999999999993</c:v>
                </c:pt>
                <c:pt idx="78">
                  <c:v>0.45124999999999993</c:v>
                </c:pt>
                <c:pt idx="79">
                  <c:v>0.51749999999999985</c:v>
                </c:pt>
                <c:pt idx="80">
                  <c:v>0.53024999999999978</c:v>
                </c:pt>
                <c:pt idx="81">
                  <c:v>0.52749999999999975</c:v>
                </c:pt>
                <c:pt idx="82">
                  <c:v>0.57399999999999984</c:v>
                </c:pt>
                <c:pt idx="83">
                  <c:v>0.58399999999999985</c:v>
                </c:pt>
                <c:pt idx="84">
                  <c:v>0.67099999999999993</c:v>
                </c:pt>
                <c:pt idx="85">
                  <c:v>0.7420000000000001</c:v>
                </c:pt>
                <c:pt idx="86">
                  <c:v>0.64524999999999988</c:v>
                </c:pt>
                <c:pt idx="87">
                  <c:v>0.45899999999999952</c:v>
                </c:pt>
                <c:pt idx="88">
                  <c:v>0.44874999999999959</c:v>
                </c:pt>
                <c:pt idx="89">
                  <c:v>0.40524999999999967</c:v>
                </c:pt>
                <c:pt idx="90">
                  <c:v>0.40024999999999972</c:v>
                </c:pt>
                <c:pt idx="91">
                  <c:v>0.40549999999999969</c:v>
                </c:pt>
                <c:pt idx="92">
                  <c:v>0.44874999999999965</c:v>
                </c:pt>
                <c:pt idx="93">
                  <c:v>0.50749999999999962</c:v>
                </c:pt>
                <c:pt idx="94">
                  <c:v>0.6449999999999998</c:v>
                </c:pt>
                <c:pt idx="95">
                  <c:v>0.7114999999999998</c:v>
                </c:pt>
                <c:pt idx="96">
                  <c:v>0.79324999999999979</c:v>
                </c:pt>
                <c:pt idx="97">
                  <c:v>0.76474999999999982</c:v>
                </c:pt>
                <c:pt idx="98">
                  <c:v>0.74949999999999994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FC6-49F4-AFF1-FFA33D132729}"/>
            </c:ext>
          </c:extLst>
        </c:ser>
        <c:ser>
          <c:idx val="4"/>
          <c:order val="3"/>
          <c:tx>
            <c:strRef>
              <c:f>'面板-景气指数'!$A$99</c:f>
              <c:strCache>
                <c:ptCount val="1"/>
                <c:pt idx="0">
                  <c:v>电网设备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'面板-景气指数'!$F$24:$CZ$24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'面板-景气指数'!$F$99:$CZ$99</c:f>
              <c:numCache>
                <c:formatCode>0.0%</c:formatCode>
                <c:ptCount val="99"/>
                <c:pt idx="0">
                  <c:v>0.60650000000000004</c:v>
                </c:pt>
                <c:pt idx="1">
                  <c:v>0.60650000000000004</c:v>
                </c:pt>
                <c:pt idx="2">
                  <c:v>0.58599999999999997</c:v>
                </c:pt>
                <c:pt idx="3">
                  <c:v>0.55049999999999999</c:v>
                </c:pt>
                <c:pt idx="4">
                  <c:v>0.4995</c:v>
                </c:pt>
                <c:pt idx="5">
                  <c:v>0.39750000000000002</c:v>
                </c:pt>
                <c:pt idx="6">
                  <c:v>0.34150000000000003</c:v>
                </c:pt>
                <c:pt idx="7">
                  <c:v>0.36649999999999999</c:v>
                </c:pt>
                <c:pt idx="8">
                  <c:v>0.42850000000000005</c:v>
                </c:pt>
                <c:pt idx="9">
                  <c:v>0.44350000000000001</c:v>
                </c:pt>
                <c:pt idx="10">
                  <c:v>0.41799999999999998</c:v>
                </c:pt>
                <c:pt idx="11">
                  <c:v>0.40250000000000002</c:v>
                </c:pt>
                <c:pt idx="12">
                  <c:v>0.35150000000000003</c:v>
                </c:pt>
                <c:pt idx="13">
                  <c:v>0.311</c:v>
                </c:pt>
                <c:pt idx="14">
                  <c:v>0.30599999999999999</c:v>
                </c:pt>
                <c:pt idx="15">
                  <c:v>0.59649999999999992</c:v>
                </c:pt>
                <c:pt idx="16">
                  <c:v>0.6170000000000001</c:v>
                </c:pt>
                <c:pt idx="17">
                  <c:v>0.66800000000000004</c:v>
                </c:pt>
                <c:pt idx="18">
                  <c:v>0.69349999999999989</c:v>
                </c:pt>
                <c:pt idx="19">
                  <c:v>0.71350000000000002</c:v>
                </c:pt>
                <c:pt idx="20">
                  <c:v>0.68800000000000006</c:v>
                </c:pt>
                <c:pt idx="21">
                  <c:v>0.62749999999999995</c:v>
                </c:pt>
                <c:pt idx="22">
                  <c:v>0.58099999999999996</c:v>
                </c:pt>
                <c:pt idx="23">
                  <c:v>0.627</c:v>
                </c:pt>
                <c:pt idx="24">
                  <c:v>0.83099999999999996</c:v>
                </c:pt>
                <c:pt idx="25">
                  <c:v>0.89750000000000008</c:v>
                </c:pt>
                <c:pt idx="26">
                  <c:v>0.88200000000000001</c:v>
                </c:pt>
                <c:pt idx="27">
                  <c:v>0.60150000000000003</c:v>
                </c:pt>
                <c:pt idx="28">
                  <c:v>0.56050000000000011</c:v>
                </c:pt>
                <c:pt idx="29">
                  <c:v>0.54549999999999998</c:v>
                </c:pt>
                <c:pt idx="30">
                  <c:v>0.59100000000000008</c:v>
                </c:pt>
                <c:pt idx="31">
                  <c:v>0.59649999999999992</c:v>
                </c:pt>
                <c:pt idx="32">
                  <c:v>0.65250000000000008</c:v>
                </c:pt>
                <c:pt idx="33">
                  <c:v>0.75450000000000006</c:v>
                </c:pt>
                <c:pt idx="34">
                  <c:v>0.89750000000000008</c:v>
                </c:pt>
                <c:pt idx="35">
                  <c:v>0.93849999999999989</c:v>
                </c:pt>
                <c:pt idx="36">
                  <c:v>0.95350000000000001</c:v>
                </c:pt>
                <c:pt idx="37">
                  <c:v>0.91300000000000003</c:v>
                </c:pt>
                <c:pt idx="38">
                  <c:v>0.68300000000000005</c:v>
                </c:pt>
                <c:pt idx="39">
                  <c:v>0.34650000000000003</c:v>
                </c:pt>
                <c:pt idx="40">
                  <c:v>0.34100000000000003</c:v>
                </c:pt>
                <c:pt idx="41">
                  <c:v>0.36199999999999999</c:v>
                </c:pt>
                <c:pt idx="42">
                  <c:v>0.32599999999999996</c:v>
                </c:pt>
                <c:pt idx="43">
                  <c:v>0.26500000000000001</c:v>
                </c:pt>
                <c:pt idx="44">
                  <c:v>0.2545</c:v>
                </c:pt>
                <c:pt idx="45">
                  <c:v>0.224</c:v>
                </c:pt>
                <c:pt idx="46">
                  <c:v>0.14249999999999999</c:v>
                </c:pt>
                <c:pt idx="47">
                  <c:v>8.6499999999999994E-2</c:v>
                </c:pt>
                <c:pt idx="48">
                  <c:v>1.4999999999999999E-2</c:v>
                </c:pt>
                <c:pt idx="49">
                  <c:v>0</c:v>
                </c:pt>
                <c:pt idx="50">
                  <c:v>6.5499999999999989E-2</c:v>
                </c:pt>
                <c:pt idx="51">
                  <c:v>0.41799999999999998</c:v>
                </c:pt>
                <c:pt idx="52">
                  <c:v>0.35649999999999998</c:v>
                </c:pt>
                <c:pt idx="53">
                  <c:v>0.29049999999999998</c:v>
                </c:pt>
                <c:pt idx="54">
                  <c:v>0.22900000000000001</c:v>
                </c:pt>
                <c:pt idx="55">
                  <c:v>0.20849999999999996</c:v>
                </c:pt>
                <c:pt idx="56">
                  <c:v>0.183</c:v>
                </c:pt>
                <c:pt idx="57">
                  <c:v>0.1575</c:v>
                </c:pt>
                <c:pt idx="58">
                  <c:v>0.21849999999999997</c:v>
                </c:pt>
                <c:pt idx="59">
                  <c:v>0.26500000000000001</c:v>
                </c:pt>
                <c:pt idx="60">
                  <c:v>0.35149999999999998</c:v>
                </c:pt>
                <c:pt idx="61">
                  <c:v>0.316</c:v>
                </c:pt>
                <c:pt idx="62">
                  <c:v>0.33100000000000002</c:v>
                </c:pt>
                <c:pt idx="63">
                  <c:v>0.29049999999999998</c:v>
                </c:pt>
                <c:pt idx="64">
                  <c:v>0.29499999999999998</c:v>
                </c:pt>
                <c:pt idx="65">
                  <c:v>0.28000000000000003</c:v>
                </c:pt>
                <c:pt idx="66">
                  <c:v>0.24949999999999997</c:v>
                </c:pt>
                <c:pt idx="67">
                  <c:v>0.2545</c:v>
                </c:pt>
                <c:pt idx="68">
                  <c:v>0.28550000000000003</c:v>
                </c:pt>
                <c:pt idx="69">
                  <c:v>0.316</c:v>
                </c:pt>
                <c:pt idx="70">
                  <c:v>0.26450000000000001</c:v>
                </c:pt>
                <c:pt idx="71">
                  <c:v>0.20400000000000001</c:v>
                </c:pt>
                <c:pt idx="72">
                  <c:v>0.28000000000000003</c:v>
                </c:pt>
                <c:pt idx="73">
                  <c:v>0.35149999999999992</c:v>
                </c:pt>
                <c:pt idx="74">
                  <c:v>0.42300000000000004</c:v>
                </c:pt>
                <c:pt idx="75">
                  <c:v>0.41299999999999998</c:v>
                </c:pt>
                <c:pt idx="76">
                  <c:v>0.47899999999999998</c:v>
                </c:pt>
                <c:pt idx="77">
                  <c:v>0.59150000000000003</c:v>
                </c:pt>
                <c:pt idx="78">
                  <c:v>0.6885</c:v>
                </c:pt>
                <c:pt idx="79">
                  <c:v>0.76500000000000012</c:v>
                </c:pt>
                <c:pt idx="80">
                  <c:v>0.81550000000000011</c:v>
                </c:pt>
                <c:pt idx="81">
                  <c:v>0.83099999999999996</c:v>
                </c:pt>
                <c:pt idx="82">
                  <c:v>0.81100000000000005</c:v>
                </c:pt>
                <c:pt idx="83">
                  <c:v>0.73450000000000004</c:v>
                </c:pt>
                <c:pt idx="84">
                  <c:v>0.70850000000000002</c:v>
                </c:pt>
                <c:pt idx="85">
                  <c:v>0.6885</c:v>
                </c:pt>
                <c:pt idx="86">
                  <c:v>0.84150000000000003</c:v>
                </c:pt>
                <c:pt idx="87">
                  <c:v>0.82099999999999995</c:v>
                </c:pt>
                <c:pt idx="88">
                  <c:v>0.81049999999999989</c:v>
                </c:pt>
                <c:pt idx="89">
                  <c:v>0.77499999999999991</c:v>
                </c:pt>
                <c:pt idx="90">
                  <c:v>0.73949999999999994</c:v>
                </c:pt>
                <c:pt idx="91">
                  <c:v>0.67800000000000005</c:v>
                </c:pt>
                <c:pt idx="92">
                  <c:v>0.58099999999999996</c:v>
                </c:pt>
                <c:pt idx="93">
                  <c:v>0.55549999999999999</c:v>
                </c:pt>
                <c:pt idx="94">
                  <c:v>0.61699999999999999</c:v>
                </c:pt>
                <c:pt idx="95">
                  <c:v>0.79549999999999998</c:v>
                </c:pt>
                <c:pt idx="96">
                  <c:v>0.65249999999999997</c:v>
                </c:pt>
                <c:pt idx="97">
                  <c:v>0.58099999999999996</c:v>
                </c:pt>
                <c:pt idx="98">
                  <c:v>0.47950000000000004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C6-49F4-AFF1-FFA33D132729}"/>
            </c:ext>
          </c:extLst>
        </c:ser>
        <c:ser>
          <c:idx val="3"/>
          <c:order val="4"/>
          <c:tx>
            <c:strRef>
              <c:f>'面板-景气指数'!$A$98</c:f>
              <c:strCache>
                <c:ptCount val="1"/>
                <c:pt idx="0">
                  <c:v>电池</c:v>
                </c:pt>
              </c:strCache>
            </c:strRef>
          </c:tx>
          <c:spPr>
            <a:ln w="12700" cap="rnd" cmpd="sng" algn="ctr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'面板-景气指数'!$F$24:$CZ$24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'面板-景气指数'!$F$98:$CZ$98</c:f>
              <c:numCache>
                <c:formatCode>0.0%</c:formatCode>
                <c:ptCount val="99"/>
                <c:pt idx="0">
                  <c:v>0.3349583333333333</c:v>
                </c:pt>
                <c:pt idx="1">
                  <c:v>0.33179166666666671</c:v>
                </c:pt>
                <c:pt idx="2">
                  <c:v>0.30016666666666669</c:v>
                </c:pt>
                <c:pt idx="3">
                  <c:v>0.29829166666666668</c:v>
                </c:pt>
                <c:pt idx="4">
                  <c:v>0.30041666666666661</c:v>
                </c:pt>
                <c:pt idx="5">
                  <c:v>0.27820833333333334</c:v>
                </c:pt>
                <c:pt idx="6">
                  <c:v>0.29091666666666671</c:v>
                </c:pt>
                <c:pt idx="7">
                  <c:v>0.28237500000000004</c:v>
                </c:pt>
                <c:pt idx="8">
                  <c:v>0.31558333333333333</c:v>
                </c:pt>
                <c:pt idx="9">
                  <c:v>0.34625</c:v>
                </c:pt>
                <c:pt idx="10">
                  <c:v>0.40670833333333334</c:v>
                </c:pt>
                <c:pt idx="11">
                  <c:v>0.38600000000000001</c:v>
                </c:pt>
                <c:pt idx="12">
                  <c:v>0.40479166666666677</c:v>
                </c:pt>
                <c:pt idx="13">
                  <c:v>0.29275000000000001</c:v>
                </c:pt>
                <c:pt idx="14">
                  <c:v>0.31891666666666668</c:v>
                </c:pt>
                <c:pt idx="15">
                  <c:v>0.31979166666666664</c:v>
                </c:pt>
                <c:pt idx="16">
                  <c:v>0.45700000000000002</c:v>
                </c:pt>
                <c:pt idx="17">
                  <c:v>0.55366666666666675</c:v>
                </c:pt>
                <c:pt idx="18">
                  <c:v>0.59054166666666685</c:v>
                </c:pt>
                <c:pt idx="19">
                  <c:v>0.64445833333333347</c:v>
                </c:pt>
                <c:pt idx="20">
                  <c:v>0.69224999999999992</c:v>
                </c:pt>
                <c:pt idx="21">
                  <c:v>0.68674999999999997</c:v>
                </c:pt>
                <c:pt idx="22">
                  <c:v>0.64920833333333339</c:v>
                </c:pt>
                <c:pt idx="23">
                  <c:v>0.68212500000000009</c:v>
                </c:pt>
                <c:pt idx="24">
                  <c:v>0.78987499999999999</c:v>
                </c:pt>
                <c:pt idx="25">
                  <c:v>0.82408333333333328</c:v>
                </c:pt>
                <c:pt idx="26">
                  <c:v>0.81454166666666661</c:v>
                </c:pt>
                <c:pt idx="27">
                  <c:v>0.76516666666666666</c:v>
                </c:pt>
                <c:pt idx="28">
                  <c:v>0.7729166666666667</c:v>
                </c:pt>
                <c:pt idx="29">
                  <c:v>0.82054166666666672</c:v>
                </c:pt>
                <c:pt idx="30">
                  <c:v>0.84004166666666669</c:v>
                </c:pt>
                <c:pt idx="31">
                  <c:v>0.86050000000000015</c:v>
                </c:pt>
                <c:pt idx="32">
                  <c:v>0.84591666666666676</c:v>
                </c:pt>
                <c:pt idx="33">
                  <c:v>0.84854166666666675</c:v>
                </c:pt>
                <c:pt idx="34">
                  <c:v>0.83375000000000021</c:v>
                </c:pt>
                <c:pt idx="35">
                  <c:v>0.86225000000000007</c:v>
                </c:pt>
                <c:pt idx="36">
                  <c:v>0.86954166666666666</c:v>
                </c:pt>
                <c:pt idx="37">
                  <c:v>0.8410833333333334</c:v>
                </c:pt>
                <c:pt idx="38">
                  <c:v>0.8074583333333335</c:v>
                </c:pt>
                <c:pt idx="39">
                  <c:v>0.71124999999999994</c:v>
                </c:pt>
                <c:pt idx="40">
                  <c:v>0.53187499999999988</c:v>
                </c:pt>
                <c:pt idx="41">
                  <c:v>0.51658333333333339</c:v>
                </c:pt>
                <c:pt idx="42">
                  <c:v>0.44608333333333317</c:v>
                </c:pt>
                <c:pt idx="43">
                  <c:v>0.34929166666666667</c:v>
                </c:pt>
                <c:pt idx="44">
                  <c:v>0.21995833333333331</c:v>
                </c:pt>
                <c:pt idx="45">
                  <c:v>0.17458333333333334</c:v>
                </c:pt>
                <c:pt idx="46">
                  <c:v>0.14379166666666665</c:v>
                </c:pt>
                <c:pt idx="47">
                  <c:v>0.10266666666666668</c:v>
                </c:pt>
                <c:pt idx="48">
                  <c:v>8.6708333333333332E-2</c:v>
                </c:pt>
                <c:pt idx="49">
                  <c:v>9.191666666666666E-2</c:v>
                </c:pt>
                <c:pt idx="50">
                  <c:v>0.114125</c:v>
                </c:pt>
                <c:pt idx="51">
                  <c:v>0.15675</c:v>
                </c:pt>
                <c:pt idx="52">
                  <c:v>0.18379166666666669</c:v>
                </c:pt>
                <c:pt idx="53">
                  <c:v>0.18258333333333332</c:v>
                </c:pt>
                <c:pt idx="54">
                  <c:v>0.20787499999999995</c:v>
                </c:pt>
                <c:pt idx="55">
                  <c:v>0.20470833333333333</c:v>
                </c:pt>
                <c:pt idx="56">
                  <c:v>0.22116666666666665</c:v>
                </c:pt>
                <c:pt idx="57">
                  <c:v>0.28137499999999999</c:v>
                </c:pt>
                <c:pt idx="58">
                  <c:v>0.35833333333333334</c:v>
                </c:pt>
                <c:pt idx="59">
                  <c:v>0.36958333333333326</c:v>
                </c:pt>
                <c:pt idx="60">
                  <c:v>0.41787499999999989</c:v>
                </c:pt>
                <c:pt idx="61">
                  <c:v>0.55304166666666654</c:v>
                </c:pt>
                <c:pt idx="62">
                  <c:v>0.52474999999999994</c:v>
                </c:pt>
                <c:pt idx="63">
                  <c:v>0.55425000000000002</c:v>
                </c:pt>
                <c:pt idx="64">
                  <c:v>0.50595833333333329</c:v>
                </c:pt>
                <c:pt idx="65">
                  <c:v>0.51575000000000004</c:v>
                </c:pt>
                <c:pt idx="66">
                  <c:v>0.50525000000000009</c:v>
                </c:pt>
                <c:pt idx="67">
                  <c:v>0.48429166666666662</c:v>
                </c:pt>
                <c:pt idx="68">
                  <c:v>0.49424999999999997</c:v>
                </c:pt>
                <c:pt idx="69">
                  <c:v>0.56979166666666659</c:v>
                </c:pt>
                <c:pt idx="70">
                  <c:v>0.64420833333333338</c:v>
                </c:pt>
                <c:pt idx="71">
                  <c:v>0.68641666666666679</c:v>
                </c:pt>
                <c:pt idx="72">
                  <c:v>0.59824999999999995</c:v>
                </c:pt>
                <c:pt idx="73">
                  <c:v>0.74841666666666651</c:v>
                </c:pt>
                <c:pt idx="74">
                  <c:v>0.74683333333333324</c:v>
                </c:pt>
                <c:pt idx="75">
                  <c:v>0.75099999999999989</c:v>
                </c:pt>
                <c:pt idx="76">
                  <c:v>0.59983333333333333</c:v>
                </c:pt>
                <c:pt idx="77">
                  <c:v>0.58087500000000014</c:v>
                </c:pt>
                <c:pt idx="78">
                  <c:v>0.58850000000000002</c:v>
                </c:pt>
                <c:pt idx="79">
                  <c:v>0.54737500000000006</c:v>
                </c:pt>
                <c:pt idx="80">
                  <c:v>0.41783333333333333</c:v>
                </c:pt>
                <c:pt idx="81">
                  <c:v>0.38137499999999996</c:v>
                </c:pt>
                <c:pt idx="82">
                  <c:v>0.37512499999999999</c:v>
                </c:pt>
                <c:pt idx="83">
                  <c:v>0.45258333333333339</c:v>
                </c:pt>
                <c:pt idx="84">
                  <c:v>0.46108333333333329</c:v>
                </c:pt>
                <c:pt idx="85">
                  <c:v>0.30158333333333331</c:v>
                </c:pt>
                <c:pt idx="86">
                  <c:v>0.27370833333333333</c:v>
                </c:pt>
                <c:pt idx="87">
                  <c:v>0.25612499999999994</c:v>
                </c:pt>
                <c:pt idx="88">
                  <c:v>0.35566666666666663</c:v>
                </c:pt>
                <c:pt idx="89">
                  <c:v>0.42091666666666672</c:v>
                </c:pt>
                <c:pt idx="90">
                  <c:v>0.49041666666666672</c:v>
                </c:pt>
                <c:pt idx="91">
                  <c:v>0.58599999999999985</c:v>
                </c:pt>
                <c:pt idx="92">
                  <c:v>0.61462499999999987</c:v>
                </c:pt>
                <c:pt idx="93">
                  <c:v>0.66862500000000002</c:v>
                </c:pt>
                <c:pt idx="94">
                  <c:v>0.65895833333333342</c:v>
                </c:pt>
                <c:pt idx="95">
                  <c:v>0.62891666666666668</c:v>
                </c:pt>
                <c:pt idx="96">
                  <c:v>0.61341666666666672</c:v>
                </c:pt>
                <c:pt idx="97">
                  <c:v>0.65800000000000003</c:v>
                </c:pt>
                <c:pt idx="98">
                  <c:v>0.72399999999999998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C6-49F4-AFF1-FFA33D132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10720863603806401"/>
          <c:y val="4.4410936938309303E-3"/>
          <c:w val="0.87228844776424797"/>
          <c:h val="0.14671407407407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'面板-景气指数'!$A$45</c:f>
              <c:strCache>
                <c:ptCount val="1"/>
                <c:pt idx="0">
                  <c:v>国防军工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'面板-景气指数'!$F$69:$GL$69</c:f>
              <c:numCache>
                <c:formatCode>[$-409]mmm\-yy;@</c:formatCode>
                <c:ptCount val="18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'面板-景气指数'!$F$45:$CZ$45</c:f>
              <c:numCache>
                <c:formatCode>0.0%</c:formatCode>
                <c:ptCount val="99"/>
                <c:pt idx="0">
                  <c:v>0.30929650990134328</c:v>
                </c:pt>
                <c:pt idx="1">
                  <c:v>0.34816785508063858</c:v>
                </c:pt>
                <c:pt idx="2">
                  <c:v>0.319960048340652</c:v>
                </c:pt>
                <c:pt idx="3">
                  <c:v>0.32029966387294145</c:v>
                </c:pt>
                <c:pt idx="4">
                  <c:v>0.29858332783697877</c:v>
                </c:pt>
                <c:pt idx="5">
                  <c:v>0.28903729574261555</c:v>
                </c:pt>
                <c:pt idx="6">
                  <c:v>0.28988789302483309</c:v>
                </c:pt>
                <c:pt idx="7">
                  <c:v>0.28142788651765016</c:v>
                </c:pt>
                <c:pt idx="8">
                  <c:v>0.28238222933253632</c:v>
                </c:pt>
                <c:pt idx="9">
                  <c:v>0.29040136614356787</c:v>
                </c:pt>
                <c:pt idx="10">
                  <c:v>0.31676426789384093</c:v>
                </c:pt>
                <c:pt idx="11">
                  <c:v>0.32051330485620921</c:v>
                </c:pt>
                <c:pt idx="12">
                  <c:v>0.3534501855696866</c:v>
                </c:pt>
                <c:pt idx="13">
                  <c:v>0.37033996035991407</c:v>
                </c:pt>
                <c:pt idx="14">
                  <c:v>0.47041019151304642</c:v>
                </c:pt>
                <c:pt idx="15">
                  <c:v>0.53465504972754663</c:v>
                </c:pt>
                <c:pt idx="16">
                  <c:v>0.54494584459551754</c:v>
                </c:pt>
                <c:pt idx="17">
                  <c:v>0.5823422925979197</c:v>
                </c:pt>
                <c:pt idx="18">
                  <c:v>0.61381895479564275</c:v>
                </c:pt>
                <c:pt idx="19">
                  <c:v>0.63254326124614479</c:v>
                </c:pt>
                <c:pt idx="20">
                  <c:v>0.65660621954456622</c:v>
                </c:pt>
                <c:pt idx="21">
                  <c:v>0.67195429944472307</c:v>
                </c:pt>
                <c:pt idx="22">
                  <c:v>0.68781291619409679</c:v>
                </c:pt>
                <c:pt idx="23">
                  <c:v>0.71871998889157851</c:v>
                </c:pt>
                <c:pt idx="24">
                  <c:v>0.78528705465292936</c:v>
                </c:pt>
                <c:pt idx="25">
                  <c:v>0.81873653450393402</c:v>
                </c:pt>
                <c:pt idx="26">
                  <c:v>0.82976267360088163</c:v>
                </c:pt>
                <c:pt idx="27">
                  <c:v>0.80878676437243402</c:v>
                </c:pt>
                <c:pt idx="28">
                  <c:v>0.80925812630059424</c:v>
                </c:pt>
                <c:pt idx="29">
                  <c:v>0.82899943154462519</c:v>
                </c:pt>
                <c:pt idx="30">
                  <c:v>0.84514154744478165</c:v>
                </c:pt>
                <c:pt idx="31">
                  <c:v>0.80414316483238091</c:v>
                </c:pt>
                <c:pt idx="32">
                  <c:v>0.81061516650085541</c:v>
                </c:pt>
                <c:pt idx="33">
                  <c:v>0.72579181519998814</c:v>
                </c:pt>
                <c:pt idx="34">
                  <c:v>0.6909191219747437</c:v>
                </c:pt>
                <c:pt idx="35">
                  <c:v>0.60459452313217321</c:v>
                </c:pt>
                <c:pt idx="36">
                  <c:v>0.57508044980707895</c:v>
                </c:pt>
                <c:pt idx="37">
                  <c:v>0.57899907844759413</c:v>
                </c:pt>
                <c:pt idx="38">
                  <c:v>0.54596085004193895</c:v>
                </c:pt>
                <c:pt idx="39">
                  <c:v>0.51249612888953755</c:v>
                </c:pt>
                <c:pt idx="40">
                  <c:v>0.44670960247259728</c:v>
                </c:pt>
                <c:pt idx="41">
                  <c:v>0.43571048721066652</c:v>
                </c:pt>
                <c:pt idx="42">
                  <c:v>0.4043392941862427</c:v>
                </c:pt>
                <c:pt idx="43">
                  <c:v>0.40012949261773084</c:v>
                </c:pt>
                <c:pt idx="44">
                  <c:v>0.37529489535497074</c:v>
                </c:pt>
                <c:pt idx="45">
                  <c:v>0.38890808037111546</c:v>
                </c:pt>
                <c:pt idx="46">
                  <c:v>0.37811874567251924</c:v>
                </c:pt>
                <c:pt idx="47">
                  <c:v>0.41571315797474306</c:v>
                </c:pt>
                <c:pt idx="48">
                  <c:v>0.40450699023557779</c:v>
                </c:pt>
                <c:pt idx="49">
                  <c:v>0.37348352190270678</c:v>
                </c:pt>
                <c:pt idx="50">
                  <c:v>0.38385060617072431</c:v>
                </c:pt>
                <c:pt idx="51">
                  <c:v>0.36436791933437046</c:v>
                </c:pt>
                <c:pt idx="52">
                  <c:v>0.35711320657409001</c:v>
                </c:pt>
                <c:pt idx="53">
                  <c:v>0.36448853628075056</c:v>
                </c:pt>
                <c:pt idx="54">
                  <c:v>0.38257610413438298</c:v>
                </c:pt>
                <c:pt idx="55">
                  <c:v>0.40239686991902751</c:v>
                </c:pt>
                <c:pt idx="56">
                  <c:v>0.44300017370176148</c:v>
                </c:pt>
                <c:pt idx="57">
                  <c:v>0.46839435568774362</c:v>
                </c:pt>
                <c:pt idx="58">
                  <c:v>0.45994650656815339</c:v>
                </c:pt>
                <c:pt idx="59">
                  <c:v>0.45848545743029984</c:v>
                </c:pt>
                <c:pt idx="60">
                  <c:v>0.49393228430529668</c:v>
                </c:pt>
                <c:pt idx="61">
                  <c:v>0.56730501713082815</c:v>
                </c:pt>
                <c:pt idx="62">
                  <c:v>0.65964917359551978</c:v>
                </c:pt>
                <c:pt idx="63">
                  <c:v>0.65763576861094708</c:v>
                </c:pt>
                <c:pt idx="64">
                  <c:v>0.65265682896556532</c:v>
                </c:pt>
                <c:pt idx="65">
                  <c:v>0.58960586324148201</c:v>
                </c:pt>
                <c:pt idx="66">
                  <c:v>0.55365063630762645</c:v>
                </c:pt>
                <c:pt idx="67">
                  <c:v>0.56330587457322234</c:v>
                </c:pt>
                <c:pt idx="68">
                  <c:v>0.51110940670434457</c:v>
                </c:pt>
                <c:pt idx="69">
                  <c:v>0.50279276555159813</c:v>
                </c:pt>
                <c:pt idx="70">
                  <c:v>0.49079968765301352</c:v>
                </c:pt>
                <c:pt idx="71">
                  <c:v>0.53772913958703217</c:v>
                </c:pt>
                <c:pt idx="72">
                  <c:v>0.50577781384526466</c:v>
                </c:pt>
                <c:pt idx="73">
                  <c:v>0.51614327442412977</c:v>
                </c:pt>
                <c:pt idx="74">
                  <c:v>0.50845645100503734</c:v>
                </c:pt>
                <c:pt idx="75">
                  <c:v>0.52971801840694799</c:v>
                </c:pt>
                <c:pt idx="76">
                  <c:v>0.54125978013770382</c:v>
                </c:pt>
                <c:pt idx="77">
                  <c:v>0.6063551994281291</c:v>
                </c:pt>
                <c:pt idx="78">
                  <c:v>0.61141013764029439</c:v>
                </c:pt>
                <c:pt idx="79">
                  <c:v>0.61563590364107101</c:v>
                </c:pt>
                <c:pt idx="80">
                  <c:v>0.60319303973549432</c:v>
                </c:pt>
                <c:pt idx="81">
                  <c:v>0.5656051224220433</c:v>
                </c:pt>
                <c:pt idx="82">
                  <c:v>0.52135975876769969</c:v>
                </c:pt>
                <c:pt idx="83">
                  <c:v>0.45729129523340606</c:v>
                </c:pt>
                <c:pt idx="84">
                  <c:v>0.46448679497366047</c:v>
                </c:pt>
                <c:pt idx="85">
                  <c:v>0.43608628281216022</c:v>
                </c:pt>
                <c:pt idx="86">
                  <c:v>0.5034063745738302</c:v>
                </c:pt>
                <c:pt idx="87">
                  <c:v>0.43939347947335411</c:v>
                </c:pt>
                <c:pt idx="88">
                  <c:v>0.43921409440765941</c:v>
                </c:pt>
                <c:pt idx="89">
                  <c:v>0.35254621617710447</c:v>
                </c:pt>
                <c:pt idx="90">
                  <c:v>0.34043458362045048</c:v>
                </c:pt>
                <c:pt idx="91">
                  <c:v>0.31920335760020968</c:v>
                </c:pt>
                <c:pt idx="92">
                  <c:v>0.37004143339772377</c:v>
                </c:pt>
                <c:pt idx="93">
                  <c:v>0.37317743681338666</c:v>
                </c:pt>
                <c:pt idx="94">
                  <c:v>0.38107508590288414</c:v>
                </c:pt>
                <c:pt idx="95">
                  <c:v>0.3712202990606599</c:v>
                </c:pt>
                <c:pt idx="96">
                  <c:v>0.39473606043919207</c:v>
                </c:pt>
                <c:pt idx="97">
                  <c:v>0.36630424259255212</c:v>
                </c:pt>
                <c:pt idx="98">
                  <c:v>0.3298857055677763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F0-475D-909C-CAD81AC9370B}"/>
            </c:ext>
          </c:extLst>
        </c:ser>
        <c:ser>
          <c:idx val="1"/>
          <c:order val="1"/>
          <c:tx>
            <c:strRef>
              <c:f>'面板-景气指数'!$A$100</c:f>
              <c:strCache>
                <c:ptCount val="1"/>
                <c:pt idx="0">
                  <c:v>航海装备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'面板-景气指数'!$F$69:$GL$69</c:f>
              <c:numCache>
                <c:formatCode>[$-409]mmm\-yy;@</c:formatCode>
                <c:ptCount val="18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'面板-景气指数'!$F$100:$CZ$100</c:f>
              <c:numCache>
                <c:formatCode>0.0%</c:formatCode>
                <c:ptCount val="99"/>
                <c:pt idx="0">
                  <c:v>0.70650000000000002</c:v>
                </c:pt>
                <c:pt idx="1">
                  <c:v>0.70099999999999996</c:v>
                </c:pt>
                <c:pt idx="2">
                  <c:v>0.69599999999999995</c:v>
                </c:pt>
                <c:pt idx="3">
                  <c:v>0.68574999999999997</c:v>
                </c:pt>
                <c:pt idx="4">
                  <c:v>0.6702499999999999</c:v>
                </c:pt>
                <c:pt idx="5">
                  <c:v>0.65500000000000003</c:v>
                </c:pt>
                <c:pt idx="6">
                  <c:v>0.69850000000000012</c:v>
                </c:pt>
                <c:pt idx="7">
                  <c:v>0.66549999999999987</c:v>
                </c:pt>
                <c:pt idx="8">
                  <c:v>0.64499999999999991</c:v>
                </c:pt>
                <c:pt idx="9">
                  <c:v>0.63975000000000004</c:v>
                </c:pt>
                <c:pt idx="10">
                  <c:v>0.69099999999999995</c:v>
                </c:pt>
                <c:pt idx="11">
                  <c:v>0.67325000000000002</c:v>
                </c:pt>
                <c:pt idx="12">
                  <c:v>0.62175000000000002</c:v>
                </c:pt>
                <c:pt idx="13">
                  <c:v>0.59375000000000011</c:v>
                </c:pt>
                <c:pt idx="14">
                  <c:v>0.59150000000000003</c:v>
                </c:pt>
                <c:pt idx="15">
                  <c:v>0.68800000000000006</c:v>
                </c:pt>
                <c:pt idx="16">
                  <c:v>0.69625000000000015</c:v>
                </c:pt>
                <c:pt idx="17">
                  <c:v>0.7037500000000001</c:v>
                </c:pt>
                <c:pt idx="18">
                  <c:v>0.71350000000000013</c:v>
                </c:pt>
                <c:pt idx="19">
                  <c:v>0.71900000000000019</c:v>
                </c:pt>
                <c:pt idx="20">
                  <c:v>0.72925000000000018</c:v>
                </c:pt>
                <c:pt idx="21">
                  <c:v>0.72900000000000009</c:v>
                </c:pt>
                <c:pt idx="22">
                  <c:v>0.75725000000000009</c:v>
                </c:pt>
                <c:pt idx="23">
                  <c:v>0.79775000000000029</c:v>
                </c:pt>
                <c:pt idx="24">
                  <c:v>0.8187500000000002</c:v>
                </c:pt>
                <c:pt idx="25">
                  <c:v>0.83875000000000011</c:v>
                </c:pt>
                <c:pt idx="26">
                  <c:v>0.85675000000000012</c:v>
                </c:pt>
                <c:pt idx="27">
                  <c:v>0.87175000000000014</c:v>
                </c:pt>
                <c:pt idx="28">
                  <c:v>0.86175000000000013</c:v>
                </c:pt>
                <c:pt idx="29">
                  <c:v>0.85125000000000006</c:v>
                </c:pt>
                <c:pt idx="30">
                  <c:v>0.84125000000000005</c:v>
                </c:pt>
                <c:pt idx="31">
                  <c:v>0.81800000000000006</c:v>
                </c:pt>
                <c:pt idx="32">
                  <c:v>0.76974999999999993</c:v>
                </c:pt>
                <c:pt idx="33">
                  <c:v>0.71899999999999997</c:v>
                </c:pt>
                <c:pt idx="34">
                  <c:v>0.61699999999999988</c:v>
                </c:pt>
                <c:pt idx="35">
                  <c:v>0.51224999999999987</c:v>
                </c:pt>
                <c:pt idx="36">
                  <c:v>0.47374999999999995</c:v>
                </c:pt>
                <c:pt idx="37">
                  <c:v>0.43799999999999994</c:v>
                </c:pt>
                <c:pt idx="38">
                  <c:v>0.37424999999999992</c:v>
                </c:pt>
                <c:pt idx="39">
                  <c:v>0.28749999999999998</c:v>
                </c:pt>
                <c:pt idx="40">
                  <c:v>0.29025000000000001</c:v>
                </c:pt>
                <c:pt idx="41">
                  <c:v>0.31075000000000003</c:v>
                </c:pt>
                <c:pt idx="42">
                  <c:v>0.32100000000000001</c:v>
                </c:pt>
                <c:pt idx="43">
                  <c:v>0.32850000000000001</c:v>
                </c:pt>
                <c:pt idx="44">
                  <c:v>0.34925</c:v>
                </c:pt>
                <c:pt idx="45">
                  <c:v>0.34625000000000006</c:v>
                </c:pt>
                <c:pt idx="46">
                  <c:v>0.33900000000000002</c:v>
                </c:pt>
                <c:pt idx="47">
                  <c:v>0.33125000000000004</c:v>
                </c:pt>
                <c:pt idx="48">
                  <c:v>0.32600000000000007</c:v>
                </c:pt>
                <c:pt idx="49">
                  <c:v>0.32850000000000007</c:v>
                </c:pt>
                <c:pt idx="50">
                  <c:v>0.39200000000000007</c:v>
                </c:pt>
                <c:pt idx="51">
                  <c:v>0.43599999999999994</c:v>
                </c:pt>
                <c:pt idx="52">
                  <c:v>0.441</c:v>
                </c:pt>
                <c:pt idx="53">
                  <c:v>0.45599999999999996</c:v>
                </c:pt>
                <c:pt idx="54">
                  <c:v>0.46100000000000002</c:v>
                </c:pt>
                <c:pt idx="55">
                  <c:v>0.45625000000000004</c:v>
                </c:pt>
                <c:pt idx="56">
                  <c:v>0.45325000000000004</c:v>
                </c:pt>
                <c:pt idx="57">
                  <c:v>0.50975000000000015</c:v>
                </c:pt>
                <c:pt idx="58">
                  <c:v>0.56825000000000003</c:v>
                </c:pt>
                <c:pt idx="59">
                  <c:v>0.59375</c:v>
                </c:pt>
                <c:pt idx="60">
                  <c:v>0.59375000000000011</c:v>
                </c:pt>
                <c:pt idx="61">
                  <c:v>0.5737500000000002</c:v>
                </c:pt>
                <c:pt idx="62">
                  <c:v>0.58650000000000013</c:v>
                </c:pt>
                <c:pt idx="63">
                  <c:v>0.57600000000000018</c:v>
                </c:pt>
                <c:pt idx="64">
                  <c:v>0.59125000000000016</c:v>
                </c:pt>
                <c:pt idx="65">
                  <c:v>0.58875000000000011</c:v>
                </c:pt>
                <c:pt idx="66">
                  <c:v>0.57900000000000018</c:v>
                </c:pt>
                <c:pt idx="67">
                  <c:v>0.58100000000000018</c:v>
                </c:pt>
                <c:pt idx="68">
                  <c:v>0.57100000000000017</c:v>
                </c:pt>
                <c:pt idx="69">
                  <c:v>0.53775000000000006</c:v>
                </c:pt>
                <c:pt idx="70">
                  <c:v>0.51500000000000012</c:v>
                </c:pt>
                <c:pt idx="71">
                  <c:v>0.48675000000000018</c:v>
                </c:pt>
                <c:pt idx="72">
                  <c:v>0.4562500000000001</c:v>
                </c:pt>
                <c:pt idx="73">
                  <c:v>0.41050000000000014</c:v>
                </c:pt>
                <c:pt idx="74">
                  <c:v>0.46100000000000002</c:v>
                </c:pt>
                <c:pt idx="75">
                  <c:v>0.42774999999999996</c:v>
                </c:pt>
                <c:pt idx="76">
                  <c:v>0.40525</c:v>
                </c:pt>
                <c:pt idx="77">
                  <c:v>0.38449999999999995</c:v>
                </c:pt>
                <c:pt idx="78">
                  <c:v>0.36975000000000002</c:v>
                </c:pt>
                <c:pt idx="79">
                  <c:v>0.32599999999999996</c:v>
                </c:pt>
                <c:pt idx="80">
                  <c:v>0.30049999999999988</c:v>
                </c:pt>
                <c:pt idx="81">
                  <c:v>0.2907499999999999</c:v>
                </c:pt>
                <c:pt idx="82">
                  <c:v>0.28524999999999989</c:v>
                </c:pt>
                <c:pt idx="83">
                  <c:v>0.27774999999999989</c:v>
                </c:pt>
                <c:pt idx="84">
                  <c:v>0.26999999999999985</c:v>
                </c:pt>
                <c:pt idx="85">
                  <c:v>0.27274999999999988</c:v>
                </c:pt>
                <c:pt idx="86">
                  <c:v>0.25974999999999987</c:v>
                </c:pt>
                <c:pt idx="87">
                  <c:v>9.8999999999999977E-2</c:v>
                </c:pt>
                <c:pt idx="88">
                  <c:v>0.10149999999999995</c:v>
                </c:pt>
                <c:pt idx="89">
                  <c:v>0.12699999999999997</c:v>
                </c:pt>
                <c:pt idx="90">
                  <c:v>0.12724999999999997</c:v>
                </c:pt>
                <c:pt idx="91">
                  <c:v>0.13949999999999999</c:v>
                </c:pt>
                <c:pt idx="92">
                  <c:v>0.18349999999999997</c:v>
                </c:pt>
                <c:pt idx="93">
                  <c:v>0.19074999999999998</c:v>
                </c:pt>
                <c:pt idx="94">
                  <c:v>0.20599999999999996</c:v>
                </c:pt>
                <c:pt idx="95">
                  <c:v>0.18099999999999999</c:v>
                </c:pt>
                <c:pt idx="96">
                  <c:v>0.17299999999999999</c:v>
                </c:pt>
                <c:pt idx="97">
                  <c:v>0.17050000000000001</c:v>
                </c:pt>
                <c:pt idx="98">
                  <c:v>0.26725000000000004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CF0-475D-909C-CAD81AC9370B}"/>
            </c:ext>
          </c:extLst>
        </c:ser>
        <c:ser>
          <c:idx val="2"/>
          <c:order val="2"/>
          <c:tx>
            <c:strRef>
              <c:f>'面板-景气指数'!$A$101</c:f>
              <c:strCache>
                <c:ptCount val="1"/>
                <c:pt idx="0">
                  <c:v>航空装备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'面板-景气指数'!$F$69:$GL$69</c:f>
              <c:numCache>
                <c:formatCode>[$-409]mmm\-yy;@</c:formatCode>
                <c:ptCount val="18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'面板-景气指数'!$F$101:$DA$101</c:f>
              <c:numCache>
                <c:formatCode>0.0%</c:formatCode>
                <c:ptCount val="100"/>
                <c:pt idx="0">
                  <c:v>7.1000000000000008E-2</c:v>
                </c:pt>
                <c:pt idx="1">
                  <c:v>6.5500000000000003E-2</c:v>
                </c:pt>
                <c:pt idx="2">
                  <c:v>3.549999999999999E-2</c:v>
                </c:pt>
                <c:pt idx="3">
                  <c:v>0.02</c:v>
                </c:pt>
                <c:pt idx="4">
                  <c:v>4.0500000000000001E-2</c:v>
                </c:pt>
                <c:pt idx="5">
                  <c:v>4.0499999999999994E-2</c:v>
                </c:pt>
                <c:pt idx="6">
                  <c:v>1.4999999999999999E-2</c:v>
                </c:pt>
                <c:pt idx="7">
                  <c:v>0.03</c:v>
                </c:pt>
                <c:pt idx="8">
                  <c:v>7.1000000000000008E-2</c:v>
                </c:pt>
                <c:pt idx="9">
                  <c:v>0.10700000000000001</c:v>
                </c:pt>
                <c:pt idx="10">
                  <c:v>0.13200000000000001</c:v>
                </c:pt>
                <c:pt idx="11">
                  <c:v>0.158</c:v>
                </c:pt>
                <c:pt idx="12">
                  <c:v>0.2545</c:v>
                </c:pt>
                <c:pt idx="13">
                  <c:v>0.33100000000000002</c:v>
                </c:pt>
                <c:pt idx="14">
                  <c:v>0.52</c:v>
                </c:pt>
                <c:pt idx="15">
                  <c:v>0.57600000000000007</c:v>
                </c:pt>
                <c:pt idx="16">
                  <c:v>0.54499999999999993</c:v>
                </c:pt>
                <c:pt idx="17">
                  <c:v>0.62700000000000011</c:v>
                </c:pt>
                <c:pt idx="18">
                  <c:v>0.69850000000000001</c:v>
                </c:pt>
                <c:pt idx="19">
                  <c:v>0.75949999999999995</c:v>
                </c:pt>
                <c:pt idx="20">
                  <c:v>0.79049999999999998</c:v>
                </c:pt>
                <c:pt idx="21">
                  <c:v>0.81049999999999989</c:v>
                </c:pt>
                <c:pt idx="22">
                  <c:v>0.80549999999999999</c:v>
                </c:pt>
                <c:pt idx="23">
                  <c:v>0.8055000000000001</c:v>
                </c:pt>
                <c:pt idx="24">
                  <c:v>0.84149999999999991</c:v>
                </c:pt>
                <c:pt idx="25">
                  <c:v>0.872</c:v>
                </c:pt>
                <c:pt idx="26">
                  <c:v>0.89749999999999996</c:v>
                </c:pt>
                <c:pt idx="27">
                  <c:v>0.89249999999999996</c:v>
                </c:pt>
                <c:pt idx="28">
                  <c:v>0.94850000000000001</c:v>
                </c:pt>
                <c:pt idx="29">
                  <c:v>0.93299999999999994</c:v>
                </c:pt>
                <c:pt idx="30">
                  <c:v>0.93300000000000005</c:v>
                </c:pt>
                <c:pt idx="31">
                  <c:v>0.83599999999999997</c:v>
                </c:pt>
                <c:pt idx="32">
                  <c:v>0.86199999999999988</c:v>
                </c:pt>
                <c:pt idx="33">
                  <c:v>0.69850000000000001</c:v>
                </c:pt>
                <c:pt idx="34">
                  <c:v>0.67300000000000004</c:v>
                </c:pt>
                <c:pt idx="35">
                  <c:v>0.54549999999999998</c:v>
                </c:pt>
                <c:pt idx="36">
                  <c:v>0.49950000000000006</c:v>
                </c:pt>
                <c:pt idx="37">
                  <c:v>0.52</c:v>
                </c:pt>
                <c:pt idx="38">
                  <c:v>0.48949999999999999</c:v>
                </c:pt>
                <c:pt idx="39">
                  <c:v>0.48899999999999999</c:v>
                </c:pt>
                <c:pt idx="40">
                  <c:v>0.35649999999999998</c:v>
                </c:pt>
                <c:pt idx="41">
                  <c:v>0.32650000000000001</c:v>
                </c:pt>
                <c:pt idx="42">
                  <c:v>0.2545</c:v>
                </c:pt>
                <c:pt idx="43">
                  <c:v>0.2495</c:v>
                </c:pt>
                <c:pt idx="44">
                  <c:v>0.19350000000000001</c:v>
                </c:pt>
                <c:pt idx="45">
                  <c:v>0.2495</c:v>
                </c:pt>
                <c:pt idx="46">
                  <c:v>0.26</c:v>
                </c:pt>
                <c:pt idx="47">
                  <c:v>0.377</c:v>
                </c:pt>
                <c:pt idx="48">
                  <c:v>0.48449999999999999</c:v>
                </c:pt>
                <c:pt idx="49">
                  <c:v>0.50950000000000006</c:v>
                </c:pt>
                <c:pt idx="50">
                  <c:v>0.51449999999999996</c:v>
                </c:pt>
                <c:pt idx="51">
                  <c:v>0.44850000000000001</c:v>
                </c:pt>
                <c:pt idx="52">
                  <c:v>0.4335</c:v>
                </c:pt>
                <c:pt idx="53">
                  <c:v>0.44850000000000001</c:v>
                </c:pt>
                <c:pt idx="54">
                  <c:v>0.49400000000000005</c:v>
                </c:pt>
                <c:pt idx="55">
                  <c:v>0.55049999999999999</c:v>
                </c:pt>
                <c:pt idx="56">
                  <c:v>0.63749999999999996</c:v>
                </c:pt>
                <c:pt idx="57">
                  <c:v>0.64249999999999996</c:v>
                </c:pt>
                <c:pt idx="58">
                  <c:v>0.57099999999999995</c:v>
                </c:pt>
                <c:pt idx="59">
                  <c:v>0.53500000000000003</c:v>
                </c:pt>
                <c:pt idx="60">
                  <c:v>0.5655</c:v>
                </c:pt>
                <c:pt idx="61">
                  <c:v>0.5655</c:v>
                </c:pt>
                <c:pt idx="62">
                  <c:v>0.68350000000000011</c:v>
                </c:pt>
                <c:pt idx="63">
                  <c:v>0.66300000000000003</c:v>
                </c:pt>
                <c:pt idx="64">
                  <c:v>0.61699999999999999</c:v>
                </c:pt>
                <c:pt idx="65">
                  <c:v>0.42300000000000004</c:v>
                </c:pt>
                <c:pt idx="66">
                  <c:v>0.33650000000000002</c:v>
                </c:pt>
                <c:pt idx="67">
                  <c:v>0.34650000000000003</c:v>
                </c:pt>
                <c:pt idx="68">
                  <c:v>0.24399999999999997</c:v>
                </c:pt>
                <c:pt idx="69">
                  <c:v>0.25949999999999995</c:v>
                </c:pt>
                <c:pt idx="70">
                  <c:v>0.2545</c:v>
                </c:pt>
                <c:pt idx="71">
                  <c:v>0.40249999999999997</c:v>
                </c:pt>
                <c:pt idx="72">
                  <c:v>0.39750000000000002</c:v>
                </c:pt>
                <c:pt idx="73">
                  <c:v>0.46850000000000003</c:v>
                </c:pt>
                <c:pt idx="74">
                  <c:v>0.4335</c:v>
                </c:pt>
                <c:pt idx="75">
                  <c:v>0.50950000000000006</c:v>
                </c:pt>
                <c:pt idx="76">
                  <c:v>0.5655</c:v>
                </c:pt>
                <c:pt idx="77">
                  <c:v>0.73399999999999999</c:v>
                </c:pt>
                <c:pt idx="78">
                  <c:v>0.77</c:v>
                </c:pt>
                <c:pt idx="79">
                  <c:v>0.82599999999999996</c:v>
                </c:pt>
                <c:pt idx="80">
                  <c:v>0.83649999999999991</c:v>
                </c:pt>
                <c:pt idx="81">
                  <c:v>0.78</c:v>
                </c:pt>
                <c:pt idx="82">
                  <c:v>0.72950000000000004</c:v>
                </c:pt>
                <c:pt idx="83">
                  <c:v>0.62700000000000011</c:v>
                </c:pt>
                <c:pt idx="84">
                  <c:v>0.58650000000000002</c:v>
                </c:pt>
                <c:pt idx="85">
                  <c:v>0.55549999999999999</c:v>
                </c:pt>
                <c:pt idx="86">
                  <c:v>0.64200000000000002</c:v>
                </c:pt>
                <c:pt idx="87">
                  <c:v>0.65249999999999997</c:v>
                </c:pt>
                <c:pt idx="88">
                  <c:v>0.61199999999999999</c:v>
                </c:pt>
                <c:pt idx="89">
                  <c:v>0.46899999999999997</c:v>
                </c:pt>
                <c:pt idx="90">
                  <c:v>0.42300000000000004</c:v>
                </c:pt>
                <c:pt idx="91">
                  <c:v>0.37699999999999995</c:v>
                </c:pt>
                <c:pt idx="92">
                  <c:v>0.42300000000000004</c:v>
                </c:pt>
                <c:pt idx="93">
                  <c:v>0.45350000000000001</c:v>
                </c:pt>
                <c:pt idx="94">
                  <c:v>0.46900000000000003</c:v>
                </c:pt>
                <c:pt idx="95">
                  <c:v>0.48950000000000005</c:v>
                </c:pt>
                <c:pt idx="96">
                  <c:v>0.57099999999999995</c:v>
                </c:pt>
                <c:pt idx="97">
                  <c:v>0.52</c:v>
                </c:pt>
                <c:pt idx="98">
                  <c:v>0.38249999999999995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CF0-475D-909C-CAD81AC9370B}"/>
            </c:ext>
          </c:extLst>
        </c:ser>
        <c:ser>
          <c:idx val="3"/>
          <c:order val="3"/>
          <c:tx>
            <c:strRef>
              <c:f>'面板-景气指数'!$A$102</c:f>
              <c:strCache>
                <c:ptCount val="1"/>
                <c:pt idx="0">
                  <c:v>军工电子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'面板-景气指数'!$F$69:$GL$69</c:f>
              <c:numCache>
                <c:formatCode>[$-409]mmm\-yy;@</c:formatCode>
                <c:ptCount val="18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'面板-景气指数'!$F$102:$CZ$102</c:f>
              <c:numCache>
                <c:formatCode>0.0%</c:formatCode>
                <c:ptCount val="99"/>
                <c:pt idx="0">
                  <c:v>0.193</c:v>
                </c:pt>
                <c:pt idx="1">
                  <c:v>0.39700000000000002</c:v>
                </c:pt>
                <c:pt idx="2">
                  <c:v>0.33600000000000002</c:v>
                </c:pt>
                <c:pt idx="3">
                  <c:v>0.38700000000000001</c:v>
                </c:pt>
                <c:pt idx="4">
                  <c:v>0.26500000000000001</c:v>
                </c:pt>
                <c:pt idx="5">
                  <c:v>0.24399999999999999</c:v>
                </c:pt>
                <c:pt idx="6">
                  <c:v>0.23400000000000001</c:v>
                </c:pt>
                <c:pt idx="7">
                  <c:v>0.214</c:v>
                </c:pt>
                <c:pt idx="8">
                  <c:v>0.16299999999999998</c:v>
                </c:pt>
                <c:pt idx="9">
                  <c:v>0.13200000000000001</c:v>
                </c:pt>
                <c:pt idx="10">
                  <c:v>0.122</c:v>
                </c:pt>
                <c:pt idx="11">
                  <c:v>0.112</c:v>
                </c:pt>
                <c:pt idx="12">
                  <c:v>0.14199999999999999</c:v>
                </c:pt>
                <c:pt idx="13">
                  <c:v>0.10199999999999999</c:v>
                </c:pt>
                <c:pt idx="14">
                  <c:v>0.17299999999999999</c:v>
                </c:pt>
                <c:pt idx="15">
                  <c:v>0.20399999999999999</c:v>
                </c:pt>
                <c:pt idx="16">
                  <c:v>0.30599999999999999</c:v>
                </c:pt>
                <c:pt idx="17">
                  <c:v>0.29499999999999998</c:v>
                </c:pt>
                <c:pt idx="18">
                  <c:v>0.27500000000000002</c:v>
                </c:pt>
                <c:pt idx="19">
                  <c:v>0.224</c:v>
                </c:pt>
                <c:pt idx="20">
                  <c:v>0.255</c:v>
                </c:pt>
                <c:pt idx="21">
                  <c:v>0.28499999999999998</c:v>
                </c:pt>
                <c:pt idx="22">
                  <c:v>0.32599999999999996</c:v>
                </c:pt>
                <c:pt idx="23">
                  <c:v>0.40799999999999997</c:v>
                </c:pt>
                <c:pt idx="24">
                  <c:v>0.61199999999999999</c:v>
                </c:pt>
                <c:pt idx="25">
                  <c:v>0.67300000000000004</c:v>
                </c:pt>
                <c:pt idx="26">
                  <c:v>0.64200000000000002</c:v>
                </c:pt>
                <c:pt idx="27">
                  <c:v>0.53</c:v>
                </c:pt>
                <c:pt idx="28">
                  <c:v>0.42799999999999999</c:v>
                </c:pt>
                <c:pt idx="29">
                  <c:v>0.57099999999999995</c:v>
                </c:pt>
                <c:pt idx="30">
                  <c:v>0.66300000000000003</c:v>
                </c:pt>
                <c:pt idx="31">
                  <c:v>0.71399999999999997</c:v>
                </c:pt>
                <c:pt idx="32">
                  <c:v>0.7649999999999999</c:v>
                </c:pt>
                <c:pt idx="33">
                  <c:v>0.79500000000000004</c:v>
                </c:pt>
                <c:pt idx="34">
                  <c:v>0.84599999999999997</c:v>
                </c:pt>
                <c:pt idx="35">
                  <c:v>0.877</c:v>
                </c:pt>
                <c:pt idx="36">
                  <c:v>0.89700000000000002</c:v>
                </c:pt>
                <c:pt idx="37">
                  <c:v>0.92800000000000005</c:v>
                </c:pt>
                <c:pt idx="38">
                  <c:v>0.93799999999999994</c:v>
                </c:pt>
                <c:pt idx="39">
                  <c:v>0.91800000000000004</c:v>
                </c:pt>
                <c:pt idx="40">
                  <c:v>0.88700000000000001</c:v>
                </c:pt>
                <c:pt idx="41">
                  <c:v>0.86699999999999999</c:v>
                </c:pt>
                <c:pt idx="42">
                  <c:v>0.85699999999999998</c:v>
                </c:pt>
                <c:pt idx="43">
                  <c:v>0.83599999999999997</c:v>
                </c:pt>
                <c:pt idx="44">
                  <c:v>0.80600000000000005</c:v>
                </c:pt>
                <c:pt idx="45">
                  <c:v>0.755</c:v>
                </c:pt>
                <c:pt idx="46">
                  <c:v>0.69299999999999995</c:v>
                </c:pt>
                <c:pt idx="47">
                  <c:v>0.63200000000000001</c:v>
                </c:pt>
                <c:pt idx="48">
                  <c:v>0.35699999999999998</c:v>
                </c:pt>
                <c:pt idx="49">
                  <c:v>0.153</c:v>
                </c:pt>
                <c:pt idx="50">
                  <c:v>9.0999999999999984E-2</c:v>
                </c:pt>
                <c:pt idx="51">
                  <c:v>7.0999999999999994E-2</c:v>
                </c:pt>
                <c:pt idx="52">
                  <c:v>6.0999999999999999E-2</c:v>
                </c:pt>
                <c:pt idx="53">
                  <c:v>0.04</c:v>
                </c:pt>
                <c:pt idx="54">
                  <c:v>0.02</c:v>
                </c:pt>
                <c:pt idx="55">
                  <c:v>0</c:v>
                </c:pt>
                <c:pt idx="56">
                  <c:v>0.01</c:v>
                </c:pt>
                <c:pt idx="57">
                  <c:v>3.0000000000000002E-2</c:v>
                </c:pt>
                <c:pt idx="58">
                  <c:v>5.0999999999999997E-2</c:v>
                </c:pt>
                <c:pt idx="59">
                  <c:v>8.1000000000000003E-2</c:v>
                </c:pt>
                <c:pt idx="60">
                  <c:v>0.18300000000000002</c:v>
                </c:pt>
                <c:pt idx="61">
                  <c:v>0.56100000000000005</c:v>
                </c:pt>
                <c:pt idx="62">
                  <c:v>0.72399999999999987</c:v>
                </c:pt>
                <c:pt idx="63">
                  <c:v>0.77500000000000013</c:v>
                </c:pt>
                <c:pt idx="64">
                  <c:v>0.82599999999999996</c:v>
                </c:pt>
                <c:pt idx="65">
                  <c:v>0.94799999999999995</c:v>
                </c:pt>
                <c:pt idx="66">
                  <c:v>0.97899999999999998</c:v>
                </c:pt>
                <c:pt idx="67">
                  <c:v>1</c:v>
                </c:pt>
                <c:pt idx="68">
                  <c:v>0.98899999999999999</c:v>
                </c:pt>
                <c:pt idx="69">
                  <c:v>0.96899999999999997</c:v>
                </c:pt>
                <c:pt idx="70">
                  <c:v>0.95899999999999996</c:v>
                </c:pt>
                <c:pt idx="71">
                  <c:v>0.90800000000000003</c:v>
                </c:pt>
                <c:pt idx="72">
                  <c:v>0.81599999999999995</c:v>
                </c:pt>
                <c:pt idx="73">
                  <c:v>0.78500000000000003</c:v>
                </c:pt>
                <c:pt idx="74">
                  <c:v>0.74399999999999999</c:v>
                </c:pt>
                <c:pt idx="75">
                  <c:v>0.7340000000000001</c:v>
                </c:pt>
                <c:pt idx="76">
                  <c:v>0.70399999999999996</c:v>
                </c:pt>
                <c:pt idx="77">
                  <c:v>0.68300000000000005</c:v>
                </c:pt>
                <c:pt idx="78">
                  <c:v>0.65300000000000002</c:v>
                </c:pt>
                <c:pt idx="79">
                  <c:v>0.622</c:v>
                </c:pt>
                <c:pt idx="80">
                  <c:v>0.58099999999999996</c:v>
                </c:pt>
                <c:pt idx="81">
                  <c:v>0.54</c:v>
                </c:pt>
                <c:pt idx="82">
                  <c:v>0.44800000000000001</c:v>
                </c:pt>
                <c:pt idx="83">
                  <c:v>0.377</c:v>
                </c:pt>
                <c:pt idx="84">
                  <c:v>0.51</c:v>
                </c:pt>
                <c:pt idx="85">
                  <c:v>0.438</c:v>
                </c:pt>
                <c:pt idx="86">
                  <c:v>0.59099999999999997</c:v>
                </c:pt>
                <c:pt idx="87">
                  <c:v>0.52</c:v>
                </c:pt>
                <c:pt idx="88">
                  <c:v>0.60199999999999998</c:v>
                </c:pt>
                <c:pt idx="89">
                  <c:v>0.45900000000000002</c:v>
                </c:pt>
                <c:pt idx="90">
                  <c:v>0.5</c:v>
                </c:pt>
                <c:pt idx="91">
                  <c:v>0.47900000000000004</c:v>
                </c:pt>
                <c:pt idx="92">
                  <c:v>0.55100000000000005</c:v>
                </c:pt>
                <c:pt idx="93">
                  <c:v>0.48899999999999999</c:v>
                </c:pt>
                <c:pt idx="94">
                  <c:v>0.46899999999999997</c:v>
                </c:pt>
                <c:pt idx="95">
                  <c:v>0.41799999999999998</c:v>
                </c:pt>
                <c:pt idx="96">
                  <c:v>0.36700000000000005</c:v>
                </c:pt>
                <c:pt idx="97">
                  <c:v>0.34599999999999997</c:v>
                </c:pt>
                <c:pt idx="98">
                  <c:v>0.316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CF0-475D-909C-CAD81AC93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'面板-景气指数'!$A$57</c:f>
              <c:strCache>
                <c:ptCount val="1"/>
                <c:pt idx="0">
                  <c:v>计算机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'面板-景气指数'!$F$57:$CZ$57</c:f>
              <c:numCache>
                <c:formatCode>0.0%</c:formatCode>
                <c:ptCount val="99"/>
                <c:pt idx="0">
                  <c:v>0.39883642522078722</c:v>
                </c:pt>
                <c:pt idx="1">
                  <c:v>0.39375236466362618</c:v>
                </c:pt>
                <c:pt idx="2">
                  <c:v>0.33371798840679134</c:v>
                </c:pt>
                <c:pt idx="3">
                  <c:v>0.27748092876118208</c:v>
                </c:pt>
                <c:pt idx="4">
                  <c:v>0.25474649188916448</c:v>
                </c:pt>
                <c:pt idx="5">
                  <c:v>0.24438809586942145</c:v>
                </c:pt>
                <c:pt idx="6">
                  <c:v>0.22651221655507062</c:v>
                </c:pt>
                <c:pt idx="7">
                  <c:v>0.2233799812506588</c:v>
                </c:pt>
                <c:pt idx="8">
                  <c:v>0.23570778897383349</c:v>
                </c:pt>
                <c:pt idx="9">
                  <c:v>0.23425295346690278</c:v>
                </c:pt>
                <c:pt idx="10">
                  <c:v>0.21562347002613688</c:v>
                </c:pt>
                <c:pt idx="11">
                  <c:v>0.20783501201062182</c:v>
                </c:pt>
                <c:pt idx="12">
                  <c:v>0.20760557312056094</c:v>
                </c:pt>
                <c:pt idx="13">
                  <c:v>0.19782026644363018</c:v>
                </c:pt>
                <c:pt idx="14">
                  <c:v>0.19874240344825234</c:v>
                </c:pt>
                <c:pt idx="15">
                  <c:v>0.24147652900496325</c:v>
                </c:pt>
                <c:pt idx="16">
                  <c:v>0.17720786300678773</c:v>
                </c:pt>
                <c:pt idx="17">
                  <c:v>0.17286928299308166</c:v>
                </c:pt>
                <c:pt idx="18">
                  <c:v>0.19132732219755252</c:v>
                </c:pt>
                <c:pt idx="19">
                  <c:v>0.18711381686678699</c:v>
                </c:pt>
                <c:pt idx="20">
                  <c:v>0.20434836704214485</c:v>
                </c:pt>
                <c:pt idx="21">
                  <c:v>0.21633812143211392</c:v>
                </c:pt>
                <c:pt idx="22">
                  <c:v>0.19030693860397349</c:v>
                </c:pt>
                <c:pt idx="23">
                  <c:v>0.19812839811354019</c:v>
                </c:pt>
                <c:pt idx="24">
                  <c:v>0.24233735037552756</c:v>
                </c:pt>
                <c:pt idx="25">
                  <c:v>0.32681741247136953</c:v>
                </c:pt>
                <c:pt idx="26">
                  <c:v>0.46493265995766286</c:v>
                </c:pt>
                <c:pt idx="27">
                  <c:v>0.64721538145732316</c:v>
                </c:pt>
                <c:pt idx="28">
                  <c:v>0.68215910791543277</c:v>
                </c:pt>
                <c:pt idx="29">
                  <c:v>0.67934773543330618</c:v>
                </c:pt>
                <c:pt idx="30">
                  <c:v>0.68360801461816101</c:v>
                </c:pt>
                <c:pt idx="31">
                  <c:v>0.67139103843152093</c:v>
                </c:pt>
                <c:pt idx="32">
                  <c:v>0.71330033825653172</c:v>
                </c:pt>
                <c:pt idx="33">
                  <c:v>0.7172236835713699</c:v>
                </c:pt>
                <c:pt idx="34">
                  <c:v>0.70583194037249741</c:v>
                </c:pt>
                <c:pt idx="35">
                  <c:v>0.73302481732677194</c:v>
                </c:pt>
                <c:pt idx="36">
                  <c:v>0.75628154973830586</c:v>
                </c:pt>
                <c:pt idx="37">
                  <c:v>0.84872949519101959</c:v>
                </c:pt>
                <c:pt idx="38">
                  <c:v>0.77098643694485391</c:v>
                </c:pt>
                <c:pt idx="39">
                  <c:v>0.49389017659197709</c:v>
                </c:pt>
                <c:pt idx="40">
                  <c:v>0.38314628989404542</c:v>
                </c:pt>
                <c:pt idx="41">
                  <c:v>0.32976411862963545</c:v>
                </c:pt>
                <c:pt idx="42">
                  <c:v>0.2999912292412662</c:v>
                </c:pt>
                <c:pt idx="43">
                  <c:v>0.31449232599702553</c:v>
                </c:pt>
                <c:pt idx="44">
                  <c:v>0.35222452662678078</c:v>
                </c:pt>
                <c:pt idx="45">
                  <c:v>0.36687380097663663</c:v>
                </c:pt>
                <c:pt idx="46">
                  <c:v>0.35283430816447331</c:v>
                </c:pt>
                <c:pt idx="47">
                  <c:v>0.30035357861235473</c:v>
                </c:pt>
                <c:pt idx="48">
                  <c:v>0.25068856688211555</c:v>
                </c:pt>
                <c:pt idx="49">
                  <c:v>0.45008392267592778</c:v>
                </c:pt>
                <c:pt idx="50">
                  <c:v>0.48831078582053128</c:v>
                </c:pt>
                <c:pt idx="51">
                  <c:v>0.55845166587053552</c:v>
                </c:pt>
                <c:pt idx="52">
                  <c:v>0.55315951939407193</c:v>
                </c:pt>
                <c:pt idx="53">
                  <c:v>0.55866616606822472</c:v>
                </c:pt>
                <c:pt idx="54">
                  <c:v>0.49244395578631545</c:v>
                </c:pt>
                <c:pt idx="55">
                  <c:v>0.47964972202196871</c:v>
                </c:pt>
                <c:pt idx="56">
                  <c:v>0.48276270867407761</c:v>
                </c:pt>
                <c:pt idx="57">
                  <c:v>0.54376968911377799</c:v>
                </c:pt>
                <c:pt idx="58">
                  <c:v>0.58967804048274619</c:v>
                </c:pt>
                <c:pt idx="59">
                  <c:v>0.5554480786811693</c:v>
                </c:pt>
                <c:pt idx="60">
                  <c:v>0.58084345802879578</c:v>
                </c:pt>
                <c:pt idx="61">
                  <c:v>0.52769095313556891</c:v>
                </c:pt>
                <c:pt idx="62">
                  <c:v>0.55292550111780792</c:v>
                </c:pt>
                <c:pt idx="63">
                  <c:v>0.6223730369763748</c:v>
                </c:pt>
                <c:pt idx="64">
                  <c:v>0.70391064000759596</c:v>
                </c:pt>
                <c:pt idx="65">
                  <c:v>0.70738301369321654</c:v>
                </c:pt>
                <c:pt idx="66">
                  <c:v>0.76727761185101939</c:v>
                </c:pt>
                <c:pt idx="67">
                  <c:v>0.75199807100946248</c:v>
                </c:pt>
                <c:pt idx="68">
                  <c:v>0.71982364978050728</c:v>
                </c:pt>
                <c:pt idx="69">
                  <c:v>0.67638879158372922</c:v>
                </c:pt>
                <c:pt idx="70">
                  <c:v>0.63750330714821324</c:v>
                </c:pt>
                <c:pt idx="71">
                  <c:v>0.65964539027581115</c:v>
                </c:pt>
                <c:pt idx="72">
                  <c:v>0.60905226579746019</c:v>
                </c:pt>
                <c:pt idx="73">
                  <c:v>0.67632678270905211</c:v>
                </c:pt>
                <c:pt idx="74">
                  <c:v>0.63681155299590531</c:v>
                </c:pt>
                <c:pt idx="75">
                  <c:v>0.76811841284867977</c:v>
                </c:pt>
                <c:pt idx="76">
                  <c:v>0.68389613644120162</c:v>
                </c:pt>
                <c:pt idx="77">
                  <c:v>0.71200448504468894</c:v>
                </c:pt>
                <c:pt idx="78">
                  <c:v>0.712087776490546</c:v>
                </c:pt>
                <c:pt idx="79">
                  <c:v>0.73848007874296961</c:v>
                </c:pt>
                <c:pt idx="80">
                  <c:v>0.72460170487063924</c:v>
                </c:pt>
                <c:pt idx="81">
                  <c:v>0.67256921745951481</c:v>
                </c:pt>
                <c:pt idx="82">
                  <c:v>0.63606836515466014</c:v>
                </c:pt>
                <c:pt idx="83">
                  <c:v>0.61117635524168878</c:v>
                </c:pt>
                <c:pt idx="84">
                  <c:v>0.68003426729764682</c:v>
                </c:pt>
                <c:pt idx="85">
                  <c:v>0.65488667993773197</c:v>
                </c:pt>
                <c:pt idx="86">
                  <c:v>0.68125711396743027</c:v>
                </c:pt>
                <c:pt idx="87">
                  <c:v>0.58657335582310377</c:v>
                </c:pt>
                <c:pt idx="88">
                  <c:v>0.57679285937098057</c:v>
                </c:pt>
                <c:pt idx="89">
                  <c:v>0.54106669035546662</c:v>
                </c:pt>
                <c:pt idx="90">
                  <c:v>0.52110403211563805</c:v>
                </c:pt>
                <c:pt idx="91">
                  <c:v>0.53770753830363716</c:v>
                </c:pt>
                <c:pt idx="92">
                  <c:v>0.54885413486021073</c:v>
                </c:pt>
                <c:pt idx="93">
                  <c:v>0.53685197443719557</c:v>
                </c:pt>
                <c:pt idx="94">
                  <c:v>0.5463956187248985</c:v>
                </c:pt>
                <c:pt idx="95">
                  <c:v>0.5772580249767888</c:v>
                </c:pt>
                <c:pt idx="96">
                  <c:v>0.61169485453478445</c:v>
                </c:pt>
                <c:pt idx="97">
                  <c:v>0.6003518129974712</c:v>
                </c:pt>
                <c:pt idx="98">
                  <c:v>0.6098006686084827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46-4D81-BE45-9F6E51A6B608}"/>
            </c:ext>
          </c:extLst>
        </c:ser>
        <c:ser>
          <c:idx val="1"/>
          <c:order val="1"/>
          <c:tx>
            <c:strRef>
              <c:f>'面板-景气指数'!$A$109</c:f>
              <c:strCache>
                <c:ptCount val="1"/>
                <c:pt idx="0">
                  <c:v>计算机设备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'面板-景气指数'!$F$109:$CZ$109</c:f>
              <c:numCache>
                <c:formatCode>0.0%</c:formatCode>
                <c:ptCount val="99"/>
                <c:pt idx="0">
                  <c:v>0.80780000000000018</c:v>
                </c:pt>
                <c:pt idx="1">
                  <c:v>0.79070000000000029</c:v>
                </c:pt>
                <c:pt idx="2">
                  <c:v>0.57510000000000017</c:v>
                </c:pt>
                <c:pt idx="3">
                  <c:v>0.36489999999999995</c:v>
                </c:pt>
                <c:pt idx="4">
                  <c:v>0.28539999999999988</c:v>
                </c:pt>
                <c:pt idx="5">
                  <c:v>0.24789999999999979</c:v>
                </c:pt>
                <c:pt idx="6">
                  <c:v>0.21129999999999982</c:v>
                </c:pt>
                <c:pt idx="7">
                  <c:v>0.17269999999999985</c:v>
                </c:pt>
                <c:pt idx="8">
                  <c:v>0.11689999999999992</c:v>
                </c:pt>
                <c:pt idx="9">
                  <c:v>9.1999999999999887E-2</c:v>
                </c:pt>
                <c:pt idx="10">
                  <c:v>9.279999999999991E-2</c:v>
                </c:pt>
                <c:pt idx="11">
                  <c:v>7.3899999999999938E-2</c:v>
                </c:pt>
                <c:pt idx="12">
                  <c:v>5.0999999999999948E-2</c:v>
                </c:pt>
                <c:pt idx="13">
                  <c:v>3.8899999999999955E-2</c:v>
                </c:pt>
                <c:pt idx="14">
                  <c:v>9.0899999999999856E-2</c:v>
                </c:pt>
                <c:pt idx="15">
                  <c:v>0.40360000000000013</c:v>
                </c:pt>
                <c:pt idx="16">
                  <c:v>0.20359999999999981</c:v>
                </c:pt>
                <c:pt idx="17">
                  <c:v>0.24539999999999976</c:v>
                </c:pt>
                <c:pt idx="18">
                  <c:v>0.32729999999999987</c:v>
                </c:pt>
                <c:pt idx="19">
                  <c:v>0.30869999999999975</c:v>
                </c:pt>
                <c:pt idx="20">
                  <c:v>0.34649999999999975</c:v>
                </c:pt>
                <c:pt idx="21">
                  <c:v>0.38379999999999981</c:v>
                </c:pt>
                <c:pt idx="22">
                  <c:v>0.2971999999999998</c:v>
                </c:pt>
                <c:pt idx="23">
                  <c:v>0.3324999999999998</c:v>
                </c:pt>
                <c:pt idx="24">
                  <c:v>0.35149999999999998</c:v>
                </c:pt>
                <c:pt idx="25">
                  <c:v>0.62060000000000004</c:v>
                </c:pt>
                <c:pt idx="26">
                  <c:v>0.55430000000000001</c:v>
                </c:pt>
                <c:pt idx="27">
                  <c:v>0.6726000000000002</c:v>
                </c:pt>
                <c:pt idx="28">
                  <c:v>0.70060000000000022</c:v>
                </c:pt>
                <c:pt idx="29">
                  <c:v>0.6352000000000001</c:v>
                </c:pt>
                <c:pt idx="30">
                  <c:v>0.6351</c:v>
                </c:pt>
                <c:pt idx="31">
                  <c:v>0.60890000000000011</c:v>
                </c:pt>
                <c:pt idx="32">
                  <c:v>0.7361000000000002</c:v>
                </c:pt>
                <c:pt idx="33">
                  <c:v>0.71090000000000009</c:v>
                </c:pt>
                <c:pt idx="34">
                  <c:v>0.68540000000000001</c:v>
                </c:pt>
                <c:pt idx="35">
                  <c:v>0.72839999999999971</c:v>
                </c:pt>
                <c:pt idx="36">
                  <c:v>0.73819999999999975</c:v>
                </c:pt>
                <c:pt idx="37">
                  <c:v>0.8204999999999999</c:v>
                </c:pt>
                <c:pt idx="38">
                  <c:v>0.75719999999999976</c:v>
                </c:pt>
                <c:pt idx="39">
                  <c:v>0.5782999999999997</c:v>
                </c:pt>
                <c:pt idx="40">
                  <c:v>0.45569999999999977</c:v>
                </c:pt>
                <c:pt idx="41">
                  <c:v>0.35149999999999965</c:v>
                </c:pt>
                <c:pt idx="42">
                  <c:v>0.35909999999999959</c:v>
                </c:pt>
                <c:pt idx="43">
                  <c:v>0.46039999999999986</c:v>
                </c:pt>
                <c:pt idx="44">
                  <c:v>0.5673999999999999</c:v>
                </c:pt>
                <c:pt idx="45">
                  <c:v>0.60339999999999994</c:v>
                </c:pt>
                <c:pt idx="46">
                  <c:v>0.54039999999999999</c:v>
                </c:pt>
                <c:pt idx="47">
                  <c:v>0.40640000000000015</c:v>
                </c:pt>
                <c:pt idx="48">
                  <c:v>0.36780000000000024</c:v>
                </c:pt>
                <c:pt idx="49">
                  <c:v>0.27570000000000017</c:v>
                </c:pt>
                <c:pt idx="50">
                  <c:v>0.41620000000000029</c:v>
                </c:pt>
                <c:pt idx="51">
                  <c:v>0.42390000000000005</c:v>
                </c:pt>
                <c:pt idx="52">
                  <c:v>0.40659999999999991</c:v>
                </c:pt>
                <c:pt idx="53">
                  <c:v>0.41789999999999994</c:v>
                </c:pt>
                <c:pt idx="54">
                  <c:v>0.2659999999999999</c:v>
                </c:pt>
                <c:pt idx="55">
                  <c:v>0.23569999999999988</c:v>
                </c:pt>
                <c:pt idx="56">
                  <c:v>0.19809999999999989</c:v>
                </c:pt>
                <c:pt idx="57">
                  <c:v>0.38489999999999991</c:v>
                </c:pt>
                <c:pt idx="58">
                  <c:v>0.48890000000000011</c:v>
                </c:pt>
                <c:pt idx="59">
                  <c:v>0.49230000000000002</c:v>
                </c:pt>
                <c:pt idx="60">
                  <c:v>0.4552000000000001</c:v>
                </c:pt>
                <c:pt idx="61">
                  <c:v>0.3669</c:v>
                </c:pt>
                <c:pt idx="62">
                  <c:v>0.43609999999999993</c:v>
                </c:pt>
                <c:pt idx="63">
                  <c:v>0.52470000000000006</c:v>
                </c:pt>
                <c:pt idx="64">
                  <c:v>0.66800000000000004</c:v>
                </c:pt>
                <c:pt idx="65">
                  <c:v>0.6887000000000002</c:v>
                </c:pt>
                <c:pt idx="66">
                  <c:v>0.79530000000000034</c:v>
                </c:pt>
                <c:pt idx="67">
                  <c:v>0.71560000000000035</c:v>
                </c:pt>
                <c:pt idx="68">
                  <c:v>0.68960000000000043</c:v>
                </c:pt>
                <c:pt idx="69">
                  <c:v>0.55870000000000042</c:v>
                </c:pt>
                <c:pt idx="70">
                  <c:v>0.53170000000000028</c:v>
                </c:pt>
                <c:pt idx="71">
                  <c:v>0.59250000000000036</c:v>
                </c:pt>
                <c:pt idx="72">
                  <c:v>0.5830000000000003</c:v>
                </c:pt>
                <c:pt idx="73">
                  <c:v>0.65430000000000021</c:v>
                </c:pt>
                <c:pt idx="74">
                  <c:v>0.66400000000000003</c:v>
                </c:pt>
                <c:pt idx="75">
                  <c:v>0.80940000000000012</c:v>
                </c:pt>
                <c:pt idx="76">
                  <c:v>0.78070000000000017</c:v>
                </c:pt>
                <c:pt idx="77">
                  <c:v>0.83380000000000021</c:v>
                </c:pt>
                <c:pt idx="78">
                  <c:v>0.80030000000000034</c:v>
                </c:pt>
                <c:pt idx="79">
                  <c:v>0.78770000000000029</c:v>
                </c:pt>
                <c:pt idx="80">
                  <c:v>0.73970000000000002</c:v>
                </c:pt>
                <c:pt idx="81">
                  <c:v>0.68450000000000011</c:v>
                </c:pt>
                <c:pt idx="82">
                  <c:v>0.72580000000000022</c:v>
                </c:pt>
                <c:pt idx="83">
                  <c:v>0.76250000000000007</c:v>
                </c:pt>
                <c:pt idx="84">
                  <c:v>0.80940000000000023</c:v>
                </c:pt>
                <c:pt idx="85">
                  <c:v>0.83110000000000039</c:v>
                </c:pt>
                <c:pt idx="86">
                  <c:v>0.7996000000000002</c:v>
                </c:pt>
                <c:pt idx="87">
                  <c:v>0.57699999999999996</c:v>
                </c:pt>
                <c:pt idx="88">
                  <c:v>0.52629999999999988</c:v>
                </c:pt>
                <c:pt idx="89">
                  <c:v>0.44869999999999982</c:v>
                </c:pt>
                <c:pt idx="90">
                  <c:v>0.4614999999999998</c:v>
                </c:pt>
                <c:pt idx="91">
                  <c:v>0.51879999999999982</c:v>
                </c:pt>
                <c:pt idx="92">
                  <c:v>0.52890000000000004</c:v>
                </c:pt>
                <c:pt idx="93">
                  <c:v>0.50319999999999998</c:v>
                </c:pt>
                <c:pt idx="94">
                  <c:v>0.44539999999999985</c:v>
                </c:pt>
                <c:pt idx="95">
                  <c:v>0.43059999999999976</c:v>
                </c:pt>
                <c:pt idx="96">
                  <c:v>0.39799999999999974</c:v>
                </c:pt>
                <c:pt idx="97">
                  <c:v>0.40199999999999975</c:v>
                </c:pt>
                <c:pt idx="98">
                  <c:v>0.33199999999999974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46-4D81-BE45-9F6E51A6B608}"/>
            </c:ext>
          </c:extLst>
        </c:ser>
        <c:ser>
          <c:idx val="2"/>
          <c:order val="2"/>
          <c:tx>
            <c:strRef>
              <c:f>'面板-景气指数'!$A$110</c:f>
              <c:strCache>
                <c:ptCount val="1"/>
                <c:pt idx="0">
                  <c:v>软件开发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'面板-景气指数'!$F$110:$CZ$110</c:f>
              <c:numCache>
                <c:formatCode>0.0%</c:formatCode>
                <c:ptCount val="99"/>
                <c:pt idx="0">
                  <c:v>0.30249999999999994</c:v>
                </c:pt>
                <c:pt idx="1">
                  <c:v>0.30249999999999994</c:v>
                </c:pt>
                <c:pt idx="2">
                  <c:v>0.30249999999999994</c:v>
                </c:pt>
                <c:pt idx="3">
                  <c:v>0.34474999999999995</c:v>
                </c:pt>
                <c:pt idx="4">
                  <c:v>0.34387500000000004</c:v>
                </c:pt>
                <c:pt idx="5">
                  <c:v>0.34275</c:v>
                </c:pt>
                <c:pt idx="6">
                  <c:v>0.30624999999999997</c:v>
                </c:pt>
                <c:pt idx="7">
                  <c:v>0.32037499999999997</c:v>
                </c:pt>
                <c:pt idx="8">
                  <c:v>0.38412499999999999</c:v>
                </c:pt>
                <c:pt idx="9">
                  <c:v>0.36512499999999998</c:v>
                </c:pt>
                <c:pt idx="10">
                  <c:v>0.30612499999999998</c:v>
                </c:pt>
                <c:pt idx="11">
                  <c:v>0.28062499999999996</c:v>
                </c:pt>
                <c:pt idx="12">
                  <c:v>0.28787499999999999</c:v>
                </c:pt>
                <c:pt idx="13">
                  <c:v>0.30212499999999998</c:v>
                </c:pt>
                <c:pt idx="14">
                  <c:v>0.28437499999999993</c:v>
                </c:pt>
                <c:pt idx="15">
                  <c:v>0.23074999999999993</c:v>
                </c:pt>
                <c:pt idx="16">
                  <c:v>0.20062499999999994</c:v>
                </c:pt>
                <c:pt idx="17">
                  <c:v>0.15549999999999994</c:v>
                </c:pt>
                <c:pt idx="18">
                  <c:v>0.12162499999999996</c:v>
                </c:pt>
                <c:pt idx="19">
                  <c:v>0.13024999999999998</c:v>
                </c:pt>
                <c:pt idx="20">
                  <c:v>0.15099999999999994</c:v>
                </c:pt>
                <c:pt idx="21">
                  <c:v>0.16362499999999994</c:v>
                </c:pt>
                <c:pt idx="22">
                  <c:v>0.17924999999999996</c:v>
                </c:pt>
                <c:pt idx="23">
                  <c:v>0.19399999999999992</c:v>
                </c:pt>
                <c:pt idx="24">
                  <c:v>0.21249999999999997</c:v>
                </c:pt>
                <c:pt idx="25">
                  <c:v>0.20324999999999996</c:v>
                </c:pt>
                <c:pt idx="26">
                  <c:v>0.52012499999999995</c:v>
                </c:pt>
                <c:pt idx="27">
                  <c:v>0.80200000000000005</c:v>
                </c:pt>
                <c:pt idx="28">
                  <c:v>0.8204999999999999</c:v>
                </c:pt>
                <c:pt idx="29">
                  <c:v>0.83425000000000016</c:v>
                </c:pt>
                <c:pt idx="30">
                  <c:v>0.8257500000000001</c:v>
                </c:pt>
                <c:pt idx="31">
                  <c:v>0.80562500000000004</c:v>
                </c:pt>
                <c:pt idx="32">
                  <c:v>0.80887499999999979</c:v>
                </c:pt>
                <c:pt idx="33">
                  <c:v>0.83325000000000005</c:v>
                </c:pt>
                <c:pt idx="34">
                  <c:v>0.84675</c:v>
                </c:pt>
                <c:pt idx="35">
                  <c:v>0.86899999999999999</c:v>
                </c:pt>
                <c:pt idx="36">
                  <c:v>0.855375</c:v>
                </c:pt>
                <c:pt idx="37">
                  <c:v>0.895625</c:v>
                </c:pt>
                <c:pt idx="38">
                  <c:v>0.77337499999999992</c:v>
                </c:pt>
                <c:pt idx="39">
                  <c:v>0.32874999999999988</c:v>
                </c:pt>
                <c:pt idx="40">
                  <c:v>0.28474999999999989</c:v>
                </c:pt>
                <c:pt idx="41">
                  <c:v>0.24349999999999999</c:v>
                </c:pt>
                <c:pt idx="42">
                  <c:v>0.20512499999999995</c:v>
                </c:pt>
                <c:pt idx="43">
                  <c:v>0.15837499999999993</c:v>
                </c:pt>
                <c:pt idx="44">
                  <c:v>0.13887499999999997</c:v>
                </c:pt>
                <c:pt idx="45">
                  <c:v>0.12887499999999996</c:v>
                </c:pt>
                <c:pt idx="46">
                  <c:v>0.12287499999999994</c:v>
                </c:pt>
                <c:pt idx="47">
                  <c:v>0.11374999999999996</c:v>
                </c:pt>
                <c:pt idx="48">
                  <c:v>0.10624999999999994</c:v>
                </c:pt>
                <c:pt idx="49">
                  <c:v>0.67887500000000012</c:v>
                </c:pt>
                <c:pt idx="50">
                  <c:v>0.66175000000000006</c:v>
                </c:pt>
                <c:pt idx="51">
                  <c:v>0.72712500000000013</c:v>
                </c:pt>
                <c:pt idx="52">
                  <c:v>0.67799999999999994</c:v>
                </c:pt>
                <c:pt idx="53">
                  <c:v>0.67237500000000006</c:v>
                </c:pt>
                <c:pt idx="54">
                  <c:v>0.63850000000000007</c:v>
                </c:pt>
                <c:pt idx="55">
                  <c:v>0.65525</c:v>
                </c:pt>
                <c:pt idx="56">
                  <c:v>0.66474999999999995</c:v>
                </c:pt>
                <c:pt idx="57">
                  <c:v>0.65062500000000001</c:v>
                </c:pt>
                <c:pt idx="58">
                  <c:v>0.62349999999999994</c:v>
                </c:pt>
                <c:pt idx="59">
                  <c:v>0.59024999999999994</c:v>
                </c:pt>
                <c:pt idx="60">
                  <c:v>0.57737499999999997</c:v>
                </c:pt>
                <c:pt idx="61">
                  <c:v>0.54212499999999997</c:v>
                </c:pt>
                <c:pt idx="62">
                  <c:v>0.46649999999999991</c:v>
                </c:pt>
                <c:pt idx="63">
                  <c:v>0.62562499999999999</c:v>
                </c:pt>
                <c:pt idx="64">
                  <c:v>0.67037499999999994</c:v>
                </c:pt>
                <c:pt idx="65">
                  <c:v>0.68074999999999997</c:v>
                </c:pt>
                <c:pt idx="66">
                  <c:v>0.70687500000000003</c:v>
                </c:pt>
                <c:pt idx="67">
                  <c:v>0.68137499999999995</c:v>
                </c:pt>
                <c:pt idx="68">
                  <c:v>0.62812499999999993</c:v>
                </c:pt>
                <c:pt idx="69">
                  <c:v>0.6047499999999999</c:v>
                </c:pt>
                <c:pt idx="70">
                  <c:v>0.57787500000000014</c:v>
                </c:pt>
                <c:pt idx="71">
                  <c:v>0.5724999999999999</c:v>
                </c:pt>
                <c:pt idx="72">
                  <c:v>0.63812499999999994</c:v>
                </c:pt>
                <c:pt idx="73">
                  <c:v>0.60862499999999997</c:v>
                </c:pt>
                <c:pt idx="74">
                  <c:v>0.59324999999999983</c:v>
                </c:pt>
                <c:pt idx="75">
                  <c:v>0.66099999999999992</c:v>
                </c:pt>
                <c:pt idx="76">
                  <c:v>0.64900000000000002</c:v>
                </c:pt>
                <c:pt idx="77">
                  <c:v>0.64999999999999991</c:v>
                </c:pt>
                <c:pt idx="78">
                  <c:v>0.63149999999999984</c:v>
                </c:pt>
                <c:pt idx="79">
                  <c:v>0.61449999999999982</c:v>
                </c:pt>
                <c:pt idx="80">
                  <c:v>0.57850000000000001</c:v>
                </c:pt>
                <c:pt idx="81">
                  <c:v>0.5442499999999999</c:v>
                </c:pt>
                <c:pt idx="82">
                  <c:v>0.5143749999999998</c:v>
                </c:pt>
                <c:pt idx="83">
                  <c:v>0.46649999999999991</c:v>
                </c:pt>
                <c:pt idx="84">
                  <c:v>0.4343749999999999</c:v>
                </c:pt>
                <c:pt idx="85">
                  <c:v>0.40074999999999988</c:v>
                </c:pt>
                <c:pt idx="86">
                  <c:v>0.48099999999999993</c:v>
                </c:pt>
                <c:pt idx="87">
                  <c:v>0.63149999999999995</c:v>
                </c:pt>
                <c:pt idx="88">
                  <c:v>0.54437500000000005</c:v>
                </c:pt>
                <c:pt idx="89">
                  <c:v>0.50850000000000006</c:v>
                </c:pt>
                <c:pt idx="90">
                  <c:v>0.49075000000000008</c:v>
                </c:pt>
                <c:pt idx="91">
                  <c:v>0.50575000000000014</c:v>
                </c:pt>
                <c:pt idx="92">
                  <c:v>0.54062500000000002</c:v>
                </c:pt>
                <c:pt idx="93">
                  <c:v>0.54562500000000003</c:v>
                </c:pt>
                <c:pt idx="94">
                  <c:v>0.58774999999999999</c:v>
                </c:pt>
                <c:pt idx="95">
                  <c:v>0.69075000000000009</c:v>
                </c:pt>
                <c:pt idx="96">
                  <c:v>0.71887500000000004</c:v>
                </c:pt>
                <c:pt idx="97">
                  <c:v>0.72800000000000009</c:v>
                </c:pt>
                <c:pt idx="98">
                  <c:v>0.75600000000000001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246-4D81-BE45-9F6E51A6B608}"/>
            </c:ext>
          </c:extLst>
        </c:ser>
        <c:ser>
          <c:idx val="3"/>
          <c:order val="3"/>
          <c:tx>
            <c:strRef>
              <c:f>'面板-景气指数'!$A$111</c:f>
              <c:strCache>
                <c:ptCount val="1"/>
                <c:pt idx="0">
                  <c:v>IT服务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'面板-景气指数'!$F$111:$CZ$111</c:f>
              <c:numCache>
                <c:formatCode>0.0%</c:formatCode>
                <c:ptCount val="99"/>
                <c:pt idx="0">
                  <c:v>9.3750000000000056E-2</c:v>
                </c:pt>
                <c:pt idx="1">
                  <c:v>9.3750000000000056E-2</c:v>
                </c:pt>
                <c:pt idx="2">
                  <c:v>0.10950000000000004</c:v>
                </c:pt>
                <c:pt idx="3">
                  <c:v>6.1000000000000047E-2</c:v>
                </c:pt>
                <c:pt idx="4">
                  <c:v>6.6000000000000059E-2</c:v>
                </c:pt>
                <c:pt idx="5">
                  <c:v>7.1000000000000035E-2</c:v>
                </c:pt>
                <c:pt idx="6">
                  <c:v>0.10675000000000003</c:v>
                </c:pt>
                <c:pt idx="7">
                  <c:v>0.11475</c:v>
                </c:pt>
                <c:pt idx="8">
                  <c:v>0.11700000000000001</c:v>
                </c:pt>
                <c:pt idx="9">
                  <c:v>0.17274999999999999</c:v>
                </c:pt>
                <c:pt idx="10">
                  <c:v>0.20124999999999998</c:v>
                </c:pt>
                <c:pt idx="11">
                  <c:v>0.23674999999999999</c:v>
                </c:pt>
                <c:pt idx="12">
                  <c:v>0.24974999999999997</c:v>
                </c:pt>
                <c:pt idx="13">
                  <c:v>0.20124999999999996</c:v>
                </c:pt>
                <c:pt idx="14">
                  <c:v>0.17549999999999996</c:v>
                </c:pt>
                <c:pt idx="15">
                  <c:v>7.3249999999999996E-2</c:v>
                </c:pt>
                <c:pt idx="16">
                  <c:v>0.10649999999999998</c:v>
                </c:pt>
                <c:pt idx="17">
                  <c:v>0.11924999999999998</c:v>
                </c:pt>
                <c:pt idx="18">
                  <c:v>0.15474999999999997</c:v>
                </c:pt>
                <c:pt idx="19">
                  <c:v>0.14499999999999996</c:v>
                </c:pt>
                <c:pt idx="20">
                  <c:v>0.13249999999999998</c:v>
                </c:pt>
                <c:pt idx="21">
                  <c:v>0.11424999999999998</c:v>
                </c:pt>
                <c:pt idx="22">
                  <c:v>8.6250000000000007E-2</c:v>
                </c:pt>
                <c:pt idx="23">
                  <c:v>5.0500000000000017E-2</c:v>
                </c:pt>
                <c:pt idx="24">
                  <c:v>0.16800000000000001</c:v>
                </c:pt>
                <c:pt idx="25">
                  <c:v>0.20124999999999998</c:v>
                </c:pt>
                <c:pt idx="26">
                  <c:v>0.26700000000000002</c:v>
                </c:pt>
                <c:pt idx="27">
                  <c:v>0.35150000000000015</c:v>
                </c:pt>
                <c:pt idx="28">
                  <c:v>0.42275000000000013</c:v>
                </c:pt>
                <c:pt idx="29">
                  <c:v>0.46350000000000013</c:v>
                </c:pt>
                <c:pt idx="30">
                  <c:v>0.49475000000000008</c:v>
                </c:pt>
                <c:pt idx="31">
                  <c:v>0.51225000000000009</c:v>
                </c:pt>
                <c:pt idx="32">
                  <c:v>0.52250000000000008</c:v>
                </c:pt>
                <c:pt idx="33">
                  <c:v>0.52475000000000016</c:v>
                </c:pt>
                <c:pt idx="34">
                  <c:v>0.48675000000000018</c:v>
                </c:pt>
                <c:pt idx="35">
                  <c:v>0.50425000000000009</c:v>
                </c:pt>
                <c:pt idx="36">
                  <c:v>0.60650000000000015</c:v>
                </c:pt>
                <c:pt idx="37">
                  <c:v>0.8005000000000001</c:v>
                </c:pt>
                <c:pt idx="38">
                  <c:v>0.78274999999999995</c:v>
                </c:pt>
                <c:pt idx="39">
                  <c:v>0.68099999999999983</c:v>
                </c:pt>
                <c:pt idx="40">
                  <c:v>0.46899999999999997</c:v>
                </c:pt>
                <c:pt idx="41">
                  <c:v>0.45324999999999993</c:v>
                </c:pt>
                <c:pt idx="42">
                  <c:v>0.39524999999999993</c:v>
                </c:pt>
                <c:pt idx="43">
                  <c:v>0.41524999999999995</c:v>
                </c:pt>
                <c:pt idx="44">
                  <c:v>0.47175</c:v>
                </c:pt>
                <c:pt idx="45">
                  <c:v>0.50424999999999998</c:v>
                </c:pt>
                <c:pt idx="46">
                  <c:v>0.53274999999999983</c:v>
                </c:pt>
                <c:pt idx="47">
                  <c:v>0.49949999999999994</c:v>
                </c:pt>
                <c:pt idx="48">
                  <c:v>0.36449999999999999</c:v>
                </c:pt>
                <c:pt idx="49">
                  <c:v>0.25699999999999995</c:v>
                </c:pt>
                <c:pt idx="50">
                  <c:v>0.27274999999999999</c:v>
                </c:pt>
                <c:pt idx="51">
                  <c:v>0.4230000000000001</c:v>
                </c:pt>
                <c:pt idx="52">
                  <c:v>0.50700000000000001</c:v>
                </c:pt>
                <c:pt idx="53">
                  <c:v>0.52500000000000002</c:v>
                </c:pt>
                <c:pt idx="54">
                  <c:v>0.50175000000000003</c:v>
                </c:pt>
                <c:pt idx="55">
                  <c:v>0.45825000000000005</c:v>
                </c:pt>
                <c:pt idx="56">
                  <c:v>0.49725000000000003</c:v>
                </c:pt>
                <c:pt idx="57">
                  <c:v>0.54275000000000007</c:v>
                </c:pt>
                <c:pt idx="58">
                  <c:v>0.64749999999999996</c:v>
                </c:pt>
                <c:pt idx="59">
                  <c:v>0.56824999999999992</c:v>
                </c:pt>
                <c:pt idx="60">
                  <c:v>0.73149999999999982</c:v>
                </c:pt>
                <c:pt idx="61">
                  <c:v>0.68799999999999994</c:v>
                </c:pt>
                <c:pt idx="62">
                  <c:v>0.83624999999999983</c:v>
                </c:pt>
                <c:pt idx="63">
                  <c:v>0.72924999999999995</c:v>
                </c:pt>
                <c:pt idx="64">
                  <c:v>0.80299999999999994</c:v>
                </c:pt>
                <c:pt idx="65">
                  <c:v>0.77474999999999994</c:v>
                </c:pt>
                <c:pt idx="66">
                  <c:v>0.83899999999999997</c:v>
                </c:pt>
                <c:pt idx="67">
                  <c:v>0.91549999999999998</c:v>
                </c:pt>
                <c:pt idx="68">
                  <c:v>0.91249999999999987</c:v>
                </c:pt>
                <c:pt idx="69">
                  <c:v>0.93524999999999991</c:v>
                </c:pt>
                <c:pt idx="70">
                  <c:v>0.86199999999999999</c:v>
                </c:pt>
                <c:pt idx="71">
                  <c:v>0.88700000000000001</c:v>
                </c:pt>
                <c:pt idx="72">
                  <c:v>0.58900000000000019</c:v>
                </c:pt>
                <c:pt idx="73">
                  <c:v>0.81825000000000003</c:v>
                </c:pt>
                <c:pt idx="74">
                  <c:v>0.68049999999999999</c:v>
                </c:pt>
                <c:pt idx="75">
                  <c:v>0.90499999999999992</c:v>
                </c:pt>
                <c:pt idx="76">
                  <c:v>0.63250000000000006</c:v>
                </c:pt>
                <c:pt idx="77">
                  <c:v>0.6785000000000001</c:v>
                </c:pt>
                <c:pt idx="78">
                  <c:v>0.74924999999999997</c:v>
                </c:pt>
                <c:pt idx="79">
                  <c:v>0.8952500000000001</c:v>
                </c:pt>
                <c:pt idx="80">
                  <c:v>0.95874999999999999</c:v>
                </c:pt>
                <c:pt idx="81">
                  <c:v>0.87975000000000003</c:v>
                </c:pt>
                <c:pt idx="82">
                  <c:v>0.74224999999999997</c:v>
                </c:pt>
                <c:pt idx="83">
                  <c:v>0.68599999999999994</c:v>
                </c:pt>
                <c:pt idx="84">
                  <c:v>0.95399999999999996</c:v>
                </c:pt>
                <c:pt idx="85">
                  <c:v>0.88950000000000007</c:v>
                </c:pt>
                <c:pt idx="86">
                  <c:v>0.88974999999999993</c:v>
                </c:pt>
                <c:pt idx="87">
                  <c:v>0.52024999999999999</c:v>
                </c:pt>
                <c:pt idx="88">
                  <c:v>0.69074999999999998</c:v>
                </c:pt>
                <c:pt idx="89">
                  <c:v>0.7034999999999999</c:v>
                </c:pt>
                <c:pt idx="90">
                  <c:v>0.6419999999999999</c:v>
                </c:pt>
                <c:pt idx="91">
                  <c:v>0.61450000000000005</c:v>
                </c:pt>
                <c:pt idx="92">
                  <c:v>0.58599999999999997</c:v>
                </c:pt>
                <c:pt idx="93">
                  <c:v>0.5605</c:v>
                </c:pt>
                <c:pt idx="94">
                  <c:v>0.59150000000000003</c:v>
                </c:pt>
                <c:pt idx="95">
                  <c:v>0.55075000000000007</c:v>
                </c:pt>
                <c:pt idx="96">
                  <c:v>0.6732499999999999</c:v>
                </c:pt>
                <c:pt idx="97">
                  <c:v>0.60899999999999999</c:v>
                </c:pt>
                <c:pt idx="98">
                  <c:v>0.67799999999999994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246-4D81-BE45-9F6E51A6B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'面板-景气指数'!$A$58</c:f>
              <c:strCache>
                <c:ptCount val="1"/>
                <c:pt idx="0">
                  <c:v>传媒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'面板-景气指数'!$F$24:$CZ$24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'面板-景气指数'!$F$58:$CZ$58</c:f>
              <c:numCache>
                <c:formatCode>0.0%</c:formatCode>
                <c:ptCount val="99"/>
                <c:pt idx="0">
                  <c:v>0.73033499999999996</c:v>
                </c:pt>
                <c:pt idx="1">
                  <c:v>0.63968499999999995</c:v>
                </c:pt>
                <c:pt idx="2">
                  <c:v>0.66023500000000002</c:v>
                </c:pt>
                <c:pt idx="3">
                  <c:v>0.66298499999999994</c:v>
                </c:pt>
                <c:pt idx="4">
                  <c:v>0.68928500000000015</c:v>
                </c:pt>
                <c:pt idx="5">
                  <c:v>0.76888500000000004</c:v>
                </c:pt>
                <c:pt idx="6">
                  <c:v>0.77878499999999995</c:v>
                </c:pt>
                <c:pt idx="7">
                  <c:v>0.82683499999999999</c:v>
                </c:pt>
                <c:pt idx="8">
                  <c:v>0.78703000000000001</c:v>
                </c:pt>
                <c:pt idx="9">
                  <c:v>0.80669000000000002</c:v>
                </c:pt>
                <c:pt idx="10">
                  <c:v>0.70739000000000007</c:v>
                </c:pt>
                <c:pt idx="11">
                  <c:v>0.58493500000000009</c:v>
                </c:pt>
                <c:pt idx="12">
                  <c:v>0.37219000000000002</c:v>
                </c:pt>
                <c:pt idx="13">
                  <c:v>0.34362999999999999</c:v>
                </c:pt>
                <c:pt idx="14">
                  <c:v>0.27368999999999999</c:v>
                </c:pt>
                <c:pt idx="15">
                  <c:v>0.22787000000000002</c:v>
                </c:pt>
                <c:pt idx="16">
                  <c:v>0.17536500000000002</c:v>
                </c:pt>
                <c:pt idx="17">
                  <c:v>0.14307</c:v>
                </c:pt>
                <c:pt idx="18">
                  <c:v>0.20732</c:v>
                </c:pt>
                <c:pt idx="19">
                  <c:v>0.23304999999999998</c:v>
                </c:pt>
                <c:pt idx="20">
                  <c:v>0.18035499999999999</c:v>
                </c:pt>
                <c:pt idx="21">
                  <c:v>0.19066</c:v>
                </c:pt>
                <c:pt idx="22">
                  <c:v>0.26293</c:v>
                </c:pt>
                <c:pt idx="23">
                  <c:v>0.42651000000000006</c:v>
                </c:pt>
                <c:pt idx="24">
                  <c:v>0.53459000000000001</c:v>
                </c:pt>
                <c:pt idx="25">
                  <c:v>0.51492500000000008</c:v>
                </c:pt>
                <c:pt idx="26">
                  <c:v>0.48558000000000001</c:v>
                </c:pt>
                <c:pt idx="27">
                  <c:v>0.54203500000000004</c:v>
                </c:pt>
                <c:pt idx="28">
                  <c:v>0.38697499999999996</c:v>
                </c:pt>
                <c:pt idx="29">
                  <c:v>0.42054999999999998</c:v>
                </c:pt>
                <c:pt idx="30">
                  <c:v>0.39271</c:v>
                </c:pt>
                <c:pt idx="31">
                  <c:v>0.48630499999999999</c:v>
                </c:pt>
                <c:pt idx="32">
                  <c:v>0.51500000000000001</c:v>
                </c:pt>
                <c:pt idx="33">
                  <c:v>0.55190499999999998</c:v>
                </c:pt>
                <c:pt idx="34">
                  <c:v>0.53496500000000002</c:v>
                </c:pt>
                <c:pt idx="35">
                  <c:v>0.49837500000000001</c:v>
                </c:pt>
                <c:pt idx="36">
                  <c:v>0.523065</c:v>
                </c:pt>
                <c:pt idx="37">
                  <c:v>0.47290500000000002</c:v>
                </c:pt>
                <c:pt idx="38">
                  <c:v>0.47869000000000006</c:v>
                </c:pt>
                <c:pt idx="39">
                  <c:v>0.39675000000000005</c:v>
                </c:pt>
                <c:pt idx="40">
                  <c:v>0.41189000000000003</c:v>
                </c:pt>
                <c:pt idx="41">
                  <c:v>0.40886499999999998</c:v>
                </c:pt>
                <c:pt idx="42">
                  <c:v>0.41363500000000003</c:v>
                </c:pt>
                <c:pt idx="43">
                  <c:v>0.39453500000000002</c:v>
                </c:pt>
                <c:pt idx="44">
                  <c:v>0.37804000000000004</c:v>
                </c:pt>
                <c:pt idx="45">
                  <c:v>0.37357999999999997</c:v>
                </c:pt>
                <c:pt idx="46">
                  <c:v>0.35631999999999997</c:v>
                </c:pt>
                <c:pt idx="47">
                  <c:v>0.355325</c:v>
                </c:pt>
                <c:pt idx="48">
                  <c:v>0.36508499999999999</c:v>
                </c:pt>
                <c:pt idx="49">
                  <c:v>0.37501000000000001</c:v>
                </c:pt>
                <c:pt idx="50">
                  <c:v>0.47114499999999998</c:v>
                </c:pt>
                <c:pt idx="51">
                  <c:v>0.53621500000000011</c:v>
                </c:pt>
                <c:pt idx="52">
                  <c:v>0.55770500000000012</c:v>
                </c:pt>
                <c:pt idx="53">
                  <c:v>0.53993000000000002</c:v>
                </c:pt>
                <c:pt idx="54">
                  <c:v>0.51977499999999999</c:v>
                </c:pt>
                <c:pt idx="55">
                  <c:v>0.46727000000000002</c:v>
                </c:pt>
                <c:pt idx="56">
                  <c:v>0.46542999999999995</c:v>
                </c:pt>
                <c:pt idx="57">
                  <c:v>0.470835</c:v>
                </c:pt>
                <c:pt idx="58">
                  <c:v>0.47758499999999998</c:v>
                </c:pt>
                <c:pt idx="59">
                  <c:v>0.48295500000000002</c:v>
                </c:pt>
                <c:pt idx="60">
                  <c:v>0.488145</c:v>
                </c:pt>
                <c:pt idx="61">
                  <c:v>0.46359500000000009</c:v>
                </c:pt>
                <c:pt idx="62">
                  <c:v>0.45252500000000001</c:v>
                </c:pt>
                <c:pt idx="63">
                  <c:v>0.47491000000000005</c:v>
                </c:pt>
                <c:pt idx="64">
                  <c:v>0.51355499999999998</c:v>
                </c:pt>
                <c:pt idx="65">
                  <c:v>0.55675999999999992</c:v>
                </c:pt>
                <c:pt idx="66">
                  <c:v>0.58828999999999998</c:v>
                </c:pt>
                <c:pt idx="67">
                  <c:v>0.60555000000000003</c:v>
                </c:pt>
                <c:pt idx="68">
                  <c:v>0.57944000000000007</c:v>
                </c:pt>
                <c:pt idx="69">
                  <c:v>0.57504500000000003</c:v>
                </c:pt>
                <c:pt idx="70">
                  <c:v>0.57758500000000013</c:v>
                </c:pt>
                <c:pt idx="71">
                  <c:v>0.59042500000000009</c:v>
                </c:pt>
                <c:pt idx="72">
                  <c:v>0.59648500000000004</c:v>
                </c:pt>
                <c:pt idx="73">
                  <c:v>0.58598000000000006</c:v>
                </c:pt>
                <c:pt idx="74">
                  <c:v>0.57042999999999999</c:v>
                </c:pt>
                <c:pt idx="75">
                  <c:v>0.58207000000000009</c:v>
                </c:pt>
                <c:pt idx="76">
                  <c:v>0.59841999999999995</c:v>
                </c:pt>
                <c:pt idx="77">
                  <c:v>0.60130499999999998</c:v>
                </c:pt>
                <c:pt idx="78">
                  <c:v>0.59125500000000009</c:v>
                </c:pt>
                <c:pt idx="79">
                  <c:v>0.58004000000000011</c:v>
                </c:pt>
                <c:pt idx="80">
                  <c:v>0.57329000000000008</c:v>
                </c:pt>
                <c:pt idx="81">
                  <c:v>0.57044000000000006</c:v>
                </c:pt>
                <c:pt idx="82">
                  <c:v>0.55149000000000004</c:v>
                </c:pt>
                <c:pt idx="83">
                  <c:v>0.52927499999999994</c:v>
                </c:pt>
                <c:pt idx="84">
                  <c:v>0.49337500000000001</c:v>
                </c:pt>
                <c:pt idx="85">
                  <c:v>0.49772500000000003</c:v>
                </c:pt>
                <c:pt idx="86">
                  <c:v>0.47167500000000001</c:v>
                </c:pt>
                <c:pt idx="87">
                  <c:v>0.45266000000000001</c:v>
                </c:pt>
                <c:pt idx="88">
                  <c:v>0.44416000000000005</c:v>
                </c:pt>
                <c:pt idx="89">
                  <c:v>0.43976000000000004</c:v>
                </c:pt>
                <c:pt idx="90">
                  <c:v>0.44869500000000001</c:v>
                </c:pt>
                <c:pt idx="91">
                  <c:v>0.45374500000000001</c:v>
                </c:pt>
                <c:pt idx="92">
                  <c:v>0.47377999999999998</c:v>
                </c:pt>
                <c:pt idx="93">
                  <c:v>0.47853000000000001</c:v>
                </c:pt>
                <c:pt idx="94">
                  <c:v>0.55304500000000001</c:v>
                </c:pt>
                <c:pt idx="95">
                  <c:v>0.59614500000000004</c:v>
                </c:pt>
                <c:pt idx="96">
                  <c:v>0.60670999999999997</c:v>
                </c:pt>
                <c:pt idx="97">
                  <c:v>0.61101000000000005</c:v>
                </c:pt>
                <c:pt idx="98">
                  <c:v>0.62334999999999996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60-4AA6-8D6B-28434E55A45C}"/>
            </c:ext>
          </c:extLst>
        </c:ser>
        <c:ser>
          <c:idx val="1"/>
          <c:order val="1"/>
          <c:tx>
            <c:strRef>
              <c:f>'面板-景气指数'!$A$112</c:f>
              <c:strCache>
                <c:ptCount val="1"/>
                <c:pt idx="0">
                  <c:v>游戏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'面板-景气指数'!$F$24:$CZ$24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'面板-景气指数'!$F$112:$CZ$112</c:f>
              <c:numCache>
                <c:formatCode>0.0%</c:formatCode>
                <c:ptCount val="99"/>
                <c:pt idx="0">
                  <c:v>0.78856249999999994</c:v>
                </c:pt>
                <c:pt idx="1">
                  <c:v>0.59812500000000002</c:v>
                </c:pt>
                <c:pt idx="2">
                  <c:v>0.71531249999999991</c:v>
                </c:pt>
                <c:pt idx="3">
                  <c:v>0.69987499999999991</c:v>
                </c:pt>
                <c:pt idx="4">
                  <c:v>0.7191249999999999</c:v>
                </c:pt>
                <c:pt idx="5">
                  <c:v>0.83787499999999993</c:v>
                </c:pt>
                <c:pt idx="6">
                  <c:v>0.8763749999999999</c:v>
                </c:pt>
                <c:pt idx="7">
                  <c:v>0.9303125000000001</c:v>
                </c:pt>
                <c:pt idx="8">
                  <c:v>0.83399999999999996</c:v>
                </c:pt>
                <c:pt idx="9">
                  <c:v>0.8070624999999999</c:v>
                </c:pt>
                <c:pt idx="10">
                  <c:v>0.58893749999999989</c:v>
                </c:pt>
                <c:pt idx="11">
                  <c:v>0.34456249999999999</c:v>
                </c:pt>
                <c:pt idx="12">
                  <c:v>0.18343749999999998</c:v>
                </c:pt>
                <c:pt idx="13">
                  <c:v>0.13337499999999999</c:v>
                </c:pt>
                <c:pt idx="14">
                  <c:v>0.13268749999999999</c:v>
                </c:pt>
                <c:pt idx="15">
                  <c:v>0.16568749999999999</c:v>
                </c:pt>
                <c:pt idx="16">
                  <c:v>0.1303125</c:v>
                </c:pt>
                <c:pt idx="17">
                  <c:v>8.7937499999999988E-2</c:v>
                </c:pt>
                <c:pt idx="18">
                  <c:v>3.4687499999999996E-2</c:v>
                </c:pt>
                <c:pt idx="19">
                  <c:v>8.0187499999999995E-2</c:v>
                </c:pt>
                <c:pt idx="20">
                  <c:v>0.17193749999999999</c:v>
                </c:pt>
                <c:pt idx="21">
                  <c:v>0.25668750000000001</c:v>
                </c:pt>
                <c:pt idx="22">
                  <c:v>0.363875</c:v>
                </c:pt>
                <c:pt idx="23">
                  <c:v>0.44093749999999998</c:v>
                </c:pt>
                <c:pt idx="24">
                  <c:v>0.53725000000000001</c:v>
                </c:pt>
                <c:pt idx="25">
                  <c:v>0.56349999999999989</c:v>
                </c:pt>
                <c:pt idx="26">
                  <c:v>0.66293749999999996</c:v>
                </c:pt>
                <c:pt idx="27">
                  <c:v>0.69406250000000003</c:v>
                </c:pt>
                <c:pt idx="28">
                  <c:v>0.42300000000000004</c:v>
                </c:pt>
                <c:pt idx="29">
                  <c:v>0.46149999999999997</c:v>
                </c:pt>
                <c:pt idx="30">
                  <c:v>0.4807499999999999</c:v>
                </c:pt>
                <c:pt idx="31">
                  <c:v>0.57631249999999989</c:v>
                </c:pt>
                <c:pt idx="32">
                  <c:v>0.65262500000000001</c:v>
                </c:pt>
                <c:pt idx="33">
                  <c:v>0.61412499999999992</c:v>
                </c:pt>
                <c:pt idx="34">
                  <c:v>0.67187499999999989</c:v>
                </c:pt>
                <c:pt idx="35">
                  <c:v>0.5570624999999999</c:v>
                </c:pt>
                <c:pt idx="36">
                  <c:v>0.63337499999999991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60-4AA6-8D6B-28434E55A45C}"/>
            </c:ext>
          </c:extLst>
        </c:ser>
        <c:ser>
          <c:idx val="4"/>
          <c:order val="2"/>
          <c:tx>
            <c:strRef>
              <c:f>'面板-景气指数'!$A$115</c:f>
              <c:strCache>
                <c:ptCount val="1"/>
                <c:pt idx="0">
                  <c:v>广告营销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'面板-景气指数'!$F$24:$CZ$24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'面板-景气指数'!$F$115:$CZ$115</c:f>
              <c:numCache>
                <c:formatCode>0.0%</c:formatCode>
                <c:ptCount val="99"/>
                <c:pt idx="0">
                  <c:v>0.69299999999999995</c:v>
                </c:pt>
                <c:pt idx="1">
                  <c:v>0.69299999999999995</c:v>
                </c:pt>
                <c:pt idx="2">
                  <c:v>0.69299999999999995</c:v>
                </c:pt>
                <c:pt idx="3">
                  <c:v>0.69299999999999995</c:v>
                </c:pt>
                <c:pt idx="4">
                  <c:v>0.69299999999999995</c:v>
                </c:pt>
                <c:pt idx="5">
                  <c:v>0.69299999999999995</c:v>
                </c:pt>
                <c:pt idx="6">
                  <c:v>0.69299999999999995</c:v>
                </c:pt>
                <c:pt idx="7">
                  <c:v>0.69299999999999995</c:v>
                </c:pt>
                <c:pt idx="8">
                  <c:v>0.8</c:v>
                </c:pt>
                <c:pt idx="9">
                  <c:v>0.86599999999999999</c:v>
                </c:pt>
                <c:pt idx="10">
                  <c:v>0.90600000000000003</c:v>
                </c:pt>
                <c:pt idx="11">
                  <c:v>0.85299999999999998</c:v>
                </c:pt>
                <c:pt idx="12">
                  <c:v>0.54600000000000004</c:v>
                </c:pt>
                <c:pt idx="13">
                  <c:v>0.4</c:v>
                </c:pt>
                <c:pt idx="14">
                  <c:v>0.186</c:v>
                </c:pt>
                <c:pt idx="15">
                  <c:v>0.21299999999999999</c:v>
                </c:pt>
                <c:pt idx="16">
                  <c:v>0.08</c:v>
                </c:pt>
                <c:pt idx="17">
                  <c:v>0.13300000000000001</c:v>
                </c:pt>
                <c:pt idx="18">
                  <c:v>0.17299999999999999</c:v>
                </c:pt>
                <c:pt idx="19">
                  <c:v>0.23999999999999996</c:v>
                </c:pt>
                <c:pt idx="20">
                  <c:v>0.253</c:v>
                </c:pt>
                <c:pt idx="21">
                  <c:v>0.106</c:v>
                </c:pt>
                <c:pt idx="22">
                  <c:v>6.6000000000000003E-2</c:v>
                </c:pt>
                <c:pt idx="23">
                  <c:v>5.2999999999999999E-2</c:v>
                </c:pt>
                <c:pt idx="24">
                  <c:v>0.11999999999999998</c:v>
                </c:pt>
                <c:pt idx="25">
                  <c:v>0.28000000000000003</c:v>
                </c:pt>
                <c:pt idx="26">
                  <c:v>0.47999999999999993</c:v>
                </c:pt>
                <c:pt idx="27">
                  <c:v>0.57299999999999995</c:v>
                </c:pt>
                <c:pt idx="28">
                  <c:v>0.50600000000000001</c:v>
                </c:pt>
                <c:pt idx="29">
                  <c:v>0.56000000000000005</c:v>
                </c:pt>
                <c:pt idx="30">
                  <c:v>0.626</c:v>
                </c:pt>
                <c:pt idx="31">
                  <c:v>0.81299999999999994</c:v>
                </c:pt>
                <c:pt idx="32">
                  <c:v>0.88</c:v>
                </c:pt>
                <c:pt idx="33">
                  <c:v>0.93300000000000005</c:v>
                </c:pt>
                <c:pt idx="34">
                  <c:v>0.95999999999999985</c:v>
                </c:pt>
                <c:pt idx="35">
                  <c:v>0.98599999999999999</c:v>
                </c:pt>
                <c:pt idx="36">
                  <c:v>1</c:v>
                </c:pt>
                <c:pt idx="37">
                  <c:v>0.97299999999999998</c:v>
                </c:pt>
                <c:pt idx="38">
                  <c:v>0.94599999999999984</c:v>
                </c:pt>
                <c:pt idx="39">
                  <c:v>0.53300000000000003</c:v>
                </c:pt>
                <c:pt idx="40">
                  <c:v>0.64</c:v>
                </c:pt>
                <c:pt idx="41">
                  <c:v>0.66600000000000004</c:v>
                </c:pt>
                <c:pt idx="42">
                  <c:v>0.6</c:v>
                </c:pt>
                <c:pt idx="43">
                  <c:v>0.44</c:v>
                </c:pt>
                <c:pt idx="44">
                  <c:v>0.253</c:v>
                </c:pt>
                <c:pt idx="45">
                  <c:v>0.14599999999999999</c:v>
                </c:pt>
                <c:pt idx="46">
                  <c:v>0.04</c:v>
                </c:pt>
                <c:pt idx="47">
                  <c:v>1.2999999999999999E-2</c:v>
                </c:pt>
                <c:pt idx="48">
                  <c:v>0</c:v>
                </c:pt>
                <c:pt idx="49">
                  <c:v>2.5999999999999999E-2</c:v>
                </c:pt>
                <c:pt idx="50">
                  <c:v>9.2999999999999999E-2</c:v>
                </c:pt>
                <c:pt idx="51">
                  <c:v>0.34599999999999997</c:v>
                </c:pt>
                <c:pt idx="52">
                  <c:v>0.36</c:v>
                </c:pt>
                <c:pt idx="53">
                  <c:v>0.30599999999999999</c:v>
                </c:pt>
                <c:pt idx="54">
                  <c:v>0.373</c:v>
                </c:pt>
                <c:pt idx="55">
                  <c:v>0.32</c:v>
                </c:pt>
                <c:pt idx="56">
                  <c:v>0.22600000000000001</c:v>
                </c:pt>
                <c:pt idx="57">
                  <c:v>0.2</c:v>
                </c:pt>
                <c:pt idx="58">
                  <c:v>0.16</c:v>
                </c:pt>
                <c:pt idx="59">
                  <c:v>0.29299999999999998</c:v>
                </c:pt>
                <c:pt idx="60">
                  <c:v>0.38600000000000001</c:v>
                </c:pt>
                <c:pt idx="61">
                  <c:v>0.46600000000000003</c:v>
                </c:pt>
                <c:pt idx="62">
                  <c:v>0.49299999999999999</c:v>
                </c:pt>
                <c:pt idx="63">
                  <c:v>0.61299999999999999</c:v>
                </c:pt>
                <c:pt idx="64">
                  <c:v>0.84</c:v>
                </c:pt>
                <c:pt idx="65">
                  <c:v>0.89300000000000002</c:v>
                </c:pt>
                <c:pt idx="66">
                  <c:v>0.92</c:v>
                </c:pt>
                <c:pt idx="67">
                  <c:v>0.82599999999999996</c:v>
                </c:pt>
                <c:pt idx="68">
                  <c:v>0.68</c:v>
                </c:pt>
                <c:pt idx="69">
                  <c:v>0.65300000000000002</c:v>
                </c:pt>
                <c:pt idx="70">
                  <c:v>0.58599999999999997</c:v>
                </c:pt>
                <c:pt idx="71">
                  <c:v>0.52</c:v>
                </c:pt>
                <c:pt idx="72">
                  <c:v>0.42599999999999999</c:v>
                </c:pt>
                <c:pt idx="73">
                  <c:v>0.41299999999999998</c:v>
                </c:pt>
                <c:pt idx="74">
                  <c:v>0.33300000000000002</c:v>
                </c:pt>
                <c:pt idx="75">
                  <c:v>0.45300000000000001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60-4AA6-8D6B-28434E55A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4164687885445197"/>
          <c:h val="0.139699708136285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'面板-景气指数'!$A$60</c:f>
              <c:strCache>
                <c:ptCount val="1"/>
                <c:pt idx="0">
                  <c:v>港股互联网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'面板-景气指数'!$F$60:$CZ$60</c:f>
              <c:numCache>
                <c:formatCode>0.0%</c:formatCode>
                <c:ptCount val="99"/>
                <c:pt idx="0">
                  <c:v>0.5857</c:v>
                </c:pt>
                <c:pt idx="1">
                  <c:v>0.49959999999999999</c:v>
                </c:pt>
                <c:pt idx="2">
                  <c:v>0.57279999999999998</c:v>
                </c:pt>
                <c:pt idx="3">
                  <c:v>0.52449999999999997</c:v>
                </c:pt>
                <c:pt idx="4">
                  <c:v>0.52649999999999997</c:v>
                </c:pt>
                <c:pt idx="5">
                  <c:v>0.55364999999999998</c:v>
                </c:pt>
                <c:pt idx="6">
                  <c:v>0.56384999999999996</c:v>
                </c:pt>
                <c:pt idx="7">
                  <c:v>0.56994999999999996</c:v>
                </c:pt>
                <c:pt idx="8">
                  <c:v>0.55079999999999996</c:v>
                </c:pt>
                <c:pt idx="9">
                  <c:v>0.55964999999999998</c:v>
                </c:pt>
                <c:pt idx="10">
                  <c:v>0.47229999999999994</c:v>
                </c:pt>
                <c:pt idx="11">
                  <c:v>0.3493</c:v>
                </c:pt>
                <c:pt idx="12">
                  <c:v>0.23849999999999999</c:v>
                </c:pt>
                <c:pt idx="13">
                  <c:v>0.188</c:v>
                </c:pt>
                <c:pt idx="14">
                  <c:v>0.1353</c:v>
                </c:pt>
                <c:pt idx="15">
                  <c:v>9.8449999999999982E-2</c:v>
                </c:pt>
                <c:pt idx="16">
                  <c:v>8.3850000000000008E-2</c:v>
                </c:pt>
                <c:pt idx="17">
                  <c:v>9.1450000000000004E-2</c:v>
                </c:pt>
                <c:pt idx="18">
                  <c:v>6.855E-2</c:v>
                </c:pt>
                <c:pt idx="19">
                  <c:v>7.9899999999999999E-2</c:v>
                </c:pt>
                <c:pt idx="20">
                  <c:v>9.240000000000001E-2</c:v>
                </c:pt>
                <c:pt idx="21">
                  <c:v>0.10439999999999999</c:v>
                </c:pt>
                <c:pt idx="22">
                  <c:v>0.11380000000000001</c:v>
                </c:pt>
                <c:pt idx="23">
                  <c:v>0.1447</c:v>
                </c:pt>
                <c:pt idx="24">
                  <c:v>0.21910000000000002</c:v>
                </c:pt>
                <c:pt idx="25">
                  <c:v>0.29309999999999997</c:v>
                </c:pt>
                <c:pt idx="26">
                  <c:v>0.41419999999999996</c:v>
                </c:pt>
                <c:pt idx="27">
                  <c:v>0.45014999999999999</c:v>
                </c:pt>
                <c:pt idx="28">
                  <c:v>0.42949999999999999</c:v>
                </c:pt>
                <c:pt idx="29">
                  <c:v>0.48919999999999997</c:v>
                </c:pt>
                <c:pt idx="30">
                  <c:v>0.48225000000000001</c:v>
                </c:pt>
                <c:pt idx="31">
                  <c:v>0.51555000000000006</c:v>
                </c:pt>
                <c:pt idx="32">
                  <c:v>0.58914999999999995</c:v>
                </c:pt>
                <c:pt idx="33">
                  <c:v>0.60660000000000003</c:v>
                </c:pt>
                <c:pt idx="34">
                  <c:v>0.70284999999999997</c:v>
                </c:pt>
                <c:pt idx="35">
                  <c:v>0.6845</c:v>
                </c:pt>
                <c:pt idx="36">
                  <c:v>0.75829999999999997</c:v>
                </c:pt>
                <c:pt idx="37">
                  <c:v>0.64155000000000006</c:v>
                </c:pt>
                <c:pt idx="38">
                  <c:v>0.54484999999999995</c:v>
                </c:pt>
                <c:pt idx="39">
                  <c:v>0.39605000000000001</c:v>
                </c:pt>
                <c:pt idx="40">
                  <c:v>0.36654999999999999</c:v>
                </c:pt>
                <c:pt idx="41">
                  <c:v>0.34559999999999996</c:v>
                </c:pt>
                <c:pt idx="42">
                  <c:v>0.4103</c:v>
                </c:pt>
                <c:pt idx="43">
                  <c:v>0.40810000000000002</c:v>
                </c:pt>
                <c:pt idx="44">
                  <c:v>0.39729999999999999</c:v>
                </c:pt>
                <c:pt idx="45">
                  <c:v>0.34045000000000003</c:v>
                </c:pt>
                <c:pt idx="46">
                  <c:v>0.28999999999999998</c:v>
                </c:pt>
                <c:pt idx="47">
                  <c:v>0.23704999999999998</c:v>
                </c:pt>
                <c:pt idx="48">
                  <c:v>0.19855</c:v>
                </c:pt>
                <c:pt idx="49">
                  <c:v>0.24764999999999998</c:v>
                </c:pt>
                <c:pt idx="50">
                  <c:v>0.32805000000000001</c:v>
                </c:pt>
                <c:pt idx="51">
                  <c:v>0.5323</c:v>
                </c:pt>
                <c:pt idx="52">
                  <c:v>0.50729999999999997</c:v>
                </c:pt>
                <c:pt idx="53">
                  <c:v>0.51734999999999998</c:v>
                </c:pt>
                <c:pt idx="54">
                  <c:v>0.50980000000000003</c:v>
                </c:pt>
                <c:pt idx="55">
                  <c:v>0.51214999999999999</c:v>
                </c:pt>
                <c:pt idx="56">
                  <c:v>0.51959999999999995</c:v>
                </c:pt>
                <c:pt idx="57">
                  <c:v>0.52359999999999995</c:v>
                </c:pt>
                <c:pt idx="58">
                  <c:v>0.53089999999999993</c:v>
                </c:pt>
                <c:pt idx="59">
                  <c:v>0.50295000000000001</c:v>
                </c:pt>
                <c:pt idx="60">
                  <c:v>0.46630000000000005</c:v>
                </c:pt>
                <c:pt idx="61">
                  <c:v>0.44495000000000001</c:v>
                </c:pt>
                <c:pt idx="62">
                  <c:v>0.50465000000000004</c:v>
                </c:pt>
                <c:pt idx="63">
                  <c:v>0.52339999999999998</c:v>
                </c:pt>
                <c:pt idx="64">
                  <c:v>0.54720000000000002</c:v>
                </c:pt>
                <c:pt idx="65">
                  <c:v>0.58325000000000005</c:v>
                </c:pt>
                <c:pt idx="66">
                  <c:v>0.61919999999999997</c:v>
                </c:pt>
                <c:pt idx="67">
                  <c:v>0.65034999999999998</c:v>
                </c:pt>
                <c:pt idx="68">
                  <c:v>0.65339999999999998</c:v>
                </c:pt>
                <c:pt idx="69">
                  <c:v>0.67169999999999996</c:v>
                </c:pt>
                <c:pt idx="70">
                  <c:v>0.68464999999999998</c:v>
                </c:pt>
                <c:pt idx="71">
                  <c:v>0.71509999999999996</c:v>
                </c:pt>
                <c:pt idx="72">
                  <c:v>0.74914999999999998</c:v>
                </c:pt>
                <c:pt idx="73">
                  <c:v>0.74695</c:v>
                </c:pt>
                <c:pt idx="74">
                  <c:v>0.75834999999999986</c:v>
                </c:pt>
                <c:pt idx="75">
                  <c:v>0.72649999999999992</c:v>
                </c:pt>
                <c:pt idx="76">
                  <c:v>0.74219999999999997</c:v>
                </c:pt>
                <c:pt idx="77">
                  <c:v>0.74854999999999994</c:v>
                </c:pt>
                <c:pt idx="78">
                  <c:v>0.75764999999999993</c:v>
                </c:pt>
                <c:pt idx="79">
                  <c:v>0.74539999999999995</c:v>
                </c:pt>
                <c:pt idx="80">
                  <c:v>0.74264999999999992</c:v>
                </c:pt>
                <c:pt idx="81">
                  <c:v>0.73629999999999995</c:v>
                </c:pt>
                <c:pt idx="82">
                  <c:v>0.71894999999999998</c:v>
                </c:pt>
                <c:pt idx="83">
                  <c:v>0.69940000000000002</c:v>
                </c:pt>
                <c:pt idx="84">
                  <c:v>0.69799999999999995</c:v>
                </c:pt>
                <c:pt idx="85">
                  <c:v>0.68645</c:v>
                </c:pt>
                <c:pt idx="86">
                  <c:v>0.64115</c:v>
                </c:pt>
                <c:pt idx="87">
                  <c:v>0.59470000000000001</c:v>
                </c:pt>
                <c:pt idx="88">
                  <c:v>0.59824999999999995</c:v>
                </c:pt>
                <c:pt idx="89">
                  <c:v>0.61529999999999996</c:v>
                </c:pt>
                <c:pt idx="90">
                  <c:v>0.62204999999999999</c:v>
                </c:pt>
                <c:pt idx="91">
                  <c:v>0.64159999999999995</c:v>
                </c:pt>
                <c:pt idx="92">
                  <c:v>0.5855999999999999</c:v>
                </c:pt>
                <c:pt idx="93">
                  <c:v>0.60199999999999998</c:v>
                </c:pt>
                <c:pt idx="94">
                  <c:v>0.60199999999999998</c:v>
                </c:pt>
                <c:pt idx="95">
                  <c:v>0.59759999999999991</c:v>
                </c:pt>
                <c:pt idx="96">
                  <c:v>0.5895999999999999</c:v>
                </c:pt>
                <c:pt idx="97">
                  <c:v>0.5895999999999999</c:v>
                </c:pt>
                <c:pt idx="98">
                  <c:v>0.63039999999999996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24-469B-8CAF-9333C9936835}"/>
            </c:ext>
          </c:extLst>
        </c:ser>
        <c:ser>
          <c:idx val="1"/>
          <c:order val="1"/>
          <c:tx>
            <c:strRef>
              <c:f>'面板-景气指数'!$A$112</c:f>
              <c:strCache>
                <c:ptCount val="1"/>
                <c:pt idx="0">
                  <c:v>游戏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'面板-景气指数'!$F$112:$CZ$112</c:f>
              <c:numCache>
                <c:formatCode>0.0%</c:formatCode>
                <c:ptCount val="99"/>
                <c:pt idx="0">
                  <c:v>0.78856249999999994</c:v>
                </c:pt>
                <c:pt idx="1">
                  <c:v>0.59812500000000002</c:v>
                </c:pt>
                <c:pt idx="2">
                  <c:v>0.71531249999999991</c:v>
                </c:pt>
                <c:pt idx="3">
                  <c:v>0.69987499999999991</c:v>
                </c:pt>
                <c:pt idx="4">
                  <c:v>0.7191249999999999</c:v>
                </c:pt>
                <c:pt idx="5">
                  <c:v>0.83787499999999993</c:v>
                </c:pt>
                <c:pt idx="6">
                  <c:v>0.8763749999999999</c:v>
                </c:pt>
                <c:pt idx="7">
                  <c:v>0.9303125000000001</c:v>
                </c:pt>
                <c:pt idx="8">
                  <c:v>0.83399999999999996</c:v>
                </c:pt>
                <c:pt idx="9">
                  <c:v>0.8070624999999999</c:v>
                </c:pt>
                <c:pt idx="10">
                  <c:v>0.58893749999999989</c:v>
                </c:pt>
                <c:pt idx="11">
                  <c:v>0.34456249999999999</c:v>
                </c:pt>
                <c:pt idx="12">
                  <c:v>0.18343749999999998</c:v>
                </c:pt>
                <c:pt idx="13">
                  <c:v>0.13337499999999999</c:v>
                </c:pt>
                <c:pt idx="14">
                  <c:v>0.13268749999999999</c:v>
                </c:pt>
                <c:pt idx="15">
                  <c:v>0.16568749999999999</c:v>
                </c:pt>
                <c:pt idx="16">
                  <c:v>0.1303125</c:v>
                </c:pt>
                <c:pt idx="17">
                  <c:v>8.7937499999999988E-2</c:v>
                </c:pt>
                <c:pt idx="18">
                  <c:v>3.4687499999999996E-2</c:v>
                </c:pt>
                <c:pt idx="19">
                  <c:v>8.0187499999999995E-2</c:v>
                </c:pt>
                <c:pt idx="20">
                  <c:v>0.17193749999999999</c:v>
                </c:pt>
                <c:pt idx="21">
                  <c:v>0.25668750000000001</c:v>
                </c:pt>
                <c:pt idx="22">
                  <c:v>0.363875</c:v>
                </c:pt>
                <c:pt idx="23">
                  <c:v>0.44093749999999998</c:v>
                </c:pt>
                <c:pt idx="24">
                  <c:v>0.53725000000000001</c:v>
                </c:pt>
                <c:pt idx="25">
                  <c:v>0.56349999999999989</c:v>
                </c:pt>
                <c:pt idx="26">
                  <c:v>0.66293749999999996</c:v>
                </c:pt>
                <c:pt idx="27">
                  <c:v>0.69406250000000003</c:v>
                </c:pt>
                <c:pt idx="28">
                  <c:v>0.42300000000000004</c:v>
                </c:pt>
                <c:pt idx="29">
                  <c:v>0.46149999999999997</c:v>
                </c:pt>
                <c:pt idx="30">
                  <c:v>0.4807499999999999</c:v>
                </c:pt>
                <c:pt idx="31">
                  <c:v>0.57631249999999989</c:v>
                </c:pt>
                <c:pt idx="32">
                  <c:v>0.65262500000000001</c:v>
                </c:pt>
                <c:pt idx="33">
                  <c:v>0.61412499999999992</c:v>
                </c:pt>
                <c:pt idx="34">
                  <c:v>0.67187499999999989</c:v>
                </c:pt>
                <c:pt idx="35">
                  <c:v>0.5570624999999999</c:v>
                </c:pt>
                <c:pt idx="36">
                  <c:v>0.63337499999999991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24-469B-8CAF-9333C9936835}"/>
            </c:ext>
          </c:extLst>
        </c:ser>
        <c:ser>
          <c:idx val="2"/>
          <c:order val="2"/>
          <c:tx>
            <c:strRef>
              <c:f>'面板-景气指数'!$A$117</c:f>
              <c:strCache>
                <c:ptCount val="1"/>
                <c:pt idx="0">
                  <c:v>互联网电商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'面板-景气指数'!$F$117:$DB$117</c:f>
              <c:numCache>
                <c:formatCode>0.0%</c:formatCode>
                <c:ptCount val="101"/>
                <c:pt idx="0">
                  <c:v>0.52309367217256164</c:v>
                </c:pt>
                <c:pt idx="1">
                  <c:v>0.51405369480671514</c:v>
                </c:pt>
                <c:pt idx="2">
                  <c:v>0.49494890379403078</c:v>
                </c:pt>
                <c:pt idx="3">
                  <c:v>0.4339321804818847</c:v>
                </c:pt>
                <c:pt idx="4">
                  <c:v>0.42206632739474848</c:v>
                </c:pt>
                <c:pt idx="5">
                  <c:v>0.44098081324299399</c:v>
                </c:pt>
                <c:pt idx="6">
                  <c:v>0.42053947999139091</c:v>
                </c:pt>
                <c:pt idx="7">
                  <c:v>0.38075683619445333</c:v>
                </c:pt>
                <c:pt idx="8">
                  <c:v>0.37820122036929577</c:v>
                </c:pt>
                <c:pt idx="9">
                  <c:v>0.42356205646278811</c:v>
                </c:pt>
                <c:pt idx="10">
                  <c:v>0.4437776268032938</c:v>
                </c:pt>
                <c:pt idx="11">
                  <c:v>0.40415773975771607</c:v>
                </c:pt>
                <c:pt idx="12">
                  <c:v>0.27536063245822645</c:v>
                </c:pt>
                <c:pt idx="13">
                  <c:v>0.21680890372191572</c:v>
                </c:pt>
                <c:pt idx="14">
                  <c:v>0.13994020334680599</c:v>
                </c:pt>
                <c:pt idx="15">
                  <c:v>0.1071914801211979</c:v>
                </c:pt>
                <c:pt idx="16">
                  <c:v>0.11067471175708991</c:v>
                </c:pt>
                <c:pt idx="17">
                  <c:v>0.12773450841028397</c:v>
                </c:pt>
                <c:pt idx="18">
                  <c:v>0.10194718641085415</c:v>
                </c:pt>
                <c:pt idx="19">
                  <c:v>8.6927073384316947E-2</c:v>
                </c:pt>
                <c:pt idx="20">
                  <c:v>6.8510079039249563E-2</c:v>
                </c:pt>
                <c:pt idx="21">
                  <c:v>6.7757717412022522E-2</c:v>
                </c:pt>
                <c:pt idx="22">
                  <c:v>4.7205988675711789E-2</c:v>
                </c:pt>
                <c:pt idx="23">
                  <c:v>8.0918960415471738E-2</c:v>
                </c:pt>
                <c:pt idx="24">
                  <c:v>0.17034155923256245</c:v>
                </c:pt>
                <c:pt idx="25">
                  <c:v>0.2673510958453944</c:v>
                </c:pt>
                <c:pt idx="26">
                  <c:v>0.38765209023373082</c:v>
                </c:pt>
                <c:pt idx="27">
                  <c:v>0.41652350274092831</c:v>
                </c:pt>
                <c:pt idx="28">
                  <c:v>0.45811181912869459</c:v>
                </c:pt>
                <c:pt idx="29">
                  <c:v>0.51946341234854454</c:v>
                </c:pt>
                <c:pt idx="30">
                  <c:v>0.52241511837858701</c:v>
                </c:pt>
                <c:pt idx="31">
                  <c:v>0.52163649682638191</c:v>
                </c:pt>
                <c:pt idx="32">
                  <c:v>0.57957025953555719</c:v>
                </c:pt>
                <c:pt idx="33">
                  <c:v>0.61645396583963652</c:v>
                </c:pt>
                <c:pt idx="34">
                  <c:v>0.70396567215813854</c:v>
                </c:pt>
                <c:pt idx="35">
                  <c:v>0.74936673430470535</c:v>
                </c:pt>
                <c:pt idx="36">
                  <c:v>0.81310906194464483</c:v>
                </c:pt>
                <c:pt idx="37">
                  <c:v>0.7523371747692601</c:v>
                </c:pt>
                <c:pt idx="38">
                  <c:v>0.61339279059441754</c:v>
                </c:pt>
                <c:pt idx="39">
                  <c:v>0.3770171071552596</c:v>
                </c:pt>
                <c:pt idx="40">
                  <c:v>0.32661742360071783</c:v>
                </c:pt>
                <c:pt idx="41">
                  <c:v>0.3014321354299227</c:v>
                </c:pt>
                <c:pt idx="42">
                  <c:v>0.37651258753607142</c:v>
                </c:pt>
                <c:pt idx="43">
                  <c:v>0.37548883610791534</c:v>
                </c:pt>
                <c:pt idx="44">
                  <c:v>0.36180605643394215</c:v>
                </c:pt>
                <c:pt idx="45">
                  <c:v>0.29410793203984775</c:v>
                </c:pt>
                <c:pt idx="46">
                  <c:v>0.21283541233412159</c:v>
                </c:pt>
                <c:pt idx="47">
                  <c:v>0.13954223717544065</c:v>
                </c:pt>
                <c:pt idx="48">
                  <c:v>5.8871412507197518E-2</c:v>
                </c:pt>
                <c:pt idx="49">
                  <c:v>0.14065288134737619</c:v>
                </c:pt>
                <c:pt idx="50">
                  <c:v>0.26131835023082384</c:v>
                </c:pt>
                <c:pt idx="51">
                  <c:v>0.54901957060011974</c:v>
                </c:pt>
                <c:pt idx="52">
                  <c:v>0.51567692651472208</c:v>
                </c:pt>
                <c:pt idx="53">
                  <c:v>0.52300698306404825</c:v>
                </c:pt>
                <c:pt idx="54">
                  <c:v>0.50147202269184543</c:v>
                </c:pt>
                <c:pt idx="55">
                  <c:v>0.5063334012117553</c:v>
                </c:pt>
                <c:pt idx="56">
                  <c:v>0.51946867802941632</c:v>
                </c:pt>
                <c:pt idx="57">
                  <c:v>0.51812293796881725</c:v>
                </c:pt>
                <c:pt idx="58">
                  <c:v>0.52296277981820316</c:v>
                </c:pt>
                <c:pt idx="59">
                  <c:v>0.48024533351121695</c:v>
                </c:pt>
                <c:pt idx="60">
                  <c:v>0.42722940131271625</c:v>
                </c:pt>
                <c:pt idx="61">
                  <c:v>0.41263916390650773</c:v>
                </c:pt>
                <c:pt idx="62">
                  <c:v>0.47685459909112765</c:v>
                </c:pt>
                <c:pt idx="63">
                  <c:v>0.50232273469412614</c:v>
                </c:pt>
                <c:pt idx="64">
                  <c:v>0.52548565002879011</c:v>
                </c:pt>
                <c:pt idx="65">
                  <c:v>0.56514940152906123</c:v>
                </c:pt>
                <c:pt idx="66">
                  <c:v>0.61301496087700746</c:v>
                </c:pt>
                <c:pt idx="67">
                  <c:v>0.66912063310726133</c:v>
                </c:pt>
                <c:pt idx="68">
                  <c:v>0.67229195514995999</c:v>
                </c:pt>
                <c:pt idx="69">
                  <c:v>0.70530818108765037</c:v>
                </c:pt>
                <c:pt idx="70">
                  <c:v>0.72795855393820463</c:v>
                </c:pt>
                <c:pt idx="71">
                  <c:v>0.7866765877235703</c:v>
                </c:pt>
                <c:pt idx="72">
                  <c:v>0.8318168815348751</c:v>
                </c:pt>
                <c:pt idx="73">
                  <c:v>0.83425177414884755</c:v>
                </c:pt>
                <c:pt idx="74">
                  <c:v>0.85790494923541338</c:v>
                </c:pt>
                <c:pt idx="75">
                  <c:v>0.81809249721580268</c:v>
                </c:pt>
                <c:pt idx="76">
                  <c:v>0.83939014694170988</c:v>
                </c:pt>
                <c:pt idx="77">
                  <c:v>0.84674872322560801</c:v>
                </c:pt>
                <c:pt idx="78">
                  <c:v>0.8546760452971528</c:v>
                </c:pt>
                <c:pt idx="79">
                  <c:v>0.82841414705709371</c:v>
                </c:pt>
                <c:pt idx="80">
                  <c:v>0.80893814717247758</c:v>
                </c:pt>
                <c:pt idx="81">
                  <c:v>0.79958124321979429</c:v>
                </c:pt>
                <c:pt idx="82">
                  <c:v>0.77765028274663039</c:v>
                </c:pt>
                <c:pt idx="83">
                  <c:v>0.75523358214075276</c:v>
                </c:pt>
                <c:pt idx="84">
                  <c:v>0.75077410193301686</c:v>
                </c:pt>
                <c:pt idx="85">
                  <c:v>0.73934677986147213</c:v>
                </c:pt>
                <c:pt idx="86">
                  <c:v>0.68346027132138132</c:v>
                </c:pt>
                <c:pt idx="87">
                  <c:v>0.62028727694746788</c:v>
                </c:pt>
                <c:pt idx="88">
                  <c:v>0.62072522048467971</c:v>
                </c:pt>
                <c:pt idx="89">
                  <c:v>0.63590323185223696</c:v>
                </c:pt>
                <c:pt idx="90">
                  <c:v>0.64580960473163718</c:v>
                </c:pt>
                <c:pt idx="91">
                  <c:v>0.66822630533751493</c:v>
                </c:pt>
                <c:pt idx="92">
                  <c:v>0.61758635031736187</c:v>
                </c:pt>
                <c:pt idx="93">
                  <c:v>0.64011457631274427</c:v>
                </c:pt>
                <c:pt idx="94">
                  <c:v>0.64011457631274427</c:v>
                </c:pt>
                <c:pt idx="95">
                  <c:v>0.63407041811886122</c:v>
                </c:pt>
                <c:pt idx="96">
                  <c:v>0.62308103958452821</c:v>
                </c:pt>
                <c:pt idx="97">
                  <c:v>0.62308103958452821</c:v>
                </c:pt>
                <c:pt idx="98">
                  <c:v>0.67912687010962602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724-469B-8CAF-9333C9936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'面板-景气指数'!$A$51</c:f>
              <c:strCache>
                <c:ptCount val="1"/>
                <c:pt idx="0">
                  <c:v>家用电器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'面板-景气指数'!$F$51:$CZ$51</c:f>
              <c:numCache>
                <c:formatCode>0.0%</c:formatCode>
                <c:ptCount val="99"/>
                <c:pt idx="0">
                  <c:v>0.69497447789524913</c:v>
                </c:pt>
                <c:pt idx="1">
                  <c:v>0.69497447789524913</c:v>
                </c:pt>
                <c:pt idx="2">
                  <c:v>0.72803858037283109</c:v>
                </c:pt>
                <c:pt idx="3">
                  <c:v>0.74646722125509812</c:v>
                </c:pt>
                <c:pt idx="4">
                  <c:v>0.73484701361016702</c:v>
                </c:pt>
                <c:pt idx="5">
                  <c:v>0.65659317153918628</c:v>
                </c:pt>
                <c:pt idx="6">
                  <c:v>0.61450847608708614</c:v>
                </c:pt>
                <c:pt idx="7">
                  <c:v>0.59681861190615715</c:v>
                </c:pt>
                <c:pt idx="8">
                  <c:v>0.6453848754190763</c:v>
                </c:pt>
                <c:pt idx="9">
                  <c:v>0.63388414869292475</c:v>
                </c:pt>
                <c:pt idx="10">
                  <c:v>0.64545005815923462</c:v>
                </c:pt>
                <c:pt idx="11">
                  <c:v>0.55898990899698553</c:v>
                </c:pt>
                <c:pt idx="12">
                  <c:v>0.60353061158136145</c:v>
                </c:pt>
                <c:pt idx="13">
                  <c:v>0.42919524141266002</c:v>
                </c:pt>
                <c:pt idx="14">
                  <c:v>0.3572515703284162</c:v>
                </c:pt>
                <c:pt idx="15">
                  <c:v>0.12015897937936744</c:v>
                </c:pt>
                <c:pt idx="16">
                  <c:v>0.20533846653377438</c:v>
                </c:pt>
                <c:pt idx="17">
                  <c:v>0.23936041760342508</c:v>
                </c:pt>
                <c:pt idx="18">
                  <c:v>0.31730945007201961</c:v>
                </c:pt>
                <c:pt idx="19">
                  <c:v>0.32181691285390623</c:v>
                </c:pt>
                <c:pt idx="20">
                  <c:v>0.24145286210433187</c:v>
                </c:pt>
                <c:pt idx="21">
                  <c:v>0.20231568944700046</c:v>
                </c:pt>
                <c:pt idx="22">
                  <c:v>0.18582256000043534</c:v>
                </c:pt>
                <c:pt idx="23">
                  <c:v>0.26133049158804456</c:v>
                </c:pt>
                <c:pt idx="24">
                  <c:v>0.34265385992382569</c:v>
                </c:pt>
                <c:pt idx="25">
                  <c:v>0.34395040985081049</c:v>
                </c:pt>
                <c:pt idx="26">
                  <c:v>0.31127324356340802</c:v>
                </c:pt>
                <c:pt idx="27">
                  <c:v>0.19634469980416963</c:v>
                </c:pt>
                <c:pt idx="28">
                  <c:v>0.27990299012515946</c:v>
                </c:pt>
                <c:pt idx="29">
                  <c:v>0.2741266157065877</c:v>
                </c:pt>
                <c:pt idx="30">
                  <c:v>0.34431085313245707</c:v>
                </c:pt>
                <c:pt idx="31">
                  <c:v>0.30439908924259096</c:v>
                </c:pt>
                <c:pt idx="32">
                  <c:v>0.34137558273493696</c:v>
                </c:pt>
                <c:pt idx="33">
                  <c:v>0.37040910916184622</c:v>
                </c:pt>
                <c:pt idx="34">
                  <c:v>0.4222152355274682</c:v>
                </c:pt>
                <c:pt idx="35">
                  <c:v>0.59418798344800716</c:v>
                </c:pt>
                <c:pt idx="36">
                  <c:v>0.77856716141373294</c:v>
                </c:pt>
                <c:pt idx="37">
                  <c:v>0.91583852016619505</c:v>
                </c:pt>
                <c:pt idx="38">
                  <c:v>0.91557869222199639</c:v>
                </c:pt>
                <c:pt idx="39">
                  <c:v>0.79747647323137261</c:v>
                </c:pt>
                <c:pt idx="40">
                  <c:v>0.7039061970502819</c:v>
                </c:pt>
                <c:pt idx="41">
                  <c:v>0.71647661086774195</c:v>
                </c:pt>
                <c:pt idx="42">
                  <c:v>0.65461264062177194</c:v>
                </c:pt>
                <c:pt idx="43">
                  <c:v>0.65191674823602253</c:v>
                </c:pt>
                <c:pt idx="44">
                  <c:v>0.64581232901589181</c:v>
                </c:pt>
                <c:pt idx="45">
                  <c:v>0.58969646885019511</c:v>
                </c:pt>
                <c:pt idx="46">
                  <c:v>0.39218421606307957</c:v>
                </c:pt>
                <c:pt idx="47">
                  <c:v>0.3131710895647859</c:v>
                </c:pt>
                <c:pt idx="48">
                  <c:v>0.23349027281919069</c:v>
                </c:pt>
                <c:pt idx="49">
                  <c:v>0.16898166266704254</c:v>
                </c:pt>
                <c:pt idx="50">
                  <c:v>0.18732222203827661</c:v>
                </c:pt>
                <c:pt idx="51">
                  <c:v>0.2352790236900561</c:v>
                </c:pt>
                <c:pt idx="52">
                  <c:v>0.4293390874718685</c:v>
                </c:pt>
                <c:pt idx="53">
                  <c:v>0.45304154834014981</c:v>
                </c:pt>
                <c:pt idx="54">
                  <c:v>0.55425785569135089</c:v>
                </c:pt>
                <c:pt idx="55">
                  <c:v>0.48414233621730096</c:v>
                </c:pt>
                <c:pt idx="56">
                  <c:v>0.42306735458049927</c:v>
                </c:pt>
                <c:pt idx="57">
                  <c:v>0.37224556643852641</c:v>
                </c:pt>
                <c:pt idx="58">
                  <c:v>0.38663195802119332</c:v>
                </c:pt>
                <c:pt idx="59">
                  <c:v>0.4142210734059677</c:v>
                </c:pt>
                <c:pt idx="60">
                  <c:v>0.32129084293942778</c:v>
                </c:pt>
                <c:pt idx="61">
                  <c:v>0.41383054630349791</c:v>
                </c:pt>
                <c:pt idx="62">
                  <c:v>0.49705615638184847</c:v>
                </c:pt>
                <c:pt idx="63">
                  <c:v>0.74124393488323359</c:v>
                </c:pt>
                <c:pt idx="64">
                  <c:v>0.65836283751506686</c:v>
                </c:pt>
                <c:pt idx="65">
                  <c:v>0.64238138792264665</c:v>
                </c:pt>
                <c:pt idx="66">
                  <c:v>0.38411798484511045</c:v>
                </c:pt>
                <c:pt idx="67">
                  <c:v>0.35599751164196253</c:v>
                </c:pt>
                <c:pt idx="68">
                  <c:v>0.38691173830641817</c:v>
                </c:pt>
                <c:pt idx="69">
                  <c:v>0.50470214533147417</c:v>
                </c:pt>
                <c:pt idx="70">
                  <c:v>0.56663937411427023</c:v>
                </c:pt>
                <c:pt idx="71">
                  <c:v>0.56024210464982738</c:v>
                </c:pt>
                <c:pt idx="72">
                  <c:v>0.48451653624043495</c:v>
                </c:pt>
                <c:pt idx="73">
                  <c:v>0.52727249434341339</c:v>
                </c:pt>
                <c:pt idx="74">
                  <c:v>0.48685861060138713</c:v>
                </c:pt>
                <c:pt idx="75">
                  <c:v>0.57163453595760738</c:v>
                </c:pt>
                <c:pt idx="76">
                  <c:v>0.51607990281344096</c:v>
                </c:pt>
                <c:pt idx="77">
                  <c:v>0.54546169453831328</c:v>
                </c:pt>
                <c:pt idx="78">
                  <c:v>0.59978645143833687</c:v>
                </c:pt>
                <c:pt idx="79">
                  <c:v>0.64524849049852584</c:v>
                </c:pt>
                <c:pt idx="80">
                  <c:v>0.68625315203076631</c:v>
                </c:pt>
                <c:pt idx="81">
                  <c:v>0.72285501891321524</c:v>
                </c:pt>
                <c:pt idx="82">
                  <c:v>0.79223273705216557</c:v>
                </c:pt>
                <c:pt idx="83">
                  <c:v>0.78412969020162449</c:v>
                </c:pt>
                <c:pt idx="84">
                  <c:v>0.8396331591910261</c:v>
                </c:pt>
                <c:pt idx="85">
                  <c:v>0.72412696320947123</c:v>
                </c:pt>
                <c:pt idx="86">
                  <c:v>0.74801061211912856</c:v>
                </c:pt>
                <c:pt idx="87">
                  <c:v>0.61600041844400855</c:v>
                </c:pt>
                <c:pt idx="88">
                  <c:v>0.64367555574210389</c:v>
                </c:pt>
                <c:pt idx="89">
                  <c:v>0.64828054232124266</c:v>
                </c:pt>
                <c:pt idx="90">
                  <c:v>0.69992441274709527</c:v>
                </c:pt>
                <c:pt idx="91">
                  <c:v>0.66193087576037668</c:v>
                </c:pt>
                <c:pt idx="92">
                  <c:v>0.60408021191670858</c:v>
                </c:pt>
                <c:pt idx="93">
                  <c:v>0.45647875928968834</c:v>
                </c:pt>
                <c:pt idx="94">
                  <c:v>0.3393100080517219</c:v>
                </c:pt>
                <c:pt idx="95">
                  <c:v>0.34046610311508357</c:v>
                </c:pt>
                <c:pt idx="96">
                  <c:v>0.218245306662668</c:v>
                </c:pt>
                <c:pt idx="97">
                  <c:v>0.31021246803040342</c:v>
                </c:pt>
                <c:pt idx="98">
                  <c:v>0.21564948145126445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DB-4041-A806-457B31D2647D}"/>
            </c:ext>
          </c:extLst>
        </c:ser>
        <c:ser>
          <c:idx val="1"/>
          <c:order val="1"/>
          <c:tx>
            <c:strRef>
              <c:f>'面板-景气指数'!$A$122</c:f>
              <c:strCache>
                <c:ptCount val="1"/>
                <c:pt idx="0">
                  <c:v>白色家电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'面板-景气指数'!$F$122:$CZ$122</c:f>
              <c:numCache>
                <c:formatCode>0.0%</c:formatCode>
                <c:ptCount val="99"/>
                <c:pt idx="0">
                  <c:v>0.72044757323679143</c:v>
                </c:pt>
                <c:pt idx="1">
                  <c:v>0.72044757323679143</c:v>
                </c:pt>
                <c:pt idx="2">
                  <c:v>0.7580795411306438</c:v>
                </c:pt>
                <c:pt idx="3">
                  <c:v>0.77996404136449426</c:v>
                </c:pt>
                <c:pt idx="4">
                  <c:v>0.76781756569938897</c:v>
                </c:pt>
                <c:pt idx="5">
                  <c:v>0.69932635173577284</c:v>
                </c:pt>
                <c:pt idx="6">
                  <c:v>0.66423255491997035</c:v>
                </c:pt>
                <c:pt idx="7">
                  <c:v>0.65787024454869192</c:v>
                </c:pt>
                <c:pt idx="8">
                  <c:v>0.72241698049423619</c:v>
                </c:pt>
                <c:pt idx="9">
                  <c:v>0.7157654765684438</c:v>
                </c:pt>
                <c:pt idx="10">
                  <c:v>0.71907637402299585</c:v>
                </c:pt>
                <c:pt idx="11">
                  <c:v>0.60766478673619273</c:v>
                </c:pt>
                <c:pt idx="12">
                  <c:v>0.6456032135422678</c:v>
                </c:pt>
                <c:pt idx="13">
                  <c:v>0.45209040853926508</c:v>
                </c:pt>
                <c:pt idx="14">
                  <c:v>0.37187239325744387</c:v>
                </c:pt>
                <c:pt idx="15">
                  <c:v>0.11797689549435642</c:v>
                </c:pt>
                <c:pt idx="16">
                  <c:v>0.1960086731757324</c:v>
                </c:pt>
                <c:pt idx="17">
                  <c:v>0.23583233466156364</c:v>
                </c:pt>
                <c:pt idx="18">
                  <c:v>0.31095798560008381</c:v>
                </c:pt>
                <c:pt idx="19">
                  <c:v>0.31181387981262004</c:v>
                </c:pt>
                <c:pt idx="20">
                  <c:v>0.22661982544782691</c:v>
                </c:pt>
                <c:pt idx="21">
                  <c:v>0.15122767954196717</c:v>
                </c:pt>
                <c:pt idx="22">
                  <c:v>0.14409468414439172</c:v>
                </c:pt>
                <c:pt idx="23">
                  <c:v>0.2360697275905364</c:v>
                </c:pt>
                <c:pt idx="24">
                  <c:v>0.37876012793545671</c:v>
                </c:pt>
                <c:pt idx="25">
                  <c:v>0.37472645818383682</c:v>
                </c:pt>
                <c:pt idx="26">
                  <c:v>0.32924418769170227</c:v>
                </c:pt>
                <c:pt idx="27">
                  <c:v>0.19832025955205279</c:v>
                </c:pt>
                <c:pt idx="28">
                  <c:v>0.27652499657588764</c:v>
                </c:pt>
                <c:pt idx="29">
                  <c:v>0.27079897067531133</c:v>
                </c:pt>
                <c:pt idx="30">
                  <c:v>0.34757666613112226</c:v>
                </c:pt>
                <c:pt idx="31">
                  <c:v>0.32057183627725616</c:v>
                </c:pt>
                <c:pt idx="32">
                  <c:v>0.35069805512175695</c:v>
                </c:pt>
                <c:pt idx="33">
                  <c:v>0.39057251249147462</c:v>
                </c:pt>
                <c:pt idx="34">
                  <c:v>0.45375014425270205</c:v>
                </c:pt>
                <c:pt idx="35">
                  <c:v>0.66248933099819951</c:v>
                </c:pt>
                <c:pt idx="36">
                  <c:v>0.86139253816708794</c:v>
                </c:pt>
                <c:pt idx="37">
                  <c:v>0.96828922542140994</c:v>
                </c:pt>
                <c:pt idx="38">
                  <c:v>0.95293890916588642</c:v>
                </c:pt>
                <c:pt idx="39">
                  <c:v>0.81025580775588424</c:v>
                </c:pt>
                <c:pt idx="40">
                  <c:v>0.7244580984607355</c:v>
                </c:pt>
                <c:pt idx="41">
                  <c:v>0.73932605412554142</c:v>
                </c:pt>
                <c:pt idx="42">
                  <c:v>0.67202897096806047</c:v>
                </c:pt>
                <c:pt idx="43">
                  <c:v>0.67352612783543531</c:v>
                </c:pt>
                <c:pt idx="44">
                  <c:v>0.64730209320851329</c:v>
                </c:pt>
                <c:pt idx="45">
                  <c:v>0.58246281545395007</c:v>
                </c:pt>
                <c:pt idx="46">
                  <c:v>0.33647289473739272</c:v>
                </c:pt>
                <c:pt idx="47">
                  <c:v>0.24862476816234463</c:v>
                </c:pt>
                <c:pt idx="48">
                  <c:v>0.1404833926468545</c:v>
                </c:pt>
                <c:pt idx="49">
                  <c:v>8.9647332076489908E-2</c:v>
                </c:pt>
                <c:pt idx="50">
                  <c:v>0.10522458887566126</c:v>
                </c:pt>
                <c:pt idx="51">
                  <c:v>0.15792120697250314</c:v>
                </c:pt>
                <c:pt idx="52">
                  <c:v>0.36869606840051616</c:v>
                </c:pt>
                <c:pt idx="53">
                  <c:v>0.39495129459317863</c:v>
                </c:pt>
                <c:pt idx="54">
                  <c:v>0.53043241656580198</c:v>
                </c:pt>
                <c:pt idx="55">
                  <c:v>0.4602968219665593</c:v>
                </c:pt>
                <c:pt idx="56">
                  <c:v>0.40582606778278252</c:v>
                </c:pt>
                <c:pt idx="57">
                  <c:v>0.34249841919722857</c:v>
                </c:pt>
                <c:pt idx="58">
                  <c:v>0.35046744329827256</c:v>
                </c:pt>
                <c:pt idx="59">
                  <c:v>0.37160771031628381</c:v>
                </c:pt>
                <c:pt idx="60">
                  <c:v>0.29602000018209657</c:v>
                </c:pt>
                <c:pt idx="61">
                  <c:v>0.37878932462482029</c:v>
                </c:pt>
                <c:pt idx="62">
                  <c:v>0.4817958663517643</c:v>
                </c:pt>
                <c:pt idx="63">
                  <c:v>0.7386506165972031</c:v>
                </c:pt>
                <c:pt idx="64">
                  <c:v>0.67688058502305626</c:v>
                </c:pt>
                <c:pt idx="65">
                  <c:v>0.65725419963863041</c:v>
                </c:pt>
                <c:pt idx="66">
                  <c:v>0.34820113763292665</c:v>
                </c:pt>
                <c:pt idx="67">
                  <c:v>0.29053218359984528</c:v>
                </c:pt>
                <c:pt idx="68">
                  <c:v>0.31911189127041384</c:v>
                </c:pt>
                <c:pt idx="69">
                  <c:v>0.44857869837650022</c:v>
                </c:pt>
                <c:pt idx="70">
                  <c:v>0.53101576004658846</c:v>
                </c:pt>
                <c:pt idx="71">
                  <c:v>0.54264131178169817</c:v>
                </c:pt>
                <c:pt idx="72">
                  <c:v>0.46507667523594975</c:v>
                </c:pt>
                <c:pt idx="73">
                  <c:v>0.52290945583801496</c:v>
                </c:pt>
                <c:pt idx="74">
                  <c:v>0.48226948643023504</c:v>
                </c:pt>
                <c:pt idx="75">
                  <c:v>0.57846874470046761</c:v>
                </c:pt>
                <c:pt idx="76">
                  <c:v>0.49956940816792761</c:v>
                </c:pt>
                <c:pt idx="77">
                  <c:v>0.53924658033141237</c:v>
                </c:pt>
                <c:pt idx="78">
                  <c:v>0.59542052620587094</c:v>
                </c:pt>
                <c:pt idx="79">
                  <c:v>0.65572982825071913</c:v>
                </c:pt>
                <c:pt idx="80">
                  <c:v>0.68999905349003254</c:v>
                </c:pt>
                <c:pt idx="81">
                  <c:v>0.7498139334918934</c:v>
                </c:pt>
                <c:pt idx="82">
                  <c:v>0.83025470836323279</c:v>
                </c:pt>
                <c:pt idx="83">
                  <c:v>0.83076548112085757</c:v>
                </c:pt>
                <c:pt idx="84">
                  <c:v>0.88507113369824675</c:v>
                </c:pt>
                <c:pt idx="85">
                  <c:v>0.7409847978048737</c:v>
                </c:pt>
                <c:pt idx="86">
                  <c:v>0.7681963159341969</c:v>
                </c:pt>
                <c:pt idx="87">
                  <c:v>0.60571919566822841</c:v>
                </c:pt>
                <c:pt idx="88">
                  <c:v>0.67056001875594473</c:v>
                </c:pt>
                <c:pt idx="89">
                  <c:v>0.67602712802467602</c:v>
                </c:pt>
                <c:pt idx="90">
                  <c:v>0.73733950707858908</c:v>
                </c:pt>
                <c:pt idx="91">
                  <c:v>0.69223300901560825</c:v>
                </c:pt>
                <c:pt idx="92">
                  <c:v>0.62355183154274607</c:v>
                </c:pt>
                <c:pt idx="93">
                  <c:v>0.44831716888574696</c:v>
                </c:pt>
                <c:pt idx="94">
                  <c:v>0.30921266664883429</c:v>
                </c:pt>
                <c:pt idx="95">
                  <c:v>0.31058520008141188</c:v>
                </c:pt>
                <c:pt idx="96">
                  <c:v>0.16548283384570137</c:v>
                </c:pt>
                <c:pt idx="97">
                  <c:v>0.27466762986881788</c:v>
                </c:pt>
                <c:pt idx="98">
                  <c:v>0.16240103114565418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DB-4041-A806-457B31D2647D}"/>
            </c:ext>
          </c:extLst>
        </c:ser>
        <c:ser>
          <c:idx val="2"/>
          <c:order val="2"/>
          <c:tx>
            <c:strRef>
              <c:f>'面板-景气指数'!$A$123</c:f>
              <c:strCache>
                <c:ptCount val="1"/>
                <c:pt idx="0">
                  <c:v>黑色家电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'面板-景气指数'!$F$123:$CZ$123</c:f>
              <c:numCache>
                <c:formatCode>0.0%</c:formatCode>
                <c:ptCount val="99"/>
                <c:pt idx="0">
                  <c:v>0.65500000000000003</c:v>
                </c:pt>
                <c:pt idx="1">
                  <c:v>0.65500000000000003</c:v>
                </c:pt>
                <c:pt idx="2">
                  <c:v>0.65500000000000003</c:v>
                </c:pt>
                <c:pt idx="3">
                  <c:v>0.78100000000000003</c:v>
                </c:pt>
                <c:pt idx="4">
                  <c:v>0.63200000000000001</c:v>
                </c:pt>
                <c:pt idx="5">
                  <c:v>0.27500000000000002</c:v>
                </c:pt>
                <c:pt idx="6">
                  <c:v>5.7000000000000002E-2</c:v>
                </c:pt>
                <c:pt idx="7">
                  <c:v>1.0999999999999999E-2</c:v>
                </c:pt>
                <c:pt idx="8">
                  <c:v>4.4999999999999991E-2</c:v>
                </c:pt>
                <c:pt idx="9">
                  <c:v>9.0999999999999998E-2</c:v>
                </c:pt>
                <c:pt idx="10">
                  <c:v>0.20599999999999999</c:v>
                </c:pt>
                <c:pt idx="11">
                  <c:v>0.26400000000000001</c:v>
                </c:pt>
                <c:pt idx="12">
                  <c:v>0.40200000000000002</c:v>
                </c:pt>
                <c:pt idx="13">
                  <c:v>0.34399999999999997</c:v>
                </c:pt>
                <c:pt idx="14">
                  <c:v>0.34399999999999997</c:v>
                </c:pt>
                <c:pt idx="15">
                  <c:v>0.19500000000000003</c:v>
                </c:pt>
                <c:pt idx="16">
                  <c:v>0.36699999999999999</c:v>
                </c:pt>
                <c:pt idx="17">
                  <c:v>0.39000000000000007</c:v>
                </c:pt>
                <c:pt idx="18">
                  <c:v>0.64300000000000002</c:v>
                </c:pt>
                <c:pt idx="19">
                  <c:v>0.80400000000000005</c:v>
                </c:pt>
                <c:pt idx="20">
                  <c:v>0.73499999999999988</c:v>
                </c:pt>
                <c:pt idx="21">
                  <c:v>0.96499999999999997</c:v>
                </c:pt>
                <c:pt idx="22">
                  <c:v>0.82699999999999996</c:v>
                </c:pt>
                <c:pt idx="23">
                  <c:v>0.747</c:v>
                </c:pt>
                <c:pt idx="24">
                  <c:v>0.16</c:v>
                </c:pt>
                <c:pt idx="25">
                  <c:v>0.17199999999999999</c:v>
                </c:pt>
                <c:pt idx="26">
                  <c:v>0.29799999999999999</c:v>
                </c:pt>
                <c:pt idx="27">
                  <c:v>0.32100000000000001</c:v>
                </c:pt>
                <c:pt idx="28">
                  <c:v>0.57399999999999995</c:v>
                </c:pt>
                <c:pt idx="29">
                  <c:v>0.505</c:v>
                </c:pt>
                <c:pt idx="30">
                  <c:v>0.42499999999999999</c:v>
                </c:pt>
                <c:pt idx="31">
                  <c:v>0.126</c:v>
                </c:pt>
                <c:pt idx="32">
                  <c:v>6.8000000000000005E-2</c:v>
                </c:pt>
                <c:pt idx="33">
                  <c:v>3.4000000000000002E-2</c:v>
                </c:pt>
                <c:pt idx="34">
                  <c:v>0</c:v>
                </c:pt>
                <c:pt idx="35">
                  <c:v>2.1999999999999999E-2</c:v>
                </c:pt>
                <c:pt idx="36">
                  <c:v>0.24099999999999999</c:v>
                </c:pt>
                <c:pt idx="37">
                  <c:v>0.79300000000000004</c:v>
                </c:pt>
                <c:pt idx="38">
                  <c:v>0.81600000000000006</c:v>
                </c:pt>
                <c:pt idx="39">
                  <c:v>0.59699999999999998</c:v>
                </c:pt>
                <c:pt idx="40">
                  <c:v>0.33300000000000002</c:v>
                </c:pt>
                <c:pt idx="41">
                  <c:v>0.44800000000000006</c:v>
                </c:pt>
                <c:pt idx="42">
                  <c:v>0.49399999999999999</c:v>
                </c:pt>
                <c:pt idx="43">
                  <c:v>0.52800000000000002</c:v>
                </c:pt>
                <c:pt idx="44">
                  <c:v>0.90800000000000003</c:v>
                </c:pt>
                <c:pt idx="45">
                  <c:v>0.88500000000000001</c:v>
                </c:pt>
                <c:pt idx="46">
                  <c:v>0.95399999999999996</c:v>
                </c:pt>
                <c:pt idx="47">
                  <c:v>0.72399999999999998</c:v>
                </c:pt>
                <c:pt idx="48">
                  <c:v>0.70099999999999996</c:v>
                </c:pt>
                <c:pt idx="49">
                  <c:v>0.41300000000000003</c:v>
                </c:pt>
                <c:pt idx="50">
                  <c:v>0.55100000000000005</c:v>
                </c:pt>
                <c:pt idx="51">
                  <c:v>0.71199999999999997</c:v>
                </c:pt>
                <c:pt idx="52">
                  <c:v>0.91900000000000004</c:v>
                </c:pt>
                <c:pt idx="53">
                  <c:v>0.873</c:v>
                </c:pt>
                <c:pt idx="54">
                  <c:v>0.85</c:v>
                </c:pt>
                <c:pt idx="55">
                  <c:v>0.68899999999999995</c:v>
                </c:pt>
                <c:pt idx="56">
                  <c:v>0.436</c:v>
                </c:pt>
                <c:pt idx="57">
                  <c:v>0.45900000000000002</c:v>
                </c:pt>
                <c:pt idx="58">
                  <c:v>0.60899999999999999</c:v>
                </c:pt>
                <c:pt idx="59">
                  <c:v>0.75800000000000001</c:v>
                </c:pt>
                <c:pt idx="60">
                  <c:v>0.252</c:v>
                </c:pt>
                <c:pt idx="61">
                  <c:v>0.56299999999999994</c:v>
                </c:pt>
                <c:pt idx="62">
                  <c:v>0.51700000000000002</c:v>
                </c:pt>
                <c:pt idx="63">
                  <c:v>0.83899999999999997</c:v>
                </c:pt>
                <c:pt idx="64">
                  <c:v>0.47100000000000003</c:v>
                </c:pt>
                <c:pt idx="65">
                  <c:v>0.48199999999999998</c:v>
                </c:pt>
                <c:pt idx="66">
                  <c:v>0.58599999999999997</c:v>
                </c:pt>
                <c:pt idx="67">
                  <c:v>0.89600000000000013</c:v>
                </c:pt>
                <c:pt idx="68">
                  <c:v>0.98799999999999999</c:v>
                </c:pt>
                <c:pt idx="69">
                  <c:v>1</c:v>
                </c:pt>
                <c:pt idx="70">
                  <c:v>0.93100000000000016</c:v>
                </c:pt>
                <c:pt idx="71">
                  <c:v>0.77000000000000013</c:v>
                </c:pt>
                <c:pt idx="72">
                  <c:v>0.94200000000000006</c:v>
                </c:pt>
                <c:pt idx="73">
                  <c:v>0.97700000000000009</c:v>
                </c:pt>
                <c:pt idx="74">
                  <c:v>0.86199999999999999</c:v>
                </c:pt>
                <c:pt idx="75">
                  <c:v>0.62</c:v>
                </c:pt>
                <c:pt idx="76">
                  <c:v>0.54</c:v>
                </c:pt>
                <c:pt idx="77">
                  <c:v>0.28699999999999998</c:v>
                </c:pt>
                <c:pt idx="78">
                  <c:v>0.22900000000000004</c:v>
                </c:pt>
                <c:pt idx="79">
                  <c:v>0.14899999999999999</c:v>
                </c:pt>
                <c:pt idx="80">
                  <c:v>0.31</c:v>
                </c:pt>
                <c:pt idx="81">
                  <c:v>0.08</c:v>
                </c:pt>
                <c:pt idx="82">
                  <c:v>0.10299999999999999</c:v>
                </c:pt>
                <c:pt idx="83">
                  <c:v>0.114</c:v>
                </c:pt>
                <c:pt idx="84">
                  <c:v>0.13700000000000001</c:v>
                </c:pt>
                <c:pt idx="85">
                  <c:v>0.218</c:v>
                </c:pt>
                <c:pt idx="86">
                  <c:v>0.183</c:v>
                </c:pt>
                <c:pt idx="87">
                  <c:v>0.379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DB-4041-A806-457B31D2647D}"/>
            </c:ext>
          </c:extLst>
        </c:ser>
        <c:ser>
          <c:idx val="3"/>
          <c:order val="3"/>
          <c:tx>
            <c:strRef>
              <c:f>'面板-景气指数'!$A$124</c:f>
              <c:strCache>
                <c:ptCount val="1"/>
                <c:pt idx="0">
                  <c:v>小家电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'面板-景气指数'!$F$124:$CZ$124</c:f>
              <c:numCache>
                <c:formatCode>0.0%</c:formatCode>
                <c:ptCount val="99"/>
                <c:pt idx="0">
                  <c:v>0.38450000000000001</c:v>
                </c:pt>
                <c:pt idx="1">
                  <c:v>0.38450000000000001</c:v>
                </c:pt>
                <c:pt idx="2">
                  <c:v>0.38450000000000001</c:v>
                </c:pt>
                <c:pt idx="3">
                  <c:v>0.29249999999999998</c:v>
                </c:pt>
                <c:pt idx="4">
                  <c:v>0.39599999999999996</c:v>
                </c:pt>
                <c:pt idx="5">
                  <c:v>0.36149999999999999</c:v>
                </c:pt>
                <c:pt idx="6">
                  <c:v>0.373</c:v>
                </c:pt>
                <c:pt idx="7">
                  <c:v>0.29849999999999999</c:v>
                </c:pt>
                <c:pt idx="8">
                  <c:v>0.24100000000000002</c:v>
                </c:pt>
                <c:pt idx="9">
                  <c:v>0.1545</c:v>
                </c:pt>
                <c:pt idx="10">
                  <c:v>0.14899999999999999</c:v>
                </c:pt>
                <c:pt idx="11">
                  <c:v>0.20599999999999999</c:v>
                </c:pt>
                <c:pt idx="12">
                  <c:v>0.26350000000000001</c:v>
                </c:pt>
                <c:pt idx="13">
                  <c:v>0.23549999999999999</c:v>
                </c:pt>
                <c:pt idx="14">
                  <c:v>0.23549999999999999</c:v>
                </c:pt>
                <c:pt idx="15">
                  <c:v>0.11999999999999998</c:v>
                </c:pt>
                <c:pt idx="16">
                  <c:v>0.25800000000000001</c:v>
                </c:pt>
                <c:pt idx="17">
                  <c:v>0.2465</c:v>
                </c:pt>
                <c:pt idx="18">
                  <c:v>0.26350000000000001</c:v>
                </c:pt>
                <c:pt idx="19">
                  <c:v>0.19449999999999998</c:v>
                </c:pt>
                <c:pt idx="20">
                  <c:v>0.126</c:v>
                </c:pt>
                <c:pt idx="21">
                  <c:v>0.27500000000000002</c:v>
                </c:pt>
                <c:pt idx="22">
                  <c:v>0.22349999999999998</c:v>
                </c:pt>
                <c:pt idx="23">
                  <c:v>0.26400000000000001</c:v>
                </c:pt>
                <c:pt idx="24">
                  <c:v>0.14299999999999999</c:v>
                </c:pt>
                <c:pt idx="25">
                  <c:v>0.17749999999999999</c:v>
                </c:pt>
                <c:pt idx="26">
                  <c:v>0.14849999999999999</c:v>
                </c:pt>
                <c:pt idx="27">
                  <c:v>5.7000000000000002E-2</c:v>
                </c:pt>
                <c:pt idx="28">
                  <c:v>0.08</c:v>
                </c:pt>
                <c:pt idx="29">
                  <c:v>8.5499999999999993E-2</c:v>
                </c:pt>
                <c:pt idx="30">
                  <c:v>0.183</c:v>
                </c:pt>
                <c:pt idx="31">
                  <c:v>0.14299999999999999</c:v>
                </c:pt>
                <c:pt idx="32">
                  <c:v>0.29799999999999999</c:v>
                </c:pt>
                <c:pt idx="33">
                  <c:v>0.21199999999999999</c:v>
                </c:pt>
                <c:pt idx="34">
                  <c:v>0.19500000000000001</c:v>
                </c:pt>
                <c:pt idx="35">
                  <c:v>0.1145</c:v>
                </c:pt>
                <c:pt idx="36">
                  <c:v>0.1835</c:v>
                </c:pt>
                <c:pt idx="37">
                  <c:v>0.442</c:v>
                </c:pt>
                <c:pt idx="38">
                  <c:v>0.60899999999999999</c:v>
                </c:pt>
                <c:pt idx="39">
                  <c:v>0.81</c:v>
                </c:pt>
                <c:pt idx="40">
                  <c:v>0.68349999999999989</c:v>
                </c:pt>
                <c:pt idx="41">
                  <c:v>0.63149999999999995</c:v>
                </c:pt>
                <c:pt idx="42">
                  <c:v>0.55099999999999993</c:v>
                </c:pt>
                <c:pt idx="43">
                  <c:v>0.50549999999999995</c:v>
                </c:pt>
                <c:pt idx="44">
                  <c:v>0.4995</c:v>
                </c:pt>
                <c:pt idx="45">
                  <c:v>0.5625</c:v>
                </c:pt>
                <c:pt idx="46">
                  <c:v>0.70650000000000002</c:v>
                </c:pt>
                <c:pt idx="47">
                  <c:v>0.82700000000000007</c:v>
                </c:pt>
                <c:pt idx="48">
                  <c:v>0.9425</c:v>
                </c:pt>
                <c:pt idx="49">
                  <c:v>0.85</c:v>
                </c:pt>
                <c:pt idx="50">
                  <c:v>0.78150000000000008</c:v>
                </c:pt>
                <c:pt idx="51">
                  <c:v>0.6835</c:v>
                </c:pt>
                <c:pt idx="52">
                  <c:v>0.71799999999999997</c:v>
                </c:pt>
                <c:pt idx="53">
                  <c:v>0.74099999999999999</c:v>
                </c:pt>
                <c:pt idx="54">
                  <c:v>0.59749999999999992</c:v>
                </c:pt>
                <c:pt idx="55">
                  <c:v>0.57999999999999996</c:v>
                </c:pt>
                <c:pt idx="56">
                  <c:v>0.57999999999999996</c:v>
                </c:pt>
                <c:pt idx="57">
                  <c:v>0.59150000000000003</c:v>
                </c:pt>
                <c:pt idx="58">
                  <c:v>0.60849999999999993</c:v>
                </c:pt>
                <c:pt idx="59">
                  <c:v>0.61449999999999994</c:v>
                </c:pt>
                <c:pt idx="60">
                  <c:v>0.63749999999999996</c:v>
                </c:pt>
                <c:pt idx="61">
                  <c:v>0.70650000000000002</c:v>
                </c:pt>
                <c:pt idx="62">
                  <c:v>0.75249999999999995</c:v>
                </c:pt>
                <c:pt idx="63">
                  <c:v>0.77550000000000008</c:v>
                </c:pt>
                <c:pt idx="64">
                  <c:v>0.63749999999999996</c:v>
                </c:pt>
                <c:pt idx="65">
                  <c:v>0.63749999999999996</c:v>
                </c:pt>
                <c:pt idx="66">
                  <c:v>0.59750000000000003</c:v>
                </c:pt>
                <c:pt idx="67">
                  <c:v>0.66049999999999998</c:v>
                </c:pt>
                <c:pt idx="68">
                  <c:v>0.68899999999999995</c:v>
                </c:pt>
                <c:pt idx="69">
                  <c:v>0.79249999999999998</c:v>
                </c:pt>
                <c:pt idx="70">
                  <c:v>0.74099999999999999</c:v>
                </c:pt>
                <c:pt idx="71">
                  <c:v>0.63749999999999996</c:v>
                </c:pt>
                <c:pt idx="72">
                  <c:v>0.39600000000000002</c:v>
                </c:pt>
                <c:pt idx="73">
                  <c:v>0.29799999999999999</c:v>
                </c:pt>
                <c:pt idx="74">
                  <c:v>0.29249999999999998</c:v>
                </c:pt>
                <c:pt idx="75">
                  <c:v>0.49400000000000005</c:v>
                </c:pt>
                <c:pt idx="76">
                  <c:v>0.6835</c:v>
                </c:pt>
                <c:pt idx="77">
                  <c:v>0.79300000000000004</c:v>
                </c:pt>
                <c:pt idx="78">
                  <c:v>0.91899999999999993</c:v>
                </c:pt>
                <c:pt idx="79">
                  <c:v>0.90200000000000002</c:v>
                </c:pt>
                <c:pt idx="80">
                  <c:v>0.95400000000000007</c:v>
                </c:pt>
                <c:pt idx="81">
                  <c:v>0.92500000000000004</c:v>
                </c:pt>
                <c:pt idx="82">
                  <c:v>0.93100000000000005</c:v>
                </c:pt>
                <c:pt idx="83">
                  <c:v>0.8155</c:v>
                </c:pt>
                <c:pt idx="84">
                  <c:v>0.92500000000000004</c:v>
                </c:pt>
                <c:pt idx="85">
                  <c:v>0.94799999999999995</c:v>
                </c:pt>
                <c:pt idx="86">
                  <c:v>0.98250000000000004</c:v>
                </c:pt>
                <c:pt idx="87">
                  <c:v>0.91949999999999998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ADB-4041-A806-457B31D26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'面板-景气指数'!$A$53</c:f>
              <c:strCache>
                <c:ptCount val="1"/>
                <c:pt idx="0">
                  <c:v>商贸零售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'面板-景气指数'!$F$53:$CZ$53</c:f>
              <c:numCache>
                <c:formatCode>0.0%</c:formatCode>
                <c:ptCount val="99"/>
                <c:pt idx="0">
                  <c:v>0.44206455468493067</c:v>
                </c:pt>
                <c:pt idx="1">
                  <c:v>0.42590038076813158</c:v>
                </c:pt>
                <c:pt idx="2">
                  <c:v>0.46773348517973229</c:v>
                </c:pt>
                <c:pt idx="3">
                  <c:v>0.53038591131968127</c:v>
                </c:pt>
                <c:pt idx="4">
                  <c:v>0.51908354671114254</c:v>
                </c:pt>
                <c:pt idx="5">
                  <c:v>0.51684624102476706</c:v>
                </c:pt>
                <c:pt idx="6">
                  <c:v>0.50149622112371806</c:v>
                </c:pt>
                <c:pt idx="7">
                  <c:v>0.47404564937215632</c:v>
                </c:pt>
                <c:pt idx="8">
                  <c:v>0.44398742893825743</c:v>
                </c:pt>
                <c:pt idx="9">
                  <c:v>0.47996786046277956</c:v>
                </c:pt>
                <c:pt idx="10">
                  <c:v>0.49303834346333214</c:v>
                </c:pt>
                <c:pt idx="11">
                  <c:v>0.46313846140808879</c:v>
                </c:pt>
                <c:pt idx="12">
                  <c:v>0.36116315452437864</c:v>
                </c:pt>
                <c:pt idx="13">
                  <c:v>0.25469184750749424</c:v>
                </c:pt>
                <c:pt idx="14">
                  <c:v>0.16320380079465555</c:v>
                </c:pt>
                <c:pt idx="15">
                  <c:v>0.15019234125249473</c:v>
                </c:pt>
                <c:pt idx="16">
                  <c:v>0.16474994186029598</c:v>
                </c:pt>
                <c:pt idx="17">
                  <c:v>0.17103012277936269</c:v>
                </c:pt>
                <c:pt idx="18">
                  <c:v>0.1706928335962962</c:v>
                </c:pt>
                <c:pt idx="19">
                  <c:v>0.16781760509861071</c:v>
                </c:pt>
                <c:pt idx="20">
                  <c:v>0.14284842371409118</c:v>
                </c:pt>
                <c:pt idx="21">
                  <c:v>0.11969437548846708</c:v>
                </c:pt>
                <c:pt idx="22">
                  <c:v>9.261852834262975E-2</c:v>
                </c:pt>
                <c:pt idx="23">
                  <c:v>0.12614660253546237</c:v>
                </c:pt>
                <c:pt idx="24">
                  <c:v>0.2889448622207681</c:v>
                </c:pt>
                <c:pt idx="25">
                  <c:v>0.46531908811360451</c:v>
                </c:pt>
                <c:pt idx="26">
                  <c:v>0.70219989225047497</c:v>
                </c:pt>
                <c:pt idx="27">
                  <c:v>0.68914965048531185</c:v>
                </c:pt>
                <c:pt idx="28">
                  <c:v>0.70440751395738421</c:v>
                </c:pt>
                <c:pt idx="29">
                  <c:v>0.72801438002982721</c:v>
                </c:pt>
                <c:pt idx="30">
                  <c:v>0.74868056228388125</c:v>
                </c:pt>
                <c:pt idx="31">
                  <c:v>0.76822248674938376</c:v>
                </c:pt>
                <c:pt idx="32">
                  <c:v>0.80688775675916657</c:v>
                </c:pt>
                <c:pt idx="33">
                  <c:v>0.84299823849837174</c:v>
                </c:pt>
                <c:pt idx="34">
                  <c:v>0.86949259908786913</c:v>
                </c:pt>
                <c:pt idx="35">
                  <c:v>0.89535579619663108</c:v>
                </c:pt>
                <c:pt idx="36">
                  <c:v>0.92842097383521605</c:v>
                </c:pt>
                <c:pt idx="37">
                  <c:v>0.93051970678186924</c:v>
                </c:pt>
                <c:pt idx="38">
                  <c:v>0.84754290844244973</c:v>
                </c:pt>
                <c:pt idx="39">
                  <c:v>0.23065579645273529</c:v>
                </c:pt>
                <c:pt idx="40">
                  <c:v>0.21135137272520876</c:v>
                </c:pt>
                <c:pt idx="41">
                  <c:v>0.21221742175003924</c:v>
                </c:pt>
                <c:pt idx="42">
                  <c:v>0.21846223793370859</c:v>
                </c:pt>
                <c:pt idx="43">
                  <c:v>0.20865139703969959</c:v>
                </c:pt>
                <c:pt idx="44">
                  <c:v>0.18656946259243043</c:v>
                </c:pt>
                <c:pt idx="45">
                  <c:v>0.16780700431045042</c:v>
                </c:pt>
                <c:pt idx="46">
                  <c:v>0.11149685221304242</c:v>
                </c:pt>
                <c:pt idx="47">
                  <c:v>8.0570404208247279E-2</c:v>
                </c:pt>
                <c:pt idx="48">
                  <c:v>2.8826025037777751E-2</c:v>
                </c:pt>
                <c:pt idx="49">
                  <c:v>5.8578089422994715E-2</c:v>
                </c:pt>
                <c:pt idx="50">
                  <c:v>0.12952441023498543</c:v>
                </c:pt>
                <c:pt idx="51">
                  <c:v>0.36275113783061391</c:v>
                </c:pt>
                <c:pt idx="52">
                  <c:v>0.34969871473709974</c:v>
                </c:pt>
                <c:pt idx="53">
                  <c:v>0.36011680584327632</c:v>
                </c:pt>
                <c:pt idx="54">
                  <c:v>0.35243032846465616</c:v>
                </c:pt>
                <c:pt idx="55">
                  <c:v>0.37409251050661296</c:v>
                </c:pt>
                <c:pt idx="56">
                  <c:v>0.39025584116975703</c:v>
                </c:pt>
                <c:pt idx="57">
                  <c:v>0.37727706148795309</c:v>
                </c:pt>
                <c:pt idx="58">
                  <c:v>0.35527984723591649</c:v>
                </c:pt>
                <c:pt idx="59">
                  <c:v>0.31170707474316195</c:v>
                </c:pt>
                <c:pt idx="60">
                  <c:v>0.28987086659186551</c:v>
                </c:pt>
                <c:pt idx="61">
                  <c:v>0.30681489085202474</c:v>
                </c:pt>
                <c:pt idx="62">
                  <c:v>0.38128597478662329</c:v>
                </c:pt>
                <c:pt idx="63">
                  <c:v>0.41112944581518374</c:v>
                </c:pt>
                <c:pt idx="64">
                  <c:v>0.42167658771908983</c:v>
                </c:pt>
                <c:pt idx="65">
                  <c:v>0.43274105446034322</c:v>
                </c:pt>
                <c:pt idx="66">
                  <c:v>0.45501711437926168</c:v>
                </c:pt>
                <c:pt idx="67">
                  <c:v>0.51817381599652557</c:v>
                </c:pt>
                <c:pt idx="68">
                  <c:v>0.54128439333572054</c:v>
                </c:pt>
                <c:pt idx="69">
                  <c:v>0.57861715493291199</c:v>
                </c:pt>
                <c:pt idx="70">
                  <c:v>0.6540157314729006</c:v>
                </c:pt>
                <c:pt idx="71">
                  <c:v>0.71996837911090872</c:v>
                </c:pt>
                <c:pt idx="72">
                  <c:v>0.75885031510150813</c:v>
                </c:pt>
                <c:pt idx="73">
                  <c:v>0.76781780508457753</c:v>
                </c:pt>
                <c:pt idx="74">
                  <c:v>0.76562735030524642</c:v>
                </c:pt>
                <c:pt idx="75">
                  <c:v>0.74200416200030528</c:v>
                </c:pt>
                <c:pt idx="76">
                  <c:v>0.76252317683790383</c:v>
                </c:pt>
                <c:pt idx="77">
                  <c:v>0.77667009385204422</c:v>
                </c:pt>
                <c:pt idx="78">
                  <c:v>0.78760700194182076</c:v>
                </c:pt>
                <c:pt idx="79">
                  <c:v>0.79290218348110231</c:v>
                </c:pt>
                <c:pt idx="80">
                  <c:v>0.78908050250564576</c:v>
                </c:pt>
                <c:pt idx="81">
                  <c:v>0.78057776894061459</c:v>
                </c:pt>
                <c:pt idx="82">
                  <c:v>0.7642813470183687</c:v>
                </c:pt>
                <c:pt idx="83">
                  <c:v>0.7055655915353527</c:v>
                </c:pt>
                <c:pt idx="84">
                  <c:v>0.62312814137596939</c:v>
                </c:pt>
                <c:pt idx="85">
                  <c:v>0.58063314417280298</c:v>
                </c:pt>
                <c:pt idx="86">
                  <c:v>0.58141708819628202</c:v>
                </c:pt>
                <c:pt idx="87">
                  <c:v>0.65558962699317069</c:v>
                </c:pt>
                <c:pt idx="88">
                  <c:v>0.646497061196182</c:v>
                </c:pt>
                <c:pt idx="89">
                  <c:v>0.63880280511467979</c:v>
                </c:pt>
                <c:pt idx="90">
                  <c:v>0.62351137407572343</c:v>
                </c:pt>
                <c:pt idx="91">
                  <c:v>0.60866309637797045</c:v>
                </c:pt>
                <c:pt idx="92">
                  <c:v>0.59492534280066567</c:v>
                </c:pt>
                <c:pt idx="93">
                  <c:v>0.58274126668501247</c:v>
                </c:pt>
                <c:pt idx="94">
                  <c:v>0.59531020951975189</c:v>
                </c:pt>
                <c:pt idx="95">
                  <c:v>0.61155679693299136</c:v>
                </c:pt>
                <c:pt idx="96">
                  <c:v>0.62101838484442751</c:v>
                </c:pt>
                <c:pt idx="97">
                  <c:v>0.63897401746548377</c:v>
                </c:pt>
                <c:pt idx="98">
                  <c:v>0.64285110582695959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D9-4D58-BDDF-4BB4CE616909}"/>
            </c:ext>
          </c:extLst>
        </c:ser>
        <c:ser>
          <c:idx val="1"/>
          <c:order val="1"/>
          <c:tx>
            <c:strRef>
              <c:f>'面板-景气指数'!$A$126</c:f>
              <c:strCache>
                <c:ptCount val="1"/>
                <c:pt idx="0">
                  <c:v>一般零售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'面板-景气指数'!$F$126:$CZ$126</c:f>
              <c:numCache>
                <c:formatCode>0.0%</c:formatCode>
                <c:ptCount val="99"/>
                <c:pt idx="0">
                  <c:v>0.377</c:v>
                </c:pt>
                <c:pt idx="1">
                  <c:v>0.377</c:v>
                </c:pt>
                <c:pt idx="2">
                  <c:v>0.42799999999999999</c:v>
                </c:pt>
                <c:pt idx="3">
                  <c:v>0.54</c:v>
                </c:pt>
                <c:pt idx="4">
                  <c:v>0.52</c:v>
                </c:pt>
                <c:pt idx="5">
                  <c:v>0.48899999999999993</c:v>
                </c:pt>
                <c:pt idx="6">
                  <c:v>0.47899999999999993</c:v>
                </c:pt>
                <c:pt idx="7">
                  <c:v>0.5</c:v>
                </c:pt>
                <c:pt idx="8">
                  <c:v>0.45900000000000002</c:v>
                </c:pt>
                <c:pt idx="9">
                  <c:v>0.5</c:v>
                </c:pt>
                <c:pt idx="10">
                  <c:v>0.44799999999999995</c:v>
                </c:pt>
                <c:pt idx="11">
                  <c:v>0.40799999999999997</c:v>
                </c:pt>
                <c:pt idx="12">
                  <c:v>0.316</c:v>
                </c:pt>
                <c:pt idx="13">
                  <c:v>0.193</c:v>
                </c:pt>
                <c:pt idx="14">
                  <c:v>0.14199999999999999</c:v>
                </c:pt>
                <c:pt idx="15">
                  <c:v>0.153</c:v>
                </c:pt>
                <c:pt idx="16">
                  <c:v>0.183</c:v>
                </c:pt>
                <c:pt idx="17">
                  <c:v>0.20399999999999999</c:v>
                </c:pt>
                <c:pt idx="18">
                  <c:v>0.22399999999999998</c:v>
                </c:pt>
                <c:pt idx="19">
                  <c:v>0.214</c:v>
                </c:pt>
                <c:pt idx="20">
                  <c:v>0.17299999999999999</c:v>
                </c:pt>
                <c:pt idx="21">
                  <c:v>0.13200000000000001</c:v>
                </c:pt>
                <c:pt idx="22">
                  <c:v>0.122</c:v>
                </c:pt>
                <c:pt idx="23">
                  <c:v>0.16300000000000001</c:v>
                </c:pt>
                <c:pt idx="24">
                  <c:v>0.36699999999999999</c:v>
                </c:pt>
                <c:pt idx="25">
                  <c:v>0.57099999999999995</c:v>
                </c:pt>
                <c:pt idx="26">
                  <c:v>0.877</c:v>
                </c:pt>
                <c:pt idx="27">
                  <c:v>0.88700000000000001</c:v>
                </c:pt>
                <c:pt idx="28">
                  <c:v>0.89700000000000002</c:v>
                </c:pt>
                <c:pt idx="29">
                  <c:v>0.90800000000000003</c:v>
                </c:pt>
                <c:pt idx="30">
                  <c:v>0.91800000000000004</c:v>
                </c:pt>
                <c:pt idx="31">
                  <c:v>0.92800000000000005</c:v>
                </c:pt>
                <c:pt idx="32">
                  <c:v>0.94799999999999984</c:v>
                </c:pt>
                <c:pt idx="33">
                  <c:v>0.95899999999999996</c:v>
                </c:pt>
                <c:pt idx="34">
                  <c:v>0.96899999999999997</c:v>
                </c:pt>
                <c:pt idx="35">
                  <c:v>0.97899999999999998</c:v>
                </c:pt>
                <c:pt idx="36">
                  <c:v>0.98899999999999999</c:v>
                </c:pt>
                <c:pt idx="37">
                  <c:v>1</c:v>
                </c:pt>
                <c:pt idx="38">
                  <c:v>0.93799999999999983</c:v>
                </c:pt>
                <c:pt idx="39">
                  <c:v>0.11199999999999999</c:v>
                </c:pt>
                <c:pt idx="40">
                  <c:v>0.10199999999999999</c:v>
                </c:pt>
                <c:pt idx="41">
                  <c:v>9.0999999999999998E-2</c:v>
                </c:pt>
                <c:pt idx="42">
                  <c:v>8.1000000000000003E-2</c:v>
                </c:pt>
                <c:pt idx="43">
                  <c:v>7.0999999999999994E-2</c:v>
                </c:pt>
                <c:pt idx="44">
                  <c:v>6.0999999999999999E-2</c:v>
                </c:pt>
                <c:pt idx="45">
                  <c:v>5.0999999999999997E-2</c:v>
                </c:pt>
                <c:pt idx="46">
                  <c:v>0.03</c:v>
                </c:pt>
                <c:pt idx="47">
                  <c:v>0.02</c:v>
                </c:pt>
                <c:pt idx="48">
                  <c:v>0.01</c:v>
                </c:pt>
                <c:pt idx="49">
                  <c:v>0</c:v>
                </c:pt>
                <c:pt idx="50">
                  <c:v>0.04</c:v>
                </c:pt>
                <c:pt idx="51">
                  <c:v>0.27500000000000002</c:v>
                </c:pt>
                <c:pt idx="52">
                  <c:v>0.26500000000000001</c:v>
                </c:pt>
                <c:pt idx="53">
                  <c:v>0.28499999999999998</c:v>
                </c:pt>
                <c:pt idx="54">
                  <c:v>0.29499999999999998</c:v>
                </c:pt>
                <c:pt idx="55">
                  <c:v>0.32600000000000001</c:v>
                </c:pt>
                <c:pt idx="56">
                  <c:v>0.34599999999999997</c:v>
                </c:pt>
                <c:pt idx="57">
                  <c:v>0.33600000000000002</c:v>
                </c:pt>
                <c:pt idx="58">
                  <c:v>0.30599999999999999</c:v>
                </c:pt>
                <c:pt idx="59">
                  <c:v>0.255</c:v>
                </c:pt>
                <c:pt idx="60">
                  <c:v>0.23399999999999999</c:v>
                </c:pt>
                <c:pt idx="61">
                  <c:v>0.24399999999999999</c:v>
                </c:pt>
                <c:pt idx="62">
                  <c:v>0.35699999999999998</c:v>
                </c:pt>
                <c:pt idx="63">
                  <c:v>0.39700000000000002</c:v>
                </c:pt>
                <c:pt idx="64">
                  <c:v>0.41799999999999998</c:v>
                </c:pt>
                <c:pt idx="65">
                  <c:v>0.438</c:v>
                </c:pt>
                <c:pt idx="66">
                  <c:v>0.45900000000000002</c:v>
                </c:pt>
                <c:pt idx="67">
                  <c:v>0.52</c:v>
                </c:pt>
                <c:pt idx="68">
                  <c:v>0.55100000000000005</c:v>
                </c:pt>
                <c:pt idx="69">
                  <c:v>0.59099999999999997</c:v>
                </c:pt>
                <c:pt idx="70">
                  <c:v>0.70399999999999996</c:v>
                </c:pt>
                <c:pt idx="71">
                  <c:v>0.76500000000000001</c:v>
                </c:pt>
                <c:pt idx="72">
                  <c:v>0.80600000000000005</c:v>
                </c:pt>
                <c:pt idx="73">
                  <c:v>0.81599999999999995</c:v>
                </c:pt>
                <c:pt idx="74">
                  <c:v>0.78500000000000003</c:v>
                </c:pt>
                <c:pt idx="75">
                  <c:v>0.755</c:v>
                </c:pt>
                <c:pt idx="76">
                  <c:v>0.77500000000000002</c:v>
                </c:pt>
                <c:pt idx="77">
                  <c:v>0.79500000000000004</c:v>
                </c:pt>
                <c:pt idx="78">
                  <c:v>0.81599999999999995</c:v>
                </c:pt>
                <c:pt idx="79">
                  <c:v>0.84599999999999997</c:v>
                </c:pt>
                <c:pt idx="80">
                  <c:v>0.86699999999999999</c:v>
                </c:pt>
                <c:pt idx="81">
                  <c:v>0.85699999999999998</c:v>
                </c:pt>
                <c:pt idx="82">
                  <c:v>0.83599999999999997</c:v>
                </c:pt>
                <c:pt idx="83">
                  <c:v>0.74399999999999999</c:v>
                </c:pt>
                <c:pt idx="84">
                  <c:v>0.63200000000000001</c:v>
                </c:pt>
                <c:pt idx="85">
                  <c:v>0.56100000000000005</c:v>
                </c:pt>
                <c:pt idx="86">
                  <c:v>0.58099999999999996</c:v>
                </c:pt>
                <c:pt idx="87">
                  <c:v>0.73399999999999999</c:v>
                </c:pt>
                <c:pt idx="88">
                  <c:v>0.72399999999999998</c:v>
                </c:pt>
                <c:pt idx="89">
                  <c:v>0.71399999999999997</c:v>
                </c:pt>
                <c:pt idx="90">
                  <c:v>0.68300000000000005</c:v>
                </c:pt>
                <c:pt idx="91">
                  <c:v>0.65300000000000002</c:v>
                </c:pt>
                <c:pt idx="92">
                  <c:v>0.622</c:v>
                </c:pt>
                <c:pt idx="93">
                  <c:v>0.59099999999999997</c:v>
                </c:pt>
                <c:pt idx="94">
                  <c:v>0.61199999999999999</c:v>
                </c:pt>
                <c:pt idx="95">
                  <c:v>0.64200000000000002</c:v>
                </c:pt>
                <c:pt idx="96">
                  <c:v>0.66300000000000003</c:v>
                </c:pt>
                <c:pt idx="97">
                  <c:v>0.69299999999999995</c:v>
                </c:pt>
                <c:pt idx="98">
                  <c:v>0.67300000000000004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D9-4D58-BDDF-4BB4CE616909}"/>
            </c:ext>
          </c:extLst>
        </c:ser>
        <c:ser>
          <c:idx val="2"/>
          <c:order val="2"/>
          <c:tx>
            <c:strRef>
              <c:f>'面板-景气指数'!$A$127</c:f>
              <c:strCache>
                <c:ptCount val="1"/>
                <c:pt idx="0">
                  <c:v>旅游零售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'面板-景气指数'!$F$127:$CZ$127</c:f>
              <c:numCache>
                <c:formatCode>0.0%</c:formatCode>
                <c:ptCount val="99"/>
                <c:pt idx="0">
                  <c:v>0.59233333333333305</c:v>
                </c:pt>
                <c:pt idx="1">
                  <c:v>0.44499999999999973</c:v>
                </c:pt>
                <c:pt idx="2">
                  <c:v>0.62599999999999978</c:v>
                </c:pt>
                <c:pt idx="3">
                  <c:v>0.63466666666666627</c:v>
                </c:pt>
                <c:pt idx="4">
                  <c:v>0.72666666666666646</c:v>
                </c:pt>
                <c:pt idx="5">
                  <c:v>0.84199999999999975</c:v>
                </c:pt>
                <c:pt idx="6">
                  <c:v>0.91099999999999981</c:v>
                </c:pt>
                <c:pt idx="7">
                  <c:v>0.87999999999999978</c:v>
                </c:pt>
                <c:pt idx="8">
                  <c:v>0.80233333333333312</c:v>
                </c:pt>
                <c:pt idx="9">
                  <c:v>0.6736666666666663</c:v>
                </c:pt>
                <c:pt idx="10">
                  <c:v>0.84133333333333304</c:v>
                </c:pt>
                <c:pt idx="11">
                  <c:v>0.87933333333333319</c:v>
                </c:pt>
                <c:pt idx="12">
                  <c:v>0.84066666666666645</c:v>
                </c:pt>
                <c:pt idx="13">
                  <c:v>0.73233333333333317</c:v>
                </c:pt>
                <c:pt idx="14">
                  <c:v>0.45066666666666649</c:v>
                </c:pt>
                <c:pt idx="15">
                  <c:v>0.22666666666666666</c:v>
                </c:pt>
                <c:pt idx="16">
                  <c:v>0.15733333333333327</c:v>
                </c:pt>
                <c:pt idx="17">
                  <c:v>4.6666666666666662E-2</c:v>
                </c:pt>
                <c:pt idx="18">
                  <c:v>3.1333333333333317E-2</c:v>
                </c:pt>
                <c:pt idx="19">
                  <c:v>0.10100000000000001</c:v>
                </c:pt>
                <c:pt idx="20">
                  <c:v>0.18600000000000003</c:v>
                </c:pt>
                <c:pt idx="21">
                  <c:v>0.14700000000000002</c:v>
                </c:pt>
                <c:pt idx="22">
                  <c:v>3.8000000000000027E-2</c:v>
                </c:pt>
                <c:pt idx="23">
                  <c:v>0</c:v>
                </c:pt>
                <c:pt idx="24">
                  <c:v>0.11633333333333333</c:v>
                </c:pt>
                <c:pt idx="25">
                  <c:v>0.31800000000000006</c:v>
                </c:pt>
                <c:pt idx="26">
                  <c:v>0.61099999999999999</c:v>
                </c:pt>
                <c:pt idx="27">
                  <c:v>0.30733333333333351</c:v>
                </c:pt>
                <c:pt idx="28">
                  <c:v>0.25866666666666677</c:v>
                </c:pt>
                <c:pt idx="29">
                  <c:v>0.22800000000000017</c:v>
                </c:pt>
                <c:pt idx="30">
                  <c:v>0.17433333333333342</c:v>
                </c:pt>
                <c:pt idx="31">
                  <c:v>0.26166666666666671</c:v>
                </c:pt>
                <c:pt idx="32">
                  <c:v>0.38566666666666677</c:v>
                </c:pt>
                <c:pt idx="33">
                  <c:v>0.77499999999999991</c:v>
                </c:pt>
                <c:pt idx="34">
                  <c:v>0.82066666666666666</c:v>
                </c:pt>
                <c:pt idx="35">
                  <c:v>0.90500000000000003</c:v>
                </c:pt>
                <c:pt idx="36">
                  <c:v>0.95133333333333336</c:v>
                </c:pt>
                <c:pt idx="37">
                  <c:v>0.92766666666666664</c:v>
                </c:pt>
                <c:pt idx="38">
                  <c:v>0.89633333333333332</c:v>
                </c:pt>
                <c:pt idx="39">
                  <c:v>0.42033333333333361</c:v>
                </c:pt>
                <c:pt idx="40">
                  <c:v>0.53966666666666685</c:v>
                </c:pt>
                <c:pt idx="41">
                  <c:v>0.71533333333333338</c:v>
                </c:pt>
                <c:pt idx="42">
                  <c:v>0.7306666666666668</c:v>
                </c:pt>
                <c:pt idx="43">
                  <c:v>0.65733333333333344</c:v>
                </c:pt>
                <c:pt idx="44">
                  <c:v>0.46533333333333365</c:v>
                </c:pt>
                <c:pt idx="45">
                  <c:v>0.44766666666666705</c:v>
                </c:pt>
                <c:pt idx="46">
                  <c:v>0.27066666666666683</c:v>
                </c:pt>
                <c:pt idx="47">
                  <c:v>0.21466666666666687</c:v>
                </c:pt>
                <c:pt idx="48">
                  <c:v>0.17466666666666691</c:v>
                </c:pt>
                <c:pt idx="49">
                  <c:v>0.20666666666666689</c:v>
                </c:pt>
                <c:pt idx="50">
                  <c:v>0.28666666666666679</c:v>
                </c:pt>
                <c:pt idx="51">
                  <c:v>0.37533333333333341</c:v>
                </c:pt>
                <c:pt idx="52">
                  <c:v>0.39933333333333337</c:v>
                </c:pt>
                <c:pt idx="53">
                  <c:v>0.41533333333333339</c:v>
                </c:pt>
                <c:pt idx="54">
                  <c:v>0.42333333333333339</c:v>
                </c:pt>
                <c:pt idx="55">
                  <c:v>0.4313333333333334</c:v>
                </c:pt>
                <c:pt idx="56">
                  <c:v>0.40733333333333333</c:v>
                </c:pt>
                <c:pt idx="57">
                  <c:v>0.38333333333333341</c:v>
                </c:pt>
                <c:pt idx="58">
                  <c:v>0.35933333333333345</c:v>
                </c:pt>
                <c:pt idx="59">
                  <c:v>0.39133333333333342</c:v>
                </c:pt>
                <c:pt idx="60">
                  <c:v>0.504</c:v>
                </c:pt>
                <c:pt idx="61">
                  <c:v>0.56799999999999995</c:v>
                </c:pt>
                <c:pt idx="62">
                  <c:v>0.59199999999999986</c:v>
                </c:pt>
                <c:pt idx="63">
                  <c:v>0.57599999999999996</c:v>
                </c:pt>
                <c:pt idx="64">
                  <c:v>0.55199999999999994</c:v>
                </c:pt>
                <c:pt idx="65">
                  <c:v>0.47933333333333333</c:v>
                </c:pt>
                <c:pt idx="66">
                  <c:v>0.43933333333333335</c:v>
                </c:pt>
                <c:pt idx="67">
                  <c:v>0.45533333333333331</c:v>
                </c:pt>
                <c:pt idx="68">
                  <c:v>0.51999999999999991</c:v>
                </c:pt>
                <c:pt idx="69">
                  <c:v>0.49533333333333329</c:v>
                </c:pt>
                <c:pt idx="70">
                  <c:v>0.46333333333333337</c:v>
                </c:pt>
                <c:pt idx="71">
                  <c:v>0.47133333333333338</c:v>
                </c:pt>
                <c:pt idx="72">
                  <c:v>0.51200000000000001</c:v>
                </c:pt>
                <c:pt idx="73">
                  <c:v>0.48733333333333334</c:v>
                </c:pt>
                <c:pt idx="74">
                  <c:v>0.54399999999999993</c:v>
                </c:pt>
                <c:pt idx="75">
                  <c:v>0.58399999999999985</c:v>
                </c:pt>
                <c:pt idx="76">
                  <c:v>0.62399999999999989</c:v>
                </c:pt>
                <c:pt idx="77">
                  <c:v>0.6399999999999999</c:v>
                </c:pt>
                <c:pt idx="78">
                  <c:v>0.6319999999999999</c:v>
                </c:pt>
                <c:pt idx="79">
                  <c:v>0.65599999999999981</c:v>
                </c:pt>
                <c:pt idx="80">
                  <c:v>0.66399999999999992</c:v>
                </c:pt>
                <c:pt idx="81">
                  <c:v>0.67266666666666663</c:v>
                </c:pt>
                <c:pt idx="82">
                  <c:v>0.68866666666666654</c:v>
                </c:pt>
                <c:pt idx="83">
                  <c:v>0.68066666666666653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8D9-4D58-BDDF-4BB4CE616909}"/>
            </c:ext>
          </c:extLst>
        </c:ser>
        <c:ser>
          <c:idx val="3"/>
          <c:order val="3"/>
          <c:tx>
            <c:strRef>
              <c:f>'面板-景气指数'!$A$117</c:f>
              <c:strCache>
                <c:ptCount val="1"/>
                <c:pt idx="0">
                  <c:v>互联网电商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'面板-景气指数'!$F$117:$CZ$117</c:f>
              <c:numCache>
                <c:formatCode>0.0%</c:formatCode>
                <c:ptCount val="99"/>
                <c:pt idx="0">
                  <c:v>0.52309367217256164</c:v>
                </c:pt>
                <c:pt idx="1">
                  <c:v>0.51405369480671514</c:v>
                </c:pt>
                <c:pt idx="2">
                  <c:v>0.49494890379403078</c:v>
                </c:pt>
                <c:pt idx="3">
                  <c:v>0.4339321804818847</c:v>
                </c:pt>
                <c:pt idx="4">
                  <c:v>0.42206632739474848</c:v>
                </c:pt>
                <c:pt idx="5">
                  <c:v>0.44098081324299399</c:v>
                </c:pt>
                <c:pt idx="6">
                  <c:v>0.42053947999139091</c:v>
                </c:pt>
                <c:pt idx="7">
                  <c:v>0.38075683619445333</c:v>
                </c:pt>
                <c:pt idx="8">
                  <c:v>0.37820122036929577</c:v>
                </c:pt>
                <c:pt idx="9">
                  <c:v>0.42356205646278811</c:v>
                </c:pt>
                <c:pt idx="10">
                  <c:v>0.4437776268032938</c:v>
                </c:pt>
                <c:pt idx="11">
                  <c:v>0.40415773975771607</c:v>
                </c:pt>
                <c:pt idx="12">
                  <c:v>0.27536063245822645</c:v>
                </c:pt>
                <c:pt idx="13">
                  <c:v>0.21680890372191572</c:v>
                </c:pt>
                <c:pt idx="14">
                  <c:v>0.13994020334680599</c:v>
                </c:pt>
                <c:pt idx="15">
                  <c:v>0.1071914801211979</c:v>
                </c:pt>
                <c:pt idx="16">
                  <c:v>0.11067471175708991</c:v>
                </c:pt>
                <c:pt idx="17">
                  <c:v>0.12773450841028397</c:v>
                </c:pt>
                <c:pt idx="18">
                  <c:v>0.10194718641085415</c:v>
                </c:pt>
                <c:pt idx="19">
                  <c:v>8.6927073384316947E-2</c:v>
                </c:pt>
                <c:pt idx="20">
                  <c:v>6.8510079039249563E-2</c:v>
                </c:pt>
                <c:pt idx="21">
                  <c:v>6.7757717412022522E-2</c:v>
                </c:pt>
                <c:pt idx="22">
                  <c:v>4.7205988675711789E-2</c:v>
                </c:pt>
                <c:pt idx="23">
                  <c:v>8.0918960415471738E-2</c:v>
                </c:pt>
                <c:pt idx="24">
                  <c:v>0.17034155923256245</c:v>
                </c:pt>
                <c:pt idx="25">
                  <c:v>0.2673510958453944</c:v>
                </c:pt>
                <c:pt idx="26">
                  <c:v>0.38765209023373082</c:v>
                </c:pt>
                <c:pt idx="27">
                  <c:v>0.41652350274092831</c:v>
                </c:pt>
                <c:pt idx="28">
                  <c:v>0.45811181912869459</c:v>
                </c:pt>
                <c:pt idx="29">
                  <c:v>0.51946341234854454</c:v>
                </c:pt>
                <c:pt idx="30">
                  <c:v>0.52241511837858701</c:v>
                </c:pt>
                <c:pt idx="31">
                  <c:v>0.52163649682638191</c:v>
                </c:pt>
                <c:pt idx="32">
                  <c:v>0.57957025953555719</c:v>
                </c:pt>
                <c:pt idx="33">
                  <c:v>0.61645396583963652</c:v>
                </c:pt>
                <c:pt idx="34">
                  <c:v>0.70396567215813854</c:v>
                </c:pt>
                <c:pt idx="35">
                  <c:v>0.74936673430470535</c:v>
                </c:pt>
                <c:pt idx="36">
                  <c:v>0.81310906194464483</c:v>
                </c:pt>
                <c:pt idx="37">
                  <c:v>0.7523371747692601</c:v>
                </c:pt>
                <c:pt idx="38">
                  <c:v>0.61339279059441754</c:v>
                </c:pt>
                <c:pt idx="39">
                  <c:v>0.3770171071552596</c:v>
                </c:pt>
                <c:pt idx="40">
                  <c:v>0.32661742360071783</c:v>
                </c:pt>
                <c:pt idx="41">
                  <c:v>0.3014321354299227</c:v>
                </c:pt>
                <c:pt idx="42">
                  <c:v>0.37651258753607142</c:v>
                </c:pt>
                <c:pt idx="43">
                  <c:v>0.37548883610791534</c:v>
                </c:pt>
                <c:pt idx="44">
                  <c:v>0.36180605643394215</c:v>
                </c:pt>
                <c:pt idx="45">
                  <c:v>0.29410793203984775</c:v>
                </c:pt>
                <c:pt idx="46">
                  <c:v>0.21283541233412159</c:v>
                </c:pt>
                <c:pt idx="47">
                  <c:v>0.13954223717544065</c:v>
                </c:pt>
                <c:pt idx="48">
                  <c:v>5.8871412507197518E-2</c:v>
                </c:pt>
                <c:pt idx="49">
                  <c:v>0.14065288134737619</c:v>
                </c:pt>
                <c:pt idx="50">
                  <c:v>0.26131835023082384</c:v>
                </c:pt>
                <c:pt idx="51">
                  <c:v>0.54901957060011974</c:v>
                </c:pt>
                <c:pt idx="52">
                  <c:v>0.51567692651472208</c:v>
                </c:pt>
                <c:pt idx="53">
                  <c:v>0.52300698306404825</c:v>
                </c:pt>
                <c:pt idx="54">
                  <c:v>0.50147202269184543</c:v>
                </c:pt>
                <c:pt idx="55">
                  <c:v>0.5063334012117553</c:v>
                </c:pt>
                <c:pt idx="56">
                  <c:v>0.51946867802941632</c:v>
                </c:pt>
                <c:pt idx="57">
                  <c:v>0.51812293796881725</c:v>
                </c:pt>
                <c:pt idx="58">
                  <c:v>0.52296277981820316</c:v>
                </c:pt>
                <c:pt idx="59">
                  <c:v>0.48024533351121695</c:v>
                </c:pt>
                <c:pt idx="60">
                  <c:v>0.42722940131271625</c:v>
                </c:pt>
                <c:pt idx="61">
                  <c:v>0.41263916390650773</c:v>
                </c:pt>
                <c:pt idx="62">
                  <c:v>0.47685459909112765</c:v>
                </c:pt>
                <c:pt idx="63">
                  <c:v>0.50232273469412614</c:v>
                </c:pt>
                <c:pt idx="64">
                  <c:v>0.52548565002879011</c:v>
                </c:pt>
                <c:pt idx="65">
                  <c:v>0.56514940152906123</c:v>
                </c:pt>
                <c:pt idx="66">
                  <c:v>0.61301496087700746</c:v>
                </c:pt>
                <c:pt idx="67">
                  <c:v>0.66912063310726133</c:v>
                </c:pt>
                <c:pt idx="68">
                  <c:v>0.67229195514995999</c:v>
                </c:pt>
                <c:pt idx="69">
                  <c:v>0.70530818108765037</c:v>
                </c:pt>
                <c:pt idx="70">
                  <c:v>0.72795855393820463</c:v>
                </c:pt>
                <c:pt idx="71">
                  <c:v>0.7866765877235703</c:v>
                </c:pt>
                <c:pt idx="72">
                  <c:v>0.8318168815348751</c:v>
                </c:pt>
                <c:pt idx="73">
                  <c:v>0.83425177414884755</c:v>
                </c:pt>
                <c:pt idx="74">
                  <c:v>0.85790494923541338</c:v>
                </c:pt>
                <c:pt idx="75">
                  <c:v>0.81809249721580268</c:v>
                </c:pt>
                <c:pt idx="76">
                  <c:v>0.83939014694170988</c:v>
                </c:pt>
                <c:pt idx="77">
                  <c:v>0.84674872322560801</c:v>
                </c:pt>
                <c:pt idx="78">
                  <c:v>0.8546760452971528</c:v>
                </c:pt>
                <c:pt idx="79">
                  <c:v>0.82841414705709371</c:v>
                </c:pt>
                <c:pt idx="80">
                  <c:v>0.80893814717247758</c:v>
                </c:pt>
                <c:pt idx="81">
                  <c:v>0.79958124321979429</c:v>
                </c:pt>
                <c:pt idx="82">
                  <c:v>0.77765028274663039</c:v>
                </c:pt>
                <c:pt idx="83">
                  <c:v>0.75523358214075276</c:v>
                </c:pt>
                <c:pt idx="84">
                  <c:v>0.75077410193301686</c:v>
                </c:pt>
                <c:pt idx="85">
                  <c:v>0.73934677986147213</c:v>
                </c:pt>
                <c:pt idx="86">
                  <c:v>0.68346027132138132</c:v>
                </c:pt>
                <c:pt idx="87">
                  <c:v>0.62028727694746788</c:v>
                </c:pt>
                <c:pt idx="88">
                  <c:v>0.62072522048467971</c:v>
                </c:pt>
                <c:pt idx="89">
                  <c:v>0.63590323185223696</c:v>
                </c:pt>
                <c:pt idx="90">
                  <c:v>0.64580960473163718</c:v>
                </c:pt>
                <c:pt idx="91">
                  <c:v>0.66822630533751493</c:v>
                </c:pt>
                <c:pt idx="92">
                  <c:v>0.61758635031736187</c:v>
                </c:pt>
                <c:pt idx="93">
                  <c:v>0.64011457631274427</c:v>
                </c:pt>
                <c:pt idx="94">
                  <c:v>0.64011457631274427</c:v>
                </c:pt>
                <c:pt idx="95">
                  <c:v>0.63407041811886122</c:v>
                </c:pt>
                <c:pt idx="96">
                  <c:v>0.62308103958452821</c:v>
                </c:pt>
                <c:pt idx="97">
                  <c:v>0.62308103958452821</c:v>
                </c:pt>
                <c:pt idx="98">
                  <c:v>0.67912687010962602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8D9-4D58-BDDF-4BB4CE616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510606060606057E-2"/>
          <c:y val="0.12103185185185185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'面板-景气指数'!$A$54</c:f>
              <c:strCache>
                <c:ptCount val="1"/>
                <c:pt idx="0">
                  <c:v>社会服务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'面板-景气指数'!$F$54:$CZ$54</c:f>
              <c:numCache>
                <c:formatCode>0.0%</c:formatCode>
                <c:ptCount val="99"/>
                <c:pt idx="0">
                  <c:v>0.79312489260904795</c:v>
                </c:pt>
                <c:pt idx="1">
                  <c:v>0.78328261309801428</c:v>
                </c:pt>
                <c:pt idx="2">
                  <c:v>0.81453685452923907</c:v>
                </c:pt>
                <c:pt idx="3">
                  <c:v>0.84892600456564971</c:v>
                </c:pt>
                <c:pt idx="4">
                  <c:v>0.86150541659507263</c:v>
                </c:pt>
                <c:pt idx="5">
                  <c:v>0.86441584538157534</c:v>
                </c:pt>
                <c:pt idx="6">
                  <c:v>0.8465151462153383</c:v>
                </c:pt>
                <c:pt idx="7">
                  <c:v>0.8174981804904391</c:v>
                </c:pt>
                <c:pt idx="8">
                  <c:v>0.80072405025487448</c:v>
                </c:pt>
                <c:pt idx="9">
                  <c:v>0.81107092916697354</c:v>
                </c:pt>
                <c:pt idx="10">
                  <c:v>0.90140918202868658</c:v>
                </c:pt>
                <c:pt idx="11">
                  <c:v>0.90353992079661583</c:v>
                </c:pt>
                <c:pt idx="12">
                  <c:v>0.84997608454633977</c:v>
                </c:pt>
                <c:pt idx="13">
                  <c:v>0.76401140594189032</c:v>
                </c:pt>
                <c:pt idx="14">
                  <c:v>0.5367485384602797</c:v>
                </c:pt>
                <c:pt idx="15">
                  <c:v>0.35902338463552541</c:v>
                </c:pt>
                <c:pt idx="16">
                  <c:v>0.27562728487035359</c:v>
                </c:pt>
                <c:pt idx="17">
                  <c:v>0.29194272584828634</c:v>
                </c:pt>
                <c:pt idx="18">
                  <c:v>0.35432909599319251</c:v>
                </c:pt>
                <c:pt idx="19">
                  <c:v>0.34387012035968817</c:v>
                </c:pt>
                <c:pt idx="20">
                  <c:v>0.3268770700884493</c:v>
                </c:pt>
                <c:pt idx="21">
                  <c:v>0.15516078675634326</c:v>
                </c:pt>
                <c:pt idx="22">
                  <c:v>0.13164367784350786</c:v>
                </c:pt>
                <c:pt idx="23">
                  <c:v>0.10609235110500176</c:v>
                </c:pt>
                <c:pt idx="24">
                  <c:v>0.15496717212008149</c:v>
                </c:pt>
                <c:pt idx="25">
                  <c:v>0.2227154242044887</c:v>
                </c:pt>
                <c:pt idx="26">
                  <c:v>0.39390151636024451</c:v>
                </c:pt>
                <c:pt idx="27">
                  <c:v>0.41997273190309042</c:v>
                </c:pt>
                <c:pt idx="28">
                  <c:v>0.45180250190235405</c:v>
                </c:pt>
                <c:pt idx="29">
                  <c:v>0.58457859483541574</c:v>
                </c:pt>
                <c:pt idx="30">
                  <c:v>0.60995077914692719</c:v>
                </c:pt>
                <c:pt idx="31">
                  <c:v>0.53517885605112214</c:v>
                </c:pt>
                <c:pt idx="32">
                  <c:v>0.58213155596193655</c:v>
                </c:pt>
                <c:pt idx="33">
                  <c:v>0.68997771893435433</c:v>
                </c:pt>
                <c:pt idx="34">
                  <c:v>0.68030844931556156</c:v>
                </c:pt>
                <c:pt idx="35">
                  <c:v>0.78345088040125355</c:v>
                </c:pt>
                <c:pt idx="36">
                  <c:v>0.85614296190382677</c:v>
                </c:pt>
                <c:pt idx="37">
                  <c:v>0.91756105635877172</c:v>
                </c:pt>
                <c:pt idx="38">
                  <c:v>0.88468623534369206</c:v>
                </c:pt>
                <c:pt idx="39">
                  <c:v>0.55164703048675723</c:v>
                </c:pt>
                <c:pt idx="40">
                  <c:v>0.46701255144538001</c:v>
                </c:pt>
                <c:pt idx="41">
                  <c:v>0.43569155068443849</c:v>
                </c:pt>
                <c:pt idx="42">
                  <c:v>0.39812186827528095</c:v>
                </c:pt>
                <c:pt idx="43">
                  <c:v>0.16723032597756451</c:v>
                </c:pt>
                <c:pt idx="44">
                  <c:v>0.16885119193729192</c:v>
                </c:pt>
                <c:pt idx="45">
                  <c:v>0.15990098554210957</c:v>
                </c:pt>
                <c:pt idx="46">
                  <c:v>0.13552741128484583</c:v>
                </c:pt>
                <c:pt idx="47">
                  <c:v>8.5159396810591009E-2</c:v>
                </c:pt>
                <c:pt idx="48">
                  <c:v>5.8574138622286616E-2</c:v>
                </c:pt>
                <c:pt idx="49">
                  <c:v>6.3247291702463668E-2</c:v>
                </c:pt>
                <c:pt idx="50">
                  <c:v>8.2151874330085001E-2</c:v>
                </c:pt>
                <c:pt idx="51">
                  <c:v>0.20260778369621246</c:v>
                </c:pt>
                <c:pt idx="52">
                  <c:v>0.22885756891430811</c:v>
                </c:pt>
                <c:pt idx="53">
                  <c:v>0.24817439983799305</c:v>
                </c:pt>
                <c:pt idx="54">
                  <c:v>0.29653963442074344</c:v>
                </c:pt>
                <c:pt idx="55">
                  <c:v>0.39750014318793625</c:v>
                </c:pt>
                <c:pt idx="56">
                  <c:v>0.4408598179876777</c:v>
                </c:pt>
                <c:pt idx="57">
                  <c:v>0.40922337624880339</c:v>
                </c:pt>
                <c:pt idx="58">
                  <c:v>0.39114382103144413</c:v>
                </c:pt>
                <c:pt idx="59">
                  <c:v>0.42052324144758918</c:v>
                </c:pt>
                <c:pt idx="60">
                  <c:v>0.43835718128410955</c:v>
                </c:pt>
                <c:pt idx="61">
                  <c:v>0.47099779286024046</c:v>
                </c:pt>
                <c:pt idx="62">
                  <c:v>0.45830125514453801</c:v>
                </c:pt>
                <c:pt idx="63">
                  <c:v>0.39253546458348676</c:v>
                </c:pt>
                <c:pt idx="64">
                  <c:v>0.39819304188451687</c:v>
                </c:pt>
                <c:pt idx="65">
                  <c:v>0.42719443183026906</c:v>
                </c:pt>
                <c:pt idx="66">
                  <c:v>0.51096856206583374</c:v>
                </c:pt>
                <c:pt idx="67">
                  <c:v>0.48306201674071525</c:v>
                </c:pt>
                <c:pt idx="68">
                  <c:v>0.56420555139628692</c:v>
                </c:pt>
                <c:pt idx="69">
                  <c:v>0.54129512260978419</c:v>
                </c:pt>
                <c:pt idx="70">
                  <c:v>0.57327815688488504</c:v>
                </c:pt>
                <c:pt idx="71">
                  <c:v>0.57664756130489214</c:v>
                </c:pt>
                <c:pt idx="72">
                  <c:v>0.582116266558662</c:v>
                </c:pt>
                <c:pt idx="73">
                  <c:v>0.50428567936539115</c:v>
                </c:pt>
                <c:pt idx="74">
                  <c:v>0.49444895963736629</c:v>
                </c:pt>
                <c:pt idx="75">
                  <c:v>0.52777274028981236</c:v>
                </c:pt>
                <c:pt idx="76">
                  <c:v>0.59369150875082843</c:v>
                </c:pt>
                <c:pt idx="77">
                  <c:v>0.58201974561640357</c:v>
                </c:pt>
                <c:pt idx="78">
                  <c:v>0.55769179512670086</c:v>
                </c:pt>
                <c:pt idx="79">
                  <c:v>0.58341613175744778</c:v>
                </c:pt>
                <c:pt idx="80">
                  <c:v>0.61683643335215232</c:v>
                </c:pt>
                <c:pt idx="81">
                  <c:v>0.64769845847958962</c:v>
                </c:pt>
                <c:pt idx="82">
                  <c:v>0.63488455063534532</c:v>
                </c:pt>
                <c:pt idx="83">
                  <c:v>0.62282057119713286</c:v>
                </c:pt>
                <c:pt idx="84">
                  <c:v>0.59329929244704094</c:v>
                </c:pt>
                <c:pt idx="85">
                  <c:v>0.62128621018352603</c:v>
                </c:pt>
                <c:pt idx="86">
                  <c:v>0.5960105468142729</c:v>
                </c:pt>
                <c:pt idx="87">
                  <c:v>0.57542389868021626</c:v>
                </c:pt>
                <c:pt idx="88">
                  <c:v>0.50627370067175592</c:v>
                </c:pt>
                <c:pt idx="89">
                  <c:v>0.51544838688562145</c:v>
                </c:pt>
                <c:pt idx="90">
                  <c:v>0.49989734652298778</c:v>
                </c:pt>
                <c:pt idx="91">
                  <c:v>0.48698691773648511</c:v>
                </c:pt>
                <c:pt idx="92">
                  <c:v>0.46423420943894877</c:v>
                </c:pt>
                <c:pt idx="93">
                  <c:v>0.44618609215575578</c:v>
                </c:pt>
                <c:pt idx="94">
                  <c:v>0.45635938842386903</c:v>
                </c:pt>
                <c:pt idx="95">
                  <c:v>0.42309680731813093</c:v>
                </c:pt>
                <c:pt idx="96">
                  <c:v>0.42600723610463359</c:v>
                </c:pt>
                <c:pt idx="97">
                  <c:v>0.41823449581482119</c:v>
                </c:pt>
                <c:pt idx="98">
                  <c:v>0.41856551257190083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82-404E-812A-B034ECD05D2E}"/>
            </c:ext>
          </c:extLst>
        </c:ser>
        <c:ser>
          <c:idx val="1"/>
          <c:order val="1"/>
          <c:tx>
            <c:strRef>
              <c:f>'面板-景气指数'!$A$129</c:f>
              <c:strCache>
                <c:ptCount val="1"/>
                <c:pt idx="0">
                  <c:v>旅游及景区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'面板-景气指数'!$F$129:$CZ$129</c:f>
              <c:numCache>
                <c:formatCode>0.0%</c:formatCode>
                <c:ptCount val="99"/>
                <c:pt idx="0">
                  <c:v>0.81599999999999995</c:v>
                </c:pt>
                <c:pt idx="1">
                  <c:v>0.7955000000000001</c:v>
                </c:pt>
                <c:pt idx="2">
                  <c:v>0.83099999999999996</c:v>
                </c:pt>
                <c:pt idx="3">
                  <c:v>0.877</c:v>
                </c:pt>
                <c:pt idx="4">
                  <c:v>0.91799999999999993</c:v>
                </c:pt>
                <c:pt idx="5">
                  <c:v>0.9385</c:v>
                </c:pt>
                <c:pt idx="6">
                  <c:v>0.94850000000000001</c:v>
                </c:pt>
                <c:pt idx="7">
                  <c:v>0.90250000000000008</c:v>
                </c:pt>
                <c:pt idx="8">
                  <c:v>0.88200000000000001</c:v>
                </c:pt>
                <c:pt idx="9">
                  <c:v>0.83100000000000007</c:v>
                </c:pt>
                <c:pt idx="10">
                  <c:v>0.88200000000000001</c:v>
                </c:pt>
                <c:pt idx="11">
                  <c:v>0.87199999999999989</c:v>
                </c:pt>
                <c:pt idx="12">
                  <c:v>0.80049999999999999</c:v>
                </c:pt>
                <c:pt idx="13">
                  <c:v>0.755</c:v>
                </c:pt>
                <c:pt idx="14">
                  <c:v>0.54549999999999998</c:v>
                </c:pt>
                <c:pt idx="15">
                  <c:v>0.219</c:v>
                </c:pt>
                <c:pt idx="16">
                  <c:v>9.1499999999999998E-2</c:v>
                </c:pt>
                <c:pt idx="17">
                  <c:v>8.6499999999999994E-2</c:v>
                </c:pt>
                <c:pt idx="18">
                  <c:v>0.14749999999999999</c:v>
                </c:pt>
                <c:pt idx="19">
                  <c:v>0.17299999999999999</c:v>
                </c:pt>
                <c:pt idx="20">
                  <c:v>0.1885</c:v>
                </c:pt>
                <c:pt idx="21">
                  <c:v>9.6500000000000002E-2</c:v>
                </c:pt>
                <c:pt idx="22">
                  <c:v>8.6499999999999994E-2</c:v>
                </c:pt>
                <c:pt idx="23">
                  <c:v>0.10149999999999999</c:v>
                </c:pt>
                <c:pt idx="24">
                  <c:v>0.1885</c:v>
                </c:pt>
                <c:pt idx="25">
                  <c:v>0.32600000000000001</c:v>
                </c:pt>
                <c:pt idx="26">
                  <c:v>0.4945</c:v>
                </c:pt>
                <c:pt idx="27">
                  <c:v>0.47950000000000009</c:v>
                </c:pt>
                <c:pt idx="28">
                  <c:v>0.46349999999999997</c:v>
                </c:pt>
                <c:pt idx="29">
                  <c:v>0.48449999999999999</c:v>
                </c:pt>
                <c:pt idx="30">
                  <c:v>0.50449999999999995</c:v>
                </c:pt>
                <c:pt idx="31">
                  <c:v>0.56100000000000005</c:v>
                </c:pt>
                <c:pt idx="32">
                  <c:v>0.69850000000000001</c:v>
                </c:pt>
                <c:pt idx="33">
                  <c:v>0.89750000000000008</c:v>
                </c:pt>
                <c:pt idx="34">
                  <c:v>0.93800000000000006</c:v>
                </c:pt>
                <c:pt idx="35">
                  <c:v>0.95900000000000007</c:v>
                </c:pt>
                <c:pt idx="36">
                  <c:v>0.96350000000000002</c:v>
                </c:pt>
                <c:pt idx="37">
                  <c:v>0.92249999999999999</c:v>
                </c:pt>
                <c:pt idx="38">
                  <c:v>0.85150000000000003</c:v>
                </c:pt>
                <c:pt idx="39">
                  <c:v>0.39750000000000002</c:v>
                </c:pt>
                <c:pt idx="40">
                  <c:v>0.21400000000000002</c:v>
                </c:pt>
                <c:pt idx="41">
                  <c:v>0.17800000000000002</c:v>
                </c:pt>
                <c:pt idx="42">
                  <c:v>0.1575</c:v>
                </c:pt>
                <c:pt idx="43">
                  <c:v>0.122</c:v>
                </c:pt>
                <c:pt idx="44">
                  <c:v>9.6500000000000002E-2</c:v>
                </c:pt>
                <c:pt idx="45">
                  <c:v>7.0999999999999994E-2</c:v>
                </c:pt>
                <c:pt idx="46">
                  <c:v>4.5499999999999999E-2</c:v>
                </c:pt>
                <c:pt idx="47">
                  <c:v>0.02</c:v>
                </c:pt>
                <c:pt idx="48">
                  <c:v>0</c:v>
                </c:pt>
                <c:pt idx="49">
                  <c:v>3.4999999999999996E-2</c:v>
                </c:pt>
                <c:pt idx="50">
                  <c:v>0.1065</c:v>
                </c:pt>
                <c:pt idx="51">
                  <c:v>0.23899999999999999</c:v>
                </c:pt>
                <c:pt idx="52">
                  <c:v>0.31100000000000005</c:v>
                </c:pt>
                <c:pt idx="53">
                  <c:v>0.31549999999999995</c:v>
                </c:pt>
                <c:pt idx="54">
                  <c:v>0.32600000000000007</c:v>
                </c:pt>
                <c:pt idx="55">
                  <c:v>0.36699999999999999</c:v>
                </c:pt>
                <c:pt idx="56">
                  <c:v>0.34649999999999997</c:v>
                </c:pt>
                <c:pt idx="57">
                  <c:v>0.33150000000000002</c:v>
                </c:pt>
                <c:pt idx="58">
                  <c:v>0.31549999999999995</c:v>
                </c:pt>
                <c:pt idx="59">
                  <c:v>0.31100000000000005</c:v>
                </c:pt>
                <c:pt idx="60">
                  <c:v>0.30049999999999999</c:v>
                </c:pt>
                <c:pt idx="61">
                  <c:v>0.33600000000000002</c:v>
                </c:pt>
                <c:pt idx="62">
                  <c:v>0.43300000000000005</c:v>
                </c:pt>
                <c:pt idx="63">
                  <c:v>0.40250000000000002</c:v>
                </c:pt>
                <c:pt idx="64">
                  <c:v>0.42800000000000005</c:v>
                </c:pt>
                <c:pt idx="65">
                  <c:v>0.46349999999999997</c:v>
                </c:pt>
                <c:pt idx="66">
                  <c:v>0.55099999999999993</c:v>
                </c:pt>
                <c:pt idx="67">
                  <c:v>0.58599999999999997</c:v>
                </c:pt>
                <c:pt idx="68">
                  <c:v>0.65249999999999997</c:v>
                </c:pt>
                <c:pt idx="69">
                  <c:v>0.61199999999999999</c:v>
                </c:pt>
                <c:pt idx="70">
                  <c:v>0.627</c:v>
                </c:pt>
                <c:pt idx="71">
                  <c:v>0.61199999999999999</c:v>
                </c:pt>
                <c:pt idx="72">
                  <c:v>0.627</c:v>
                </c:pt>
                <c:pt idx="73">
                  <c:v>0.46850000000000003</c:v>
                </c:pt>
                <c:pt idx="74">
                  <c:v>0.47399999999999998</c:v>
                </c:pt>
                <c:pt idx="75">
                  <c:v>0.52500000000000002</c:v>
                </c:pt>
                <c:pt idx="76">
                  <c:v>0.64750000000000008</c:v>
                </c:pt>
                <c:pt idx="77">
                  <c:v>0.61199999999999999</c:v>
                </c:pt>
                <c:pt idx="78">
                  <c:v>0.55049999999999999</c:v>
                </c:pt>
                <c:pt idx="79">
                  <c:v>0.59649999999999992</c:v>
                </c:pt>
                <c:pt idx="80">
                  <c:v>0.66250000000000009</c:v>
                </c:pt>
                <c:pt idx="81">
                  <c:v>0.73399999999999999</c:v>
                </c:pt>
                <c:pt idx="82">
                  <c:v>0.71850000000000003</c:v>
                </c:pt>
                <c:pt idx="83">
                  <c:v>0.71899999999999986</c:v>
                </c:pt>
                <c:pt idx="84">
                  <c:v>0.6835</c:v>
                </c:pt>
                <c:pt idx="85">
                  <c:v>0.77500000000000013</c:v>
                </c:pt>
                <c:pt idx="86">
                  <c:v>0.77</c:v>
                </c:pt>
                <c:pt idx="87">
                  <c:v>0.74950000000000006</c:v>
                </c:pt>
                <c:pt idx="88">
                  <c:v>0.60150000000000003</c:v>
                </c:pt>
                <c:pt idx="89">
                  <c:v>0.61699999999999999</c:v>
                </c:pt>
                <c:pt idx="90">
                  <c:v>0.58099999999999996</c:v>
                </c:pt>
                <c:pt idx="91">
                  <c:v>0.55049999999999999</c:v>
                </c:pt>
                <c:pt idx="92">
                  <c:v>0.4995</c:v>
                </c:pt>
                <c:pt idx="93">
                  <c:v>0.44350000000000006</c:v>
                </c:pt>
                <c:pt idx="94">
                  <c:v>0.45350000000000001</c:v>
                </c:pt>
                <c:pt idx="95">
                  <c:v>0.377</c:v>
                </c:pt>
                <c:pt idx="96">
                  <c:v>0.39750000000000002</c:v>
                </c:pt>
                <c:pt idx="97">
                  <c:v>0.39249999999999996</c:v>
                </c:pt>
                <c:pt idx="98">
                  <c:v>0.38200000000000001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82-404E-812A-B034ECD05D2E}"/>
            </c:ext>
          </c:extLst>
        </c:ser>
        <c:ser>
          <c:idx val="2"/>
          <c:order val="2"/>
          <c:tx>
            <c:strRef>
              <c:f>'面板-景气指数'!$A$128</c:f>
              <c:strCache>
                <c:ptCount val="1"/>
                <c:pt idx="0">
                  <c:v>酒店餐饮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'面板-景气指数'!$F$128:$CZ$128</c:f>
              <c:numCache>
                <c:formatCode>0.0%</c:formatCode>
                <c:ptCount val="99"/>
                <c:pt idx="0">
                  <c:v>0.77200000000000002</c:v>
                </c:pt>
                <c:pt idx="1">
                  <c:v>0.77200000000000002</c:v>
                </c:pt>
                <c:pt idx="2">
                  <c:v>0.79933333333333345</c:v>
                </c:pt>
                <c:pt idx="3">
                  <c:v>0.82300000000000006</c:v>
                </c:pt>
                <c:pt idx="4">
                  <c:v>0.80933333333333335</c:v>
                </c:pt>
                <c:pt idx="5">
                  <c:v>0.79600000000000004</c:v>
                </c:pt>
                <c:pt idx="6">
                  <c:v>0.75233333333333341</c:v>
                </c:pt>
                <c:pt idx="7">
                  <c:v>0.73899999999999999</c:v>
                </c:pt>
                <c:pt idx="8">
                  <c:v>0.72566666666666657</c:v>
                </c:pt>
                <c:pt idx="9">
                  <c:v>0.79266666666666663</c:v>
                </c:pt>
                <c:pt idx="10">
                  <c:v>0.91933333333333334</c:v>
                </c:pt>
                <c:pt idx="11">
                  <c:v>0.93266666666666664</c:v>
                </c:pt>
                <c:pt idx="12">
                  <c:v>0.89566666666666683</c:v>
                </c:pt>
                <c:pt idx="13">
                  <c:v>0.77233333333333332</c:v>
                </c:pt>
                <c:pt idx="14">
                  <c:v>0.52866666666666673</c:v>
                </c:pt>
                <c:pt idx="15">
                  <c:v>0.4883333333333334</c:v>
                </c:pt>
                <c:pt idx="16">
                  <c:v>0.44566666666666666</c:v>
                </c:pt>
                <c:pt idx="17">
                  <c:v>0.48166666666666669</c:v>
                </c:pt>
                <c:pt idx="18">
                  <c:v>0.54533333333333334</c:v>
                </c:pt>
                <c:pt idx="19">
                  <c:v>0.50166666666666671</c:v>
                </c:pt>
                <c:pt idx="20">
                  <c:v>0.45466666666666672</c:v>
                </c:pt>
                <c:pt idx="21">
                  <c:v>0.20933333333333334</c:v>
                </c:pt>
                <c:pt idx="22">
                  <c:v>0.17333333333333334</c:v>
                </c:pt>
                <c:pt idx="23">
                  <c:v>0.11033333333333332</c:v>
                </c:pt>
                <c:pt idx="24">
                  <c:v>0.12400000000000001</c:v>
                </c:pt>
                <c:pt idx="25">
                  <c:v>0.12733333333333335</c:v>
                </c:pt>
                <c:pt idx="26">
                  <c:v>0.30100000000000005</c:v>
                </c:pt>
                <c:pt idx="27">
                  <c:v>0.36499999999999999</c:v>
                </c:pt>
                <c:pt idx="28">
                  <c:v>0.44100000000000006</c:v>
                </c:pt>
                <c:pt idx="29">
                  <c:v>0.67700000000000005</c:v>
                </c:pt>
                <c:pt idx="30">
                  <c:v>0.70733333333333337</c:v>
                </c:pt>
                <c:pt idx="31">
                  <c:v>0.51133333333333331</c:v>
                </c:pt>
                <c:pt idx="32">
                  <c:v>0.47466666666666668</c:v>
                </c:pt>
                <c:pt idx="33">
                  <c:v>0.49833333333333329</c:v>
                </c:pt>
                <c:pt idx="34">
                  <c:v>0.44233333333333336</c:v>
                </c:pt>
                <c:pt idx="35">
                  <c:v>0.6213333333333334</c:v>
                </c:pt>
                <c:pt idx="36">
                  <c:v>0.75700000000000001</c:v>
                </c:pt>
                <c:pt idx="37">
                  <c:v>0.91300000000000003</c:v>
                </c:pt>
                <c:pt idx="38">
                  <c:v>0.91533333333333344</c:v>
                </c:pt>
                <c:pt idx="39">
                  <c:v>0.69399999999999995</c:v>
                </c:pt>
                <c:pt idx="40">
                  <c:v>0.70066666666666666</c:v>
                </c:pt>
                <c:pt idx="41">
                  <c:v>0.67366666666666675</c:v>
                </c:pt>
                <c:pt idx="42">
                  <c:v>0.6203333333333334</c:v>
                </c:pt>
                <c:pt idx="43">
                  <c:v>0.20899999999999999</c:v>
                </c:pt>
                <c:pt idx="44">
                  <c:v>0.23566666666666669</c:v>
                </c:pt>
                <c:pt idx="45">
                  <c:v>0.24200000000000002</c:v>
                </c:pt>
                <c:pt idx="46">
                  <c:v>0.21866666666666668</c:v>
                </c:pt>
                <c:pt idx="47">
                  <c:v>0.14533333333333334</c:v>
                </c:pt>
                <c:pt idx="48">
                  <c:v>0.11266666666666668</c:v>
                </c:pt>
                <c:pt idx="49">
                  <c:v>8.9333333333333348E-2</c:v>
                </c:pt>
                <c:pt idx="50">
                  <c:v>5.9666666666666666E-2</c:v>
                </c:pt>
                <c:pt idx="51">
                  <c:v>0.16899999999999998</c:v>
                </c:pt>
                <c:pt idx="52">
                  <c:v>0.153</c:v>
                </c:pt>
                <c:pt idx="53">
                  <c:v>0.18600000000000003</c:v>
                </c:pt>
                <c:pt idx="54">
                  <c:v>0.26933333333333331</c:v>
                </c:pt>
                <c:pt idx="55">
                  <c:v>0.42566666666666669</c:v>
                </c:pt>
                <c:pt idx="56">
                  <c:v>0.52800000000000002</c:v>
                </c:pt>
                <c:pt idx="57">
                  <c:v>0.48100000000000004</c:v>
                </c:pt>
                <c:pt idx="58">
                  <c:v>0.46100000000000002</c:v>
                </c:pt>
                <c:pt idx="59">
                  <c:v>0.52166666666666672</c:v>
                </c:pt>
                <c:pt idx="60">
                  <c:v>0.56566666666666676</c:v>
                </c:pt>
                <c:pt idx="61">
                  <c:v>0.59566666666666679</c:v>
                </c:pt>
                <c:pt idx="62">
                  <c:v>0.48166666666666669</c:v>
                </c:pt>
                <c:pt idx="63">
                  <c:v>0.38333333333333336</c:v>
                </c:pt>
                <c:pt idx="64">
                  <c:v>0.3706666666666667</c:v>
                </c:pt>
                <c:pt idx="65">
                  <c:v>0.39366666666666672</c:v>
                </c:pt>
                <c:pt idx="66">
                  <c:v>0.47400000000000003</c:v>
                </c:pt>
                <c:pt idx="67">
                  <c:v>0.38800000000000001</c:v>
                </c:pt>
                <c:pt idx="68">
                  <c:v>0.48266666666666674</c:v>
                </c:pt>
                <c:pt idx="69">
                  <c:v>0.47599999999999998</c:v>
                </c:pt>
                <c:pt idx="70">
                  <c:v>0.52366666666666672</c:v>
                </c:pt>
                <c:pt idx="71">
                  <c:v>0.54400000000000004</c:v>
                </c:pt>
                <c:pt idx="72">
                  <c:v>0.54066666666666674</c:v>
                </c:pt>
                <c:pt idx="73">
                  <c:v>0.53733333333333333</c:v>
                </c:pt>
                <c:pt idx="74">
                  <c:v>0.51333333333333331</c:v>
                </c:pt>
                <c:pt idx="75">
                  <c:v>0.53033333333333332</c:v>
                </c:pt>
                <c:pt idx="76">
                  <c:v>0.54400000000000004</c:v>
                </c:pt>
                <c:pt idx="77">
                  <c:v>0.55433333333333334</c:v>
                </c:pt>
                <c:pt idx="78">
                  <c:v>0.56433333333333335</c:v>
                </c:pt>
                <c:pt idx="79">
                  <c:v>0.57133333333333325</c:v>
                </c:pt>
                <c:pt idx="80">
                  <c:v>0.57466666666666666</c:v>
                </c:pt>
                <c:pt idx="81">
                  <c:v>0.56800000000000006</c:v>
                </c:pt>
                <c:pt idx="82">
                  <c:v>0.55766666666666664</c:v>
                </c:pt>
                <c:pt idx="83">
                  <c:v>0.53400000000000003</c:v>
                </c:pt>
                <c:pt idx="84">
                  <c:v>0.51</c:v>
                </c:pt>
                <c:pt idx="85">
                  <c:v>0.47933333333333339</c:v>
                </c:pt>
                <c:pt idx="86">
                  <c:v>0.43533333333333335</c:v>
                </c:pt>
                <c:pt idx="87">
                  <c:v>0.41466666666666668</c:v>
                </c:pt>
                <c:pt idx="88">
                  <c:v>0.41833333333333333</c:v>
                </c:pt>
                <c:pt idx="89">
                  <c:v>0.42166666666666669</c:v>
                </c:pt>
                <c:pt idx="90">
                  <c:v>0.42500000000000004</c:v>
                </c:pt>
                <c:pt idx="91">
                  <c:v>0.42833333333333334</c:v>
                </c:pt>
                <c:pt idx="92">
                  <c:v>0.4316666666666667</c:v>
                </c:pt>
                <c:pt idx="93">
                  <c:v>0.44866666666666671</c:v>
                </c:pt>
                <c:pt idx="94">
                  <c:v>0.45900000000000002</c:v>
                </c:pt>
                <c:pt idx="95">
                  <c:v>0.46566666666666667</c:v>
                </c:pt>
                <c:pt idx="96">
                  <c:v>0.45233333333333337</c:v>
                </c:pt>
                <c:pt idx="97">
                  <c:v>0.442</c:v>
                </c:pt>
                <c:pt idx="98">
                  <c:v>0.45233333333333337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182-404E-812A-B034ECD05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9683973004696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'面板-景气指数'!$A$49</c:f>
              <c:strCache>
                <c:ptCount val="1"/>
                <c:pt idx="0">
                  <c:v>纺织服饰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'面板-景气指数'!$F$49:$CZ$49</c:f>
              <c:numCache>
                <c:formatCode>0.0%</c:formatCode>
                <c:ptCount val="99"/>
                <c:pt idx="0">
                  <c:v>0.76413109973610982</c:v>
                </c:pt>
                <c:pt idx="1">
                  <c:v>0.73106102315765653</c:v>
                </c:pt>
                <c:pt idx="2">
                  <c:v>0.73656893607873131</c:v>
                </c:pt>
                <c:pt idx="3">
                  <c:v>0.66528822473994143</c:v>
                </c:pt>
                <c:pt idx="4">
                  <c:v>0.63491412763323196</c:v>
                </c:pt>
                <c:pt idx="5">
                  <c:v>0.56797350149995629</c:v>
                </c:pt>
                <c:pt idx="6">
                  <c:v>0.52507040382674464</c:v>
                </c:pt>
                <c:pt idx="7">
                  <c:v>0.4312374700614976</c:v>
                </c:pt>
                <c:pt idx="8">
                  <c:v>0.4018185768332192</c:v>
                </c:pt>
                <c:pt idx="9">
                  <c:v>0.46378891132353572</c:v>
                </c:pt>
                <c:pt idx="10">
                  <c:v>0.55244087366252914</c:v>
                </c:pt>
                <c:pt idx="11">
                  <c:v>0.5995840093612741</c:v>
                </c:pt>
                <c:pt idx="12">
                  <c:v>0.58261115919977069</c:v>
                </c:pt>
                <c:pt idx="13">
                  <c:v>0.54996732736047704</c:v>
                </c:pt>
                <c:pt idx="14">
                  <c:v>0.15857547410906411</c:v>
                </c:pt>
                <c:pt idx="15">
                  <c:v>0.17190831720296201</c:v>
                </c:pt>
                <c:pt idx="16">
                  <c:v>0.20777302250456386</c:v>
                </c:pt>
                <c:pt idx="17">
                  <c:v>0.29447462530906554</c:v>
                </c:pt>
                <c:pt idx="18">
                  <c:v>0.38870807776718952</c:v>
                </c:pt>
                <c:pt idx="19">
                  <c:v>0.51500431412079228</c:v>
                </c:pt>
                <c:pt idx="20">
                  <c:v>0.55185707767936032</c:v>
                </c:pt>
                <c:pt idx="21">
                  <c:v>0.53800534601594141</c:v>
                </c:pt>
                <c:pt idx="22">
                  <c:v>0.3241381620696438</c:v>
                </c:pt>
                <c:pt idx="23">
                  <c:v>0.31243288436219002</c:v>
                </c:pt>
                <c:pt idx="24">
                  <c:v>0.29253400907126281</c:v>
                </c:pt>
                <c:pt idx="25">
                  <c:v>0.36415645915036571</c:v>
                </c:pt>
                <c:pt idx="26">
                  <c:v>0.54811799010431983</c:v>
                </c:pt>
                <c:pt idx="27">
                  <c:v>0.61674344833707384</c:v>
                </c:pt>
                <c:pt idx="28">
                  <c:v>0.67344222307149937</c:v>
                </c:pt>
                <c:pt idx="29">
                  <c:v>0.70462533677479977</c:v>
                </c:pt>
                <c:pt idx="30">
                  <c:v>0.71098190562579466</c:v>
                </c:pt>
                <c:pt idx="31">
                  <c:v>0.70732891215538274</c:v>
                </c:pt>
                <c:pt idx="32">
                  <c:v>0.76786789409614431</c:v>
                </c:pt>
                <c:pt idx="33">
                  <c:v>0.82289550536009903</c:v>
                </c:pt>
                <c:pt idx="34">
                  <c:v>0.86440108330454657</c:v>
                </c:pt>
                <c:pt idx="35">
                  <c:v>0.88135010712355299</c:v>
                </c:pt>
                <c:pt idx="36">
                  <c:v>0.94350459525006891</c:v>
                </c:pt>
                <c:pt idx="37">
                  <c:v>0.93277679077256348</c:v>
                </c:pt>
                <c:pt idx="38">
                  <c:v>0.77134527532543895</c:v>
                </c:pt>
                <c:pt idx="39">
                  <c:v>0.67435714986429796</c:v>
                </c:pt>
                <c:pt idx="40">
                  <c:v>0.67465060547435929</c:v>
                </c:pt>
                <c:pt idx="41">
                  <c:v>0.67224189218206998</c:v>
                </c:pt>
                <c:pt idx="42">
                  <c:v>0.61810743324451645</c:v>
                </c:pt>
                <c:pt idx="43">
                  <c:v>0.53110803710368915</c:v>
                </c:pt>
                <c:pt idx="44">
                  <c:v>0.39785676952020854</c:v>
                </c:pt>
                <c:pt idx="45">
                  <c:v>0.28867621059110771</c:v>
                </c:pt>
                <c:pt idx="46">
                  <c:v>0.1816582968619232</c:v>
                </c:pt>
                <c:pt idx="47">
                  <c:v>0.14189015102568506</c:v>
                </c:pt>
                <c:pt idx="48">
                  <c:v>5.6848589349114576E-2</c:v>
                </c:pt>
                <c:pt idx="49">
                  <c:v>6.5978637977087834E-2</c:v>
                </c:pt>
                <c:pt idx="50">
                  <c:v>0.3260872831218915</c:v>
                </c:pt>
                <c:pt idx="51">
                  <c:v>0.46866390847038231</c:v>
                </c:pt>
                <c:pt idx="52">
                  <c:v>0.38358600294614265</c:v>
                </c:pt>
                <c:pt idx="53">
                  <c:v>0.30388714082028173</c:v>
                </c:pt>
                <c:pt idx="54">
                  <c:v>0.28106563572377247</c:v>
                </c:pt>
                <c:pt idx="55">
                  <c:v>0.31535486478199243</c:v>
                </c:pt>
                <c:pt idx="56">
                  <c:v>0.35836254378473342</c:v>
                </c:pt>
                <c:pt idx="57">
                  <c:v>0.41126364181277031</c:v>
                </c:pt>
                <c:pt idx="58">
                  <c:v>0.40596184486792025</c:v>
                </c:pt>
                <c:pt idx="59">
                  <c:v>0.4526491212565969</c:v>
                </c:pt>
                <c:pt idx="60">
                  <c:v>0.38732038423085946</c:v>
                </c:pt>
                <c:pt idx="61">
                  <c:v>0.42140482195630835</c:v>
                </c:pt>
                <c:pt idx="62">
                  <c:v>0.32929074170740646</c:v>
                </c:pt>
                <c:pt idx="63">
                  <c:v>0.39840255948455994</c:v>
                </c:pt>
                <c:pt idx="64">
                  <c:v>0.39730344768067855</c:v>
                </c:pt>
                <c:pt idx="65">
                  <c:v>0.45683197184021607</c:v>
                </c:pt>
                <c:pt idx="66">
                  <c:v>0.5120945775304846</c:v>
                </c:pt>
                <c:pt idx="67">
                  <c:v>0.56116862223081776</c:v>
                </c:pt>
                <c:pt idx="68">
                  <c:v>0.57357627405713008</c:v>
                </c:pt>
                <c:pt idx="69">
                  <c:v>0.52527432243823269</c:v>
                </c:pt>
                <c:pt idx="70">
                  <c:v>0.50792706249040798</c:v>
                </c:pt>
                <c:pt idx="71">
                  <c:v>0.48832592665357211</c:v>
                </c:pt>
                <c:pt idx="72">
                  <c:v>0.57625126082136735</c:v>
                </c:pt>
                <c:pt idx="73">
                  <c:v>0.61832792264109604</c:v>
                </c:pt>
                <c:pt idx="74">
                  <c:v>0.58826617812119941</c:v>
                </c:pt>
                <c:pt idx="75">
                  <c:v>0.50083979967549663</c:v>
                </c:pt>
                <c:pt idx="76">
                  <c:v>0.5196312151853606</c:v>
                </c:pt>
                <c:pt idx="77">
                  <c:v>0.54555065347586718</c:v>
                </c:pt>
                <c:pt idx="78">
                  <c:v>0.5176356259118966</c:v>
                </c:pt>
                <c:pt idx="79">
                  <c:v>0.51352780473345816</c:v>
                </c:pt>
                <c:pt idx="80">
                  <c:v>0.51024296071565245</c:v>
                </c:pt>
                <c:pt idx="81">
                  <c:v>0.53853060734859581</c:v>
                </c:pt>
                <c:pt idx="82">
                  <c:v>0.57763340724113688</c:v>
                </c:pt>
                <c:pt idx="83">
                  <c:v>0.63360721024959588</c:v>
                </c:pt>
                <c:pt idx="84">
                  <c:v>0.57380902998871186</c:v>
                </c:pt>
                <c:pt idx="85">
                  <c:v>0.57885052784629232</c:v>
                </c:pt>
                <c:pt idx="86">
                  <c:v>0.55295244650092079</c:v>
                </c:pt>
                <c:pt idx="87">
                  <c:v>0.56541065060465234</c:v>
                </c:pt>
                <c:pt idx="88">
                  <c:v>0.53892114290856896</c:v>
                </c:pt>
                <c:pt idx="89">
                  <c:v>0.53253086747940648</c:v>
                </c:pt>
                <c:pt idx="90">
                  <c:v>0.48643513940304495</c:v>
                </c:pt>
                <c:pt idx="91">
                  <c:v>0.45379702881917183</c:v>
                </c:pt>
                <c:pt idx="92">
                  <c:v>0.43831058475661566</c:v>
                </c:pt>
                <c:pt idx="93">
                  <c:v>0.40472765292443302</c:v>
                </c:pt>
                <c:pt idx="94">
                  <c:v>0.40335189168151697</c:v>
                </c:pt>
                <c:pt idx="95">
                  <c:v>0.36485958503207483</c:v>
                </c:pt>
                <c:pt idx="96">
                  <c:v>0.37049900158308963</c:v>
                </c:pt>
                <c:pt idx="97">
                  <c:v>0.30170029162334971</c:v>
                </c:pt>
                <c:pt idx="98">
                  <c:v>0.4069069571595571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15-4110-8064-919850EEAB80}"/>
            </c:ext>
          </c:extLst>
        </c:ser>
        <c:ser>
          <c:idx val="1"/>
          <c:order val="1"/>
          <c:tx>
            <c:strRef>
              <c:f>'面板-景气指数'!$A$130</c:f>
              <c:strCache>
                <c:ptCount val="1"/>
                <c:pt idx="0">
                  <c:v>纺织制造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'面板-景气指数'!$F$130:$CZ$130</c:f>
              <c:numCache>
                <c:formatCode>0.0%</c:formatCode>
                <c:ptCount val="99"/>
                <c:pt idx="0">
                  <c:v>0.68919999999999992</c:v>
                </c:pt>
                <c:pt idx="1">
                  <c:v>0.61339999999999995</c:v>
                </c:pt>
                <c:pt idx="2">
                  <c:v>0.64999999999999991</c:v>
                </c:pt>
                <c:pt idx="3">
                  <c:v>0.57179999999999986</c:v>
                </c:pt>
                <c:pt idx="4">
                  <c:v>0.5756</c:v>
                </c:pt>
                <c:pt idx="5">
                  <c:v>0.50219999999999998</c:v>
                </c:pt>
                <c:pt idx="6">
                  <c:v>0.41220000000000001</c:v>
                </c:pt>
                <c:pt idx="7">
                  <c:v>0.37319999999999992</c:v>
                </c:pt>
                <c:pt idx="8">
                  <c:v>0.30180000000000001</c:v>
                </c:pt>
                <c:pt idx="9">
                  <c:v>0.2792</c:v>
                </c:pt>
                <c:pt idx="10">
                  <c:v>0.27139999999999997</c:v>
                </c:pt>
                <c:pt idx="11">
                  <c:v>0.31079999999999997</c:v>
                </c:pt>
                <c:pt idx="12">
                  <c:v>0.3024</c:v>
                </c:pt>
                <c:pt idx="13">
                  <c:v>0.37339999999999995</c:v>
                </c:pt>
                <c:pt idx="14">
                  <c:v>0.22799999999999998</c:v>
                </c:pt>
                <c:pt idx="15">
                  <c:v>0.20579999999999998</c:v>
                </c:pt>
                <c:pt idx="16">
                  <c:v>0.21199999999999997</c:v>
                </c:pt>
                <c:pt idx="17">
                  <c:v>0.2732</c:v>
                </c:pt>
                <c:pt idx="18">
                  <c:v>0.39619999999999994</c:v>
                </c:pt>
                <c:pt idx="19">
                  <c:v>0.51480000000000004</c:v>
                </c:pt>
                <c:pt idx="20">
                  <c:v>0.55999999999999994</c:v>
                </c:pt>
                <c:pt idx="21">
                  <c:v>0.65839999999999987</c:v>
                </c:pt>
                <c:pt idx="22">
                  <c:v>0.6724</c:v>
                </c:pt>
                <c:pt idx="23">
                  <c:v>0.71539999999999992</c:v>
                </c:pt>
                <c:pt idx="24">
                  <c:v>0.68020000000000003</c:v>
                </c:pt>
                <c:pt idx="25">
                  <c:v>0.74</c:v>
                </c:pt>
                <c:pt idx="26">
                  <c:v>0.73959999999999981</c:v>
                </c:pt>
                <c:pt idx="27">
                  <c:v>0.76839999999999986</c:v>
                </c:pt>
                <c:pt idx="28">
                  <c:v>0.76019999999999999</c:v>
                </c:pt>
                <c:pt idx="29">
                  <c:v>0.70899999999999996</c:v>
                </c:pt>
                <c:pt idx="30">
                  <c:v>0.63279999999999992</c:v>
                </c:pt>
                <c:pt idx="31">
                  <c:v>0.61160000000000003</c:v>
                </c:pt>
                <c:pt idx="32">
                  <c:v>0.64460000000000006</c:v>
                </c:pt>
                <c:pt idx="33">
                  <c:v>0.71579999999999999</c:v>
                </c:pt>
                <c:pt idx="34">
                  <c:v>0.73219999999999996</c:v>
                </c:pt>
                <c:pt idx="35">
                  <c:v>0.75459999999999994</c:v>
                </c:pt>
                <c:pt idx="36">
                  <c:v>0.92999999999999983</c:v>
                </c:pt>
                <c:pt idx="37">
                  <c:v>0.90139999999999998</c:v>
                </c:pt>
                <c:pt idx="38">
                  <c:v>0.6976</c:v>
                </c:pt>
                <c:pt idx="39">
                  <c:v>0.50519999999999987</c:v>
                </c:pt>
                <c:pt idx="40">
                  <c:v>0.53200000000000003</c:v>
                </c:pt>
                <c:pt idx="41">
                  <c:v>0.55659999999999987</c:v>
                </c:pt>
                <c:pt idx="42">
                  <c:v>0.53400000000000003</c:v>
                </c:pt>
                <c:pt idx="43">
                  <c:v>0.40160000000000001</c:v>
                </c:pt>
                <c:pt idx="44">
                  <c:v>0.34639999999999999</c:v>
                </c:pt>
                <c:pt idx="45">
                  <c:v>0.30959999999999999</c:v>
                </c:pt>
                <c:pt idx="46">
                  <c:v>0.26079999999999998</c:v>
                </c:pt>
                <c:pt idx="47">
                  <c:v>0.2218</c:v>
                </c:pt>
                <c:pt idx="48">
                  <c:v>9.8000000000000004E-2</c:v>
                </c:pt>
                <c:pt idx="49">
                  <c:v>9.1400000000000009E-2</c:v>
                </c:pt>
                <c:pt idx="50">
                  <c:v>0.27940000000000004</c:v>
                </c:pt>
                <c:pt idx="51">
                  <c:v>0.39439999999999997</c:v>
                </c:pt>
                <c:pt idx="52">
                  <c:v>0.31479999999999997</c:v>
                </c:pt>
                <c:pt idx="53">
                  <c:v>0.21859999999999999</c:v>
                </c:pt>
                <c:pt idx="54">
                  <c:v>0.24319999999999997</c:v>
                </c:pt>
                <c:pt idx="55">
                  <c:v>0.2656</c:v>
                </c:pt>
                <c:pt idx="56">
                  <c:v>0.28119999999999995</c:v>
                </c:pt>
                <c:pt idx="57">
                  <c:v>0.26559999999999995</c:v>
                </c:pt>
                <c:pt idx="58">
                  <c:v>0.25340000000000001</c:v>
                </c:pt>
                <c:pt idx="59">
                  <c:v>0.39079999999999998</c:v>
                </c:pt>
                <c:pt idx="60">
                  <c:v>0.37359999999999999</c:v>
                </c:pt>
                <c:pt idx="61">
                  <c:v>0.42499999999999999</c:v>
                </c:pt>
                <c:pt idx="62">
                  <c:v>0.32659999999999995</c:v>
                </c:pt>
                <c:pt idx="63">
                  <c:v>0.48460000000000003</c:v>
                </c:pt>
                <c:pt idx="64">
                  <c:v>0.50680000000000003</c:v>
                </c:pt>
                <c:pt idx="65">
                  <c:v>0.56999999999999984</c:v>
                </c:pt>
                <c:pt idx="66">
                  <c:v>0.60719999999999996</c:v>
                </c:pt>
                <c:pt idx="67">
                  <c:v>0.66839999999999999</c:v>
                </c:pt>
                <c:pt idx="68">
                  <c:v>0.68259999999999987</c:v>
                </c:pt>
                <c:pt idx="69">
                  <c:v>0.67859999999999987</c:v>
                </c:pt>
                <c:pt idx="70">
                  <c:v>0.66</c:v>
                </c:pt>
                <c:pt idx="71">
                  <c:v>0.55319999999999991</c:v>
                </c:pt>
                <c:pt idx="72">
                  <c:v>0.61339999999999995</c:v>
                </c:pt>
                <c:pt idx="73">
                  <c:v>0.59320000000000006</c:v>
                </c:pt>
                <c:pt idx="74">
                  <c:v>0.59940000000000004</c:v>
                </c:pt>
                <c:pt idx="75">
                  <c:v>0.53780000000000006</c:v>
                </c:pt>
                <c:pt idx="76">
                  <c:v>0.55799999999999994</c:v>
                </c:pt>
                <c:pt idx="77">
                  <c:v>0.56640000000000001</c:v>
                </c:pt>
                <c:pt idx="78">
                  <c:v>0.49660000000000004</c:v>
                </c:pt>
                <c:pt idx="79">
                  <c:v>0.48839999999999995</c:v>
                </c:pt>
                <c:pt idx="80">
                  <c:v>0.51880000000000015</c:v>
                </c:pt>
                <c:pt idx="81">
                  <c:v>0.59039999999999992</c:v>
                </c:pt>
                <c:pt idx="82">
                  <c:v>0.65359999999999996</c:v>
                </c:pt>
                <c:pt idx="83">
                  <c:v>0.70079999999999987</c:v>
                </c:pt>
                <c:pt idx="84">
                  <c:v>0.60640000000000005</c:v>
                </c:pt>
                <c:pt idx="85">
                  <c:v>0.58379999999999999</c:v>
                </c:pt>
                <c:pt idx="86">
                  <c:v>0.55899999999999983</c:v>
                </c:pt>
                <c:pt idx="87">
                  <c:v>0.62059999999999993</c:v>
                </c:pt>
                <c:pt idx="88">
                  <c:v>0.5776</c:v>
                </c:pt>
                <c:pt idx="89">
                  <c:v>0.55719999999999992</c:v>
                </c:pt>
                <c:pt idx="90">
                  <c:v>0.55099999999999993</c:v>
                </c:pt>
                <c:pt idx="91">
                  <c:v>0.50819999999999999</c:v>
                </c:pt>
                <c:pt idx="92">
                  <c:v>0.51040000000000008</c:v>
                </c:pt>
                <c:pt idx="93">
                  <c:v>0.44100000000000006</c:v>
                </c:pt>
                <c:pt idx="94">
                  <c:v>0.38599999999999995</c:v>
                </c:pt>
                <c:pt idx="95">
                  <c:v>0.40699999999999997</c:v>
                </c:pt>
                <c:pt idx="96">
                  <c:v>0.40859999999999996</c:v>
                </c:pt>
                <c:pt idx="97">
                  <c:v>0.41460000000000002</c:v>
                </c:pt>
                <c:pt idx="98">
                  <c:v>0.40599999999999997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15-4110-8064-919850EEAB80}"/>
            </c:ext>
          </c:extLst>
        </c:ser>
        <c:ser>
          <c:idx val="2"/>
          <c:order val="2"/>
          <c:tx>
            <c:strRef>
              <c:f>'面板-景气指数'!$A$131</c:f>
              <c:strCache>
                <c:ptCount val="1"/>
                <c:pt idx="0">
                  <c:v>服装家纺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'面板-景气指数'!$F$131:$CZ$131</c:f>
              <c:numCache>
                <c:formatCode>0.0%</c:formatCode>
                <c:ptCount val="99"/>
                <c:pt idx="0">
                  <c:v>0.69679999999999986</c:v>
                </c:pt>
                <c:pt idx="1">
                  <c:v>0.66839999999999999</c:v>
                </c:pt>
                <c:pt idx="2">
                  <c:v>0.65400000000000003</c:v>
                </c:pt>
                <c:pt idx="3">
                  <c:v>0.55240000000000011</c:v>
                </c:pt>
                <c:pt idx="4">
                  <c:v>0.51400000000000001</c:v>
                </c:pt>
                <c:pt idx="5">
                  <c:v>0.47540000000000004</c:v>
                </c:pt>
                <c:pt idx="6">
                  <c:v>0.44080000000000003</c:v>
                </c:pt>
                <c:pt idx="7">
                  <c:v>0.43060000000000004</c:v>
                </c:pt>
                <c:pt idx="8">
                  <c:v>0.41739999999999999</c:v>
                </c:pt>
                <c:pt idx="9">
                  <c:v>0.4098</c:v>
                </c:pt>
                <c:pt idx="10">
                  <c:v>0.47100000000000003</c:v>
                </c:pt>
                <c:pt idx="11">
                  <c:v>0.52</c:v>
                </c:pt>
                <c:pt idx="12">
                  <c:v>0.46239999999999998</c:v>
                </c:pt>
                <c:pt idx="13">
                  <c:v>0.32780000000000004</c:v>
                </c:pt>
                <c:pt idx="14">
                  <c:v>0.19</c:v>
                </c:pt>
                <c:pt idx="15">
                  <c:v>0.1608</c:v>
                </c:pt>
                <c:pt idx="16">
                  <c:v>0.16059999999999999</c:v>
                </c:pt>
                <c:pt idx="17">
                  <c:v>0.17040000000000002</c:v>
                </c:pt>
                <c:pt idx="18">
                  <c:v>0.19739999999999999</c:v>
                </c:pt>
                <c:pt idx="19">
                  <c:v>0.29540000000000005</c:v>
                </c:pt>
                <c:pt idx="20">
                  <c:v>0.33080000000000004</c:v>
                </c:pt>
                <c:pt idx="21">
                  <c:v>0.31560000000000005</c:v>
                </c:pt>
                <c:pt idx="22">
                  <c:v>0.27060000000000001</c:v>
                </c:pt>
                <c:pt idx="23">
                  <c:v>0.24220000000000003</c:v>
                </c:pt>
                <c:pt idx="24">
                  <c:v>0.23460000000000003</c:v>
                </c:pt>
                <c:pt idx="25">
                  <c:v>0.3518</c:v>
                </c:pt>
                <c:pt idx="26">
                  <c:v>0.42480000000000001</c:v>
                </c:pt>
                <c:pt idx="27">
                  <c:v>0.52220000000000011</c:v>
                </c:pt>
                <c:pt idx="28">
                  <c:v>0.57080000000000009</c:v>
                </c:pt>
                <c:pt idx="29">
                  <c:v>0.63139999999999996</c:v>
                </c:pt>
                <c:pt idx="30">
                  <c:v>0.69059999999999999</c:v>
                </c:pt>
                <c:pt idx="31">
                  <c:v>0.68880000000000008</c:v>
                </c:pt>
                <c:pt idx="32">
                  <c:v>0.77980000000000005</c:v>
                </c:pt>
                <c:pt idx="33">
                  <c:v>0.85220000000000007</c:v>
                </c:pt>
                <c:pt idx="34">
                  <c:v>0.90439999999999998</c:v>
                </c:pt>
                <c:pt idx="35">
                  <c:v>0.89559999999999984</c:v>
                </c:pt>
                <c:pt idx="36">
                  <c:v>0.91379999999999995</c:v>
                </c:pt>
                <c:pt idx="37">
                  <c:v>0.89799999999999991</c:v>
                </c:pt>
                <c:pt idx="38">
                  <c:v>0.84740000000000015</c:v>
                </c:pt>
                <c:pt idx="39">
                  <c:v>0.64860000000000007</c:v>
                </c:pt>
                <c:pt idx="40">
                  <c:v>0.64580000000000004</c:v>
                </c:pt>
                <c:pt idx="41">
                  <c:v>0.61080000000000001</c:v>
                </c:pt>
                <c:pt idx="42">
                  <c:v>0.5474</c:v>
                </c:pt>
                <c:pt idx="43">
                  <c:v>0.44680000000000003</c:v>
                </c:pt>
                <c:pt idx="44">
                  <c:v>0.316</c:v>
                </c:pt>
                <c:pt idx="45">
                  <c:v>0.24500000000000002</c:v>
                </c:pt>
                <c:pt idx="46">
                  <c:v>0.17960000000000001</c:v>
                </c:pt>
                <c:pt idx="47">
                  <c:v>0.159</c:v>
                </c:pt>
                <c:pt idx="48">
                  <c:v>5.680000000000001E-2</c:v>
                </c:pt>
                <c:pt idx="49">
                  <c:v>0.10439999999999999</c:v>
                </c:pt>
                <c:pt idx="50">
                  <c:v>0.27800000000000002</c:v>
                </c:pt>
                <c:pt idx="51">
                  <c:v>0.64240000000000008</c:v>
                </c:pt>
                <c:pt idx="52">
                  <c:v>0.56000000000000005</c:v>
                </c:pt>
                <c:pt idx="53">
                  <c:v>0.51419999999999999</c:v>
                </c:pt>
                <c:pt idx="54">
                  <c:v>0.48840000000000006</c:v>
                </c:pt>
                <c:pt idx="55">
                  <c:v>0.54400000000000004</c:v>
                </c:pt>
                <c:pt idx="56">
                  <c:v>0.54660000000000009</c:v>
                </c:pt>
                <c:pt idx="57">
                  <c:v>0.58199999999999996</c:v>
                </c:pt>
                <c:pt idx="58">
                  <c:v>0.55880000000000007</c:v>
                </c:pt>
                <c:pt idx="59">
                  <c:v>0.63960000000000006</c:v>
                </c:pt>
                <c:pt idx="60">
                  <c:v>0.5596000000000001</c:v>
                </c:pt>
                <c:pt idx="61">
                  <c:v>0.59240000000000004</c:v>
                </c:pt>
                <c:pt idx="62">
                  <c:v>0.50519999999999998</c:v>
                </c:pt>
                <c:pt idx="63">
                  <c:v>0.52839999999999998</c:v>
                </c:pt>
                <c:pt idx="64">
                  <c:v>0.55400000000000005</c:v>
                </c:pt>
                <c:pt idx="65">
                  <c:v>0.60840000000000005</c:v>
                </c:pt>
                <c:pt idx="66">
                  <c:v>0.63559999999999994</c:v>
                </c:pt>
                <c:pt idx="67">
                  <c:v>0.65459999999999996</c:v>
                </c:pt>
                <c:pt idx="68">
                  <c:v>0.70419999999999994</c:v>
                </c:pt>
                <c:pt idx="69">
                  <c:v>0.69679999999999986</c:v>
                </c:pt>
                <c:pt idx="70">
                  <c:v>0.69259999999999999</c:v>
                </c:pt>
                <c:pt idx="71">
                  <c:v>0.63259999999999994</c:v>
                </c:pt>
                <c:pt idx="72">
                  <c:v>0.78439999999999999</c:v>
                </c:pt>
                <c:pt idx="73">
                  <c:v>0.749</c:v>
                </c:pt>
                <c:pt idx="74">
                  <c:v>0.76379999999999992</c:v>
                </c:pt>
                <c:pt idx="75">
                  <c:v>0.53260000000000007</c:v>
                </c:pt>
                <c:pt idx="76">
                  <c:v>0.55720000000000014</c:v>
                </c:pt>
                <c:pt idx="77">
                  <c:v>0.54720000000000002</c:v>
                </c:pt>
                <c:pt idx="78">
                  <c:v>0.48160000000000003</c:v>
                </c:pt>
                <c:pt idx="79">
                  <c:v>0.48600000000000004</c:v>
                </c:pt>
                <c:pt idx="80">
                  <c:v>0.47159999999999996</c:v>
                </c:pt>
                <c:pt idx="81">
                  <c:v>0.48160000000000003</c:v>
                </c:pt>
                <c:pt idx="82">
                  <c:v>0.49000000000000005</c:v>
                </c:pt>
                <c:pt idx="83">
                  <c:v>0.55740000000000001</c:v>
                </c:pt>
                <c:pt idx="84">
                  <c:v>0.48980000000000001</c:v>
                </c:pt>
                <c:pt idx="85">
                  <c:v>0.49379999999999996</c:v>
                </c:pt>
                <c:pt idx="86">
                  <c:v>0.41640000000000005</c:v>
                </c:pt>
                <c:pt idx="87">
                  <c:v>0.44700000000000001</c:v>
                </c:pt>
                <c:pt idx="88">
                  <c:v>0.42880000000000007</c:v>
                </c:pt>
                <c:pt idx="89">
                  <c:v>0.43680000000000002</c:v>
                </c:pt>
                <c:pt idx="90">
                  <c:v>0.41839999999999994</c:v>
                </c:pt>
                <c:pt idx="91">
                  <c:v>0.4022</c:v>
                </c:pt>
                <c:pt idx="92">
                  <c:v>0.4042</c:v>
                </c:pt>
                <c:pt idx="93">
                  <c:v>0.38800000000000001</c:v>
                </c:pt>
                <c:pt idx="94">
                  <c:v>0.41839999999999999</c:v>
                </c:pt>
                <c:pt idx="95">
                  <c:v>0.44500000000000001</c:v>
                </c:pt>
                <c:pt idx="96">
                  <c:v>0.4224</c:v>
                </c:pt>
                <c:pt idx="97">
                  <c:v>0.3982</c:v>
                </c:pt>
                <c:pt idx="98">
                  <c:v>0.32479999999999998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315-4110-8064-919850EEA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'面板-景气指数'!$A$52</c:f>
              <c:strCache>
                <c:ptCount val="1"/>
                <c:pt idx="0">
                  <c:v>轻工制造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'面板-景气指数'!$F$52:$CZ$52</c:f>
              <c:numCache>
                <c:formatCode>0.0%</c:formatCode>
                <c:ptCount val="99"/>
                <c:pt idx="0">
                  <c:v>0.20139872167346587</c:v>
                </c:pt>
                <c:pt idx="1">
                  <c:v>0.24042024272869675</c:v>
                </c:pt>
                <c:pt idx="2">
                  <c:v>0.33079007221435636</c:v>
                </c:pt>
                <c:pt idx="3">
                  <c:v>0.3563996310815174</c:v>
                </c:pt>
                <c:pt idx="4">
                  <c:v>0.36435387143773368</c:v>
                </c:pt>
                <c:pt idx="5">
                  <c:v>0.35443230529113906</c:v>
                </c:pt>
                <c:pt idx="6">
                  <c:v>0.36602609428591193</c:v>
                </c:pt>
                <c:pt idx="7">
                  <c:v>0.3478878900919643</c:v>
                </c:pt>
                <c:pt idx="8">
                  <c:v>0.34060399392170354</c:v>
                </c:pt>
                <c:pt idx="9">
                  <c:v>0.34313921292672633</c:v>
                </c:pt>
                <c:pt idx="10">
                  <c:v>0.37327012612848742</c:v>
                </c:pt>
                <c:pt idx="11">
                  <c:v>0.40924730802325915</c:v>
                </c:pt>
                <c:pt idx="12">
                  <c:v>0.44080664029042782</c:v>
                </c:pt>
                <c:pt idx="13">
                  <c:v>0.44815331090799759</c:v>
                </c:pt>
                <c:pt idx="14">
                  <c:v>0.3792266470940221</c:v>
                </c:pt>
                <c:pt idx="15">
                  <c:v>0.32391051967233597</c:v>
                </c:pt>
                <c:pt idx="16">
                  <c:v>0.33529892575820064</c:v>
                </c:pt>
                <c:pt idx="17">
                  <c:v>0.36224304733389773</c:v>
                </c:pt>
                <c:pt idx="18">
                  <c:v>0.38371771417040074</c:v>
                </c:pt>
                <c:pt idx="19">
                  <c:v>0.43100367514167082</c:v>
                </c:pt>
                <c:pt idx="20">
                  <c:v>0.52471026627230244</c:v>
                </c:pt>
                <c:pt idx="21">
                  <c:v>0.55434091752474501</c:v>
                </c:pt>
                <c:pt idx="22">
                  <c:v>0.57197013868479152</c:v>
                </c:pt>
                <c:pt idx="23">
                  <c:v>0.60934226026501859</c:v>
                </c:pt>
                <c:pt idx="24">
                  <c:v>0.6698375430729242</c:v>
                </c:pt>
                <c:pt idx="25">
                  <c:v>0.72688394328203754</c:v>
                </c:pt>
                <c:pt idx="26">
                  <c:v>0.76705683205211317</c:v>
                </c:pt>
                <c:pt idx="27">
                  <c:v>0.80137581458502405</c:v>
                </c:pt>
                <c:pt idx="28">
                  <c:v>0.79987749737825375</c:v>
                </c:pt>
                <c:pt idx="29">
                  <c:v>0.8066302220782362</c:v>
                </c:pt>
                <c:pt idx="30">
                  <c:v>0.8043426735536926</c:v>
                </c:pt>
                <c:pt idx="31">
                  <c:v>0.8274063892167417</c:v>
                </c:pt>
                <c:pt idx="32">
                  <c:v>0.85140982649515706</c:v>
                </c:pt>
                <c:pt idx="33">
                  <c:v>0.84078841844835439</c:v>
                </c:pt>
                <c:pt idx="34">
                  <c:v>0.81892473153420497</c:v>
                </c:pt>
                <c:pt idx="35">
                  <c:v>0.75456703178434148</c:v>
                </c:pt>
                <c:pt idx="36">
                  <c:v>0.75883214947374822</c:v>
                </c:pt>
                <c:pt idx="37">
                  <c:v>0.73163583235901775</c:v>
                </c:pt>
                <c:pt idx="38">
                  <c:v>0.68928149574756825</c:v>
                </c:pt>
                <c:pt idx="39">
                  <c:v>0.57284194815752998</c:v>
                </c:pt>
                <c:pt idx="40">
                  <c:v>0.52949517951954261</c:v>
                </c:pt>
                <c:pt idx="41">
                  <c:v>0.52411921008226081</c:v>
                </c:pt>
                <c:pt idx="42">
                  <c:v>0.47188561934807188</c:v>
                </c:pt>
                <c:pt idx="43">
                  <c:v>0.41096519009746535</c:v>
                </c:pt>
                <c:pt idx="44">
                  <c:v>0.36875133338192279</c:v>
                </c:pt>
                <c:pt idx="45">
                  <c:v>0.30513991182258493</c:v>
                </c:pt>
                <c:pt idx="46">
                  <c:v>0.29165376858827152</c:v>
                </c:pt>
                <c:pt idx="47">
                  <c:v>0.3064264888392903</c:v>
                </c:pt>
                <c:pt idx="48">
                  <c:v>0.28395946936729421</c:v>
                </c:pt>
                <c:pt idx="49">
                  <c:v>0.29800298283497001</c:v>
                </c:pt>
                <c:pt idx="50">
                  <c:v>0.24292943928906938</c:v>
                </c:pt>
                <c:pt idx="51">
                  <c:v>0.27780805929196634</c:v>
                </c:pt>
                <c:pt idx="52">
                  <c:v>0.26528059943895455</c:v>
                </c:pt>
                <c:pt idx="53">
                  <c:v>0.25688460414163589</c:v>
                </c:pt>
                <c:pt idx="54">
                  <c:v>0.26735007612210154</c:v>
                </c:pt>
                <c:pt idx="55">
                  <c:v>0.29993213697322174</c:v>
                </c:pt>
                <c:pt idx="56">
                  <c:v>0.32553500154872012</c:v>
                </c:pt>
                <c:pt idx="57">
                  <c:v>0.3094368373952186</c:v>
                </c:pt>
                <c:pt idx="58">
                  <c:v>0.338511661581606</c:v>
                </c:pt>
                <c:pt idx="59">
                  <c:v>0.35630528625364966</c:v>
                </c:pt>
                <c:pt idx="60">
                  <c:v>0.38806256839174297</c:v>
                </c:pt>
                <c:pt idx="61">
                  <c:v>0.35050727328400039</c:v>
                </c:pt>
                <c:pt idx="62">
                  <c:v>0.45726382907093999</c:v>
                </c:pt>
                <c:pt idx="63">
                  <c:v>0.46877440075114291</c:v>
                </c:pt>
                <c:pt idx="64">
                  <c:v>0.4951580996033032</c:v>
                </c:pt>
                <c:pt idx="65">
                  <c:v>0.51125341334165775</c:v>
                </c:pt>
                <c:pt idx="66">
                  <c:v>0.5372305790551023</c:v>
                </c:pt>
                <c:pt idx="67">
                  <c:v>0.59276064918943638</c:v>
                </c:pt>
                <c:pt idx="68">
                  <c:v>0.61906209849941218</c:v>
                </c:pt>
                <c:pt idx="69">
                  <c:v>0.64835468732143253</c:v>
                </c:pt>
                <c:pt idx="70">
                  <c:v>0.65574924882470764</c:v>
                </c:pt>
                <c:pt idx="71">
                  <c:v>0.65878424411668512</c:v>
                </c:pt>
                <c:pt idx="72">
                  <c:v>0.61036730351964408</c:v>
                </c:pt>
                <c:pt idx="73">
                  <c:v>0.64351224524748485</c:v>
                </c:pt>
                <c:pt idx="74">
                  <c:v>0.67230949839339527</c:v>
                </c:pt>
                <c:pt idx="75">
                  <c:v>0.7019669857768619</c:v>
                </c:pt>
                <c:pt idx="76">
                  <c:v>0.66187108589077781</c:v>
                </c:pt>
                <c:pt idx="77">
                  <c:v>0.63832298992140002</c:v>
                </c:pt>
                <c:pt idx="78">
                  <c:v>0.60620763808841516</c:v>
                </c:pt>
                <c:pt idx="79">
                  <c:v>0.59510814344613605</c:v>
                </c:pt>
                <c:pt idx="80">
                  <c:v>0.60407835333552751</c:v>
                </c:pt>
                <c:pt idx="81">
                  <c:v>0.58406542218175583</c:v>
                </c:pt>
                <c:pt idx="82">
                  <c:v>0.55020058215648593</c:v>
                </c:pt>
                <c:pt idx="83">
                  <c:v>0.55425551541831486</c:v>
                </c:pt>
                <c:pt idx="84">
                  <c:v>0.58394792110005223</c:v>
                </c:pt>
                <c:pt idx="85">
                  <c:v>0.58700010278410608</c:v>
                </c:pt>
                <c:pt idx="86">
                  <c:v>0.5430582202403933</c:v>
                </c:pt>
                <c:pt idx="87">
                  <c:v>0.49391825744268414</c:v>
                </c:pt>
                <c:pt idx="88">
                  <c:v>0.51209930428068495</c:v>
                </c:pt>
                <c:pt idx="89">
                  <c:v>0.47640931132384423</c:v>
                </c:pt>
                <c:pt idx="90">
                  <c:v>0.47749531445502114</c:v>
                </c:pt>
                <c:pt idx="91">
                  <c:v>0.44454526028757774</c:v>
                </c:pt>
                <c:pt idx="92">
                  <c:v>0.47586483929282869</c:v>
                </c:pt>
                <c:pt idx="93">
                  <c:v>0.47529526102565361</c:v>
                </c:pt>
                <c:pt idx="94">
                  <c:v>0.49047882784055075</c:v>
                </c:pt>
                <c:pt idx="95">
                  <c:v>0.46887507622182656</c:v>
                </c:pt>
                <c:pt idx="96">
                  <c:v>0.46409338708711656</c:v>
                </c:pt>
                <c:pt idx="97">
                  <c:v>0.39863081988869042</c:v>
                </c:pt>
                <c:pt idx="98">
                  <c:v>0.37162169804582107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69-45BB-8956-9D21762ADA0E}"/>
            </c:ext>
          </c:extLst>
        </c:ser>
        <c:ser>
          <c:idx val="1"/>
          <c:order val="1"/>
          <c:tx>
            <c:strRef>
              <c:f>'面板-景气指数'!$A$133</c:f>
              <c:strCache>
                <c:ptCount val="1"/>
                <c:pt idx="0">
                  <c:v>家居用品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'面板-景气指数'!$F$133:$CZ$133</c:f>
              <c:numCache>
                <c:formatCode>0.0%</c:formatCode>
                <c:ptCount val="99"/>
                <c:pt idx="0">
                  <c:v>0.25868749999999996</c:v>
                </c:pt>
                <c:pt idx="1">
                  <c:v>0.34487500000000004</c:v>
                </c:pt>
                <c:pt idx="2">
                  <c:v>0.5300625000000001</c:v>
                </c:pt>
                <c:pt idx="3">
                  <c:v>0.61824999999999997</c:v>
                </c:pt>
                <c:pt idx="4">
                  <c:v>0.63524999999999998</c:v>
                </c:pt>
                <c:pt idx="5">
                  <c:v>0.64181250000000012</c:v>
                </c:pt>
                <c:pt idx="6">
                  <c:v>0.64918750000000003</c:v>
                </c:pt>
                <c:pt idx="7">
                  <c:v>0.64037500000000003</c:v>
                </c:pt>
                <c:pt idx="8">
                  <c:v>0.5949374999999999</c:v>
                </c:pt>
                <c:pt idx="9">
                  <c:v>0.55224999999999991</c:v>
                </c:pt>
                <c:pt idx="10">
                  <c:v>0.53474999999999995</c:v>
                </c:pt>
                <c:pt idx="11">
                  <c:v>0.5162500000000001</c:v>
                </c:pt>
                <c:pt idx="12">
                  <c:v>0.49687500000000001</c:v>
                </c:pt>
                <c:pt idx="13">
                  <c:v>0.46450000000000002</c:v>
                </c:pt>
                <c:pt idx="14">
                  <c:v>0.317</c:v>
                </c:pt>
                <c:pt idx="15">
                  <c:v>0.16650000000000001</c:v>
                </c:pt>
                <c:pt idx="16">
                  <c:v>0.15675000000000003</c:v>
                </c:pt>
                <c:pt idx="17">
                  <c:v>0.16193749999999998</c:v>
                </c:pt>
                <c:pt idx="18">
                  <c:v>0.1829375</c:v>
                </c:pt>
                <c:pt idx="19">
                  <c:v>0.23931250000000004</c:v>
                </c:pt>
                <c:pt idx="20">
                  <c:v>0.37275000000000008</c:v>
                </c:pt>
                <c:pt idx="21">
                  <c:v>0.43762499999999993</c:v>
                </c:pt>
                <c:pt idx="22">
                  <c:v>0.50362499999999988</c:v>
                </c:pt>
                <c:pt idx="23">
                  <c:v>0.53899999999999981</c:v>
                </c:pt>
                <c:pt idx="24">
                  <c:v>0.60143749999999996</c:v>
                </c:pt>
                <c:pt idx="25">
                  <c:v>0.65431249999999996</c:v>
                </c:pt>
                <c:pt idx="26">
                  <c:v>0.71806250000000016</c:v>
                </c:pt>
                <c:pt idx="27">
                  <c:v>0.76012500000000016</c:v>
                </c:pt>
                <c:pt idx="28">
                  <c:v>0.77156249999999982</c:v>
                </c:pt>
                <c:pt idx="29">
                  <c:v>0.80081250000000004</c:v>
                </c:pt>
                <c:pt idx="30">
                  <c:v>0.83574999999999999</c:v>
                </c:pt>
                <c:pt idx="31">
                  <c:v>0.85456249999999978</c:v>
                </c:pt>
                <c:pt idx="32">
                  <c:v>0.87912500000000005</c:v>
                </c:pt>
                <c:pt idx="33">
                  <c:v>0.89687499999999998</c:v>
                </c:pt>
                <c:pt idx="34">
                  <c:v>0.91043750000000001</c:v>
                </c:pt>
                <c:pt idx="35">
                  <c:v>0.9016249999999999</c:v>
                </c:pt>
                <c:pt idx="36">
                  <c:v>0.95118750000000007</c:v>
                </c:pt>
                <c:pt idx="37">
                  <c:v>0.9365</c:v>
                </c:pt>
                <c:pt idx="38">
                  <c:v>0.85412499999999991</c:v>
                </c:pt>
                <c:pt idx="39">
                  <c:v>0.62643749999999998</c:v>
                </c:pt>
                <c:pt idx="40">
                  <c:v>0.56424999999999992</c:v>
                </c:pt>
                <c:pt idx="41">
                  <c:v>0.54393749999999996</c:v>
                </c:pt>
                <c:pt idx="42">
                  <c:v>0.48875000000000002</c:v>
                </c:pt>
                <c:pt idx="43">
                  <c:v>0.42856250000000007</c:v>
                </c:pt>
                <c:pt idx="44">
                  <c:v>0.40212500000000007</c:v>
                </c:pt>
                <c:pt idx="45">
                  <c:v>0.31949999999999995</c:v>
                </c:pt>
                <c:pt idx="46">
                  <c:v>0.22312499999999999</c:v>
                </c:pt>
                <c:pt idx="47">
                  <c:v>0.17274999999999999</c:v>
                </c:pt>
                <c:pt idx="48">
                  <c:v>0.14756250000000001</c:v>
                </c:pt>
                <c:pt idx="49">
                  <c:v>0.19412499999999996</c:v>
                </c:pt>
                <c:pt idx="50">
                  <c:v>0.323625</c:v>
                </c:pt>
                <c:pt idx="51">
                  <c:v>0.44956249999999998</c:v>
                </c:pt>
                <c:pt idx="52">
                  <c:v>0.43593749999999992</c:v>
                </c:pt>
                <c:pt idx="53">
                  <c:v>0.43393750000000009</c:v>
                </c:pt>
                <c:pt idx="54">
                  <c:v>0.41737499999999994</c:v>
                </c:pt>
                <c:pt idx="55">
                  <c:v>0.38462499999999994</c:v>
                </c:pt>
                <c:pt idx="56">
                  <c:v>0.35131250000000003</c:v>
                </c:pt>
                <c:pt idx="57">
                  <c:v>0.31849999999999995</c:v>
                </c:pt>
                <c:pt idx="58">
                  <c:v>0.30312499999999998</c:v>
                </c:pt>
                <c:pt idx="59">
                  <c:v>0.34787499999999999</c:v>
                </c:pt>
                <c:pt idx="60">
                  <c:v>0.3715</c:v>
                </c:pt>
                <c:pt idx="61">
                  <c:v>0.29593750000000002</c:v>
                </c:pt>
                <c:pt idx="62">
                  <c:v>0.36843749999999997</c:v>
                </c:pt>
                <c:pt idx="63">
                  <c:v>0.35468749999999993</c:v>
                </c:pt>
                <c:pt idx="64">
                  <c:v>0.36643750000000003</c:v>
                </c:pt>
                <c:pt idx="65">
                  <c:v>0.31225000000000003</c:v>
                </c:pt>
                <c:pt idx="66">
                  <c:v>0.32225000000000004</c:v>
                </c:pt>
                <c:pt idx="67">
                  <c:v>0.35499999999999998</c:v>
                </c:pt>
                <c:pt idx="68">
                  <c:v>0.40881250000000002</c:v>
                </c:pt>
                <c:pt idx="69">
                  <c:v>0.47350000000000003</c:v>
                </c:pt>
                <c:pt idx="70">
                  <c:v>0.49825000000000003</c:v>
                </c:pt>
                <c:pt idx="71">
                  <c:v>0.51187499999999997</c:v>
                </c:pt>
                <c:pt idx="72">
                  <c:v>0.43593749999999998</c:v>
                </c:pt>
                <c:pt idx="73">
                  <c:v>0.49887499999999996</c:v>
                </c:pt>
                <c:pt idx="74">
                  <c:v>0.51681250000000001</c:v>
                </c:pt>
                <c:pt idx="75">
                  <c:v>0.49775000000000008</c:v>
                </c:pt>
                <c:pt idx="76">
                  <c:v>0.45749999999999996</c:v>
                </c:pt>
                <c:pt idx="77">
                  <c:v>0.515625</c:v>
                </c:pt>
                <c:pt idx="78">
                  <c:v>0.53781250000000003</c:v>
                </c:pt>
                <c:pt idx="79">
                  <c:v>0.5300625000000001</c:v>
                </c:pt>
                <c:pt idx="80">
                  <c:v>0.50793749999999993</c:v>
                </c:pt>
                <c:pt idx="81">
                  <c:v>0.49562499999999993</c:v>
                </c:pt>
                <c:pt idx="82">
                  <c:v>0.4931875</c:v>
                </c:pt>
                <c:pt idx="83">
                  <c:v>0.52118749999999991</c:v>
                </c:pt>
                <c:pt idx="84">
                  <c:v>0.57118750000000007</c:v>
                </c:pt>
                <c:pt idx="85">
                  <c:v>0.58762500000000006</c:v>
                </c:pt>
                <c:pt idx="86">
                  <c:v>0.57687500000000003</c:v>
                </c:pt>
                <c:pt idx="87">
                  <c:v>0.53656249999999994</c:v>
                </c:pt>
                <c:pt idx="88">
                  <c:v>0.59412500000000001</c:v>
                </c:pt>
                <c:pt idx="89">
                  <c:v>0.56525000000000014</c:v>
                </c:pt>
                <c:pt idx="90">
                  <c:v>0.55931249999999999</c:v>
                </c:pt>
                <c:pt idx="91">
                  <c:v>0.52200000000000002</c:v>
                </c:pt>
                <c:pt idx="92">
                  <c:v>0.57218749999999996</c:v>
                </c:pt>
                <c:pt idx="93">
                  <c:v>0.57474999999999987</c:v>
                </c:pt>
                <c:pt idx="94">
                  <c:v>0.57693749999999999</c:v>
                </c:pt>
                <c:pt idx="95">
                  <c:v>0.54025000000000012</c:v>
                </c:pt>
                <c:pt idx="96">
                  <c:v>0.52187499999999998</c:v>
                </c:pt>
                <c:pt idx="97">
                  <c:v>0.41750000000000004</c:v>
                </c:pt>
                <c:pt idx="98">
                  <c:v>0.32306250000000003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69-45BB-8956-9D21762ADA0E}"/>
            </c:ext>
          </c:extLst>
        </c:ser>
        <c:ser>
          <c:idx val="2"/>
          <c:order val="2"/>
          <c:tx>
            <c:strRef>
              <c:f>'面板-景气指数'!$A$134</c:f>
              <c:strCache>
                <c:ptCount val="1"/>
                <c:pt idx="0">
                  <c:v>文娱用品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'面板-景气指数'!$F$134:$CZ$134</c:f>
              <c:numCache>
                <c:formatCode>0.0%</c:formatCode>
                <c:ptCount val="99"/>
                <c:pt idx="0">
                  <c:v>0.04</c:v>
                </c:pt>
                <c:pt idx="1">
                  <c:v>0.04</c:v>
                </c:pt>
                <c:pt idx="2">
                  <c:v>2.9999999999999995E-2</c:v>
                </c:pt>
                <c:pt idx="3">
                  <c:v>6.1000000000000006E-2</c:v>
                </c:pt>
                <c:pt idx="4">
                  <c:v>0.13200000000000001</c:v>
                </c:pt>
                <c:pt idx="5">
                  <c:v>0.10199999999999999</c:v>
                </c:pt>
                <c:pt idx="6">
                  <c:v>9.0999999999999998E-2</c:v>
                </c:pt>
                <c:pt idx="7">
                  <c:v>0</c:v>
                </c:pt>
                <c:pt idx="8">
                  <c:v>0.01</c:v>
                </c:pt>
                <c:pt idx="9">
                  <c:v>7.0999999999999994E-2</c:v>
                </c:pt>
                <c:pt idx="10">
                  <c:v>8.1000000000000003E-2</c:v>
                </c:pt>
                <c:pt idx="11">
                  <c:v>0.14199999999999999</c:v>
                </c:pt>
                <c:pt idx="12">
                  <c:v>0.153</c:v>
                </c:pt>
                <c:pt idx="13">
                  <c:v>0.183</c:v>
                </c:pt>
                <c:pt idx="14">
                  <c:v>0.224</c:v>
                </c:pt>
                <c:pt idx="15">
                  <c:v>0.21399999999999997</c:v>
                </c:pt>
                <c:pt idx="16">
                  <c:v>0.20399999999999999</c:v>
                </c:pt>
                <c:pt idx="17">
                  <c:v>0.29499999999999998</c:v>
                </c:pt>
                <c:pt idx="18">
                  <c:v>0.377</c:v>
                </c:pt>
                <c:pt idx="19">
                  <c:v>0.59099999999999997</c:v>
                </c:pt>
                <c:pt idx="20">
                  <c:v>0.60199999999999998</c:v>
                </c:pt>
                <c:pt idx="21">
                  <c:v>0.45900000000000002</c:v>
                </c:pt>
                <c:pt idx="22">
                  <c:v>0.23400000000000004</c:v>
                </c:pt>
                <c:pt idx="23">
                  <c:v>0.26500000000000001</c:v>
                </c:pt>
                <c:pt idx="24">
                  <c:v>0.41800000000000004</c:v>
                </c:pt>
                <c:pt idx="25">
                  <c:v>0.69299999999999995</c:v>
                </c:pt>
                <c:pt idx="26">
                  <c:v>0.63200000000000001</c:v>
                </c:pt>
                <c:pt idx="27">
                  <c:v>0.82599999999999996</c:v>
                </c:pt>
                <c:pt idx="28">
                  <c:v>0.81599999999999995</c:v>
                </c:pt>
                <c:pt idx="29">
                  <c:v>0.92800000000000016</c:v>
                </c:pt>
                <c:pt idx="30">
                  <c:v>0.94799999999999995</c:v>
                </c:pt>
                <c:pt idx="31">
                  <c:v>0.95899999999999996</c:v>
                </c:pt>
                <c:pt idx="32">
                  <c:v>0.96900000000000008</c:v>
                </c:pt>
                <c:pt idx="33">
                  <c:v>0.93799999999999994</c:v>
                </c:pt>
                <c:pt idx="34">
                  <c:v>0.89700000000000002</c:v>
                </c:pt>
                <c:pt idx="35">
                  <c:v>0.86699999999999999</c:v>
                </c:pt>
                <c:pt idx="36">
                  <c:v>0.97899999999999998</c:v>
                </c:pt>
                <c:pt idx="37">
                  <c:v>1</c:v>
                </c:pt>
                <c:pt idx="38">
                  <c:v>0.98899999999999988</c:v>
                </c:pt>
                <c:pt idx="39">
                  <c:v>0.67300000000000004</c:v>
                </c:pt>
                <c:pt idx="40">
                  <c:v>0.73399999999999999</c:v>
                </c:pt>
                <c:pt idx="41">
                  <c:v>0.79500000000000015</c:v>
                </c:pt>
                <c:pt idx="42">
                  <c:v>0.755</c:v>
                </c:pt>
                <c:pt idx="43">
                  <c:v>0.53</c:v>
                </c:pt>
                <c:pt idx="44">
                  <c:v>0.48899999999999999</c:v>
                </c:pt>
                <c:pt idx="45">
                  <c:v>0.34599999999999997</c:v>
                </c:pt>
                <c:pt idx="46">
                  <c:v>0.438</c:v>
                </c:pt>
                <c:pt idx="47">
                  <c:v>0.40799999999999997</c:v>
                </c:pt>
                <c:pt idx="48">
                  <c:v>0.28499999999999998</c:v>
                </c:pt>
                <c:pt idx="49">
                  <c:v>0.193</c:v>
                </c:pt>
                <c:pt idx="50">
                  <c:v>0.02</c:v>
                </c:pt>
                <c:pt idx="51">
                  <c:v>0.112</c:v>
                </c:pt>
                <c:pt idx="52">
                  <c:v>0.12200000000000001</c:v>
                </c:pt>
                <c:pt idx="53">
                  <c:v>0.24400000000000002</c:v>
                </c:pt>
                <c:pt idx="54">
                  <c:v>0.42799999999999994</c:v>
                </c:pt>
                <c:pt idx="55">
                  <c:v>0.77500000000000002</c:v>
                </c:pt>
                <c:pt idx="56">
                  <c:v>0.8570000000000001</c:v>
                </c:pt>
                <c:pt idx="57">
                  <c:v>0.54</c:v>
                </c:pt>
                <c:pt idx="58">
                  <c:v>0.38700000000000001</c:v>
                </c:pt>
                <c:pt idx="59">
                  <c:v>0.27500000000000002</c:v>
                </c:pt>
                <c:pt idx="60">
                  <c:v>0.33600000000000002</c:v>
                </c:pt>
                <c:pt idx="61">
                  <c:v>0.316</c:v>
                </c:pt>
                <c:pt idx="62">
                  <c:v>0.316</c:v>
                </c:pt>
                <c:pt idx="63">
                  <c:v>0.17299999999999999</c:v>
                </c:pt>
                <c:pt idx="64">
                  <c:v>0.16300000000000001</c:v>
                </c:pt>
                <c:pt idx="65">
                  <c:v>0.255</c:v>
                </c:pt>
                <c:pt idx="66">
                  <c:v>0.30599999999999999</c:v>
                </c:pt>
                <c:pt idx="67">
                  <c:v>0.36699999999999999</c:v>
                </c:pt>
                <c:pt idx="68">
                  <c:v>0.35699999999999998</c:v>
                </c:pt>
                <c:pt idx="69">
                  <c:v>0.39699999999999996</c:v>
                </c:pt>
                <c:pt idx="70">
                  <c:v>0.65300000000000002</c:v>
                </c:pt>
                <c:pt idx="71">
                  <c:v>0.84599999999999997</c:v>
                </c:pt>
                <c:pt idx="72">
                  <c:v>0.66300000000000003</c:v>
                </c:pt>
                <c:pt idx="73">
                  <c:v>0.46899999999999997</c:v>
                </c:pt>
                <c:pt idx="74">
                  <c:v>0.47899999999999998</c:v>
                </c:pt>
                <c:pt idx="75">
                  <c:v>0.755</c:v>
                </c:pt>
                <c:pt idx="76">
                  <c:v>0.64200000000000002</c:v>
                </c:pt>
                <c:pt idx="77">
                  <c:v>0.51</c:v>
                </c:pt>
                <c:pt idx="78">
                  <c:v>0.44800000000000001</c:v>
                </c:pt>
                <c:pt idx="79">
                  <c:v>0.52</c:v>
                </c:pt>
                <c:pt idx="80">
                  <c:v>0.74399999999999999</c:v>
                </c:pt>
                <c:pt idx="81">
                  <c:v>0.70399999999999996</c:v>
                </c:pt>
                <c:pt idx="82">
                  <c:v>0.56100000000000005</c:v>
                </c:pt>
                <c:pt idx="83">
                  <c:v>0.57099999999999995</c:v>
                </c:pt>
                <c:pt idx="84">
                  <c:v>0.78500000000000003</c:v>
                </c:pt>
                <c:pt idx="85">
                  <c:v>0.90800000000000003</c:v>
                </c:pt>
                <c:pt idx="86">
                  <c:v>0.87699999999999989</c:v>
                </c:pt>
                <c:pt idx="87">
                  <c:v>0.91800000000000004</c:v>
                </c:pt>
                <c:pt idx="88">
                  <c:v>0.88700000000000001</c:v>
                </c:pt>
                <c:pt idx="89">
                  <c:v>0.83600000000000008</c:v>
                </c:pt>
                <c:pt idx="90">
                  <c:v>0.80600000000000005</c:v>
                </c:pt>
                <c:pt idx="91">
                  <c:v>0.68300000000000005</c:v>
                </c:pt>
                <c:pt idx="92">
                  <c:v>0.70399999999999996</c:v>
                </c:pt>
                <c:pt idx="93">
                  <c:v>0.60199999999999998</c:v>
                </c:pt>
                <c:pt idx="94">
                  <c:v>0.72399999999999998</c:v>
                </c:pt>
                <c:pt idx="95">
                  <c:v>0.55100000000000005</c:v>
                </c:pt>
                <c:pt idx="96">
                  <c:v>0.58099999999999996</c:v>
                </c:pt>
                <c:pt idx="97">
                  <c:v>0.5</c:v>
                </c:pt>
                <c:pt idx="98">
                  <c:v>0.622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469-45BB-8956-9D21762ADA0E}"/>
            </c:ext>
          </c:extLst>
        </c:ser>
        <c:ser>
          <c:idx val="3"/>
          <c:order val="3"/>
          <c:tx>
            <c:strRef>
              <c:f>'面板-景气指数'!$A$135</c:f>
              <c:strCache>
                <c:ptCount val="1"/>
                <c:pt idx="0">
                  <c:v>造纸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'面板-景气指数'!$F$135:$CZ$135</c:f>
              <c:numCache>
                <c:formatCode>0.0%</c:formatCode>
                <c:ptCount val="99"/>
                <c:pt idx="0">
                  <c:v>0.16300000000000001</c:v>
                </c:pt>
                <c:pt idx="1">
                  <c:v>0.1525</c:v>
                </c:pt>
                <c:pt idx="2">
                  <c:v>0.14749999999999999</c:v>
                </c:pt>
                <c:pt idx="3">
                  <c:v>9.6500000000000002E-2</c:v>
                </c:pt>
                <c:pt idx="4">
                  <c:v>8.1500000000000003E-2</c:v>
                </c:pt>
                <c:pt idx="5">
                  <c:v>5.5500000000000001E-2</c:v>
                </c:pt>
                <c:pt idx="6">
                  <c:v>7.6499999999999999E-2</c:v>
                </c:pt>
                <c:pt idx="7">
                  <c:v>6.0999999999999999E-2</c:v>
                </c:pt>
                <c:pt idx="8">
                  <c:v>9.6500000000000002E-2</c:v>
                </c:pt>
                <c:pt idx="9">
                  <c:v>0.14250000000000002</c:v>
                </c:pt>
                <c:pt idx="10">
                  <c:v>0.23399999999999996</c:v>
                </c:pt>
                <c:pt idx="11">
                  <c:v>0.33100000000000002</c:v>
                </c:pt>
                <c:pt idx="12">
                  <c:v>0.42799999999999999</c:v>
                </c:pt>
                <c:pt idx="13">
                  <c:v>0.47899999999999998</c:v>
                </c:pt>
                <c:pt idx="14">
                  <c:v>0.48400000000000004</c:v>
                </c:pt>
                <c:pt idx="15">
                  <c:v>0.53500000000000003</c:v>
                </c:pt>
                <c:pt idx="16">
                  <c:v>0.57599999999999996</c:v>
                </c:pt>
                <c:pt idx="17">
                  <c:v>0.61699999999999999</c:v>
                </c:pt>
                <c:pt idx="18">
                  <c:v>0.62749999999999995</c:v>
                </c:pt>
                <c:pt idx="19">
                  <c:v>0.6319999999999999</c:v>
                </c:pt>
                <c:pt idx="20">
                  <c:v>0.69349999999999989</c:v>
                </c:pt>
                <c:pt idx="21">
                  <c:v>0.71350000000000002</c:v>
                </c:pt>
                <c:pt idx="22">
                  <c:v>0.71899999999999997</c:v>
                </c:pt>
                <c:pt idx="23">
                  <c:v>0.76</c:v>
                </c:pt>
                <c:pt idx="24">
                  <c:v>0.80049999999999988</c:v>
                </c:pt>
                <c:pt idx="25">
                  <c:v>0.82100000000000006</c:v>
                </c:pt>
                <c:pt idx="26">
                  <c:v>0.85199999999999998</c:v>
                </c:pt>
                <c:pt idx="27">
                  <c:v>0.84649999999999992</c:v>
                </c:pt>
                <c:pt idx="28">
                  <c:v>0.83099999999999996</c:v>
                </c:pt>
                <c:pt idx="29">
                  <c:v>0.79049999999999998</c:v>
                </c:pt>
                <c:pt idx="30">
                  <c:v>0.73899999999999999</c:v>
                </c:pt>
                <c:pt idx="31">
                  <c:v>0.76949999999999996</c:v>
                </c:pt>
                <c:pt idx="32">
                  <c:v>0.79549999999999987</c:v>
                </c:pt>
                <c:pt idx="33">
                  <c:v>0.75449999999999995</c:v>
                </c:pt>
                <c:pt idx="34">
                  <c:v>0.69350000000000012</c:v>
                </c:pt>
                <c:pt idx="35">
                  <c:v>0.55549999999999999</c:v>
                </c:pt>
                <c:pt idx="36">
                  <c:v>0.48450000000000004</c:v>
                </c:pt>
                <c:pt idx="37">
                  <c:v>0.43300000000000005</c:v>
                </c:pt>
                <c:pt idx="38">
                  <c:v>0.43300000000000005</c:v>
                </c:pt>
                <c:pt idx="39">
                  <c:v>0.48899999999999999</c:v>
                </c:pt>
                <c:pt idx="40">
                  <c:v>0.44850000000000001</c:v>
                </c:pt>
                <c:pt idx="41">
                  <c:v>0.44850000000000001</c:v>
                </c:pt>
                <c:pt idx="42">
                  <c:v>0.39750000000000002</c:v>
                </c:pt>
                <c:pt idx="43">
                  <c:v>0.36699999999999994</c:v>
                </c:pt>
                <c:pt idx="44">
                  <c:v>0.30549999999999999</c:v>
                </c:pt>
                <c:pt idx="45">
                  <c:v>0.27999999999999997</c:v>
                </c:pt>
                <c:pt idx="46">
                  <c:v>0.34650000000000003</c:v>
                </c:pt>
                <c:pt idx="47">
                  <c:v>0.44850000000000001</c:v>
                </c:pt>
                <c:pt idx="48">
                  <c:v>0.44850000000000001</c:v>
                </c:pt>
                <c:pt idx="49">
                  <c:v>0.44349999999999995</c:v>
                </c:pt>
                <c:pt idx="50">
                  <c:v>0.188</c:v>
                </c:pt>
                <c:pt idx="51">
                  <c:v>0.10199999999999999</c:v>
                </c:pt>
                <c:pt idx="52">
                  <c:v>8.6499999999999994E-2</c:v>
                </c:pt>
                <c:pt idx="53">
                  <c:v>4.5499999999999999E-2</c:v>
                </c:pt>
                <c:pt idx="54">
                  <c:v>5.5500000000000001E-2</c:v>
                </c:pt>
                <c:pt idx="55">
                  <c:v>0.107</c:v>
                </c:pt>
                <c:pt idx="56">
                  <c:v>0.19299999999999998</c:v>
                </c:pt>
                <c:pt idx="57">
                  <c:v>0.2545</c:v>
                </c:pt>
                <c:pt idx="58">
                  <c:v>0.37199999999999994</c:v>
                </c:pt>
                <c:pt idx="59">
                  <c:v>0.38200000000000006</c:v>
                </c:pt>
                <c:pt idx="60">
                  <c:v>0.41800000000000009</c:v>
                </c:pt>
                <c:pt idx="61">
                  <c:v>0.42300000000000004</c:v>
                </c:pt>
                <c:pt idx="62">
                  <c:v>0.59150000000000003</c:v>
                </c:pt>
                <c:pt idx="63">
                  <c:v>0.66300000000000003</c:v>
                </c:pt>
                <c:pt idx="64">
                  <c:v>0.71399999999999997</c:v>
                </c:pt>
                <c:pt idx="65">
                  <c:v>0.80049999999999988</c:v>
                </c:pt>
                <c:pt idx="66">
                  <c:v>0.84099999999999997</c:v>
                </c:pt>
                <c:pt idx="67">
                  <c:v>0.92300000000000004</c:v>
                </c:pt>
                <c:pt idx="68">
                  <c:v>0.92300000000000004</c:v>
                </c:pt>
                <c:pt idx="69">
                  <c:v>0.90749999999999997</c:v>
                </c:pt>
                <c:pt idx="70">
                  <c:v>0.84649999999999992</c:v>
                </c:pt>
                <c:pt idx="71">
                  <c:v>0.8005000000000001</c:v>
                </c:pt>
                <c:pt idx="72">
                  <c:v>0.81100000000000005</c:v>
                </c:pt>
                <c:pt idx="73">
                  <c:v>0.85150000000000003</c:v>
                </c:pt>
                <c:pt idx="74">
                  <c:v>0.89700000000000002</c:v>
                </c:pt>
                <c:pt idx="75">
                  <c:v>0.9385</c:v>
                </c:pt>
                <c:pt idx="76">
                  <c:v>0.91249999999999998</c:v>
                </c:pt>
                <c:pt idx="77">
                  <c:v>0.81100000000000005</c:v>
                </c:pt>
                <c:pt idx="78">
                  <c:v>0.71900000000000008</c:v>
                </c:pt>
                <c:pt idx="79">
                  <c:v>0.68799999999999994</c:v>
                </c:pt>
                <c:pt idx="80">
                  <c:v>0.69349999999999989</c:v>
                </c:pt>
                <c:pt idx="81">
                  <c:v>0.66799999999999993</c:v>
                </c:pt>
                <c:pt idx="82">
                  <c:v>0.61699999999999999</c:v>
                </c:pt>
                <c:pt idx="83">
                  <c:v>0.59100000000000008</c:v>
                </c:pt>
                <c:pt idx="84">
                  <c:v>0.56100000000000005</c:v>
                </c:pt>
                <c:pt idx="85">
                  <c:v>0.52500000000000002</c:v>
                </c:pt>
                <c:pt idx="86">
                  <c:v>0.4385</c:v>
                </c:pt>
                <c:pt idx="87">
                  <c:v>0.36149999999999999</c:v>
                </c:pt>
                <c:pt idx="88">
                  <c:v>0.34150000000000003</c:v>
                </c:pt>
                <c:pt idx="89">
                  <c:v>0.30049999999999999</c:v>
                </c:pt>
                <c:pt idx="90">
                  <c:v>0.316</c:v>
                </c:pt>
                <c:pt idx="91">
                  <c:v>0.30549999999999999</c:v>
                </c:pt>
                <c:pt idx="92">
                  <c:v>0.31599999999999995</c:v>
                </c:pt>
                <c:pt idx="93">
                  <c:v>0.33100000000000002</c:v>
                </c:pt>
                <c:pt idx="94">
                  <c:v>0.34149999999999997</c:v>
                </c:pt>
                <c:pt idx="95">
                  <c:v>0.36699999999999999</c:v>
                </c:pt>
                <c:pt idx="96">
                  <c:v>0.37200000000000005</c:v>
                </c:pt>
                <c:pt idx="97">
                  <c:v>0.35649999999999998</c:v>
                </c:pt>
                <c:pt idx="98">
                  <c:v>0.38250000000000001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469-45BB-8956-9D21762AD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9683973004696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'面板-景气指数'!$A$55</c:f>
              <c:strCache>
                <c:ptCount val="1"/>
                <c:pt idx="0">
                  <c:v>美容护理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'面板-景气指数'!$F$55:$CZ$55</c:f>
              <c:numCache>
                <c:formatCode>0.0%</c:formatCode>
                <c:ptCount val="99"/>
                <c:pt idx="0">
                  <c:v>0.18454490187981673</c:v>
                </c:pt>
                <c:pt idx="1">
                  <c:v>0.18930514326577857</c:v>
                </c:pt>
                <c:pt idx="2">
                  <c:v>0.25042415110461119</c:v>
                </c:pt>
                <c:pt idx="3">
                  <c:v>0.1864559082763384</c:v>
                </c:pt>
                <c:pt idx="4">
                  <c:v>0.17561793739249607</c:v>
                </c:pt>
                <c:pt idx="5">
                  <c:v>0.16576603648430538</c:v>
                </c:pt>
                <c:pt idx="6">
                  <c:v>0.22639151644355845</c:v>
                </c:pt>
                <c:pt idx="7">
                  <c:v>0.16974498308534641</c:v>
                </c:pt>
                <c:pt idx="8">
                  <c:v>0.19299796002075748</c:v>
                </c:pt>
                <c:pt idx="9">
                  <c:v>0.22695517535909818</c:v>
                </c:pt>
                <c:pt idx="10">
                  <c:v>0.49898514539626881</c:v>
                </c:pt>
                <c:pt idx="11">
                  <c:v>0.60285114090661374</c:v>
                </c:pt>
                <c:pt idx="12">
                  <c:v>0.56546887254448064</c:v>
                </c:pt>
                <c:pt idx="13">
                  <c:v>0.39293920151406353</c:v>
                </c:pt>
                <c:pt idx="14">
                  <c:v>0.25209198250563358</c:v>
                </c:pt>
                <c:pt idx="15">
                  <c:v>0.22169617780238579</c:v>
                </c:pt>
                <c:pt idx="16">
                  <c:v>0.27048658134086467</c:v>
                </c:pt>
                <c:pt idx="17">
                  <c:v>0.28592587381945178</c:v>
                </c:pt>
                <c:pt idx="18">
                  <c:v>0.26896898228459948</c:v>
                </c:pt>
                <c:pt idx="19">
                  <c:v>0.21596351560810914</c:v>
                </c:pt>
                <c:pt idx="20">
                  <c:v>0.29634586766191967</c:v>
                </c:pt>
                <c:pt idx="21">
                  <c:v>0.28624702476949898</c:v>
                </c:pt>
                <c:pt idx="22">
                  <c:v>0.25445907703575016</c:v>
                </c:pt>
                <c:pt idx="23">
                  <c:v>0.13588081217442405</c:v>
                </c:pt>
                <c:pt idx="24">
                  <c:v>0.20771368990822073</c:v>
                </c:pt>
                <c:pt idx="25">
                  <c:v>0.28872988897407653</c:v>
                </c:pt>
                <c:pt idx="26">
                  <c:v>0.5014887329809472</c:v>
                </c:pt>
                <c:pt idx="27">
                  <c:v>0.48113742950357313</c:v>
                </c:pt>
                <c:pt idx="28">
                  <c:v>0.43113644708672416</c:v>
                </c:pt>
                <c:pt idx="29">
                  <c:v>0.43003539475991637</c:v>
                </c:pt>
                <c:pt idx="30">
                  <c:v>0.41514277493719515</c:v>
                </c:pt>
                <c:pt idx="31">
                  <c:v>0.41779729064272181</c:v>
                </c:pt>
                <c:pt idx="32">
                  <c:v>0.55882097819298693</c:v>
                </c:pt>
                <c:pt idx="33">
                  <c:v>0.67712257770539108</c:v>
                </c:pt>
                <c:pt idx="34">
                  <c:v>0.71123998193571825</c:v>
                </c:pt>
                <c:pt idx="35">
                  <c:v>0.83614426144641141</c:v>
                </c:pt>
                <c:pt idx="36">
                  <c:v>0.8256367284401015</c:v>
                </c:pt>
                <c:pt idx="37">
                  <c:v>0.95610164572194922</c:v>
                </c:pt>
                <c:pt idx="38">
                  <c:v>0.94134657375379682</c:v>
                </c:pt>
                <c:pt idx="39">
                  <c:v>0.80002648602040294</c:v>
                </c:pt>
                <c:pt idx="40">
                  <c:v>0.70042266671034625</c:v>
                </c:pt>
                <c:pt idx="41">
                  <c:v>0.71861524600799476</c:v>
                </c:pt>
                <c:pt idx="42">
                  <c:v>0.69889877631890618</c:v>
                </c:pt>
                <c:pt idx="43">
                  <c:v>0.62602090228778629</c:v>
                </c:pt>
                <c:pt idx="44">
                  <c:v>0.70725686309521962</c:v>
                </c:pt>
                <c:pt idx="45">
                  <c:v>0.69094655360564083</c:v>
                </c:pt>
                <c:pt idx="46">
                  <c:v>0.63565429678639873</c:v>
                </c:pt>
                <c:pt idx="47">
                  <c:v>0.31035671822963101</c:v>
                </c:pt>
                <c:pt idx="48">
                  <c:v>0.20069608578038672</c:v>
                </c:pt>
                <c:pt idx="49">
                  <c:v>0.15249254093069015</c:v>
                </c:pt>
                <c:pt idx="50">
                  <c:v>0.2456063947174881</c:v>
                </c:pt>
                <c:pt idx="51">
                  <c:v>0.7103468810261292</c:v>
                </c:pt>
                <c:pt idx="52">
                  <c:v>0.62536214623271058</c:v>
                </c:pt>
                <c:pt idx="53">
                  <c:v>0.63326872927157996</c:v>
                </c:pt>
                <c:pt idx="54">
                  <c:v>0.58079500817774232</c:v>
                </c:pt>
                <c:pt idx="55">
                  <c:v>0.60046796907145727</c:v>
                </c:pt>
                <c:pt idx="56">
                  <c:v>0.6834629455421829</c:v>
                </c:pt>
                <c:pt idx="57">
                  <c:v>0.69371972132009374</c:v>
                </c:pt>
                <c:pt idx="58">
                  <c:v>0.68723953097612789</c:v>
                </c:pt>
                <c:pt idx="59">
                  <c:v>0.6590510511031562</c:v>
                </c:pt>
                <c:pt idx="60">
                  <c:v>0.6229196937998186</c:v>
                </c:pt>
                <c:pt idx="61">
                  <c:v>0.65456379556734456</c:v>
                </c:pt>
                <c:pt idx="62">
                  <c:v>0.49777165543734936</c:v>
                </c:pt>
                <c:pt idx="63">
                  <c:v>0.45463678118441841</c:v>
                </c:pt>
                <c:pt idx="64">
                  <c:v>0.46809452985757738</c:v>
                </c:pt>
                <c:pt idx="65">
                  <c:v>0.49759115808434135</c:v>
                </c:pt>
                <c:pt idx="66">
                  <c:v>0.51961408623730221</c:v>
                </c:pt>
                <c:pt idx="67">
                  <c:v>0.55391786661065856</c:v>
                </c:pt>
                <c:pt idx="68">
                  <c:v>0.56321666445891494</c:v>
                </c:pt>
                <c:pt idx="69">
                  <c:v>0.55473949487087371</c:v>
                </c:pt>
                <c:pt idx="70">
                  <c:v>0.6120571621926143</c:v>
                </c:pt>
                <c:pt idx="71">
                  <c:v>0.71277611103723093</c:v>
                </c:pt>
                <c:pt idx="72">
                  <c:v>0.72149307027299592</c:v>
                </c:pt>
                <c:pt idx="73">
                  <c:v>0.75506140547719869</c:v>
                </c:pt>
                <c:pt idx="74">
                  <c:v>0.5799824403724847</c:v>
                </c:pt>
                <c:pt idx="75">
                  <c:v>0.67877821588939313</c:v>
                </c:pt>
                <c:pt idx="76">
                  <c:v>0.67648463066439679</c:v>
                </c:pt>
                <c:pt idx="77">
                  <c:v>0.67915386898337604</c:v>
                </c:pt>
                <c:pt idx="78">
                  <c:v>0.6250959704852812</c:v>
                </c:pt>
                <c:pt idx="79">
                  <c:v>0.59171705013554399</c:v>
                </c:pt>
                <c:pt idx="80">
                  <c:v>0.63668785490461421</c:v>
                </c:pt>
                <c:pt idx="81">
                  <c:v>0.61068681581568063</c:v>
                </c:pt>
                <c:pt idx="82">
                  <c:v>0.5745256675986693</c:v>
                </c:pt>
                <c:pt idx="83">
                  <c:v>0.48414373201778088</c:v>
                </c:pt>
                <c:pt idx="84">
                  <c:v>0.47101621240300262</c:v>
                </c:pt>
                <c:pt idx="85">
                  <c:v>0.49277091403871942</c:v>
                </c:pt>
                <c:pt idx="86">
                  <c:v>0.57170310664456192</c:v>
                </c:pt>
                <c:pt idx="87">
                  <c:v>0.54051326504454966</c:v>
                </c:pt>
                <c:pt idx="88">
                  <c:v>0.49745487699977842</c:v>
                </c:pt>
                <c:pt idx="89">
                  <c:v>0.4449479009596396</c:v>
                </c:pt>
                <c:pt idx="90">
                  <c:v>0.42118498480665817</c:v>
                </c:pt>
                <c:pt idx="91">
                  <c:v>0.47159118924751375</c:v>
                </c:pt>
                <c:pt idx="92">
                  <c:v>0.47672170203751413</c:v>
                </c:pt>
                <c:pt idx="93">
                  <c:v>0.49661832412660079</c:v>
                </c:pt>
                <c:pt idx="94">
                  <c:v>0.48720136295284899</c:v>
                </c:pt>
                <c:pt idx="95">
                  <c:v>0.50619321253158289</c:v>
                </c:pt>
                <c:pt idx="96">
                  <c:v>0.53307077506046663</c:v>
                </c:pt>
                <c:pt idx="97">
                  <c:v>0.55623141258128006</c:v>
                </c:pt>
                <c:pt idx="98">
                  <c:v>0.54832150255004908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60-464A-8BFA-6B0DE32DFD1A}"/>
            </c:ext>
          </c:extLst>
        </c:ser>
        <c:ser>
          <c:idx val="1"/>
          <c:order val="1"/>
          <c:tx>
            <c:strRef>
              <c:f>'面板-景气指数'!$A$136</c:f>
              <c:strCache>
                <c:ptCount val="1"/>
                <c:pt idx="0">
                  <c:v>化妆品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'面板-景气指数'!$F$136:$CZ$136</c:f>
              <c:numCache>
                <c:formatCode>0.0%</c:formatCode>
                <c:ptCount val="99"/>
                <c:pt idx="0">
                  <c:v>0.23400000000000001</c:v>
                </c:pt>
                <c:pt idx="1">
                  <c:v>0.23400000000000001</c:v>
                </c:pt>
                <c:pt idx="2">
                  <c:v>0.38700000000000001</c:v>
                </c:pt>
                <c:pt idx="3">
                  <c:v>0.193</c:v>
                </c:pt>
                <c:pt idx="4">
                  <c:v>0.183</c:v>
                </c:pt>
                <c:pt idx="5">
                  <c:v>0.13199999999999998</c:v>
                </c:pt>
                <c:pt idx="6">
                  <c:v>0.255</c:v>
                </c:pt>
                <c:pt idx="7">
                  <c:v>0.17299999999999999</c:v>
                </c:pt>
                <c:pt idx="8">
                  <c:v>0.224</c:v>
                </c:pt>
                <c:pt idx="9">
                  <c:v>0.255</c:v>
                </c:pt>
                <c:pt idx="10">
                  <c:v>0.72399999999999998</c:v>
                </c:pt>
                <c:pt idx="11">
                  <c:v>0.81599999999999995</c:v>
                </c:pt>
                <c:pt idx="12">
                  <c:v>0.69299999999999995</c:v>
                </c:pt>
                <c:pt idx="13">
                  <c:v>0.377</c:v>
                </c:pt>
                <c:pt idx="14">
                  <c:v>5.0999999999999997E-2</c:v>
                </c:pt>
                <c:pt idx="15">
                  <c:v>0.02</c:v>
                </c:pt>
                <c:pt idx="16">
                  <c:v>0.03</c:v>
                </c:pt>
                <c:pt idx="17">
                  <c:v>9.0999999999999998E-2</c:v>
                </c:pt>
                <c:pt idx="18">
                  <c:v>8.1000000000000003E-2</c:v>
                </c:pt>
                <c:pt idx="19">
                  <c:v>0.10199999999999999</c:v>
                </c:pt>
                <c:pt idx="20">
                  <c:v>0.153</c:v>
                </c:pt>
                <c:pt idx="21">
                  <c:v>0.122</c:v>
                </c:pt>
                <c:pt idx="22">
                  <c:v>0.04</c:v>
                </c:pt>
                <c:pt idx="23">
                  <c:v>0</c:v>
                </c:pt>
                <c:pt idx="24">
                  <c:v>7.0999999999999994E-2</c:v>
                </c:pt>
                <c:pt idx="25">
                  <c:v>0.14199999999999999</c:v>
                </c:pt>
                <c:pt idx="26">
                  <c:v>0.28499999999999998</c:v>
                </c:pt>
                <c:pt idx="27">
                  <c:v>0.29499999999999998</c:v>
                </c:pt>
                <c:pt idx="28">
                  <c:v>0.33600000000000002</c:v>
                </c:pt>
                <c:pt idx="29">
                  <c:v>0.35699999999999998</c:v>
                </c:pt>
                <c:pt idx="30">
                  <c:v>0.316</c:v>
                </c:pt>
                <c:pt idx="31">
                  <c:v>0.214</c:v>
                </c:pt>
                <c:pt idx="32">
                  <c:v>0.47899999999999998</c:v>
                </c:pt>
                <c:pt idx="33">
                  <c:v>0.58099999999999996</c:v>
                </c:pt>
                <c:pt idx="34">
                  <c:v>0.82599999999999996</c:v>
                </c:pt>
                <c:pt idx="35">
                  <c:v>0.97899999999999998</c:v>
                </c:pt>
                <c:pt idx="36">
                  <c:v>0.98899999999999999</c:v>
                </c:pt>
                <c:pt idx="37">
                  <c:v>1</c:v>
                </c:pt>
                <c:pt idx="38">
                  <c:v>0.96899999999999997</c:v>
                </c:pt>
                <c:pt idx="39">
                  <c:v>0.94799999999999995</c:v>
                </c:pt>
                <c:pt idx="40">
                  <c:v>0.93799999999999994</c:v>
                </c:pt>
                <c:pt idx="41">
                  <c:v>0.95899999999999996</c:v>
                </c:pt>
                <c:pt idx="42">
                  <c:v>0.89700000000000002</c:v>
                </c:pt>
                <c:pt idx="43">
                  <c:v>0.74399999999999999</c:v>
                </c:pt>
                <c:pt idx="44">
                  <c:v>0.86699999999999999</c:v>
                </c:pt>
                <c:pt idx="45">
                  <c:v>0.755</c:v>
                </c:pt>
                <c:pt idx="46">
                  <c:v>0.66300000000000003</c:v>
                </c:pt>
                <c:pt idx="47">
                  <c:v>0.16300000000000001</c:v>
                </c:pt>
                <c:pt idx="48">
                  <c:v>6.0999999999999999E-2</c:v>
                </c:pt>
                <c:pt idx="49">
                  <c:v>0.01</c:v>
                </c:pt>
                <c:pt idx="50">
                  <c:v>0.112</c:v>
                </c:pt>
                <c:pt idx="51">
                  <c:v>0.77500000000000002</c:v>
                </c:pt>
                <c:pt idx="52">
                  <c:v>0.622</c:v>
                </c:pt>
                <c:pt idx="53">
                  <c:v>0.65300000000000002</c:v>
                </c:pt>
                <c:pt idx="54">
                  <c:v>0.61199999999999999</c:v>
                </c:pt>
                <c:pt idx="55">
                  <c:v>0.64200000000000002</c:v>
                </c:pt>
                <c:pt idx="56">
                  <c:v>0.80600000000000005</c:v>
                </c:pt>
                <c:pt idx="57">
                  <c:v>0.85699999999999998</c:v>
                </c:pt>
                <c:pt idx="58">
                  <c:v>0.82599999999999996</c:v>
                </c:pt>
                <c:pt idx="59">
                  <c:v>0.70399999999999996</c:v>
                </c:pt>
                <c:pt idx="60">
                  <c:v>0.57099999999999995</c:v>
                </c:pt>
                <c:pt idx="61">
                  <c:v>0.63200000000000001</c:v>
                </c:pt>
                <c:pt idx="62">
                  <c:v>0.30599999999999999</c:v>
                </c:pt>
                <c:pt idx="63">
                  <c:v>0.20399999999999999</c:v>
                </c:pt>
                <c:pt idx="64">
                  <c:v>0.27500000000000002</c:v>
                </c:pt>
                <c:pt idx="65">
                  <c:v>0.34599999999999997</c:v>
                </c:pt>
                <c:pt idx="66">
                  <c:v>0.40799999999999997</c:v>
                </c:pt>
                <c:pt idx="67">
                  <c:v>0.46899999999999997</c:v>
                </c:pt>
                <c:pt idx="68">
                  <c:v>0.51</c:v>
                </c:pt>
                <c:pt idx="69">
                  <c:v>0.56100000000000005</c:v>
                </c:pt>
                <c:pt idx="70">
                  <c:v>0.66300000000000003</c:v>
                </c:pt>
                <c:pt idx="71">
                  <c:v>0.84599999999999997</c:v>
                </c:pt>
                <c:pt idx="72">
                  <c:v>0.877</c:v>
                </c:pt>
                <c:pt idx="73">
                  <c:v>0.91800000000000004</c:v>
                </c:pt>
                <c:pt idx="74">
                  <c:v>0.71399999999999997</c:v>
                </c:pt>
                <c:pt idx="75">
                  <c:v>0.91800000000000004</c:v>
                </c:pt>
                <c:pt idx="76">
                  <c:v>0.90800000000000003</c:v>
                </c:pt>
                <c:pt idx="77">
                  <c:v>0.88700000000000001</c:v>
                </c:pt>
                <c:pt idx="78">
                  <c:v>0.78500000000000003</c:v>
                </c:pt>
                <c:pt idx="79">
                  <c:v>0.72399999999999998</c:v>
                </c:pt>
                <c:pt idx="80">
                  <c:v>0.79500000000000004</c:v>
                </c:pt>
                <c:pt idx="81">
                  <c:v>0.755</c:v>
                </c:pt>
                <c:pt idx="82">
                  <c:v>0.68300000000000005</c:v>
                </c:pt>
                <c:pt idx="83">
                  <c:v>0.55100000000000005</c:v>
                </c:pt>
                <c:pt idx="84">
                  <c:v>0.5</c:v>
                </c:pt>
                <c:pt idx="85">
                  <c:v>0.54</c:v>
                </c:pt>
                <c:pt idx="86">
                  <c:v>0.60199999999999998</c:v>
                </c:pt>
                <c:pt idx="87">
                  <c:v>0.53</c:v>
                </c:pt>
                <c:pt idx="88">
                  <c:v>0.45900000000000002</c:v>
                </c:pt>
                <c:pt idx="89">
                  <c:v>0.36699999999999999</c:v>
                </c:pt>
                <c:pt idx="90">
                  <c:v>0.32600000000000001</c:v>
                </c:pt>
                <c:pt idx="91">
                  <c:v>0.41799999999999998</c:v>
                </c:pt>
                <c:pt idx="92">
                  <c:v>0.438</c:v>
                </c:pt>
                <c:pt idx="93">
                  <c:v>0.44800000000000001</c:v>
                </c:pt>
                <c:pt idx="94">
                  <c:v>0.39700000000000002</c:v>
                </c:pt>
                <c:pt idx="95">
                  <c:v>0.42799999999999999</c:v>
                </c:pt>
                <c:pt idx="96">
                  <c:v>0.52</c:v>
                </c:pt>
                <c:pt idx="97">
                  <c:v>0.59099999999999997</c:v>
                </c:pt>
                <c:pt idx="98">
                  <c:v>0.48899999999999999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960-464A-8BFA-6B0DE32DFD1A}"/>
            </c:ext>
          </c:extLst>
        </c:ser>
        <c:ser>
          <c:idx val="2"/>
          <c:order val="2"/>
          <c:tx>
            <c:strRef>
              <c:f>'面板-景气指数'!$A$137</c:f>
              <c:strCache>
                <c:ptCount val="1"/>
                <c:pt idx="0">
                  <c:v>个护用品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'面板-景气指数'!$F$137:$CZ$137</c:f>
              <c:numCache>
                <c:formatCode>0.0%</c:formatCode>
                <c:ptCount val="99"/>
                <c:pt idx="0">
                  <c:v>0.14799999999999999</c:v>
                </c:pt>
                <c:pt idx="1">
                  <c:v>0.14799999999999999</c:v>
                </c:pt>
                <c:pt idx="2">
                  <c:v>0.12249999999999998</c:v>
                </c:pt>
                <c:pt idx="3">
                  <c:v>0.18149999999999999</c:v>
                </c:pt>
                <c:pt idx="4">
                  <c:v>0.153</c:v>
                </c:pt>
                <c:pt idx="5">
                  <c:v>0.17099999999999999</c:v>
                </c:pt>
                <c:pt idx="6">
                  <c:v>0.14750000000000002</c:v>
                </c:pt>
                <c:pt idx="7">
                  <c:v>9.6500000000000002E-2</c:v>
                </c:pt>
                <c:pt idx="8">
                  <c:v>6.8500000000000005E-2</c:v>
                </c:pt>
                <c:pt idx="9">
                  <c:v>9.1500000000000012E-2</c:v>
                </c:pt>
                <c:pt idx="10">
                  <c:v>0.18049999999999999</c:v>
                </c:pt>
                <c:pt idx="11">
                  <c:v>0.31900000000000006</c:v>
                </c:pt>
                <c:pt idx="12">
                  <c:v>0.3805</c:v>
                </c:pt>
                <c:pt idx="13">
                  <c:v>0.33949999999999997</c:v>
                </c:pt>
                <c:pt idx="14">
                  <c:v>0.37649999999999995</c:v>
                </c:pt>
                <c:pt idx="15">
                  <c:v>0.33300000000000002</c:v>
                </c:pt>
                <c:pt idx="16">
                  <c:v>0.4405</c:v>
                </c:pt>
                <c:pt idx="17">
                  <c:v>0.40699999999999997</c:v>
                </c:pt>
                <c:pt idx="18">
                  <c:v>0.40949999999999998</c:v>
                </c:pt>
                <c:pt idx="19">
                  <c:v>0.27049999999999996</c:v>
                </c:pt>
                <c:pt idx="20">
                  <c:v>0.42749999999999999</c:v>
                </c:pt>
                <c:pt idx="21">
                  <c:v>0.4405</c:v>
                </c:pt>
                <c:pt idx="22">
                  <c:v>0.46350000000000002</c:v>
                </c:pt>
                <c:pt idx="23">
                  <c:v>0.21499999999999997</c:v>
                </c:pt>
                <c:pt idx="24">
                  <c:v>0.29649999999999999</c:v>
                </c:pt>
                <c:pt idx="25">
                  <c:v>0.40650000000000003</c:v>
                </c:pt>
                <c:pt idx="26">
                  <c:v>0.74299999999999999</c:v>
                </c:pt>
                <c:pt idx="27">
                  <c:v>0.68500000000000005</c:v>
                </c:pt>
                <c:pt idx="28">
                  <c:v>0.51100000000000001</c:v>
                </c:pt>
                <c:pt idx="29">
                  <c:v>0.48599999999999999</c:v>
                </c:pt>
                <c:pt idx="30">
                  <c:v>0.48349999999999999</c:v>
                </c:pt>
                <c:pt idx="31">
                  <c:v>0.60649999999999993</c:v>
                </c:pt>
                <c:pt idx="32">
                  <c:v>0.629</c:v>
                </c:pt>
                <c:pt idx="33">
                  <c:v>0.80549999999999999</c:v>
                </c:pt>
                <c:pt idx="34">
                  <c:v>0.61</c:v>
                </c:pt>
                <c:pt idx="35">
                  <c:v>0.72799999999999998</c:v>
                </c:pt>
                <c:pt idx="36">
                  <c:v>0.67349999999999999</c:v>
                </c:pt>
                <c:pt idx="37">
                  <c:v>0.96149999999999991</c:v>
                </c:pt>
                <c:pt idx="38">
                  <c:v>0.97649999999999992</c:v>
                </c:pt>
                <c:pt idx="39">
                  <c:v>0.69350000000000001</c:v>
                </c:pt>
                <c:pt idx="40">
                  <c:v>0.48449999999999993</c:v>
                </c:pt>
                <c:pt idx="41">
                  <c:v>0.5</c:v>
                </c:pt>
                <c:pt idx="42">
                  <c:v>0.53549999999999998</c:v>
                </c:pt>
                <c:pt idx="43">
                  <c:v>0.4945</c:v>
                </c:pt>
                <c:pt idx="44">
                  <c:v>0.55600000000000005</c:v>
                </c:pt>
                <c:pt idx="45">
                  <c:v>0.64750000000000008</c:v>
                </c:pt>
                <c:pt idx="46">
                  <c:v>0.66300000000000003</c:v>
                </c:pt>
                <c:pt idx="47">
                  <c:v>0.46399999999999997</c:v>
                </c:pt>
                <c:pt idx="48">
                  <c:v>0.33150000000000002</c:v>
                </c:pt>
                <c:pt idx="49">
                  <c:v>0.27550000000000002</c:v>
                </c:pt>
                <c:pt idx="50">
                  <c:v>0.37200000000000005</c:v>
                </c:pt>
                <c:pt idx="51">
                  <c:v>0.71399999999999997</c:v>
                </c:pt>
                <c:pt idx="52">
                  <c:v>0.67849999999999988</c:v>
                </c:pt>
                <c:pt idx="53">
                  <c:v>0.65800000000000003</c:v>
                </c:pt>
                <c:pt idx="54">
                  <c:v>0.58150000000000002</c:v>
                </c:pt>
                <c:pt idx="55">
                  <c:v>0.60199999999999987</c:v>
                </c:pt>
                <c:pt idx="56">
                  <c:v>0.61199999999999999</c:v>
                </c:pt>
                <c:pt idx="57">
                  <c:v>0.57099999999999995</c:v>
                </c:pt>
                <c:pt idx="58">
                  <c:v>0.56600000000000006</c:v>
                </c:pt>
                <c:pt idx="59">
                  <c:v>0.64249999999999996</c:v>
                </c:pt>
                <c:pt idx="60">
                  <c:v>0.70900000000000007</c:v>
                </c:pt>
                <c:pt idx="61">
                  <c:v>0.71899999999999997</c:v>
                </c:pt>
                <c:pt idx="62">
                  <c:v>0.72399999999999998</c:v>
                </c:pt>
                <c:pt idx="63">
                  <c:v>0.72950000000000004</c:v>
                </c:pt>
                <c:pt idx="64">
                  <c:v>0.67300000000000004</c:v>
                </c:pt>
                <c:pt idx="65">
                  <c:v>0.6885</c:v>
                </c:pt>
                <c:pt idx="66">
                  <c:v>0.67849999999999988</c:v>
                </c:pt>
                <c:pt idx="67">
                  <c:v>0.70400000000000007</c:v>
                </c:pt>
                <c:pt idx="68">
                  <c:v>0.66799999999999993</c:v>
                </c:pt>
                <c:pt idx="69">
                  <c:v>0.59150000000000003</c:v>
                </c:pt>
                <c:pt idx="70">
                  <c:v>0.60699999999999998</c:v>
                </c:pt>
                <c:pt idx="71">
                  <c:v>0.622</c:v>
                </c:pt>
                <c:pt idx="72">
                  <c:v>0.61699999999999999</c:v>
                </c:pt>
                <c:pt idx="73">
                  <c:v>0.63749999999999996</c:v>
                </c:pt>
                <c:pt idx="74">
                  <c:v>0.4335</c:v>
                </c:pt>
                <c:pt idx="75">
                  <c:v>0.40300000000000002</c:v>
                </c:pt>
                <c:pt idx="76">
                  <c:v>0.40800000000000003</c:v>
                </c:pt>
                <c:pt idx="77">
                  <c:v>0.42849999999999999</c:v>
                </c:pt>
                <c:pt idx="78">
                  <c:v>0.42299999999999999</c:v>
                </c:pt>
                <c:pt idx="79">
                  <c:v>0.41799999999999998</c:v>
                </c:pt>
                <c:pt idx="80">
                  <c:v>0.45900000000000002</c:v>
                </c:pt>
                <c:pt idx="81">
                  <c:v>0.47400000000000003</c:v>
                </c:pt>
                <c:pt idx="82">
                  <c:v>0.48949999999999999</c:v>
                </c:pt>
                <c:pt idx="83">
                  <c:v>0.43850000000000006</c:v>
                </c:pt>
                <c:pt idx="84">
                  <c:v>0.44850000000000001</c:v>
                </c:pt>
                <c:pt idx="85">
                  <c:v>0.45399999999999996</c:v>
                </c:pt>
                <c:pt idx="86">
                  <c:v>0.54549999999999998</c:v>
                </c:pt>
                <c:pt idx="87">
                  <c:v>0.57650000000000001</c:v>
                </c:pt>
                <c:pt idx="88">
                  <c:v>0.54049999999999998</c:v>
                </c:pt>
                <c:pt idx="89">
                  <c:v>0.52</c:v>
                </c:pt>
                <c:pt idx="90">
                  <c:v>0.51</c:v>
                </c:pt>
                <c:pt idx="91">
                  <c:v>0.52550000000000008</c:v>
                </c:pt>
                <c:pt idx="92">
                  <c:v>0.51500000000000001</c:v>
                </c:pt>
                <c:pt idx="93">
                  <c:v>0.55099999999999993</c:v>
                </c:pt>
                <c:pt idx="94">
                  <c:v>0.58650000000000002</c:v>
                </c:pt>
                <c:pt idx="95">
                  <c:v>0.59650000000000003</c:v>
                </c:pt>
                <c:pt idx="96">
                  <c:v>0.55600000000000005</c:v>
                </c:pt>
                <c:pt idx="97">
                  <c:v>0.53050000000000008</c:v>
                </c:pt>
                <c:pt idx="98">
                  <c:v>0.62750000000000006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960-464A-8BFA-6B0DE32DFD1A}"/>
            </c:ext>
          </c:extLst>
        </c:ser>
        <c:ser>
          <c:idx val="3"/>
          <c:order val="3"/>
          <c:tx>
            <c:strRef>
              <c:f>'面板-景气指数'!$A$138</c:f>
              <c:strCache>
                <c:ptCount val="1"/>
                <c:pt idx="0">
                  <c:v>医疗美容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'面板-景气指数'!$F$138:$CZ$138</c:f>
              <c:numCache>
                <c:formatCode>0.0%</c:formatCode>
                <c:ptCount val="99"/>
                <c:pt idx="0">
                  <c:v>0.10433333333333333</c:v>
                </c:pt>
                <c:pt idx="1">
                  <c:v>0.15066666666666667</c:v>
                </c:pt>
                <c:pt idx="2">
                  <c:v>0.13933333333333334</c:v>
                </c:pt>
                <c:pt idx="3">
                  <c:v>0.17633333333333337</c:v>
                </c:pt>
                <c:pt idx="4">
                  <c:v>0.23383333333333334</c:v>
                </c:pt>
                <c:pt idx="5">
                  <c:v>0.30116666666666669</c:v>
                </c:pt>
                <c:pt idx="6">
                  <c:v>0.41616666666666668</c:v>
                </c:pt>
                <c:pt idx="7">
                  <c:v>0.45416666666666677</c:v>
                </c:pt>
                <c:pt idx="8">
                  <c:v>0.5581666666666667</c:v>
                </c:pt>
                <c:pt idx="9">
                  <c:v>0.65066666666666673</c:v>
                </c:pt>
                <c:pt idx="10">
                  <c:v>0.75650000000000006</c:v>
                </c:pt>
                <c:pt idx="11">
                  <c:v>0.77383333333333337</c:v>
                </c:pt>
                <c:pt idx="12">
                  <c:v>0.7296666666666668</c:v>
                </c:pt>
                <c:pt idx="13">
                  <c:v>0.68550000000000011</c:v>
                </c:pt>
                <c:pt idx="14">
                  <c:v>0.67716666666666681</c:v>
                </c:pt>
                <c:pt idx="15">
                  <c:v>0.70316666666666672</c:v>
                </c:pt>
                <c:pt idx="16">
                  <c:v>0.69200000000000006</c:v>
                </c:pt>
                <c:pt idx="17">
                  <c:v>0.69600000000000006</c:v>
                </c:pt>
                <c:pt idx="18">
                  <c:v>0.56716666666666671</c:v>
                </c:pt>
                <c:pt idx="19">
                  <c:v>0.52216666666666678</c:v>
                </c:pt>
                <c:pt idx="20">
                  <c:v>0.4256666666666668</c:v>
                </c:pt>
                <c:pt idx="21">
                  <c:v>0.41816666666666674</c:v>
                </c:pt>
                <c:pt idx="22">
                  <c:v>0.39550000000000002</c:v>
                </c:pt>
                <c:pt idx="23">
                  <c:v>0.44333333333333341</c:v>
                </c:pt>
                <c:pt idx="24">
                  <c:v>0.47950000000000004</c:v>
                </c:pt>
                <c:pt idx="25">
                  <c:v>0.48849999999999999</c:v>
                </c:pt>
                <c:pt idx="26">
                  <c:v>0.51916666666666678</c:v>
                </c:pt>
                <c:pt idx="27">
                  <c:v>0.51183333333333347</c:v>
                </c:pt>
                <c:pt idx="28">
                  <c:v>0.54633333333333334</c:v>
                </c:pt>
                <c:pt idx="29">
                  <c:v>0.54033333333333333</c:v>
                </c:pt>
                <c:pt idx="30">
                  <c:v>0.59599999999999997</c:v>
                </c:pt>
                <c:pt idx="31">
                  <c:v>0.59250000000000014</c:v>
                </c:pt>
                <c:pt idx="32">
                  <c:v>0.64250000000000018</c:v>
                </c:pt>
                <c:pt idx="33">
                  <c:v>0.59850000000000014</c:v>
                </c:pt>
                <c:pt idx="34">
                  <c:v>0.59233333333333349</c:v>
                </c:pt>
                <c:pt idx="35">
                  <c:v>0.61499999999999999</c:v>
                </c:pt>
                <c:pt idx="36">
                  <c:v>0.68916666666666682</c:v>
                </c:pt>
                <c:pt idx="37">
                  <c:v>0.73016666666666685</c:v>
                </c:pt>
                <c:pt idx="38">
                  <c:v>0.66916666666666669</c:v>
                </c:pt>
                <c:pt idx="39">
                  <c:v>0.54849999999999999</c:v>
                </c:pt>
                <c:pt idx="40">
                  <c:v>0.48016666666666674</c:v>
                </c:pt>
                <c:pt idx="41">
                  <c:v>0.4963333333333334</c:v>
                </c:pt>
                <c:pt idx="42">
                  <c:v>0.44716666666666671</c:v>
                </c:pt>
                <c:pt idx="43">
                  <c:v>0.61599999999999999</c:v>
                </c:pt>
                <c:pt idx="44">
                  <c:v>0.58400000000000007</c:v>
                </c:pt>
                <c:pt idx="45">
                  <c:v>0.57116666666666671</c:v>
                </c:pt>
                <c:pt idx="46">
                  <c:v>0.39683333333333343</c:v>
                </c:pt>
                <c:pt idx="47">
                  <c:v>0.3663333333333334</c:v>
                </c:pt>
                <c:pt idx="48">
                  <c:v>0.31450000000000006</c:v>
                </c:pt>
                <c:pt idx="49">
                  <c:v>0.3111666666666667</c:v>
                </c:pt>
                <c:pt idx="50">
                  <c:v>0.34916666666666668</c:v>
                </c:pt>
                <c:pt idx="51">
                  <c:v>0.39516666666666661</c:v>
                </c:pt>
                <c:pt idx="52">
                  <c:v>0.42366666666666669</c:v>
                </c:pt>
                <c:pt idx="53">
                  <c:v>0.44050000000000006</c:v>
                </c:pt>
                <c:pt idx="54">
                  <c:v>0.43300000000000005</c:v>
                </c:pt>
                <c:pt idx="55">
                  <c:v>0.40133333333333332</c:v>
                </c:pt>
                <c:pt idx="56">
                  <c:v>0.40666666666666668</c:v>
                </c:pt>
                <c:pt idx="57">
                  <c:v>0.43733333333333335</c:v>
                </c:pt>
                <c:pt idx="58">
                  <c:v>0.53866666666666663</c:v>
                </c:pt>
                <c:pt idx="59">
                  <c:v>0.51800000000000002</c:v>
                </c:pt>
                <c:pt idx="60">
                  <c:v>0.51200000000000012</c:v>
                </c:pt>
                <c:pt idx="61">
                  <c:v>0.4958333333333334</c:v>
                </c:pt>
                <c:pt idx="62">
                  <c:v>0.46316666666666667</c:v>
                </c:pt>
                <c:pt idx="63">
                  <c:v>0.49450000000000005</c:v>
                </c:pt>
                <c:pt idx="64">
                  <c:v>0.52683333333333338</c:v>
                </c:pt>
                <c:pt idx="65">
                  <c:v>0.42083333333333334</c:v>
                </c:pt>
                <c:pt idx="66">
                  <c:v>0.38816666666666666</c:v>
                </c:pt>
                <c:pt idx="67">
                  <c:v>0.33450000000000002</c:v>
                </c:pt>
                <c:pt idx="68">
                  <c:v>0.38183333333333341</c:v>
                </c:pt>
                <c:pt idx="69">
                  <c:v>0.37533333333333335</c:v>
                </c:pt>
                <c:pt idx="70">
                  <c:v>0.39616666666666672</c:v>
                </c:pt>
                <c:pt idx="71">
                  <c:v>0.46533333333333343</c:v>
                </c:pt>
                <c:pt idx="72">
                  <c:v>0.42666666666666675</c:v>
                </c:pt>
                <c:pt idx="73">
                  <c:v>0.47916666666666669</c:v>
                </c:pt>
                <c:pt idx="74">
                  <c:v>0.55666666666666664</c:v>
                </c:pt>
                <c:pt idx="75">
                  <c:v>0.69566666666666677</c:v>
                </c:pt>
                <c:pt idx="76">
                  <c:v>0.69933333333333325</c:v>
                </c:pt>
                <c:pt idx="77">
                  <c:v>0.73899999999999999</c:v>
                </c:pt>
                <c:pt idx="78">
                  <c:v>0.70899999999999996</c:v>
                </c:pt>
                <c:pt idx="79">
                  <c:v>0.68783333333333341</c:v>
                </c:pt>
                <c:pt idx="80">
                  <c:v>0.62816666666666665</c:v>
                </c:pt>
                <c:pt idx="81">
                  <c:v>0.49949999999999994</c:v>
                </c:pt>
                <c:pt idx="82">
                  <c:v>0.41850000000000004</c:v>
                </c:pt>
                <c:pt idx="83">
                  <c:v>0.36033333333333334</c:v>
                </c:pt>
                <c:pt idx="84">
                  <c:v>0.42850000000000005</c:v>
                </c:pt>
                <c:pt idx="85">
                  <c:v>0.43200000000000011</c:v>
                </c:pt>
                <c:pt idx="86">
                  <c:v>0.53816666666666668</c:v>
                </c:pt>
                <c:pt idx="87">
                  <c:v>0.44216666666666676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960-464A-8BFA-6B0DE32DF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'面板-景气指数'!$A$46</c:f>
              <c:strCache>
                <c:ptCount val="1"/>
                <c:pt idx="0">
                  <c:v>农林牧渔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'面板-景气指数'!$F$46:$CZ$46</c:f>
              <c:numCache>
                <c:formatCode>0.0%</c:formatCode>
                <c:ptCount val="99"/>
                <c:pt idx="0">
                  <c:v>0.11322437831309613</c:v>
                </c:pt>
                <c:pt idx="1">
                  <c:v>0.11327180254921257</c:v>
                </c:pt>
                <c:pt idx="2">
                  <c:v>0.11216941377658929</c:v>
                </c:pt>
                <c:pt idx="3">
                  <c:v>0.13588737774105034</c:v>
                </c:pt>
                <c:pt idx="4">
                  <c:v>0.14109128004914034</c:v>
                </c:pt>
                <c:pt idx="5">
                  <c:v>0.15384665214059129</c:v>
                </c:pt>
                <c:pt idx="6">
                  <c:v>0.20650992172386543</c:v>
                </c:pt>
                <c:pt idx="7">
                  <c:v>0.24071517188293856</c:v>
                </c:pt>
                <c:pt idx="8">
                  <c:v>0.22442498514640183</c:v>
                </c:pt>
                <c:pt idx="9">
                  <c:v>0.1810700742510718</c:v>
                </c:pt>
                <c:pt idx="10">
                  <c:v>0.18332427949845151</c:v>
                </c:pt>
                <c:pt idx="11">
                  <c:v>0.22292740859148027</c:v>
                </c:pt>
                <c:pt idx="12">
                  <c:v>0.30418053348478669</c:v>
                </c:pt>
                <c:pt idx="13">
                  <c:v>0.36226580272824077</c:v>
                </c:pt>
                <c:pt idx="14">
                  <c:v>0.44080337881389353</c:v>
                </c:pt>
                <c:pt idx="15">
                  <c:v>0.54121542497703901</c:v>
                </c:pt>
                <c:pt idx="16">
                  <c:v>0.65884734090480945</c:v>
                </c:pt>
                <c:pt idx="17">
                  <c:v>0.73326230685263383</c:v>
                </c:pt>
                <c:pt idx="18">
                  <c:v>0.73419389926086587</c:v>
                </c:pt>
                <c:pt idx="19">
                  <c:v>0.69123455885161722</c:v>
                </c:pt>
                <c:pt idx="20">
                  <c:v>0.64791065479361842</c:v>
                </c:pt>
                <c:pt idx="21">
                  <c:v>0.61593078935188383</c:v>
                </c:pt>
                <c:pt idx="22">
                  <c:v>0.54348621747083914</c:v>
                </c:pt>
                <c:pt idx="23">
                  <c:v>0.51272849010994892</c:v>
                </c:pt>
                <c:pt idx="24">
                  <c:v>0.49525430737674775</c:v>
                </c:pt>
                <c:pt idx="25">
                  <c:v>0.49603232315407036</c:v>
                </c:pt>
                <c:pt idx="26">
                  <c:v>0.54120752447280562</c:v>
                </c:pt>
                <c:pt idx="27">
                  <c:v>0.61861379963133933</c:v>
                </c:pt>
                <c:pt idx="28">
                  <c:v>0.63389611869686069</c:v>
                </c:pt>
                <c:pt idx="29">
                  <c:v>0.59220509674755051</c:v>
                </c:pt>
                <c:pt idx="30">
                  <c:v>0.58142680063376262</c:v>
                </c:pt>
                <c:pt idx="31">
                  <c:v>0.5851959532054678</c:v>
                </c:pt>
                <c:pt idx="32">
                  <c:v>0.64217612860650863</c:v>
                </c:pt>
                <c:pt idx="33">
                  <c:v>0.69732556629572107</c:v>
                </c:pt>
                <c:pt idx="34">
                  <c:v>0.73992444210031072</c:v>
                </c:pt>
                <c:pt idx="35">
                  <c:v>0.7881797385382473</c:v>
                </c:pt>
                <c:pt idx="36">
                  <c:v>0.81496232345160602</c:v>
                </c:pt>
                <c:pt idx="37">
                  <c:v>0.88078195280467841</c:v>
                </c:pt>
                <c:pt idx="38">
                  <c:v>0.83565382051126902</c:v>
                </c:pt>
                <c:pt idx="39">
                  <c:v>0.7973180761618508</c:v>
                </c:pt>
                <c:pt idx="40">
                  <c:v>0.76607194509109566</c:v>
                </c:pt>
                <c:pt idx="41">
                  <c:v>0.75997291508214126</c:v>
                </c:pt>
                <c:pt idx="42">
                  <c:v>0.75029624979568288</c:v>
                </c:pt>
                <c:pt idx="43">
                  <c:v>0.74936277272291463</c:v>
                </c:pt>
                <c:pt idx="44">
                  <c:v>0.71033648959558715</c:v>
                </c:pt>
                <c:pt idx="45">
                  <c:v>0.68456458393692521</c:v>
                </c:pt>
                <c:pt idx="46">
                  <c:v>0.68320708242386952</c:v>
                </c:pt>
                <c:pt idx="47">
                  <c:v>0.67063116069744944</c:v>
                </c:pt>
                <c:pt idx="48">
                  <c:v>0.68038244059270214</c:v>
                </c:pt>
                <c:pt idx="49">
                  <c:v>0.61000573488495224</c:v>
                </c:pt>
                <c:pt idx="50">
                  <c:v>0.5821426244298552</c:v>
                </c:pt>
                <c:pt idx="51">
                  <c:v>0.53517078884555747</c:v>
                </c:pt>
                <c:pt idx="52">
                  <c:v>0.52112512502694919</c:v>
                </c:pt>
                <c:pt idx="53">
                  <c:v>0.55958400825694821</c:v>
                </c:pt>
                <c:pt idx="54">
                  <c:v>0.57850100725949838</c:v>
                </c:pt>
                <c:pt idx="55">
                  <c:v>0.57888950908185988</c:v>
                </c:pt>
                <c:pt idx="56">
                  <c:v>0.54901234093070128</c:v>
                </c:pt>
                <c:pt idx="57">
                  <c:v>0.51639924844425267</c:v>
                </c:pt>
                <c:pt idx="58">
                  <c:v>0.48365695440230849</c:v>
                </c:pt>
                <c:pt idx="59">
                  <c:v>0.42463468089663114</c:v>
                </c:pt>
                <c:pt idx="60">
                  <c:v>0.38031983430517952</c:v>
                </c:pt>
                <c:pt idx="61">
                  <c:v>0.37178446308302665</c:v>
                </c:pt>
                <c:pt idx="62">
                  <c:v>0.39612161933882395</c:v>
                </c:pt>
                <c:pt idx="63">
                  <c:v>0.42089506629217632</c:v>
                </c:pt>
                <c:pt idx="64">
                  <c:v>0.43359284614623161</c:v>
                </c:pt>
                <c:pt idx="65">
                  <c:v>0.46144888337169676</c:v>
                </c:pt>
                <c:pt idx="66">
                  <c:v>0.46243196595776193</c:v>
                </c:pt>
                <c:pt idx="67">
                  <c:v>0.42747736734662806</c:v>
                </c:pt>
                <c:pt idx="68">
                  <c:v>0.41845414606801129</c:v>
                </c:pt>
                <c:pt idx="69">
                  <c:v>0.40065896297450099</c:v>
                </c:pt>
                <c:pt idx="70">
                  <c:v>0.39390154428174495</c:v>
                </c:pt>
                <c:pt idx="71">
                  <c:v>0.39834826055574857</c:v>
                </c:pt>
                <c:pt idx="72">
                  <c:v>0.44675474476127697</c:v>
                </c:pt>
                <c:pt idx="73">
                  <c:v>0.48155669942216084</c:v>
                </c:pt>
                <c:pt idx="74">
                  <c:v>0.50599882006574615</c:v>
                </c:pt>
                <c:pt idx="75">
                  <c:v>0.467710075669801</c:v>
                </c:pt>
                <c:pt idx="76">
                  <c:v>0.44220387984520748</c:v>
                </c:pt>
                <c:pt idx="77">
                  <c:v>0.40351015004287089</c:v>
                </c:pt>
                <c:pt idx="78">
                  <c:v>0.37625151268557544</c:v>
                </c:pt>
                <c:pt idx="79">
                  <c:v>0.35089685862815939</c:v>
                </c:pt>
                <c:pt idx="80">
                  <c:v>0.35434547399583927</c:v>
                </c:pt>
                <c:pt idx="81">
                  <c:v>0.37642676804239611</c:v>
                </c:pt>
                <c:pt idx="82">
                  <c:v>0.43629528888867597</c:v>
                </c:pt>
                <c:pt idx="83">
                  <c:v>0.52334407068297084</c:v>
                </c:pt>
                <c:pt idx="84">
                  <c:v>0.56009655915816325</c:v>
                </c:pt>
                <c:pt idx="85">
                  <c:v>0.5559530658455909</c:v>
                </c:pt>
                <c:pt idx="86">
                  <c:v>0.54344633643732498</c:v>
                </c:pt>
                <c:pt idx="87">
                  <c:v>0.5778203838032302</c:v>
                </c:pt>
                <c:pt idx="88">
                  <c:v>0.5542783865884755</c:v>
                </c:pt>
                <c:pt idx="89">
                  <c:v>0.54504503476232091</c:v>
                </c:pt>
                <c:pt idx="90">
                  <c:v>0.51159381280304983</c:v>
                </c:pt>
                <c:pt idx="91">
                  <c:v>0.4896393962237689</c:v>
                </c:pt>
                <c:pt idx="92">
                  <c:v>0.49811930344623123</c:v>
                </c:pt>
                <c:pt idx="93">
                  <c:v>0.50536062719481623</c:v>
                </c:pt>
                <c:pt idx="94">
                  <c:v>0.50416387609963853</c:v>
                </c:pt>
                <c:pt idx="95">
                  <c:v>0.45324258724819622</c:v>
                </c:pt>
                <c:pt idx="96">
                  <c:v>0.40708444744560734</c:v>
                </c:pt>
                <c:pt idx="97">
                  <c:v>0.34159631475899505</c:v>
                </c:pt>
                <c:pt idx="98">
                  <c:v>0.30213129307086423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73-43B3-8DA9-58A8AC7E413C}"/>
            </c:ext>
          </c:extLst>
        </c:ser>
        <c:ser>
          <c:idx val="1"/>
          <c:order val="1"/>
          <c:tx>
            <c:strRef>
              <c:f>'面板-景气指数'!$A$139</c:f>
              <c:strCache>
                <c:ptCount val="1"/>
                <c:pt idx="0">
                  <c:v>养殖业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'面板-景气指数'!$F$139:$CZ$139</c:f>
              <c:numCache>
                <c:formatCode>0.0%</c:formatCode>
                <c:ptCount val="99"/>
                <c:pt idx="0">
                  <c:v>0.19429999999999992</c:v>
                </c:pt>
                <c:pt idx="1">
                  <c:v>0.20149999999999993</c:v>
                </c:pt>
                <c:pt idx="2">
                  <c:v>0.20649999999999991</c:v>
                </c:pt>
                <c:pt idx="3">
                  <c:v>0.22389999999999996</c:v>
                </c:pt>
                <c:pt idx="4">
                  <c:v>0.23640000000000003</c:v>
                </c:pt>
                <c:pt idx="5">
                  <c:v>0.25760000000000005</c:v>
                </c:pt>
                <c:pt idx="6">
                  <c:v>0.30789999999999995</c:v>
                </c:pt>
                <c:pt idx="7">
                  <c:v>0.29539999999999988</c:v>
                </c:pt>
                <c:pt idx="8">
                  <c:v>0.23919999999999986</c:v>
                </c:pt>
                <c:pt idx="9">
                  <c:v>0.18719999999999981</c:v>
                </c:pt>
                <c:pt idx="10">
                  <c:v>0.21409999999999979</c:v>
                </c:pt>
                <c:pt idx="11">
                  <c:v>0.29849999999999971</c:v>
                </c:pt>
                <c:pt idx="12">
                  <c:v>0.33629999999999965</c:v>
                </c:pt>
                <c:pt idx="13">
                  <c:v>0.31469999999999965</c:v>
                </c:pt>
                <c:pt idx="14">
                  <c:v>0.37919999999999987</c:v>
                </c:pt>
                <c:pt idx="15">
                  <c:v>0.50859999999999983</c:v>
                </c:pt>
                <c:pt idx="16">
                  <c:v>0.67389999999999983</c:v>
                </c:pt>
                <c:pt idx="17">
                  <c:v>0.71879999999999999</c:v>
                </c:pt>
                <c:pt idx="18">
                  <c:v>0.6752999999999999</c:v>
                </c:pt>
                <c:pt idx="19">
                  <c:v>0.57619999999999993</c:v>
                </c:pt>
                <c:pt idx="20">
                  <c:v>0.48739999999999994</c:v>
                </c:pt>
                <c:pt idx="21">
                  <c:v>0.39429999999999987</c:v>
                </c:pt>
                <c:pt idx="22">
                  <c:v>0.20179999999999987</c:v>
                </c:pt>
                <c:pt idx="23">
                  <c:v>0.14449999999999982</c:v>
                </c:pt>
                <c:pt idx="24">
                  <c:v>0.12219999999999984</c:v>
                </c:pt>
                <c:pt idx="25">
                  <c:v>0.13939999999999986</c:v>
                </c:pt>
                <c:pt idx="26">
                  <c:v>0.27389999999999987</c:v>
                </c:pt>
                <c:pt idx="27">
                  <c:v>0.36569999999999991</c:v>
                </c:pt>
                <c:pt idx="28">
                  <c:v>0.3360999999999999</c:v>
                </c:pt>
                <c:pt idx="29">
                  <c:v>0.23139999999999977</c:v>
                </c:pt>
                <c:pt idx="30">
                  <c:v>0.22499999999999973</c:v>
                </c:pt>
                <c:pt idx="31">
                  <c:v>0.23409999999999978</c:v>
                </c:pt>
                <c:pt idx="32">
                  <c:v>0.28419999999999984</c:v>
                </c:pt>
                <c:pt idx="33">
                  <c:v>0.37479999999999991</c:v>
                </c:pt>
                <c:pt idx="34">
                  <c:v>0.44129999999999991</c:v>
                </c:pt>
                <c:pt idx="35">
                  <c:v>0.57790000000000019</c:v>
                </c:pt>
                <c:pt idx="36">
                  <c:v>0.68540000000000001</c:v>
                </c:pt>
                <c:pt idx="37">
                  <c:v>0.7905000000000002</c:v>
                </c:pt>
                <c:pt idx="38">
                  <c:v>0.80959999999999999</c:v>
                </c:pt>
                <c:pt idx="39">
                  <c:v>0.74530000000000018</c:v>
                </c:pt>
                <c:pt idx="40">
                  <c:v>0.68950000000000033</c:v>
                </c:pt>
                <c:pt idx="41">
                  <c:v>0.68650000000000022</c:v>
                </c:pt>
                <c:pt idx="42">
                  <c:v>0.71780000000000022</c:v>
                </c:pt>
                <c:pt idx="43">
                  <c:v>0.75570000000000048</c:v>
                </c:pt>
                <c:pt idx="44">
                  <c:v>0.77900000000000036</c:v>
                </c:pt>
                <c:pt idx="45">
                  <c:v>0.75870000000000037</c:v>
                </c:pt>
                <c:pt idx="46">
                  <c:v>0.74000000000000044</c:v>
                </c:pt>
                <c:pt idx="47">
                  <c:v>0.69220000000000048</c:v>
                </c:pt>
                <c:pt idx="48">
                  <c:v>0.72290000000000043</c:v>
                </c:pt>
                <c:pt idx="49">
                  <c:v>0.72220000000000051</c:v>
                </c:pt>
                <c:pt idx="50">
                  <c:v>0.72080000000000033</c:v>
                </c:pt>
                <c:pt idx="51">
                  <c:v>0.74850000000000028</c:v>
                </c:pt>
                <c:pt idx="52">
                  <c:v>0.7906000000000003</c:v>
                </c:pt>
                <c:pt idx="53">
                  <c:v>0.80230000000000024</c:v>
                </c:pt>
                <c:pt idx="54">
                  <c:v>0.76070000000000015</c:v>
                </c:pt>
                <c:pt idx="55">
                  <c:v>0.69440000000000024</c:v>
                </c:pt>
                <c:pt idx="56">
                  <c:v>0.63190000000000035</c:v>
                </c:pt>
                <c:pt idx="57">
                  <c:v>0.58940000000000015</c:v>
                </c:pt>
                <c:pt idx="58">
                  <c:v>0.59860000000000002</c:v>
                </c:pt>
                <c:pt idx="59">
                  <c:v>0.56869999999999998</c:v>
                </c:pt>
                <c:pt idx="60">
                  <c:v>0.51349999999999996</c:v>
                </c:pt>
                <c:pt idx="61">
                  <c:v>0.42309999999999992</c:v>
                </c:pt>
                <c:pt idx="62">
                  <c:v>0.3985999999999999</c:v>
                </c:pt>
                <c:pt idx="63">
                  <c:v>0.4574999999999998</c:v>
                </c:pt>
                <c:pt idx="64">
                  <c:v>0.49039999999999984</c:v>
                </c:pt>
                <c:pt idx="65">
                  <c:v>0.5299999999999998</c:v>
                </c:pt>
                <c:pt idx="66">
                  <c:v>0.50959999999999994</c:v>
                </c:pt>
                <c:pt idx="67">
                  <c:v>0.44940000000000002</c:v>
                </c:pt>
                <c:pt idx="68">
                  <c:v>0.40649999999999997</c:v>
                </c:pt>
                <c:pt idx="69">
                  <c:v>0.38209999999999983</c:v>
                </c:pt>
                <c:pt idx="70">
                  <c:v>0.32609999999999983</c:v>
                </c:pt>
                <c:pt idx="71">
                  <c:v>0.27929999999999988</c:v>
                </c:pt>
                <c:pt idx="72">
                  <c:v>0.3957</c:v>
                </c:pt>
                <c:pt idx="73">
                  <c:v>0.4882999999999999</c:v>
                </c:pt>
                <c:pt idx="74">
                  <c:v>0.56480000000000008</c:v>
                </c:pt>
                <c:pt idx="75">
                  <c:v>0.52220000000000011</c:v>
                </c:pt>
                <c:pt idx="76">
                  <c:v>0.47480000000000011</c:v>
                </c:pt>
                <c:pt idx="77">
                  <c:v>0.42910000000000026</c:v>
                </c:pt>
                <c:pt idx="78">
                  <c:v>0.42840000000000017</c:v>
                </c:pt>
                <c:pt idx="79">
                  <c:v>0.41880000000000012</c:v>
                </c:pt>
                <c:pt idx="80">
                  <c:v>0.39140000000000014</c:v>
                </c:pt>
                <c:pt idx="81">
                  <c:v>0.37400000000000022</c:v>
                </c:pt>
                <c:pt idx="82">
                  <c:v>0.44240000000000018</c:v>
                </c:pt>
                <c:pt idx="83">
                  <c:v>0.49230000000000024</c:v>
                </c:pt>
                <c:pt idx="84">
                  <c:v>0.54240000000000022</c:v>
                </c:pt>
                <c:pt idx="85">
                  <c:v>0.58940000000000037</c:v>
                </c:pt>
                <c:pt idx="86">
                  <c:v>0.61200000000000021</c:v>
                </c:pt>
                <c:pt idx="87">
                  <c:v>0.6342000000000001</c:v>
                </c:pt>
                <c:pt idx="88">
                  <c:v>0.63540000000000008</c:v>
                </c:pt>
                <c:pt idx="89">
                  <c:v>0.65990000000000004</c:v>
                </c:pt>
                <c:pt idx="90">
                  <c:v>0.68010000000000015</c:v>
                </c:pt>
                <c:pt idx="91">
                  <c:v>0.67090000000000005</c:v>
                </c:pt>
                <c:pt idx="92">
                  <c:v>0.70140000000000013</c:v>
                </c:pt>
                <c:pt idx="93">
                  <c:v>0.74330000000000018</c:v>
                </c:pt>
                <c:pt idx="94">
                  <c:v>0.75690000000000013</c:v>
                </c:pt>
                <c:pt idx="95">
                  <c:v>0.71760000000000013</c:v>
                </c:pt>
                <c:pt idx="96">
                  <c:v>0.66180000000000017</c:v>
                </c:pt>
                <c:pt idx="97">
                  <c:v>0.60850000000000015</c:v>
                </c:pt>
                <c:pt idx="98">
                  <c:v>0.53640000000000021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73-43B3-8DA9-58A8AC7E413C}"/>
            </c:ext>
          </c:extLst>
        </c:ser>
        <c:ser>
          <c:idx val="2"/>
          <c:order val="2"/>
          <c:tx>
            <c:strRef>
              <c:f>'面板-景气指数'!$A$141</c:f>
              <c:strCache>
                <c:ptCount val="1"/>
                <c:pt idx="0">
                  <c:v>饲料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'面板-景气指数'!$F$141:$CZ$141</c:f>
              <c:numCache>
                <c:formatCode>0.0%</c:formatCode>
                <c:ptCount val="99"/>
                <c:pt idx="0">
                  <c:v>0.04</c:v>
                </c:pt>
                <c:pt idx="1">
                  <c:v>0.02</c:v>
                </c:pt>
                <c:pt idx="2">
                  <c:v>0</c:v>
                </c:pt>
                <c:pt idx="3">
                  <c:v>0.01</c:v>
                </c:pt>
                <c:pt idx="4">
                  <c:v>0.03</c:v>
                </c:pt>
                <c:pt idx="5">
                  <c:v>7.0999999999999994E-2</c:v>
                </c:pt>
                <c:pt idx="6">
                  <c:v>0.26500000000000001</c:v>
                </c:pt>
                <c:pt idx="7">
                  <c:v>0.44800000000000001</c:v>
                </c:pt>
                <c:pt idx="8">
                  <c:v>0.48899999999999999</c:v>
                </c:pt>
                <c:pt idx="9">
                  <c:v>0.34599999999999997</c:v>
                </c:pt>
                <c:pt idx="10">
                  <c:v>0.214</c:v>
                </c:pt>
                <c:pt idx="11">
                  <c:v>0.10199999999999999</c:v>
                </c:pt>
                <c:pt idx="12">
                  <c:v>0.20399999999999999</c:v>
                </c:pt>
                <c:pt idx="13">
                  <c:v>0.438</c:v>
                </c:pt>
                <c:pt idx="14">
                  <c:v>0.63200000000000001</c:v>
                </c:pt>
                <c:pt idx="15">
                  <c:v>0.83599999999999997</c:v>
                </c:pt>
                <c:pt idx="16">
                  <c:v>0.86699999999999999</c:v>
                </c:pt>
                <c:pt idx="17">
                  <c:v>0.89700000000000002</c:v>
                </c:pt>
                <c:pt idx="18">
                  <c:v>0.85699999999999998</c:v>
                </c:pt>
                <c:pt idx="19">
                  <c:v>0.80600000000000005</c:v>
                </c:pt>
                <c:pt idx="20">
                  <c:v>0.74400000000000011</c:v>
                </c:pt>
                <c:pt idx="21">
                  <c:v>0.755</c:v>
                </c:pt>
                <c:pt idx="22">
                  <c:v>0.76500000000000001</c:v>
                </c:pt>
                <c:pt idx="23">
                  <c:v>0.81599999999999995</c:v>
                </c:pt>
                <c:pt idx="24">
                  <c:v>0.72399999999999998</c:v>
                </c:pt>
                <c:pt idx="25">
                  <c:v>0.56100000000000005</c:v>
                </c:pt>
                <c:pt idx="26">
                  <c:v>0.5</c:v>
                </c:pt>
                <c:pt idx="27">
                  <c:v>0.57099999999999995</c:v>
                </c:pt>
                <c:pt idx="28">
                  <c:v>0.78500000000000003</c:v>
                </c:pt>
                <c:pt idx="29">
                  <c:v>0.84599999999999997</c:v>
                </c:pt>
                <c:pt idx="30">
                  <c:v>0.877</c:v>
                </c:pt>
                <c:pt idx="31">
                  <c:v>0.90800000000000003</c:v>
                </c:pt>
                <c:pt idx="32">
                  <c:v>0.92799999999999994</c:v>
                </c:pt>
                <c:pt idx="33">
                  <c:v>0.93799999999999994</c:v>
                </c:pt>
                <c:pt idx="34">
                  <c:v>0.95899999999999996</c:v>
                </c:pt>
                <c:pt idx="35">
                  <c:v>0.96899999999999986</c:v>
                </c:pt>
                <c:pt idx="36">
                  <c:v>0.97899999999999998</c:v>
                </c:pt>
                <c:pt idx="37">
                  <c:v>1</c:v>
                </c:pt>
                <c:pt idx="38">
                  <c:v>0.98899999999999999</c:v>
                </c:pt>
                <c:pt idx="39">
                  <c:v>0.94799999999999995</c:v>
                </c:pt>
                <c:pt idx="40">
                  <c:v>0.91800000000000004</c:v>
                </c:pt>
                <c:pt idx="41">
                  <c:v>0.88700000000000001</c:v>
                </c:pt>
                <c:pt idx="42">
                  <c:v>0.82599999999999996</c:v>
                </c:pt>
                <c:pt idx="43">
                  <c:v>0.79500000000000004</c:v>
                </c:pt>
                <c:pt idx="44">
                  <c:v>0.64200000000000002</c:v>
                </c:pt>
                <c:pt idx="45">
                  <c:v>0.58099999999999996</c:v>
                </c:pt>
                <c:pt idx="46">
                  <c:v>0.59099999999999997</c:v>
                </c:pt>
                <c:pt idx="47">
                  <c:v>0.66300000000000003</c:v>
                </c:pt>
                <c:pt idx="48">
                  <c:v>0.70400000000000007</c:v>
                </c:pt>
                <c:pt idx="49">
                  <c:v>0.55100000000000005</c:v>
                </c:pt>
                <c:pt idx="50">
                  <c:v>0.41799999999999998</c:v>
                </c:pt>
                <c:pt idx="51">
                  <c:v>0.32600000000000007</c:v>
                </c:pt>
                <c:pt idx="52">
                  <c:v>0.24399999999999999</c:v>
                </c:pt>
                <c:pt idx="53">
                  <c:v>0.28499999999999998</c:v>
                </c:pt>
                <c:pt idx="54">
                  <c:v>0.33600000000000002</c:v>
                </c:pt>
                <c:pt idx="55">
                  <c:v>0.36699999999999999</c:v>
                </c:pt>
                <c:pt idx="56">
                  <c:v>0.39700000000000002</c:v>
                </c:pt>
                <c:pt idx="57">
                  <c:v>0.42799999999999999</c:v>
                </c:pt>
                <c:pt idx="58">
                  <c:v>0.30600000000000005</c:v>
                </c:pt>
                <c:pt idx="59">
                  <c:v>0.13200000000000001</c:v>
                </c:pt>
                <c:pt idx="60">
                  <c:v>8.1000000000000003E-2</c:v>
                </c:pt>
                <c:pt idx="61">
                  <c:v>0.17299999999999999</c:v>
                </c:pt>
                <c:pt idx="62">
                  <c:v>0.377</c:v>
                </c:pt>
                <c:pt idx="63">
                  <c:v>0.52</c:v>
                </c:pt>
                <c:pt idx="64">
                  <c:v>0.6120000000000001</c:v>
                </c:pt>
                <c:pt idx="65">
                  <c:v>0.73399999999999999</c:v>
                </c:pt>
                <c:pt idx="66">
                  <c:v>0.77500000000000002</c:v>
                </c:pt>
                <c:pt idx="67">
                  <c:v>0.68300000000000005</c:v>
                </c:pt>
                <c:pt idx="68">
                  <c:v>0.65300000000000002</c:v>
                </c:pt>
                <c:pt idx="69">
                  <c:v>0.622</c:v>
                </c:pt>
                <c:pt idx="70">
                  <c:v>0.67300000000000004</c:v>
                </c:pt>
                <c:pt idx="71">
                  <c:v>0.71399999999999997</c:v>
                </c:pt>
                <c:pt idx="72">
                  <c:v>0.69299999999999984</c:v>
                </c:pt>
                <c:pt idx="73">
                  <c:v>0.60199999999999998</c:v>
                </c:pt>
                <c:pt idx="74">
                  <c:v>0.47899999999999998</c:v>
                </c:pt>
                <c:pt idx="75">
                  <c:v>0.316</c:v>
                </c:pt>
                <c:pt idx="76">
                  <c:v>0.224</c:v>
                </c:pt>
                <c:pt idx="77">
                  <c:v>0.193</c:v>
                </c:pt>
                <c:pt idx="78">
                  <c:v>0.14199999999999999</c:v>
                </c:pt>
                <c:pt idx="79">
                  <c:v>9.0999999999999998E-2</c:v>
                </c:pt>
                <c:pt idx="80">
                  <c:v>5.0999999999999997E-2</c:v>
                </c:pt>
                <c:pt idx="81">
                  <c:v>6.0999999999999999E-2</c:v>
                </c:pt>
                <c:pt idx="82">
                  <c:v>0.122</c:v>
                </c:pt>
                <c:pt idx="83">
                  <c:v>0.38700000000000001</c:v>
                </c:pt>
                <c:pt idx="84">
                  <c:v>0.46899999999999997</c:v>
                </c:pt>
                <c:pt idx="85">
                  <c:v>0.40799999999999997</c:v>
                </c:pt>
                <c:pt idx="86">
                  <c:v>0.45900000000000002</c:v>
                </c:pt>
                <c:pt idx="87">
                  <c:v>0.53</c:v>
                </c:pt>
                <c:pt idx="88">
                  <c:v>0.54</c:v>
                </c:pt>
                <c:pt idx="89">
                  <c:v>0.51</c:v>
                </c:pt>
                <c:pt idx="90">
                  <c:v>0.35699999999999998</c:v>
                </c:pt>
                <c:pt idx="91">
                  <c:v>0.23400000000000001</c:v>
                </c:pt>
                <c:pt idx="92">
                  <c:v>0.255</c:v>
                </c:pt>
                <c:pt idx="93">
                  <c:v>0.27500000000000002</c:v>
                </c:pt>
                <c:pt idx="94">
                  <c:v>0.29499999999999998</c:v>
                </c:pt>
                <c:pt idx="95">
                  <c:v>0.183</c:v>
                </c:pt>
                <c:pt idx="96">
                  <c:v>0.15300000000000002</c:v>
                </c:pt>
                <c:pt idx="97">
                  <c:v>0.112</c:v>
                </c:pt>
                <c:pt idx="98">
                  <c:v>0.16300000000000003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473-43B3-8DA9-58A8AC7E413C}"/>
            </c:ext>
          </c:extLst>
        </c:ser>
        <c:ser>
          <c:idx val="3"/>
          <c:order val="3"/>
          <c:tx>
            <c:strRef>
              <c:f>'面板-景气指数'!$A$142</c:f>
              <c:strCache>
                <c:ptCount val="1"/>
                <c:pt idx="0">
                  <c:v>农产品加工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'面板-景气指数'!$F$142:$CZ$142</c:f>
              <c:numCache>
                <c:formatCode>0.0%</c:formatCode>
                <c:ptCount val="99"/>
                <c:pt idx="0">
                  <c:v>7.0058003727980087E-2</c:v>
                </c:pt>
                <c:pt idx="1">
                  <c:v>7.4610259053936992E-2</c:v>
                </c:pt>
                <c:pt idx="2">
                  <c:v>8.2473245526044389E-2</c:v>
                </c:pt>
                <c:pt idx="3">
                  <c:v>0.12123032094144248</c:v>
                </c:pt>
                <c:pt idx="4">
                  <c:v>0.11363716031073379</c:v>
                </c:pt>
                <c:pt idx="5">
                  <c:v>0.10090558574733705</c:v>
                </c:pt>
                <c:pt idx="6">
                  <c:v>8.2726266509897159E-2</c:v>
                </c:pt>
                <c:pt idx="7">
                  <c:v>8.3929686194542844E-2</c:v>
                </c:pt>
                <c:pt idx="8">
                  <c:v>7.5133105879188505E-2</c:v>
                </c:pt>
                <c:pt idx="9">
                  <c:v>9.4351930016584623E-2</c:v>
                </c:pt>
                <c:pt idx="10">
                  <c:v>0.14526282381742123</c:v>
                </c:pt>
                <c:pt idx="11">
                  <c:v>0.22450545483634082</c:v>
                </c:pt>
                <c:pt idx="12">
                  <c:v>0.33658866585063979</c:v>
                </c:pt>
                <c:pt idx="13">
                  <c:v>0.37576798508807963</c:v>
                </c:pt>
                <c:pt idx="14">
                  <c:v>0.40472848018812341</c:v>
                </c:pt>
                <c:pt idx="15">
                  <c:v>0.41635414369481089</c:v>
                </c:pt>
                <c:pt idx="16">
                  <c:v>0.53360687111298133</c:v>
                </c:pt>
                <c:pt idx="17">
                  <c:v>0.65809692149657162</c:v>
                </c:pt>
                <c:pt idx="18">
                  <c:v>0.72089490221672148</c:v>
                </c:pt>
                <c:pt idx="19">
                  <c:v>0.73543875511390533</c:v>
                </c:pt>
                <c:pt idx="20">
                  <c:v>0.74482989646476394</c:v>
                </c:pt>
                <c:pt idx="21">
                  <c:v>0.75198400841588475</c:v>
                </c:pt>
                <c:pt idx="22">
                  <c:v>0.7497410838312828</c:v>
                </c:pt>
                <c:pt idx="23">
                  <c:v>0.70244885151315628</c:v>
                </c:pt>
                <c:pt idx="24">
                  <c:v>0.72872427897373682</c:v>
                </c:pt>
                <c:pt idx="25">
                  <c:v>0.799629864721074</c:v>
                </c:pt>
                <c:pt idx="26">
                  <c:v>0.81660576427386811</c:v>
                </c:pt>
                <c:pt idx="27">
                  <c:v>0.88269767128262244</c:v>
                </c:pt>
                <c:pt idx="28">
                  <c:v>0.83813391915261926</c:v>
                </c:pt>
                <c:pt idx="29">
                  <c:v>0.80272567937853245</c:v>
                </c:pt>
                <c:pt idx="30">
                  <c:v>0.76827093268051183</c:v>
                </c:pt>
                <c:pt idx="31">
                  <c:v>0.7519871027911581</c:v>
                </c:pt>
                <c:pt idx="32">
                  <c:v>0.83299019716643152</c:v>
                </c:pt>
                <c:pt idx="33">
                  <c:v>0.876925191414474</c:v>
                </c:pt>
                <c:pt idx="34">
                  <c:v>0.90207200777593521</c:v>
                </c:pt>
                <c:pt idx="35">
                  <c:v>0.88138834054126769</c:v>
                </c:pt>
                <c:pt idx="36">
                  <c:v>0.8447766810825349</c:v>
                </c:pt>
                <c:pt idx="37">
                  <c:v>0.90085178323374349</c:v>
                </c:pt>
                <c:pt idx="38">
                  <c:v>0.77749815924668098</c:v>
                </c:pt>
                <c:pt idx="39">
                  <c:v>0.7617340818073054</c:v>
                </c:pt>
                <c:pt idx="40">
                  <c:v>0.75172567937853241</c:v>
                </c:pt>
                <c:pt idx="41">
                  <c:v>0.75517202364778002</c:v>
                </c:pt>
                <c:pt idx="42">
                  <c:v>0.73287109533519823</c:v>
                </c:pt>
                <c:pt idx="43">
                  <c:v>0.71088649978794838</c:v>
                </c:pt>
                <c:pt idx="44">
                  <c:v>0.67548666244263456</c:v>
                </c:pt>
                <c:pt idx="45">
                  <c:v>0.66386099893594708</c:v>
                </c:pt>
                <c:pt idx="46">
                  <c:v>0.6723908477851761</c:v>
                </c:pt>
                <c:pt idx="47">
                  <c:v>0.64567327726973434</c:v>
                </c:pt>
                <c:pt idx="48">
                  <c:v>0.61750236046106743</c:v>
                </c:pt>
                <c:pt idx="49">
                  <c:v>0.52481869322639985</c:v>
                </c:pt>
                <c:pt idx="50">
                  <c:v>0.52799830602952214</c:v>
                </c:pt>
                <c:pt idx="51">
                  <c:v>0.43729923434210421</c:v>
                </c:pt>
                <c:pt idx="52">
                  <c:v>0.40765507200739282</c:v>
                </c:pt>
                <c:pt idx="53">
                  <c:v>0.47149255762749892</c:v>
                </c:pt>
                <c:pt idx="54">
                  <c:v>0.53256736621302503</c:v>
                </c:pt>
                <c:pt idx="55">
                  <c:v>0.57727513389489826</c:v>
                </c:pt>
                <c:pt idx="56">
                  <c:v>0.54816222081421162</c:v>
                </c:pt>
                <c:pt idx="57">
                  <c:v>0.49442224382204181</c:v>
                </c:pt>
                <c:pt idx="58">
                  <c:v>0.47038133851729003</c:v>
                </c:pt>
                <c:pt idx="59">
                  <c:v>0.44471476970585083</c:v>
                </c:pt>
                <c:pt idx="60">
                  <c:v>0.41722752013185144</c:v>
                </c:pt>
                <c:pt idx="61">
                  <c:v>0.43214710992714345</c:v>
                </c:pt>
                <c:pt idx="62">
                  <c:v>0.40758645217241357</c:v>
                </c:pt>
                <c:pt idx="63">
                  <c:v>0.33908770579436787</c:v>
                </c:pt>
                <c:pt idx="64">
                  <c:v>0.29163155869155183</c:v>
                </c:pt>
                <c:pt idx="65">
                  <c:v>0.26011180624157371</c:v>
                </c:pt>
                <c:pt idx="66">
                  <c:v>0.25889158169938209</c:v>
                </c:pt>
                <c:pt idx="67">
                  <c:v>0.2769100805274059</c:v>
                </c:pt>
                <c:pt idx="68">
                  <c:v>0.31163465306682514</c:v>
                </c:pt>
                <c:pt idx="69">
                  <c:v>0.31007230134161751</c:v>
                </c:pt>
                <c:pt idx="70">
                  <c:v>0.31886888165697169</c:v>
                </c:pt>
                <c:pt idx="71">
                  <c:v>0.35133372475424324</c:v>
                </c:pt>
                <c:pt idx="72">
                  <c:v>0.37148923711015963</c:v>
                </c:pt>
                <c:pt idx="73">
                  <c:v>0.41689747688424644</c:v>
                </c:pt>
                <c:pt idx="74">
                  <c:v>0.46790587931301941</c:v>
                </c:pt>
                <c:pt idx="75">
                  <c:v>0.49622921410232934</c:v>
                </c:pt>
                <c:pt idx="76">
                  <c:v>0.52562035545318786</c:v>
                </c:pt>
                <c:pt idx="77">
                  <c:v>0.48839143491654091</c:v>
                </c:pt>
                <c:pt idx="78">
                  <c:v>0.44832502875978786</c:v>
                </c:pt>
                <c:pt idx="79">
                  <c:v>0.42213870749837046</c:v>
                </c:pt>
                <c:pt idx="80">
                  <c:v>0.47675736898108051</c:v>
                </c:pt>
                <c:pt idx="81">
                  <c:v>0.54085627801381231</c:v>
                </c:pt>
                <c:pt idx="82">
                  <c:v>0.59202859522727469</c:v>
                </c:pt>
                <c:pt idx="83">
                  <c:v>0.62071926448591974</c:v>
                </c:pt>
                <c:pt idx="84">
                  <c:v>0.62261475383400589</c:v>
                </c:pt>
                <c:pt idx="85">
                  <c:v>0.60030542309265089</c:v>
                </c:pt>
                <c:pt idx="86">
                  <c:v>0.52112300947993773</c:v>
                </c:pt>
                <c:pt idx="87">
                  <c:v>0.54903559725125217</c:v>
                </c:pt>
                <c:pt idx="88">
                  <c:v>0.48702719482247914</c:v>
                </c:pt>
                <c:pt idx="89">
                  <c:v>0.45695238623695317</c:v>
                </c:pt>
                <c:pt idx="90">
                  <c:v>0.43465145792437115</c:v>
                </c:pt>
                <c:pt idx="91">
                  <c:v>0.45194369024249781</c:v>
                </c:pt>
                <c:pt idx="92">
                  <c:v>0.43377277343383097</c:v>
                </c:pt>
                <c:pt idx="93">
                  <c:v>0.40328412345503611</c:v>
                </c:pt>
                <c:pt idx="94">
                  <c:v>0.37735922560624446</c:v>
                </c:pt>
                <c:pt idx="95">
                  <c:v>0.34798488911293196</c:v>
                </c:pt>
                <c:pt idx="96">
                  <c:v>0.30136482722542646</c:v>
                </c:pt>
                <c:pt idx="97">
                  <c:v>0.21202999563207017</c:v>
                </c:pt>
                <c:pt idx="98">
                  <c:v>0.15361475383400588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473-43B3-8DA9-58A8AC7E4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648215136783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'面板-景气指数'!$A$47</c:f>
              <c:strCache>
                <c:ptCount val="1"/>
                <c:pt idx="0">
                  <c:v>食品饮料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'面板-景气指数'!$F$47:$CZ$47</c:f>
              <c:numCache>
                <c:formatCode>0.0%</c:formatCode>
                <c:ptCount val="99"/>
                <c:pt idx="0">
                  <c:v>0.36871466261115937</c:v>
                </c:pt>
                <c:pt idx="1">
                  <c:v>0.36630916323238599</c:v>
                </c:pt>
                <c:pt idx="2">
                  <c:v>0.36367116307286645</c:v>
                </c:pt>
                <c:pt idx="3">
                  <c:v>0.35662998692329717</c:v>
                </c:pt>
                <c:pt idx="4">
                  <c:v>0.34679669982502837</c:v>
                </c:pt>
                <c:pt idx="5">
                  <c:v>0.31715786789683087</c:v>
                </c:pt>
                <c:pt idx="6">
                  <c:v>0.27113134760948815</c:v>
                </c:pt>
                <c:pt idx="7">
                  <c:v>0.25973160676715634</c:v>
                </c:pt>
                <c:pt idx="8">
                  <c:v>0.25662554957908212</c:v>
                </c:pt>
                <c:pt idx="9">
                  <c:v>0.30963971306686155</c:v>
                </c:pt>
                <c:pt idx="10">
                  <c:v>0.32309401096437956</c:v>
                </c:pt>
                <c:pt idx="11">
                  <c:v>0.33289853020083165</c:v>
                </c:pt>
                <c:pt idx="12">
                  <c:v>0.34366576097435703</c:v>
                </c:pt>
                <c:pt idx="13">
                  <c:v>0.33435332996700573</c:v>
                </c:pt>
                <c:pt idx="14">
                  <c:v>0.29487267907035897</c:v>
                </c:pt>
                <c:pt idx="15">
                  <c:v>0.31191923332808852</c:v>
                </c:pt>
                <c:pt idx="16">
                  <c:v>0.34441118270766946</c:v>
                </c:pt>
                <c:pt idx="17">
                  <c:v>0.39842171488265116</c:v>
                </c:pt>
                <c:pt idx="18">
                  <c:v>0.43896093003708819</c:v>
                </c:pt>
                <c:pt idx="19">
                  <c:v>0.46763988653401456</c:v>
                </c:pt>
                <c:pt idx="20">
                  <c:v>0.48317939302360413</c:v>
                </c:pt>
                <c:pt idx="21">
                  <c:v>0.51785418913700165</c:v>
                </c:pt>
                <c:pt idx="22">
                  <c:v>0.54399303124617615</c:v>
                </c:pt>
                <c:pt idx="23">
                  <c:v>0.54477372277336311</c:v>
                </c:pt>
                <c:pt idx="24">
                  <c:v>0.57361278210195965</c:v>
                </c:pt>
                <c:pt idx="25">
                  <c:v>0.58594286909081628</c:v>
                </c:pt>
                <c:pt idx="26">
                  <c:v>0.62838271710963067</c:v>
                </c:pt>
                <c:pt idx="27">
                  <c:v>0.63893545827177656</c:v>
                </c:pt>
                <c:pt idx="28">
                  <c:v>0.67020511864346011</c:v>
                </c:pt>
                <c:pt idx="29">
                  <c:v>0.71510533161205059</c:v>
                </c:pt>
                <c:pt idx="30">
                  <c:v>0.74073252665906808</c:v>
                </c:pt>
                <c:pt idx="31">
                  <c:v>0.74757629977504825</c:v>
                </c:pt>
                <c:pt idx="32">
                  <c:v>0.74890059461548919</c:v>
                </c:pt>
                <c:pt idx="33">
                  <c:v>0.74095926184614436</c:v>
                </c:pt>
                <c:pt idx="34">
                  <c:v>0.71940213665956032</c:v>
                </c:pt>
                <c:pt idx="35">
                  <c:v>0.72326635567728592</c:v>
                </c:pt>
                <c:pt idx="36">
                  <c:v>0.73270520832920794</c:v>
                </c:pt>
                <c:pt idx="37">
                  <c:v>0.72006427550490959</c:v>
                </c:pt>
                <c:pt idx="38">
                  <c:v>0.66406535603608685</c:v>
                </c:pt>
                <c:pt idx="39">
                  <c:v>0.39609156858369654</c:v>
                </c:pt>
                <c:pt idx="40">
                  <c:v>0.37793480752436254</c:v>
                </c:pt>
                <c:pt idx="41">
                  <c:v>0.34007663815868311</c:v>
                </c:pt>
                <c:pt idx="42">
                  <c:v>0.32051102110073826</c:v>
                </c:pt>
                <c:pt idx="43">
                  <c:v>0.30824058732713722</c:v>
                </c:pt>
                <c:pt idx="44">
                  <c:v>0.32450732445970559</c:v>
                </c:pt>
                <c:pt idx="45">
                  <c:v>0.33662365156317992</c:v>
                </c:pt>
                <c:pt idx="46">
                  <c:v>0.35019993077787542</c:v>
                </c:pt>
                <c:pt idx="47">
                  <c:v>0.35441670111176732</c:v>
                </c:pt>
                <c:pt idx="48">
                  <c:v>0.36036726266657404</c:v>
                </c:pt>
                <c:pt idx="49">
                  <c:v>0.39304918037705794</c:v>
                </c:pt>
                <c:pt idx="50">
                  <c:v>0.49454446551629933</c:v>
                </c:pt>
                <c:pt idx="51">
                  <c:v>0.5596322755624088</c:v>
                </c:pt>
                <c:pt idx="52">
                  <c:v>0.55123710349150834</c:v>
                </c:pt>
                <c:pt idx="53">
                  <c:v>0.55091431553511583</c:v>
                </c:pt>
                <c:pt idx="54">
                  <c:v>0.53887496383273825</c:v>
                </c:pt>
                <c:pt idx="55">
                  <c:v>0.53026591026205683</c:v>
                </c:pt>
                <c:pt idx="56">
                  <c:v>0.52697364651840528</c:v>
                </c:pt>
                <c:pt idx="57">
                  <c:v>0.52653088942671489</c:v>
                </c:pt>
                <c:pt idx="58">
                  <c:v>0.52162337050867258</c:v>
                </c:pt>
                <c:pt idx="59">
                  <c:v>0.50049212937383813</c:v>
                </c:pt>
                <c:pt idx="60">
                  <c:v>0.47337829324464215</c:v>
                </c:pt>
                <c:pt idx="61">
                  <c:v>0.44745667764238983</c:v>
                </c:pt>
                <c:pt idx="62">
                  <c:v>0.43726642579206182</c:v>
                </c:pt>
                <c:pt idx="63">
                  <c:v>0.4305713332451277</c:v>
                </c:pt>
                <c:pt idx="64">
                  <c:v>0.45208910714211187</c:v>
                </c:pt>
                <c:pt idx="65">
                  <c:v>0.46876344640458573</c:v>
                </c:pt>
                <c:pt idx="66">
                  <c:v>0.4847356279837266</c:v>
                </c:pt>
                <c:pt idx="67">
                  <c:v>0.51011206770286577</c:v>
                </c:pt>
                <c:pt idx="68">
                  <c:v>0.518796165681776</c:v>
                </c:pt>
                <c:pt idx="69">
                  <c:v>0.53421912862341936</c:v>
                </c:pt>
                <c:pt idx="70">
                  <c:v>0.55591916150745724</c:v>
                </c:pt>
                <c:pt idx="71">
                  <c:v>0.55022181217732102</c:v>
                </c:pt>
                <c:pt idx="72">
                  <c:v>0.56739732078198579</c:v>
                </c:pt>
                <c:pt idx="73">
                  <c:v>0.58033005850099784</c:v>
                </c:pt>
                <c:pt idx="74">
                  <c:v>0.57310858771316786</c:v>
                </c:pt>
                <c:pt idx="75">
                  <c:v>0.58865626140738925</c:v>
                </c:pt>
                <c:pt idx="76">
                  <c:v>0.61791811264060947</c:v>
                </c:pt>
                <c:pt idx="77">
                  <c:v>0.63404221617752177</c:v>
                </c:pt>
                <c:pt idx="78">
                  <c:v>0.6376834260675881</c:v>
                </c:pt>
                <c:pt idx="79">
                  <c:v>0.63325247298307374</c:v>
                </c:pt>
                <c:pt idx="80">
                  <c:v>0.64124103620565498</c:v>
                </c:pt>
                <c:pt idx="81">
                  <c:v>0.63638498586295755</c:v>
                </c:pt>
                <c:pt idx="82">
                  <c:v>0.63115189210744504</c:v>
                </c:pt>
                <c:pt idx="83">
                  <c:v>0.62732751625490979</c:v>
                </c:pt>
                <c:pt idx="84">
                  <c:v>0.61554799599440557</c:v>
                </c:pt>
                <c:pt idx="85">
                  <c:v>0.60448750959243569</c:v>
                </c:pt>
                <c:pt idx="86">
                  <c:v>0.5913325151690596</c:v>
                </c:pt>
                <c:pt idx="87">
                  <c:v>0.57072886463641093</c:v>
                </c:pt>
                <c:pt idx="88">
                  <c:v>0.53891545231276994</c:v>
                </c:pt>
                <c:pt idx="89">
                  <c:v>0.51386890681999553</c:v>
                </c:pt>
                <c:pt idx="90">
                  <c:v>0.4980758303487603</c:v>
                </c:pt>
                <c:pt idx="91">
                  <c:v>0.47942509056800597</c:v>
                </c:pt>
                <c:pt idx="92">
                  <c:v>0.47224751857203734</c:v>
                </c:pt>
                <c:pt idx="93">
                  <c:v>0.47197025549382371</c:v>
                </c:pt>
                <c:pt idx="94">
                  <c:v>0.46801272086991502</c:v>
                </c:pt>
                <c:pt idx="95">
                  <c:v>0.47014737648538918</c:v>
                </c:pt>
                <c:pt idx="96">
                  <c:v>0.46317468089372243</c:v>
                </c:pt>
                <c:pt idx="97">
                  <c:v>0.47422568096717743</c:v>
                </c:pt>
                <c:pt idx="98">
                  <c:v>0.47327726647057827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61-4E53-BAFF-B53E0183EB12}"/>
            </c:ext>
          </c:extLst>
        </c:ser>
        <c:ser>
          <c:idx val="1"/>
          <c:order val="1"/>
          <c:tx>
            <c:strRef>
              <c:f>'面板-景气指数'!$A$143</c:f>
              <c:strCache>
                <c:ptCount val="1"/>
                <c:pt idx="0">
                  <c:v>白酒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'面板-景气指数'!$F$143:$CZ$143</c:f>
              <c:numCache>
                <c:formatCode>0.0%</c:formatCode>
                <c:ptCount val="99"/>
                <c:pt idx="0">
                  <c:v>0.36108542713567832</c:v>
                </c:pt>
                <c:pt idx="1">
                  <c:v>0.36622613065326626</c:v>
                </c:pt>
                <c:pt idx="2">
                  <c:v>0.29084422110552771</c:v>
                </c:pt>
                <c:pt idx="3">
                  <c:v>0.25792964824120612</c:v>
                </c:pt>
                <c:pt idx="4">
                  <c:v>0.24273869346733679</c:v>
                </c:pt>
                <c:pt idx="5">
                  <c:v>0.21008040201005032</c:v>
                </c:pt>
                <c:pt idx="6">
                  <c:v>0.16936180904522621</c:v>
                </c:pt>
                <c:pt idx="7">
                  <c:v>0.14887437185929658</c:v>
                </c:pt>
                <c:pt idx="8">
                  <c:v>0.12467839195979907</c:v>
                </c:pt>
                <c:pt idx="9">
                  <c:v>0.12943718592964829</c:v>
                </c:pt>
                <c:pt idx="10">
                  <c:v>0.12740703517587948</c:v>
                </c:pt>
                <c:pt idx="11">
                  <c:v>0.13083919597989954</c:v>
                </c:pt>
                <c:pt idx="12">
                  <c:v>0.12878391959799002</c:v>
                </c:pt>
                <c:pt idx="13">
                  <c:v>0.13069849246231158</c:v>
                </c:pt>
                <c:pt idx="14">
                  <c:v>0.15010552763819091</c:v>
                </c:pt>
                <c:pt idx="15">
                  <c:v>0.20083417085427133</c:v>
                </c:pt>
                <c:pt idx="16">
                  <c:v>0.21984422110552759</c:v>
                </c:pt>
                <c:pt idx="17">
                  <c:v>0.23680904522613061</c:v>
                </c:pt>
                <c:pt idx="18">
                  <c:v>0.23105527638190962</c:v>
                </c:pt>
                <c:pt idx="19">
                  <c:v>0.24685929648241212</c:v>
                </c:pt>
                <c:pt idx="20">
                  <c:v>0.27410552763819107</c:v>
                </c:pt>
                <c:pt idx="21">
                  <c:v>0.37627135678391965</c:v>
                </c:pt>
                <c:pt idx="22">
                  <c:v>0.46814572864321613</c:v>
                </c:pt>
                <c:pt idx="23">
                  <c:v>0.58246733668341699</c:v>
                </c:pt>
                <c:pt idx="24">
                  <c:v>0.61655276381909541</c:v>
                </c:pt>
                <c:pt idx="25">
                  <c:v>0.64911055276381902</c:v>
                </c:pt>
                <c:pt idx="26">
                  <c:v>0.52367336683417087</c:v>
                </c:pt>
                <c:pt idx="27">
                  <c:v>0.48470351758793978</c:v>
                </c:pt>
                <c:pt idx="28">
                  <c:v>0.56385929648241206</c:v>
                </c:pt>
                <c:pt idx="29">
                  <c:v>0.69170351758793958</c:v>
                </c:pt>
                <c:pt idx="30">
                  <c:v>0.78055276381909544</c:v>
                </c:pt>
                <c:pt idx="31">
                  <c:v>0.83458793969849243</c:v>
                </c:pt>
                <c:pt idx="32">
                  <c:v>0.82744221105527616</c:v>
                </c:pt>
                <c:pt idx="33">
                  <c:v>0.80759798994974863</c:v>
                </c:pt>
                <c:pt idx="34">
                  <c:v>0.77713567839195963</c:v>
                </c:pt>
                <c:pt idx="35">
                  <c:v>0.78332160804020079</c:v>
                </c:pt>
                <c:pt idx="36">
                  <c:v>0.81040201005025103</c:v>
                </c:pt>
                <c:pt idx="37">
                  <c:v>0.79404020100502493</c:v>
                </c:pt>
                <c:pt idx="38">
                  <c:v>0.71744723618090434</c:v>
                </c:pt>
                <c:pt idx="39">
                  <c:v>0.32974874371859308</c:v>
                </c:pt>
                <c:pt idx="40">
                  <c:v>0.30720603015075387</c:v>
                </c:pt>
                <c:pt idx="41">
                  <c:v>0.25096482412060317</c:v>
                </c:pt>
                <c:pt idx="42">
                  <c:v>0.24394974874371872</c:v>
                </c:pt>
                <c:pt idx="43">
                  <c:v>0.23658793969849254</c:v>
                </c:pt>
                <c:pt idx="44">
                  <c:v>0.27256281407035182</c:v>
                </c:pt>
                <c:pt idx="45">
                  <c:v>0.26365829145728642</c:v>
                </c:pt>
                <c:pt idx="46">
                  <c:v>0.27162814070351765</c:v>
                </c:pt>
                <c:pt idx="47">
                  <c:v>0.24119095477386943</c:v>
                </c:pt>
                <c:pt idx="48">
                  <c:v>0.23236180904522619</c:v>
                </c:pt>
                <c:pt idx="49">
                  <c:v>0.30610552763819115</c:v>
                </c:pt>
                <c:pt idx="50">
                  <c:v>0.4355075376884423</c:v>
                </c:pt>
                <c:pt idx="51">
                  <c:v>0.55164321608040212</c:v>
                </c:pt>
                <c:pt idx="52">
                  <c:v>0.58229648241206033</c:v>
                </c:pt>
                <c:pt idx="53">
                  <c:v>0.60613567839195992</c:v>
                </c:pt>
                <c:pt idx="54">
                  <c:v>0.6223768844221107</c:v>
                </c:pt>
                <c:pt idx="55">
                  <c:v>0.61204522613065337</c:v>
                </c:pt>
                <c:pt idx="56">
                  <c:v>0.63600000000000012</c:v>
                </c:pt>
                <c:pt idx="57">
                  <c:v>0.63424120603015088</c:v>
                </c:pt>
                <c:pt idx="58">
                  <c:v>0.63440703517587949</c:v>
                </c:pt>
                <c:pt idx="59">
                  <c:v>0.60373869346733688</c:v>
                </c:pt>
                <c:pt idx="60">
                  <c:v>0.55610552763819121</c:v>
                </c:pt>
                <c:pt idx="61">
                  <c:v>0.5035025125628142</c:v>
                </c:pt>
                <c:pt idx="62">
                  <c:v>0.50550753768844237</c:v>
                </c:pt>
                <c:pt idx="63">
                  <c:v>0.51409547738693473</c:v>
                </c:pt>
                <c:pt idx="64">
                  <c:v>0.54948743718592974</c:v>
                </c:pt>
                <c:pt idx="65">
                  <c:v>0.55727135678391959</c:v>
                </c:pt>
                <c:pt idx="66">
                  <c:v>0.56063819095477385</c:v>
                </c:pt>
                <c:pt idx="67">
                  <c:v>0.58924120603015062</c:v>
                </c:pt>
                <c:pt idx="68">
                  <c:v>0.6132613065326632</c:v>
                </c:pt>
                <c:pt idx="69">
                  <c:v>0.66937688442211041</c:v>
                </c:pt>
                <c:pt idx="70">
                  <c:v>0.7430100502512561</c:v>
                </c:pt>
                <c:pt idx="71">
                  <c:v>0.74621105527638176</c:v>
                </c:pt>
                <c:pt idx="72">
                  <c:v>0.80065326633165812</c:v>
                </c:pt>
                <c:pt idx="73">
                  <c:v>0.82601507537688412</c:v>
                </c:pt>
                <c:pt idx="74">
                  <c:v>0.82475376884422091</c:v>
                </c:pt>
                <c:pt idx="75">
                  <c:v>0.81410050251256261</c:v>
                </c:pt>
                <c:pt idx="76">
                  <c:v>0.80548743718592952</c:v>
                </c:pt>
                <c:pt idx="77">
                  <c:v>0.78709547738693453</c:v>
                </c:pt>
                <c:pt idx="78">
                  <c:v>0.77985929648241192</c:v>
                </c:pt>
                <c:pt idx="79">
                  <c:v>0.79150753768844195</c:v>
                </c:pt>
                <c:pt idx="80">
                  <c:v>0.80852261306532636</c:v>
                </c:pt>
                <c:pt idx="81">
                  <c:v>0.75914572864321583</c:v>
                </c:pt>
                <c:pt idx="82">
                  <c:v>0.70605025125628118</c:v>
                </c:pt>
                <c:pt idx="83">
                  <c:v>0.64959296482412043</c:v>
                </c:pt>
                <c:pt idx="84">
                  <c:v>0.59167839195979888</c:v>
                </c:pt>
                <c:pt idx="85">
                  <c:v>0.55061306532663301</c:v>
                </c:pt>
                <c:pt idx="86">
                  <c:v>0.54751758793969829</c:v>
                </c:pt>
                <c:pt idx="87">
                  <c:v>0.54899497487437166</c:v>
                </c:pt>
                <c:pt idx="88">
                  <c:v>0.530472361809045</c:v>
                </c:pt>
                <c:pt idx="89">
                  <c:v>0.51885427135678364</c:v>
                </c:pt>
                <c:pt idx="90">
                  <c:v>0.51751758793969826</c:v>
                </c:pt>
                <c:pt idx="91">
                  <c:v>0.48539698492462291</c:v>
                </c:pt>
                <c:pt idx="92">
                  <c:v>0.47019095477386913</c:v>
                </c:pt>
                <c:pt idx="93">
                  <c:v>0.45364824120602987</c:v>
                </c:pt>
                <c:pt idx="94">
                  <c:v>0.43318592964824093</c:v>
                </c:pt>
                <c:pt idx="95">
                  <c:v>0.43332663316582881</c:v>
                </c:pt>
                <c:pt idx="96">
                  <c:v>0.45892964824120575</c:v>
                </c:pt>
                <c:pt idx="97">
                  <c:v>0.5223165829145725</c:v>
                </c:pt>
                <c:pt idx="98">
                  <c:v>0.52434170854271345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61-4E53-BAFF-B53E0183EB12}"/>
            </c:ext>
          </c:extLst>
        </c:ser>
        <c:ser>
          <c:idx val="2"/>
          <c:order val="2"/>
          <c:tx>
            <c:strRef>
              <c:f>'面板-景气指数'!$A$145</c:f>
              <c:strCache>
                <c:ptCount val="1"/>
                <c:pt idx="0">
                  <c:v>饮料乳品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'面板-景气指数'!$F$145:$CZ$145</c:f>
              <c:numCache>
                <c:formatCode>0.0%</c:formatCode>
                <c:ptCount val="99"/>
                <c:pt idx="0">
                  <c:v>0.24029169730483804</c:v>
                </c:pt>
                <c:pt idx="1">
                  <c:v>0.23562403567226362</c:v>
                </c:pt>
                <c:pt idx="2">
                  <c:v>0.24724421558309573</c:v>
                </c:pt>
                <c:pt idx="3">
                  <c:v>0.23981416334295128</c:v>
                </c:pt>
                <c:pt idx="4">
                  <c:v>0.22600143914831841</c:v>
                </c:pt>
                <c:pt idx="5">
                  <c:v>0.20330917500956119</c:v>
                </c:pt>
                <c:pt idx="6">
                  <c:v>0.18964150845900976</c:v>
                </c:pt>
                <c:pt idx="7">
                  <c:v>0.19266669609218784</c:v>
                </c:pt>
                <c:pt idx="8">
                  <c:v>0.20967513475706337</c:v>
                </c:pt>
                <c:pt idx="9">
                  <c:v>0.25121327553355222</c:v>
                </c:pt>
                <c:pt idx="10">
                  <c:v>0.27421000182256994</c:v>
                </c:pt>
                <c:pt idx="11">
                  <c:v>0.28903845301189457</c:v>
                </c:pt>
                <c:pt idx="12">
                  <c:v>0.28395511292663544</c:v>
                </c:pt>
                <c:pt idx="13">
                  <c:v>0.28826766308326512</c:v>
                </c:pt>
                <c:pt idx="14">
                  <c:v>0.24217843213721513</c:v>
                </c:pt>
                <c:pt idx="15">
                  <c:v>0.20807373350187028</c:v>
                </c:pt>
                <c:pt idx="16">
                  <c:v>0.26755886710826327</c:v>
                </c:pt>
                <c:pt idx="17">
                  <c:v>0.36088802311781598</c:v>
                </c:pt>
                <c:pt idx="18">
                  <c:v>0.43928265433510516</c:v>
                </c:pt>
                <c:pt idx="19">
                  <c:v>0.45197312116656063</c:v>
                </c:pt>
                <c:pt idx="20">
                  <c:v>0.46387926846729632</c:v>
                </c:pt>
                <c:pt idx="21">
                  <c:v>0.45700586860638287</c:v>
                </c:pt>
                <c:pt idx="22">
                  <c:v>0.4739788169026789</c:v>
                </c:pt>
                <c:pt idx="23">
                  <c:v>0.48271961215619735</c:v>
                </c:pt>
                <c:pt idx="24">
                  <c:v>0.55292825118260436</c:v>
                </c:pt>
                <c:pt idx="25">
                  <c:v>0.59552672680282137</c:v>
                </c:pt>
                <c:pt idx="26">
                  <c:v>0.7324362813409877</c:v>
                </c:pt>
                <c:pt idx="27">
                  <c:v>0.81031505111642133</c:v>
                </c:pt>
                <c:pt idx="28">
                  <c:v>0.82909337367930969</c:v>
                </c:pt>
                <c:pt idx="29">
                  <c:v>0.83998785544848076</c:v>
                </c:pt>
                <c:pt idx="30">
                  <c:v>0.81566211884778983</c:v>
                </c:pt>
                <c:pt idx="31">
                  <c:v>0.78907355079565156</c:v>
                </c:pt>
                <c:pt idx="32">
                  <c:v>0.80218917921970934</c:v>
                </c:pt>
                <c:pt idx="33">
                  <c:v>0.83379561964984694</c:v>
                </c:pt>
                <c:pt idx="34">
                  <c:v>0.84023199000846693</c:v>
                </c:pt>
                <c:pt idx="35">
                  <c:v>0.86375859361483986</c:v>
                </c:pt>
                <c:pt idx="36">
                  <c:v>0.87140053424951125</c:v>
                </c:pt>
                <c:pt idx="37">
                  <c:v>0.82224615158184589</c:v>
                </c:pt>
                <c:pt idx="38">
                  <c:v>0.723525862945544</c:v>
                </c:pt>
                <c:pt idx="39">
                  <c:v>0.44217380079506968</c:v>
                </c:pt>
                <c:pt idx="40">
                  <c:v>0.38017153922174435</c:v>
                </c:pt>
                <c:pt idx="41">
                  <c:v>0.30928033608153244</c:v>
                </c:pt>
                <c:pt idx="42">
                  <c:v>0.27431482906638627</c:v>
                </c:pt>
                <c:pt idx="43">
                  <c:v>0.27023198275501292</c:v>
                </c:pt>
                <c:pt idx="44">
                  <c:v>0.28804570199789453</c:v>
                </c:pt>
                <c:pt idx="45">
                  <c:v>0.29311659396444423</c:v>
                </c:pt>
                <c:pt idx="46">
                  <c:v>0.26347517919402086</c:v>
                </c:pt>
                <c:pt idx="47">
                  <c:v>0.30531348127117725</c:v>
                </c:pt>
                <c:pt idx="48">
                  <c:v>0.36445624291609424</c:v>
                </c:pt>
                <c:pt idx="49">
                  <c:v>0.43703985589294264</c:v>
                </c:pt>
                <c:pt idx="50">
                  <c:v>0.71829504602059036</c:v>
                </c:pt>
                <c:pt idx="51">
                  <c:v>0.72794818816782569</c:v>
                </c:pt>
                <c:pt idx="52">
                  <c:v>0.71715083047342409</c:v>
                </c:pt>
                <c:pt idx="53">
                  <c:v>0.6992143996843182</c:v>
                </c:pt>
                <c:pt idx="54">
                  <c:v>0.66371235665781236</c:v>
                </c:pt>
                <c:pt idx="55">
                  <c:v>0.62117472932711726</c:v>
                </c:pt>
                <c:pt idx="56">
                  <c:v>0.59107040102218689</c:v>
                </c:pt>
                <c:pt idx="57">
                  <c:v>0.56624513710871205</c:v>
                </c:pt>
                <c:pt idx="58">
                  <c:v>0.5500746299435556</c:v>
                </c:pt>
                <c:pt idx="59">
                  <c:v>0.50468268472775357</c:v>
                </c:pt>
                <c:pt idx="60">
                  <c:v>0.48948954523398053</c:v>
                </c:pt>
                <c:pt idx="61">
                  <c:v>0.46682835208871543</c:v>
                </c:pt>
                <c:pt idx="62">
                  <c:v>0.47051157768167079</c:v>
                </c:pt>
                <c:pt idx="63">
                  <c:v>0.4863307654456358</c:v>
                </c:pt>
                <c:pt idx="64">
                  <c:v>0.4722245730701794</c:v>
                </c:pt>
                <c:pt idx="65">
                  <c:v>0.45808612702878665</c:v>
                </c:pt>
                <c:pt idx="66">
                  <c:v>0.47266499714442667</c:v>
                </c:pt>
                <c:pt idx="67">
                  <c:v>0.51708983783340756</c:v>
                </c:pt>
                <c:pt idx="68">
                  <c:v>0.51842724746614</c:v>
                </c:pt>
                <c:pt idx="69">
                  <c:v>0.53143820209176085</c:v>
                </c:pt>
                <c:pt idx="70">
                  <c:v>0.52562348054717645</c:v>
                </c:pt>
                <c:pt idx="71">
                  <c:v>0.51780805535010255</c:v>
                </c:pt>
                <c:pt idx="72">
                  <c:v>0.48671665418383631</c:v>
                </c:pt>
                <c:pt idx="73">
                  <c:v>0.42709520282995045</c:v>
                </c:pt>
                <c:pt idx="74">
                  <c:v>0.38133827557846384</c:v>
                </c:pt>
                <c:pt idx="75">
                  <c:v>0.40559306094985798</c:v>
                </c:pt>
                <c:pt idx="76">
                  <c:v>0.49758810845706847</c:v>
                </c:pt>
                <c:pt idx="77">
                  <c:v>0.57296572156470404</c:v>
                </c:pt>
                <c:pt idx="78">
                  <c:v>0.58427880016808165</c:v>
                </c:pt>
                <c:pt idx="79">
                  <c:v>0.5689983137177157</c:v>
                </c:pt>
                <c:pt idx="80">
                  <c:v>0.54648104755338078</c:v>
                </c:pt>
                <c:pt idx="81">
                  <c:v>0.56947165601359562</c:v>
                </c:pt>
                <c:pt idx="82">
                  <c:v>0.57227314685232555</c:v>
                </c:pt>
                <c:pt idx="83">
                  <c:v>0.63353834364866146</c:v>
                </c:pt>
                <c:pt idx="84">
                  <c:v>0.63566389697722925</c:v>
                </c:pt>
                <c:pt idx="85">
                  <c:v>0.65761143534328925</c:v>
                </c:pt>
                <c:pt idx="86">
                  <c:v>0.65434588063499322</c:v>
                </c:pt>
                <c:pt idx="87">
                  <c:v>0.64241882921424143</c:v>
                </c:pt>
                <c:pt idx="88">
                  <c:v>0.59164992794602322</c:v>
                </c:pt>
                <c:pt idx="89">
                  <c:v>0.56656688159200019</c:v>
                </c:pt>
                <c:pt idx="90">
                  <c:v>0.53620532855410852</c:v>
                </c:pt>
                <c:pt idx="91">
                  <c:v>0.50221200175502156</c:v>
                </c:pt>
                <c:pt idx="92">
                  <c:v>0.47864117513693466</c:v>
                </c:pt>
                <c:pt idx="93">
                  <c:v>0.46548852326036977</c:v>
                </c:pt>
                <c:pt idx="94">
                  <c:v>0.51927736101976341</c:v>
                </c:pt>
                <c:pt idx="95">
                  <c:v>0.52569110396774388</c:v>
                </c:pt>
                <c:pt idx="96">
                  <c:v>0.51530100081508268</c:v>
                </c:pt>
                <c:pt idx="97">
                  <c:v>0.52186236888313731</c:v>
                </c:pt>
                <c:pt idx="98">
                  <c:v>0.50774070648290914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761-4E53-BAFF-B53E0183EB12}"/>
            </c:ext>
          </c:extLst>
        </c:ser>
        <c:ser>
          <c:idx val="3"/>
          <c:order val="3"/>
          <c:tx>
            <c:strRef>
              <c:f>'面板-景气指数'!$A$147</c:f>
              <c:strCache>
                <c:ptCount val="1"/>
                <c:pt idx="0">
                  <c:v>调味发酵品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'面板-景气指数'!$F$147:$CZ$147</c:f>
              <c:numCache>
                <c:formatCode>0.0%</c:formatCode>
                <c:ptCount val="99"/>
                <c:pt idx="0">
                  <c:v>0.77233333333333332</c:v>
                </c:pt>
                <c:pt idx="1">
                  <c:v>0.7546666666666666</c:v>
                </c:pt>
                <c:pt idx="2">
                  <c:v>0.7576666666666666</c:v>
                </c:pt>
                <c:pt idx="3">
                  <c:v>0.76649999999999985</c:v>
                </c:pt>
                <c:pt idx="4">
                  <c:v>0.72749999999999981</c:v>
                </c:pt>
                <c:pt idx="5">
                  <c:v>0.7131666666666665</c:v>
                </c:pt>
                <c:pt idx="6">
                  <c:v>0.7004999999999999</c:v>
                </c:pt>
                <c:pt idx="7">
                  <c:v>0.72066666666666657</c:v>
                </c:pt>
                <c:pt idx="8">
                  <c:v>0.76449999999999996</c:v>
                </c:pt>
                <c:pt idx="9">
                  <c:v>0.84700000000000009</c:v>
                </c:pt>
                <c:pt idx="10">
                  <c:v>0.90800000000000003</c:v>
                </c:pt>
                <c:pt idx="11">
                  <c:v>0.91600000000000004</c:v>
                </c:pt>
                <c:pt idx="12">
                  <c:v>0.87616666666666654</c:v>
                </c:pt>
                <c:pt idx="13">
                  <c:v>0.79066666666666674</c:v>
                </c:pt>
                <c:pt idx="14">
                  <c:v>0.48083333333333367</c:v>
                </c:pt>
                <c:pt idx="15">
                  <c:v>0.460166666666667</c:v>
                </c:pt>
                <c:pt idx="16">
                  <c:v>0.47266666666666696</c:v>
                </c:pt>
                <c:pt idx="17">
                  <c:v>0.48766666666666697</c:v>
                </c:pt>
                <c:pt idx="18">
                  <c:v>0.47583333333333361</c:v>
                </c:pt>
                <c:pt idx="19">
                  <c:v>0.44783333333333358</c:v>
                </c:pt>
                <c:pt idx="20">
                  <c:v>0.42216666666666697</c:v>
                </c:pt>
                <c:pt idx="21">
                  <c:v>0.39916666666666695</c:v>
                </c:pt>
                <c:pt idx="22">
                  <c:v>0.38166666666666699</c:v>
                </c:pt>
                <c:pt idx="23">
                  <c:v>0.37866666666666693</c:v>
                </c:pt>
                <c:pt idx="24">
                  <c:v>0.38716666666666688</c:v>
                </c:pt>
                <c:pt idx="25">
                  <c:v>0.31083333333333346</c:v>
                </c:pt>
                <c:pt idx="26">
                  <c:v>0.57449999999999979</c:v>
                </c:pt>
                <c:pt idx="27">
                  <c:v>0.58116666666666639</c:v>
                </c:pt>
                <c:pt idx="28">
                  <c:v>0.59383333333333299</c:v>
                </c:pt>
                <c:pt idx="29">
                  <c:v>0.55216666666666636</c:v>
                </c:pt>
                <c:pt idx="30">
                  <c:v>0.52433333333333298</c:v>
                </c:pt>
                <c:pt idx="31">
                  <c:v>0.51299999999999957</c:v>
                </c:pt>
                <c:pt idx="32">
                  <c:v>0.51599999999999957</c:v>
                </c:pt>
                <c:pt idx="33">
                  <c:v>0.50566666666666615</c:v>
                </c:pt>
                <c:pt idx="34">
                  <c:v>0.5024999999999995</c:v>
                </c:pt>
                <c:pt idx="35">
                  <c:v>0.50866666666666616</c:v>
                </c:pt>
                <c:pt idx="36">
                  <c:v>0.5118333333333327</c:v>
                </c:pt>
                <c:pt idx="37">
                  <c:v>0.52349999999999952</c:v>
                </c:pt>
                <c:pt idx="38">
                  <c:v>0.47266666666666635</c:v>
                </c:pt>
                <c:pt idx="39">
                  <c:v>0.13683333333333336</c:v>
                </c:pt>
                <c:pt idx="40">
                  <c:v>0.14900000000000005</c:v>
                </c:pt>
                <c:pt idx="41">
                  <c:v>0.15333333333333343</c:v>
                </c:pt>
                <c:pt idx="42">
                  <c:v>0.16350000000000012</c:v>
                </c:pt>
                <c:pt idx="43">
                  <c:v>0.1795000000000001</c:v>
                </c:pt>
                <c:pt idx="44">
                  <c:v>0.21550000000000016</c:v>
                </c:pt>
                <c:pt idx="45">
                  <c:v>0.25683333333333364</c:v>
                </c:pt>
                <c:pt idx="46">
                  <c:v>0.29950000000000032</c:v>
                </c:pt>
                <c:pt idx="47">
                  <c:v>0.30166666666666697</c:v>
                </c:pt>
                <c:pt idx="48">
                  <c:v>0.30450000000000033</c:v>
                </c:pt>
                <c:pt idx="49">
                  <c:v>0.28133333333333366</c:v>
                </c:pt>
                <c:pt idx="50">
                  <c:v>0.28483333333333355</c:v>
                </c:pt>
                <c:pt idx="51">
                  <c:v>0.46416666666666667</c:v>
                </c:pt>
                <c:pt idx="52">
                  <c:v>0.45183333333333336</c:v>
                </c:pt>
                <c:pt idx="53">
                  <c:v>0.4878333333333334</c:v>
                </c:pt>
                <c:pt idx="54">
                  <c:v>0.53300000000000003</c:v>
                </c:pt>
                <c:pt idx="55">
                  <c:v>0.58050000000000013</c:v>
                </c:pt>
                <c:pt idx="56">
                  <c:v>0.57633333333333336</c:v>
                </c:pt>
                <c:pt idx="57">
                  <c:v>0.55933333333333346</c:v>
                </c:pt>
                <c:pt idx="58">
                  <c:v>0.54350000000000009</c:v>
                </c:pt>
                <c:pt idx="59">
                  <c:v>0.59866666666666668</c:v>
                </c:pt>
                <c:pt idx="60">
                  <c:v>0.6263333333333333</c:v>
                </c:pt>
                <c:pt idx="61">
                  <c:v>0.64149999999999996</c:v>
                </c:pt>
                <c:pt idx="62">
                  <c:v>0.58183333333333342</c:v>
                </c:pt>
                <c:pt idx="63">
                  <c:v>0.45033333333333353</c:v>
                </c:pt>
                <c:pt idx="64">
                  <c:v>0.45283333333333348</c:v>
                </c:pt>
                <c:pt idx="65">
                  <c:v>0.48783333333333345</c:v>
                </c:pt>
                <c:pt idx="66">
                  <c:v>0.51800000000000013</c:v>
                </c:pt>
                <c:pt idx="67">
                  <c:v>0.52400000000000024</c:v>
                </c:pt>
                <c:pt idx="68">
                  <c:v>0.50900000000000012</c:v>
                </c:pt>
                <c:pt idx="69">
                  <c:v>0.46966666666666673</c:v>
                </c:pt>
                <c:pt idx="70">
                  <c:v>0.52899999999999991</c:v>
                </c:pt>
                <c:pt idx="71">
                  <c:v>0.55999999999999994</c:v>
                </c:pt>
                <c:pt idx="72">
                  <c:v>0.55366666666666653</c:v>
                </c:pt>
                <c:pt idx="73">
                  <c:v>0.60883333333333334</c:v>
                </c:pt>
                <c:pt idx="74">
                  <c:v>0.5575</c:v>
                </c:pt>
                <c:pt idx="75">
                  <c:v>0.57283333333333342</c:v>
                </c:pt>
                <c:pt idx="76">
                  <c:v>0.57799999999999996</c:v>
                </c:pt>
                <c:pt idx="77">
                  <c:v>0.58166666666666667</c:v>
                </c:pt>
                <c:pt idx="78">
                  <c:v>0.58983333333333321</c:v>
                </c:pt>
                <c:pt idx="79">
                  <c:v>0.59349999999999992</c:v>
                </c:pt>
                <c:pt idx="80">
                  <c:v>0.58849999999999991</c:v>
                </c:pt>
                <c:pt idx="81">
                  <c:v>0.55449999999999977</c:v>
                </c:pt>
                <c:pt idx="82">
                  <c:v>0.52716666666666645</c:v>
                </c:pt>
                <c:pt idx="83">
                  <c:v>0.47116666666666657</c:v>
                </c:pt>
                <c:pt idx="84">
                  <c:v>0.41999999999999993</c:v>
                </c:pt>
                <c:pt idx="85">
                  <c:v>0.36716666666666659</c:v>
                </c:pt>
                <c:pt idx="86">
                  <c:v>0.29433333333333339</c:v>
                </c:pt>
                <c:pt idx="87">
                  <c:v>0.27350000000000002</c:v>
                </c:pt>
                <c:pt idx="88">
                  <c:v>0.29100000000000009</c:v>
                </c:pt>
                <c:pt idx="89">
                  <c:v>0.30450000000000005</c:v>
                </c:pt>
                <c:pt idx="90">
                  <c:v>0.31450000000000006</c:v>
                </c:pt>
                <c:pt idx="91">
                  <c:v>0.31450000000000006</c:v>
                </c:pt>
                <c:pt idx="92">
                  <c:v>0.32633333333333331</c:v>
                </c:pt>
                <c:pt idx="93">
                  <c:v>0.38750000000000007</c:v>
                </c:pt>
                <c:pt idx="94">
                  <c:v>0.4283333333333334</c:v>
                </c:pt>
                <c:pt idx="95">
                  <c:v>0.51683333333333348</c:v>
                </c:pt>
                <c:pt idx="96">
                  <c:v>0.51716666666666689</c:v>
                </c:pt>
                <c:pt idx="97">
                  <c:v>0.52200000000000024</c:v>
                </c:pt>
                <c:pt idx="98">
                  <c:v>0.54083333333333361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761-4E53-BAFF-B53E0183E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'面板-景气指数'!$A$61</c:f>
              <c:strCache>
                <c:ptCount val="1"/>
                <c:pt idx="0">
                  <c:v>银行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'面板-景气指数'!$F$61:$CZ$61</c:f>
              <c:numCache>
                <c:formatCode>0.0%</c:formatCode>
                <c:ptCount val="99"/>
                <c:pt idx="0">
                  <c:v>0.48442182682747492</c:v>
                </c:pt>
                <c:pt idx="1">
                  <c:v>0.48442182682747492</c:v>
                </c:pt>
                <c:pt idx="2">
                  <c:v>0.48442182682747492</c:v>
                </c:pt>
                <c:pt idx="3">
                  <c:v>0.48442182682747492</c:v>
                </c:pt>
                <c:pt idx="4">
                  <c:v>0.48400764975188021</c:v>
                </c:pt>
                <c:pt idx="5">
                  <c:v>0.48570432815872489</c:v>
                </c:pt>
                <c:pt idx="6">
                  <c:v>0.48630949169080456</c:v>
                </c:pt>
                <c:pt idx="7">
                  <c:v>0.47735524145495623</c:v>
                </c:pt>
                <c:pt idx="8">
                  <c:v>0.47845131969058635</c:v>
                </c:pt>
                <c:pt idx="9">
                  <c:v>0.48260541005410779</c:v>
                </c:pt>
                <c:pt idx="10">
                  <c:v>0.47924367142734847</c:v>
                </c:pt>
                <c:pt idx="11">
                  <c:v>0.48384176118831412</c:v>
                </c:pt>
                <c:pt idx="12">
                  <c:v>0.49728407132922214</c:v>
                </c:pt>
                <c:pt idx="13">
                  <c:v>0.50679257420273371</c:v>
                </c:pt>
                <c:pt idx="14">
                  <c:v>0.5127053494866709</c:v>
                </c:pt>
                <c:pt idx="15">
                  <c:v>0.515128161638987</c:v>
                </c:pt>
                <c:pt idx="16">
                  <c:v>0.51913382606151293</c:v>
                </c:pt>
                <c:pt idx="17">
                  <c:v>0.51205891371311985</c:v>
                </c:pt>
                <c:pt idx="18">
                  <c:v>0.51615505574847165</c:v>
                </c:pt>
                <c:pt idx="19">
                  <c:v>0.51778058054766074</c:v>
                </c:pt>
                <c:pt idx="20">
                  <c:v>0.51528142435838131</c:v>
                </c:pt>
                <c:pt idx="21">
                  <c:v>0.5113387501064357</c:v>
                </c:pt>
                <c:pt idx="22">
                  <c:v>0.50857672182663038</c:v>
                </c:pt>
                <c:pt idx="23">
                  <c:v>0.50647554243719528</c:v>
                </c:pt>
                <c:pt idx="24">
                  <c:v>0.50534693061121583</c:v>
                </c:pt>
                <c:pt idx="25">
                  <c:v>0.50587181640008227</c:v>
                </c:pt>
                <c:pt idx="26">
                  <c:v>0.51885324254001153</c:v>
                </c:pt>
                <c:pt idx="27">
                  <c:v>0.55101944004006309</c:v>
                </c:pt>
                <c:pt idx="28">
                  <c:v>0.63381417510624338</c:v>
                </c:pt>
                <c:pt idx="29">
                  <c:v>0.60624407212385412</c:v>
                </c:pt>
                <c:pt idx="30">
                  <c:v>0.56742818022807107</c:v>
                </c:pt>
                <c:pt idx="31">
                  <c:v>0.55045836085456179</c:v>
                </c:pt>
                <c:pt idx="32">
                  <c:v>0.54080076311042102</c:v>
                </c:pt>
                <c:pt idx="33">
                  <c:v>0.53596499997294866</c:v>
                </c:pt>
                <c:pt idx="34">
                  <c:v>0.52570504222835468</c:v>
                </c:pt>
                <c:pt idx="35">
                  <c:v>0.52572274793563589</c:v>
                </c:pt>
                <c:pt idx="36">
                  <c:v>0.52706717878453557</c:v>
                </c:pt>
                <c:pt idx="37">
                  <c:v>0.5271391430513156</c:v>
                </c:pt>
                <c:pt idx="38">
                  <c:v>0.53471361887928615</c:v>
                </c:pt>
                <c:pt idx="39">
                  <c:v>0.53276758700351246</c:v>
                </c:pt>
                <c:pt idx="40">
                  <c:v>0.5064997225076503</c:v>
                </c:pt>
                <c:pt idx="41">
                  <c:v>0.48966933200662571</c:v>
                </c:pt>
                <c:pt idx="42">
                  <c:v>0.47857137466596356</c:v>
                </c:pt>
                <c:pt idx="43">
                  <c:v>0.45883302395174758</c:v>
                </c:pt>
                <c:pt idx="44">
                  <c:v>0.4694752840835566</c:v>
                </c:pt>
                <c:pt idx="45">
                  <c:v>0.4789389797571777</c:v>
                </c:pt>
                <c:pt idx="46">
                  <c:v>0.48559352035593401</c:v>
                </c:pt>
                <c:pt idx="47">
                  <c:v>0.52374839552030061</c:v>
                </c:pt>
                <c:pt idx="48">
                  <c:v>0.54289927354568734</c:v>
                </c:pt>
                <c:pt idx="49">
                  <c:v>0.56968606999261362</c:v>
                </c:pt>
                <c:pt idx="50">
                  <c:v>0.60464243409455432</c:v>
                </c:pt>
                <c:pt idx="51">
                  <c:v>0.62798815913930717</c:v>
                </c:pt>
                <c:pt idx="52">
                  <c:v>0.6980576092104811</c:v>
                </c:pt>
                <c:pt idx="53">
                  <c:v>0.7011607948684816</c:v>
                </c:pt>
                <c:pt idx="54">
                  <c:v>0.71536572376872321</c:v>
                </c:pt>
                <c:pt idx="55">
                  <c:v>0.73388808358033975</c:v>
                </c:pt>
                <c:pt idx="56">
                  <c:v>0.71814748231194014</c:v>
                </c:pt>
                <c:pt idx="57">
                  <c:v>0.72964412844245574</c:v>
                </c:pt>
                <c:pt idx="58">
                  <c:v>0.74661415124488184</c:v>
                </c:pt>
                <c:pt idx="59">
                  <c:v>0.7326497387259322</c:v>
                </c:pt>
                <c:pt idx="60">
                  <c:v>0.71556842185308456</c:v>
                </c:pt>
                <c:pt idx="61">
                  <c:v>0.70308618151678082</c:v>
                </c:pt>
                <c:pt idx="62">
                  <c:v>0.67503022901427745</c:v>
                </c:pt>
                <c:pt idx="63">
                  <c:v>0.64800176011869637</c:v>
                </c:pt>
                <c:pt idx="64">
                  <c:v>0.63611017139414683</c:v>
                </c:pt>
                <c:pt idx="65">
                  <c:v>0.61816507288716249</c:v>
                </c:pt>
                <c:pt idx="66">
                  <c:v>0.5887428901379087</c:v>
                </c:pt>
                <c:pt idx="67">
                  <c:v>0.56243258546714325</c:v>
                </c:pt>
                <c:pt idx="68">
                  <c:v>0.54496345764581589</c:v>
                </c:pt>
                <c:pt idx="69">
                  <c:v>0.52047570377748942</c:v>
                </c:pt>
                <c:pt idx="70">
                  <c:v>0.4817578322881067</c:v>
                </c:pt>
                <c:pt idx="71">
                  <c:v>0.46506203605038299</c:v>
                </c:pt>
                <c:pt idx="72">
                  <c:v>0.44626966948060337</c:v>
                </c:pt>
                <c:pt idx="73">
                  <c:v>0.4248802513473679</c:v>
                </c:pt>
                <c:pt idx="74">
                  <c:v>0.41782639844307201</c:v>
                </c:pt>
                <c:pt idx="75">
                  <c:v>0.40840944771725679</c:v>
                </c:pt>
                <c:pt idx="76">
                  <c:v>0.4172743073701019</c:v>
                </c:pt>
                <c:pt idx="77">
                  <c:v>0.40071751123951227</c:v>
                </c:pt>
                <c:pt idx="78">
                  <c:v>0.38359532441027389</c:v>
                </c:pt>
                <c:pt idx="79">
                  <c:v>0.38057922300350278</c:v>
                </c:pt>
                <c:pt idx="80">
                  <c:v>0.35498313315507946</c:v>
                </c:pt>
                <c:pt idx="81">
                  <c:v>0.30798558078215682</c:v>
                </c:pt>
                <c:pt idx="82">
                  <c:v>0.28279263043346464</c:v>
                </c:pt>
                <c:pt idx="83">
                  <c:v>0.27855597579873165</c:v>
                </c:pt>
                <c:pt idx="84">
                  <c:v>0.27581595336260817</c:v>
                </c:pt>
                <c:pt idx="85">
                  <c:v>0.26714167504344177</c:v>
                </c:pt>
                <c:pt idx="86">
                  <c:v>0.26492859206527791</c:v>
                </c:pt>
                <c:pt idx="87">
                  <c:v>0.33968770776691504</c:v>
                </c:pt>
                <c:pt idx="88">
                  <c:v>0.32439081730942987</c:v>
                </c:pt>
                <c:pt idx="89">
                  <c:v>0.33603851214065822</c:v>
                </c:pt>
                <c:pt idx="90">
                  <c:v>0.3609261552291389</c:v>
                </c:pt>
                <c:pt idx="91">
                  <c:v>0.36776493533586552</c:v>
                </c:pt>
                <c:pt idx="92">
                  <c:v>0.36532408185964821</c:v>
                </c:pt>
                <c:pt idx="93">
                  <c:v>0.35980072757940873</c:v>
                </c:pt>
                <c:pt idx="94">
                  <c:v>0.37728030312767635</c:v>
                </c:pt>
                <c:pt idx="95">
                  <c:v>0.37672939620297458</c:v>
                </c:pt>
                <c:pt idx="96">
                  <c:v>0.37221698328126435</c:v>
                </c:pt>
                <c:pt idx="97">
                  <c:v>0.37077872018161134</c:v>
                </c:pt>
                <c:pt idx="98">
                  <c:v>0.38389843128735979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CE-44D6-8823-ECD1EA0806D0}"/>
            </c:ext>
          </c:extLst>
        </c:ser>
        <c:ser>
          <c:idx val="1"/>
          <c:order val="1"/>
          <c:tx>
            <c:strRef>
              <c:f>'面板-景气指数'!$A$153</c:f>
              <c:strCache>
                <c:ptCount val="1"/>
                <c:pt idx="0">
                  <c:v>国有大型银行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'面板-景气指数'!$F$153:$CZ$153</c:f>
              <c:numCache>
                <c:formatCode>0.0%</c:formatCode>
                <c:ptCount val="9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0.49850000000000005</c:v>
                </c:pt>
                <c:pt idx="6">
                  <c:v>0.49900000000000005</c:v>
                </c:pt>
                <c:pt idx="7">
                  <c:v>0.5</c:v>
                </c:pt>
                <c:pt idx="8">
                  <c:v>0.4955</c:v>
                </c:pt>
                <c:pt idx="9">
                  <c:v>0.49100000000000005</c:v>
                </c:pt>
                <c:pt idx="10">
                  <c:v>0.47649999999999998</c:v>
                </c:pt>
                <c:pt idx="11">
                  <c:v>0.48699999999999999</c:v>
                </c:pt>
                <c:pt idx="12">
                  <c:v>0.51350000000000007</c:v>
                </c:pt>
                <c:pt idx="13">
                  <c:v>0.52999999999999992</c:v>
                </c:pt>
                <c:pt idx="14">
                  <c:v>0.4945</c:v>
                </c:pt>
                <c:pt idx="15">
                  <c:v>0.48500000000000004</c:v>
                </c:pt>
                <c:pt idx="16">
                  <c:v>0.48599999999999999</c:v>
                </c:pt>
                <c:pt idx="17">
                  <c:v>0.47650000000000003</c:v>
                </c:pt>
                <c:pt idx="18">
                  <c:v>0.47699999999999998</c:v>
                </c:pt>
                <c:pt idx="19">
                  <c:v>0.47749999999999998</c:v>
                </c:pt>
                <c:pt idx="20">
                  <c:v>0.47849999999999998</c:v>
                </c:pt>
                <c:pt idx="21">
                  <c:v>0.47950000000000009</c:v>
                </c:pt>
                <c:pt idx="22">
                  <c:v>0.48000000000000004</c:v>
                </c:pt>
                <c:pt idx="23">
                  <c:v>0.47549999999999998</c:v>
                </c:pt>
                <c:pt idx="24">
                  <c:v>0.47649999999999998</c:v>
                </c:pt>
                <c:pt idx="25">
                  <c:v>0.47699999999999992</c:v>
                </c:pt>
                <c:pt idx="26">
                  <c:v>0.49</c:v>
                </c:pt>
                <c:pt idx="27">
                  <c:v>0.503</c:v>
                </c:pt>
                <c:pt idx="28">
                  <c:v>0.60299999999999998</c:v>
                </c:pt>
                <c:pt idx="29">
                  <c:v>0.54900000000000004</c:v>
                </c:pt>
                <c:pt idx="30">
                  <c:v>0.48699999999999999</c:v>
                </c:pt>
                <c:pt idx="31">
                  <c:v>0.46000000000000008</c:v>
                </c:pt>
                <c:pt idx="32">
                  <c:v>0.443</c:v>
                </c:pt>
                <c:pt idx="33">
                  <c:v>0.4325</c:v>
                </c:pt>
                <c:pt idx="34">
                  <c:v>0.41</c:v>
                </c:pt>
                <c:pt idx="35">
                  <c:v>0.41750000000000004</c:v>
                </c:pt>
                <c:pt idx="36">
                  <c:v>0.43</c:v>
                </c:pt>
                <c:pt idx="37">
                  <c:v>0.438</c:v>
                </c:pt>
                <c:pt idx="38">
                  <c:v>0.44750000000000001</c:v>
                </c:pt>
                <c:pt idx="39">
                  <c:v>0.45649999999999996</c:v>
                </c:pt>
                <c:pt idx="40">
                  <c:v>0.44800000000000006</c:v>
                </c:pt>
                <c:pt idx="41">
                  <c:v>0.44750000000000001</c:v>
                </c:pt>
                <c:pt idx="42">
                  <c:v>0.42849999999999994</c:v>
                </c:pt>
                <c:pt idx="43">
                  <c:v>0.40949999999999998</c:v>
                </c:pt>
                <c:pt idx="44">
                  <c:v>0.42899999999999999</c:v>
                </c:pt>
                <c:pt idx="45">
                  <c:v>0.44850000000000001</c:v>
                </c:pt>
                <c:pt idx="46">
                  <c:v>0.45699999999999996</c:v>
                </c:pt>
                <c:pt idx="47">
                  <c:v>0.51700000000000002</c:v>
                </c:pt>
                <c:pt idx="48">
                  <c:v>0.55000000000000004</c:v>
                </c:pt>
                <c:pt idx="49">
                  <c:v>0.58900000000000008</c:v>
                </c:pt>
                <c:pt idx="50">
                  <c:v>0.63450000000000006</c:v>
                </c:pt>
                <c:pt idx="51">
                  <c:v>0.66300000000000003</c:v>
                </c:pt>
                <c:pt idx="52">
                  <c:v>0.76050000000000006</c:v>
                </c:pt>
                <c:pt idx="53">
                  <c:v>0.75800000000000001</c:v>
                </c:pt>
                <c:pt idx="54">
                  <c:v>0.77100000000000002</c:v>
                </c:pt>
                <c:pt idx="55">
                  <c:v>0.78300000000000003</c:v>
                </c:pt>
                <c:pt idx="56">
                  <c:v>0.80349999999999999</c:v>
                </c:pt>
                <c:pt idx="57">
                  <c:v>0.82900000000000007</c:v>
                </c:pt>
                <c:pt idx="58">
                  <c:v>0.86949999999999994</c:v>
                </c:pt>
                <c:pt idx="59">
                  <c:v>0.85799999999999998</c:v>
                </c:pt>
                <c:pt idx="60">
                  <c:v>0.85</c:v>
                </c:pt>
                <c:pt idx="61">
                  <c:v>0.84699999999999998</c:v>
                </c:pt>
                <c:pt idx="62">
                  <c:v>0.8095</c:v>
                </c:pt>
                <c:pt idx="63">
                  <c:v>0.78949999999999987</c:v>
                </c:pt>
                <c:pt idx="64">
                  <c:v>0.77050000000000007</c:v>
                </c:pt>
                <c:pt idx="65">
                  <c:v>0.74350000000000005</c:v>
                </c:pt>
                <c:pt idx="66">
                  <c:v>0.70099999999999996</c:v>
                </c:pt>
                <c:pt idx="67">
                  <c:v>0.65800000000000014</c:v>
                </c:pt>
                <c:pt idx="68">
                  <c:v>0.63049999999999995</c:v>
                </c:pt>
                <c:pt idx="69">
                  <c:v>0.60799999999999987</c:v>
                </c:pt>
                <c:pt idx="70">
                  <c:v>0.57400000000000007</c:v>
                </c:pt>
                <c:pt idx="71">
                  <c:v>0.55799999999999994</c:v>
                </c:pt>
                <c:pt idx="72">
                  <c:v>0.54199999999999993</c:v>
                </c:pt>
                <c:pt idx="73">
                  <c:v>0.53100000000000003</c:v>
                </c:pt>
                <c:pt idx="74">
                  <c:v>0.499</c:v>
                </c:pt>
                <c:pt idx="75">
                  <c:v>0.47749999999999998</c:v>
                </c:pt>
                <c:pt idx="76">
                  <c:v>0.46700000000000003</c:v>
                </c:pt>
                <c:pt idx="77">
                  <c:v>0.45050000000000001</c:v>
                </c:pt>
                <c:pt idx="78">
                  <c:v>0.43950000000000006</c:v>
                </c:pt>
                <c:pt idx="79">
                  <c:v>0.42799999999999999</c:v>
                </c:pt>
                <c:pt idx="80">
                  <c:v>0.39400000000000002</c:v>
                </c:pt>
                <c:pt idx="81">
                  <c:v>0.31950000000000001</c:v>
                </c:pt>
                <c:pt idx="82">
                  <c:v>0.26800000000000002</c:v>
                </c:pt>
                <c:pt idx="83">
                  <c:v>0.251</c:v>
                </c:pt>
                <c:pt idx="84">
                  <c:v>0.23400000000000001</c:v>
                </c:pt>
                <c:pt idx="85">
                  <c:v>0.21749999999999997</c:v>
                </c:pt>
                <c:pt idx="86">
                  <c:v>0.21249999999999999</c:v>
                </c:pt>
                <c:pt idx="87">
                  <c:v>0.30649999999999999</c:v>
                </c:pt>
                <c:pt idx="88">
                  <c:v>0.28100000000000003</c:v>
                </c:pt>
                <c:pt idx="89">
                  <c:v>0.29099999999999998</c:v>
                </c:pt>
                <c:pt idx="90">
                  <c:v>0.29599999999999999</c:v>
                </c:pt>
                <c:pt idx="91">
                  <c:v>0.30149999999999999</c:v>
                </c:pt>
                <c:pt idx="92">
                  <c:v>0.29099999999999998</c:v>
                </c:pt>
                <c:pt idx="93">
                  <c:v>0.27600000000000002</c:v>
                </c:pt>
                <c:pt idx="94">
                  <c:v>0.27050000000000002</c:v>
                </c:pt>
                <c:pt idx="95">
                  <c:v>0.26550000000000001</c:v>
                </c:pt>
                <c:pt idx="96">
                  <c:v>0.2555</c:v>
                </c:pt>
                <c:pt idx="97">
                  <c:v>0.25</c:v>
                </c:pt>
                <c:pt idx="98">
                  <c:v>0.26550000000000001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CE-44D6-8823-ECD1EA0806D0}"/>
            </c:ext>
          </c:extLst>
        </c:ser>
        <c:ser>
          <c:idx val="2"/>
          <c:order val="2"/>
          <c:tx>
            <c:strRef>
              <c:f>'面板-景气指数'!$A$154</c:f>
              <c:strCache>
                <c:ptCount val="1"/>
                <c:pt idx="0">
                  <c:v>股份制银行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'面板-景气指数'!$F$154:$CZ$154</c:f>
              <c:numCache>
                <c:formatCode>0.0%</c:formatCode>
                <c:ptCount val="9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0.50900000000000001</c:v>
                </c:pt>
                <c:pt idx="6">
                  <c:v>0.52150000000000007</c:v>
                </c:pt>
                <c:pt idx="7">
                  <c:v>0.51350000000000007</c:v>
                </c:pt>
                <c:pt idx="8">
                  <c:v>0.52449999999999997</c:v>
                </c:pt>
                <c:pt idx="9">
                  <c:v>0.5465000000000001</c:v>
                </c:pt>
                <c:pt idx="10">
                  <c:v>0.5575</c:v>
                </c:pt>
                <c:pt idx="11">
                  <c:v>0.55299999999999994</c:v>
                </c:pt>
                <c:pt idx="12">
                  <c:v>0.54349999999999998</c:v>
                </c:pt>
                <c:pt idx="13">
                  <c:v>0.54400000000000004</c:v>
                </c:pt>
                <c:pt idx="14">
                  <c:v>0.62050000000000005</c:v>
                </c:pt>
                <c:pt idx="15">
                  <c:v>0.64399999999999991</c:v>
                </c:pt>
                <c:pt idx="16">
                  <c:v>0.65099999999999991</c:v>
                </c:pt>
                <c:pt idx="17">
                  <c:v>0.65149999999999997</c:v>
                </c:pt>
                <c:pt idx="18">
                  <c:v>0.66400000000000003</c:v>
                </c:pt>
                <c:pt idx="19">
                  <c:v>0.67049999999999998</c:v>
                </c:pt>
                <c:pt idx="20">
                  <c:v>0.65949999999999998</c:v>
                </c:pt>
                <c:pt idx="21">
                  <c:v>0.64300000000000002</c:v>
                </c:pt>
                <c:pt idx="22">
                  <c:v>0.63200000000000001</c:v>
                </c:pt>
                <c:pt idx="23">
                  <c:v>0.65600000000000003</c:v>
                </c:pt>
                <c:pt idx="24">
                  <c:v>0.65700000000000003</c:v>
                </c:pt>
                <c:pt idx="25">
                  <c:v>0.66299999999999992</c:v>
                </c:pt>
                <c:pt idx="26">
                  <c:v>0.66399999999999992</c:v>
                </c:pt>
                <c:pt idx="27">
                  <c:v>0.746</c:v>
                </c:pt>
                <c:pt idx="28">
                  <c:v>0.79350000000000009</c:v>
                </c:pt>
                <c:pt idx="29">
                  <c:v>0.79999999999999993</c:v>
                </c:pt>
                <c:pt idx="30">
                  <c:v>0.79999999999999993</c:v>
                </c:pt>
                <c:pt idx="31">
                  <c:v>0.80099999999999993</c:v>
                </c:pt>
                <c:pt idx="32">
                  <c:v>0.80200000000000005</c:v>
                </c:pt>
                <c:pt idx="33">
                  <c:v>0.80249999999999988</c:v>
                </c:pt>
                <c:pt idx="34">
                  <c:v>0.8095</c:v>
                </c:pt>
                <c:pt idx="35">
                  <c:v>0.8095</c:v>
                </c:pt>
                <c:pt idx="36">
                  <c:v>0.8105</c:v>
                </c:pt>
                <c:pt idx="37">
                  <c:v>0.8115</c:v>
                </c:pt>
                <c:pt idx="38">
                  <c:v>0.77700000000000002</c:v>
                </c:pt>
                <c:pt idx="39">
                  <c:v>0.70799999999999996</c:v>
                </c:pt>
                <c:pt idx="40">
                  <c:v>0.59800000000000009</c:v>
                </c:pt>
                <c:pt idx="41">
                  <c:v>0.59899999999999998</c:v>
                </c:pt>
                <c:pt idx="42">
                  <c:v>0.61199999999999999</c:v>
                </c:pt>
                <c:pt idx="43">
                  <c:v>0.59050000000000002</c:v>
                </c:pt>
                <c:pt idx="44">
                  <c:v>0.58349999999999991</c:v>
                </c:pt>
                <c:pt idx="45">
                  <c:v>0.57050000000000001</c:v>
                </c:pt>
                <c:pt idx="46">
                  <c:v>0.57399999999999995</c:v>
                </c:pt>
                <c:pt idx="47">
                  <c:v>0.57699999999999996</c:v>
                </c:pt>
                <c:pt idx="48">
                  <c:v>0.57399999999999995</c:v>
                </c:pt>
                <c:pt idx="49">
                  <c:v>0.58650000000000002</c:v>
                </c:pt>
                <c:pt idx="50">
                  <c:v>0.59399999999999997</c:v>
                </c:pt>
                <c:pt idx="51">
                  <c:v>0.6</c:v>
                </c:pt>
                <c:pt idx="52">
                  <c:v>0.61249999999999993</c:v>
                </c:pt>
                <c:pt idx="53">
                  <c:v>0.63350000000000006</c:v>
                </c:pt>
                <c:pt idx="54">
                  <c:v>0.65999999999999992</c:v>
                </c:pt>
                <c:pt idx="55">
                  <c:v>0.70200000000000007</c:v>
                </c:pt>
                <c:pt idx="56">
                  <c:v>0.59550000000000003</c:v>
                </c:pt>
                <c:pt idx="57">
                  <c:v>0.57399999999999995</c:v>
                </c:pt>
                <c:pt idx="58">
                  <c:v>0.54049999999999998</c:v>
                </c:pt>
                <c:pt idx="59">
                  <c:v>0.51300000000000001</c:v>
                </c:pt>
                <c:pt idx="60">
                  <c:v>0.47000000000000008</c:v>
                </c:pt>
                <c:pt idx="61">
                  <c:v>0.40050000000000002</c:v>
                </c:pt>
                <c:pt idx="62">
                  <c:v>0.3715</c:v>
                </c:pt>
                <c:pt idx="63">
                  <c:v>0.3135</c:v>
                </c:pt>
                <c:pt idx="64">
                  <c:v>0.30200000000000005</c:v>
                </c:pt>
                <c:pt idx="65">
                  <c:v>0.30599999999999999</c:v>
                </c:pt>
                <c:pt idx="66">
                  <c:v>0.30549999999999994</c:v>
                </c:pt>
                <c:pt idx="67">
                  <c:v>0.315</c:v>
                </c:pt>
                <c:pt idx="68">
                  <c:v>0.31899999999999995</c:v>
                </c:pt>
                <c:pt idx="69">
                  <c:v>0.28750000000000003</c:v>
                </c:pt>
                <c:pt idx="70">
                  <c:v>0.23450000000000001</c:v>
                </c:pt>
                <c:pt idx="71">
                  <c:v>0.20600000000000004</c:v>
                </c:pt>
                <c:pt idx="72">
                  <c:v>0.17350000000000002</c:v>
                </c:pt>
                <c:pt idx="73">
                  <c:v>0.11749999999999999</c:v>
                </c:pt>
                <c:pt idx="74">
                  <c:v>0.15399999999999997</c:v>
                </c:pt>
                <c:pt idx="75">
                  <c:v>0.16049999999999998</c:v>
                </c:pt>
                <c:pt idx="76">
                  <c:v>0.20300000000000004</c:v>
                </c:pt>
                <c:pt idx="77">
                  <c:v>0.184</c:v>
                </c:pt>
                <c:pt idx="78">
                  <c:v>0.15000000000000002</c:v>
                </c:pt>
                <c:pt idx="79">
                  <c:v>0.16250000000000001</c:v>
                </c:pt>
                <c:pt idx="80">
                  <c:v>0.14500000000000002</c:v>
                </c:pt>
                <c:pt idx="81">
                  <c:v>0.14300000000000002</c:v>
                </c:pt>
                <c:pt idx="82">
                  <c:v>0.16750000000000001</c:v>
                </c:pt>
                <c:pt idx="83">
                  <c:v>0.1855</c:v>
                </c:pt>
                <c:pt idx="84">
                  <c:v>0.20949999999999999</c:v>
                </c:pt>
                <c:pt idx="85">
                  <c:v>0.20999999999999996</c:v>
                </c:pt>
                <c:pt idx="86">
                  <c:v>0.20999999999999996</c:v>
                </c:pt>
                <c:pt idx="87">
                  <c:v>0.28599999999999998</c:v>
                </c:pt>
                <c:pt idx="88">
                  <c:v>0.28599999999999998</c:v>
                </c:pt>
                <c:pt idx="89">
                  <c:v>0.3115</c:v>
                </c:pt>
                <c:pt idx="90">
                  <c:v>0.39800000000000002</c:v>
                </c:pt>
                <c:pt idx="91">
                  <c:v>0.41850000000000004</c:v>
                </c:pt>
                <c:pt idx="92">
                  <c:v>0.42899999999999994</c:v>
                </c:pt>
                <c:pt idx="93">
                  <c:v>0.43900000000000006</c:v>
                </c:pt>
                <c:pt idx="94">
                  <c:v>0.51049999999999995</c:v>
                </c:pt>
                <c:pt idx="95">
                  <c:v>0.51550000000000007</c:v>
                </c:pt>
                <c:pt idx="96">
                  <c:v>0.52049999999999996</c:v>
                </c:pt>
                <c:pt idx="97">
                  <c:v>0.52599999999999991</c:v>
                </c:pt>
                <c:pt idx="98">
                  <c:v>0.53600000000000003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7CE-44D6-8823-ECD1EA0806D0}"/>
            </c:ext>
          </c:extLst>
        </c:ser>
        <c:ser>
          <c:idx val="3"/>
          <c:order val="3"/>
          <c:tx>
            <c:strRef>
              <c:f>'面板-景气指数'!$A$155</c:f>
              <c:strCache>
                <c:ptCount val="1"/>
                <c:pt idx="0">
                  <c:v>城商行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'面板-景气指数'!$F$155:$CZ$155</c:f>
              <c:numCache>
                <c:formatCode>0.0%</c:formatCode>
                <c:ptCount val="99"/>
                <c:pt idx="0">
                  <c:v>0.33250000000000002</c:v>
                </c:pt>
                <c:pt idx="1">
                  <c:v>0.33250000000000002</c:v>
                </c:pt>
                <c:pt idx="2">
                  <c:v>0.33250000000000002</c:v>
                </c:pt>
                <c:pt idx="3">
                  <c:v>0.33250000000000002</c:v>
                </c:pt>
                <c:pt idx="4">
                  <c:v>0.32700000000000001</c:v>
                </c:pt>
                <c:pt idx="5">
                  <c:v>0.32500000000000007</c:v>
                </c:pt>
                <c:pt idx="6">
                  <c:v>0.27449999999999997</c:v>
                </c:pt>
                <c:pt idx="7">
                  <c:v>0.16850000000000001</c:v>
                </c:pt>
                <c:pt idx="8">
                  <c:v>0.18450000000000003</c:v>
                </c:pt>
                <c:pt idx="9">
                  <c:v>0.2</c:v>
                </c:pt>
                <c:pt idx="10">
                  <c:v>0.249</c:v>
                </c:pt>
                <c:pt idx="11">
                  <c:v>0.23799999999999999</c:v>
                </c:pt>
                <c:pt idx="12">
                  <c:v>0.22700000000000001</c:v>
                </c:pt>
                <c:pt idx="13">
                  <c:v>0.21150000000000002</c:v>
                </c:pt>
                <c:pt idx="14">
                  <c:v>0.29050000000000004</c:v>
                </c:pt>
                <c:pt idx="15">
                  <c:v>0.31699999999999995</c:v>
                </c:pt>
                <c:pt idx="16">
                  <c:v>0.32799999999999996</c:v>
                </c:pt>
                <c:pt idx="17">
                  <c:v>0.31799999999999995</c:v>
                </c:pt>
                <c:pt idx="18">
                  <c:v>0.32650000000000001</c:v>
                </c:pt>
                <c:pt idx="19">
                  <c:v>0.32899999999999996</c:v>
                </c:pt>
                <c:pt idx="20">
                  <c:v>0.32850000000000001</c:v>
                </c:pt>
                <c:pt idx="21">
                  <c:v>0.32750000000000001</c:v>
                </c:pt>
                <c:pt idx="22">
                  <c:v>0.32650000000000007</c:v>
                </c:pt>
                <c:pt idx="23">
                  <c:v>0.249</c:v>
                </c:pt>
                <c:pt idx="24">
                  <c:v>0.22750000000000001</c:v>
                </c:pt>
                <c:pt idx="25">
                  <c:v>0.20699999999999999</c:v>
                </c:pt>
                <c:pt idx="26">
                  <c:v>0.26349999999999996</c:v>
                </c:pt>
                <c:pt idx="27">
                  <c:v>0.27899999999999997</c:v>
                </c:pt>
                <c:pt idx="28">
                  <c:v>0.36350000000000005</c:v>
                </c:pt>
                <c:pt idx="29">
                  <c:v>0.42749999999999999</c:v>
                </c:pt>
                <c:pt idx="30">
                  <c:v>0.4345</c:v>
                </c:pt>
                <c:pt idx="31">
                  <c:v>0.43299999999999994</c:v>
                </c:pt>
                <c:pt idx="32">
                  <c:v>0.44450000000000006</c:v>
                </c:pt>
                <c:pt idx="33">
                  <c:v>0.46699999999999997</c:v>
                </c:pt>
                <c:pt idx="34">
                  <c:v>0.49500000000000005</c:v>
                </c:pt>
                <c:pt idx="35">
                  <c:v>0.44249999999999995</c:v>
                </c:pt>
                <c:pt idx="36">
                  <c:v>0.35499999999999998</c:v>
                </c:pt>
                <c:pt idx="37">
                  <c:v>0.28749999999999998</c:v>
                </c:pt>
                <c:pt idx="38">
                  <c:v>0.42299999999999999</c:v>
                </c:pt>
                <c:pt idx="39">
                  <c:v>0.56950000000000001</c:v>
                </c:pt>
                <c:pt idx="40">
                  <c:v>0.6805000000000001</c:v>
                </c:pt>
                <c:pt idx="41">
                  <c:v>0.46899999999999997</c:v>
                </c:pt>
                <c:pt idx="42">
                  <c:v>0.44699999999999995</c:v>
                </c:pt>
                <c:pt idx="43">
                  <c:v>0.43149999999999994</c:v>
                </c:pt>
                <c:pt idx="44">
                  <c:v>0.43750000000000006</c:v>
                </c:pt>
                <c:pt idx="45">
                  <c:v>0.45</c:v>
                </c:pt>
                <c:pt idx="46">
                  <c:v>0.45650000000000002</c:v>
                </c:pt>
                <c:pt idx="47">
                  <c:v>0.441</c:v>
                </c:pt>
                <c:pt idx="48">
                  <c:v>0.4210000000000001</c:v>
                </c:pt>
                <c:pt idx="49">
                  <c:v>0.40050000000000002</c:v>
                </c:pt>
                <c:pt idx="50">
                  <c:v>0.44450000000000006</c:v>
                </c:pt>
                <c:pt idx="51">
                  <c:v>0.47749999999999998</c:v>
                </c:pt>
                <c:pt idx="52">
                  <c:v>0.51649999999999996</c:v>
                </c:pt>
                <c:pt idx="53">
                  <c:v>0.50750000000000006</c:v>
                </c:pt>
                <c:pt idx="54">
                  <c:v>0.49849999999999994</c:v>
                </c:pt>
                <c:pt idx="55">
                  <c:v>0.5</c:v>
                </c:pt>
                <c:pt idx="56">
                  <c:v>0.50349999999999995</c:v>
                </c:pt>
                <c:pt idx="57">
                  <c:v>0.51749999999999996</c:v>
                </c:pt>
                <c:pt idx="58">
                  <c:v>0.52149999999999996</c:v>
                </c:pt>
                <c:pt idx="59">
                  <c:v>0.54100000000000004</c:v>
                </c:pt>
                <c:pt idx="60">
                  <c:v>0.54500000000000004</c:v>
                </c:pt>
                <c:pt idx="61">
                  <c:v>0.66200000000000003</c:v>
                </c:pt>
                <c:pt idx="62">
                  <c:v>0.6915</c:v>
                </c:pt>
                <c:pt idx="63">
                  <c:v>0.6944999999999999</c:v>
                </c:pt>
                <c:pt idx="64">
                  <c:v>0.72</c:v>
                </c:pt>
                <c:pt idx="65">
                  <c:v>0.70950000000000002</c:v>
                </c:pt>
                <c:pt idx="66">
                  <c:v>0.68549999999999989</c:v>
                </c:pt>
                <c:pt idx="67">
                  <c:v>0.67300000000000004</c:v>
                </c:pt>
                <c:pt idx="68">
                  <c:v>0.66049999999999998</c:v>
                </c:pt>
                <c:pt idx="69">
                  <c:v>0.64300000000000002</c:v>
                </c:pt>
                <c:pt idx="70">
                  <c:v>0.6130000000000001</c:v>
                </c:pt>
                <c:pt idx="71">
                  <c:v>0.60050000000000003</c:v>
                </c:pt>
                <c:pt idx="72">
                  <c:v>0.59399999999999997</c:v>
                </c:pt>
                <c:pt idx="73">
                  <c:v>0.58149999999999991</c:v>
                </c:pt>
                <c:pt idx="74">
                  <c:v>0.61050000000000004</c:v>
                </c:pt>
                <c:pt idx="75">
                  <c:v>0.63300000000000001</c:v>
                </c:pt>
                <c:pt idx="76">
                  <c:v>0.67849999999999999</c:v>
                </c:pt>
                <c:pt idx="77">
                  <c:v>0.67199999999999993</c:v>
                </c:pt>
                <c:pt idx="78">
                  <c:v>0.66500000000000004</c:v>
                </c:pt>
                <c:pt idx="79">
                  <c:v>0.67900000000000005</c:v>
                </c:pt>
                <c:pt idx="80">
                  <c:v>0.6905</c:v>
                </c:pt>
                <c:pt idx="81">
                  <c:v>0.70250000000000001</c:v>
                </c:pt>
                <c:pt idx="82">
                  <c:v>0.71399999999999986</c:v>
                </c:pt>
                <c:pt idx="83">
                  <c:v>0.73699999999999999</c:v>
                </c:pt>
                <c:pt idx="84">
                  <c:v>0.75850000000000006</c:v>
                </c:pt>
                <c:pt idx="85">
                  <c:v>0.77999999999999992</c:v>
                </c:pt>
                <c:pt idx="86">
                  <c:v>0.79050000000000009</c:v>
                </c:pt>
                <c:pt idx="87">
                  <c:v>0.72449999999999992</c:v>
                </c:pt>
                <c:pt idx="88">
                  <c:v>0.7350000000000001</c:v>
                </c:pt>
                <c:pt idx="89">
                  <c:v>0.71950000000000003</c:v>
                </c:pt>
                <c:pt idx="90">
                  <c:v>0.69900000000000007</c:v>
                </c:pt>
                <c:pt idx="91">
                  <c:v>0.67349999999999999</c:v>
                </c:pt>
                <c:pt idx="92">
                  <c:v>0.68899999999999995</c:v>
                </c:pt>
                <c:pt idx="93">
                  <c:v>0.70450000000000002</c:v>
                </c:pt>
                <c:pt idx="94">
                  <c:v>0.71950000000000003</c:v>
                </c:pt>
                <c:pt idx="95">
                  <c:v>0.7350000000000001</c:v>
                </c:pt>
                <c:pt idx="96">
                  <c:v>0.73999999999999988</c:v>
                </c:pt>
                <c:pt idx="97">
                  <c:v>0.74499999999999988</c:v>
                </c:pt>
                <c:pt idx="98">
                  <c:v>0.75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7CE-44D6-8823-ECD1EA080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648215136783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'面板-景气指数'!$A$62</c:f>
              <c:strCache>
                <c:ptCount val="1"/>
                <c:pt idx="0">
                  <c:v>非银金融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'面板-景气指数'!$F$62:$CZ$62</c:f>
              <c:numCache>
                <c:formatCode>0.0%</c:formatCode>
                <c:ptCount val="99"/>
                <c:pt idx="0">
                  <c:v>0.47380063718141219</c:v>
                </c:pt>
                <c:pt idx="1">
                  <c:v>0.48585048611393605</c:v>
                </c:pt>
                <c:pt idx="2">
                  <c:v>0.48899110052040184</c:v>
                </c:pt>
                <c:pt idx="3">
                  <c:v>0.47933354616565294</c:v>
                </c:pt>
                <c:pt idx="4">
                  <c:v>0.47680219722343414</c:v>
                </c:pt>
                <c:pt idx="5">
                  <c:v>0.50587094438464508</c:v>
                </c:pt>
                <c:pt idx="6">
                  <c:v>0.5257824235280788</c:v>
                </c:pt>
                <c:pt idx="7">
                  <c:v>0.57668283756444194</c:v>
                </c:pt>
                <c:pt idx="8">
                  <c:v>0.5924017996428248</c:v>
                </c:pt>
                <c:pt idx="9">
                  <c:v>0.60481307143919072</c:v>
                </c:pt>
                <c:pt idx="10">
                  <c:v>0.59149001770666609</c:v>
                </c:pt>
                <c:pt idx="11">
                  <c:v>0.54906756890181874</c:v>
                </c:pt>
                <c:pt idx="12">
                  <c:v>0.49887299811070646</c:v>
                </c:pt>
                <c:pt idx="13">
                  <c:v>0.42183607712000015</c:v>
                </c:pt>
                <c:pt idx="14">
                  <c:v>0.36736408217535388</c:v>
                </c:pt>
                <c:pt idx="15">
                  <c:v>0.38832020352969965</c:v>
                </c:pt>
                <c:pt idx="16">
                  <c:v>0.36781238686383666</c:v>
                </c:pt>
                <c:pt idx="17">
                  <c:v>0.34253860938989261</c:v>
                </c:pt>
                <c:pt idx="18">
                  <c:v>0.29163701709413636</c:v>
                </c:pt>
                <c:pt idx="19">
                  <c:v>0.29762526741171191</c:v>
                </c:pt>
                <c:pt idx="20">
                  <c:v>0.35146366813899099</c:v>
                </c:pt>
                <c:pt idx="21">
                  <c:v>0.28529100375919908</c:v>
                </c:pt>
                <c:pt idx="22">
                  <c:v>0.25477208907475851</c:v>
                </c:pt>
                <c:pt idx="23">
                  <c:v>0.18658036848647189</c:v>
                </c:pt>
                <c:pt idx="24">
                  <c:v>0.2155962256210191</c:v>
                </c:pt>
                <c:pt idx="25">
                  <c:v>0.23176182044445218</c:v>
                </c:pt>
                <c:pt idx="26">
                  <c:v>0.21538059097374795</c:v>
                </c:pt>
                <c:pt idx="27">
                  <c:v>0.19763273191758968</c:v>
                </c:pt>
                <c:pt idx="28">
                  <c:v>0.23915807766143235</c:v>
                </c:pt>
                <c:pt idx="29">
                  <c:v>0.21889114594102593</c:v>
                </c:pt>
                <c:pt idx="30">
                  <c:v>0.25685346138506232</c:v>
                </c:pt>
                <c:pt idx="31">
                  <c:v>0.21406643672082215</c:v>
                </c:pt>
                <c:pt idx="32">
                  <c:v>0.22495635832405744</c:v>
                </c:pt>
                <c:pt idx="33">
                  <c:v>0.26061714466426084</c:v>
                </c:pt>
                <c:pt idx="34">
                  <c:v>0.34426648411476463</c:v>
                </c:pt>
                <c:pt idx="35">
                  <c:v>0.45801190766223299</c:v>
                </c:pt>
                <c:pt idx="36">
                  <c:v>0.47938336218666999</c:v>
                </c:pt>
                <c:pt idx="37">
                  <c:v>0.58966831666909558</c:v>
                </c:pt>
                <c:pt idx="38">
                  <c:v>0.57854040640162629</c:v>
                </c:pt>
                <c:pt idx="39">
                  <c:v>0.56027785201456071</c:v>
                </c:pt>
                <c:pt idx="40">
                  <c:v>0.51566239246062318</c:v>
                </c:pt>
                <c:pt idx="41">
                  <c:v>0.48838040008243389</c:v>
                </c:pt>
                <c:pt idx="42">
                  <c:v>0.47244895635233042</c:v>
                </c:pt>
                <c:pt idx="43">
                  <c:v>0.46991878566950468</c:v>
                </c:pt>
                <c:pt idx="44">
                  <c:v>0.48659698918627708</c:v>
                </c:pt>
                <c:pt idx="45">
                  <c:v>0.39732857641375241</c:v>
                </c:pt>
                <c:pt idx="46">
                  <c:v>0.38806084821658171</c:v>
                </c:pt>
                <c:pt idx="47">
                  <c:v>0.30889331156849792</c:v>
                </c:pt>
                <c:pt idx="48">
                  <c:v>0.28417560673941195</c:v>
                </c:pt>
                <c:pt idx="49">
                  <c:v>0.27393688742142719</c:v>
                </c:pt>
                <c:pt idx="50">
                  <c:v>0.42802168260849988</c:v>
                </c:pt>
                <c:pt idx="51">
                  <c:v>0.54065607330263143</c:v>
                </c:pt>
                <c:pt idx="52">
                  <c:v>0.64633430973091088</c:v>
                </c:pt>
                <c:pt idx="53">
                  <c:v>0.6228802585583797</c:v>
                </c:pt>
                <c:pt idx="54">
                  <c:v>0.63683216055919234</c:v>
                </c:pt>
                <c:pt idx="55">
                  <c:v>0.61638043299394074</c:v>
                </c:pt>
                <c:pt idx="56">
                  <c:v>0.63563013842909244</c:v>
                </c:pt>
                <c:pt idx="57">
                  <c:v>0.61250286665857989</c:v>
                </c:pt>
                <c:pt idx="58">
                  <c:v>0.60631996655998843</c:v>
                </c:pt>
                <c:pt idx="59">
                  <c:v>0.61295048677170871</c:v>
                </c:pt>
                <c:pt idx="60">
                  <c:v>0.69343461318140831</c:v>
                </c:pt>
                <c:pt idx="61">
                  <c:v>0.75849895009777202</c:v>
                </c:pt>
                <c:pt idx="62">
                  <c:v>0.68513763913534032</c:v>
                </c:pt>
                <c:pt idx="63">
                  <c:v>0.52909973077655514</c:v>
                </c:pt>
                <c:pt idx="64">
                  <c:v>0.25114357651070246</c:v>
                </c:pt>
                <c:pt idx="65">
                  <c:v>0.31118871240565388</c:v>
                </c:pt>
                <c:pt idx="66">
                  <c:v>0.29370321684524681</c:v>
                </c:pt>
                <c:pt idx="67">
                  <c:v>0.30609137105939255</c:v>
                </c:pt>
                <c:pt idx="68">
                  <c:v>0.2265176245236373</c:v>
                </c:pt>
                <c:pt idx="69">
                  <c:v>0.25502209730263536</c:v>
                </c:pt>
                <c:pt idx="70">
                  <c:v>0.21831165292122262</c:v>
                </c:pt>
                <c:pt idx="71">
                  <c:v>0.23488802585698224</c:v>
                </c:pt>
                <c:pt idx="72">
                  <c:v>0.20700612826667758</c:v>
                </c:pt>
                <c:pt idx="73">
                  <c:v>0.29254812762183191</c:v>
                </c:pt>
                <c:pt idx="74">
                  <c:v>0.3455342123119356</c:v>
                </c:pt>
                <c:pt idx="75">
                  <c:v>0.55662169972202624</c:v>
                </c:pt>
                <c:pt idx="76">
                  <c:v>0.74996273013817305</c:v>
                </c:pt>
                <c:pt idx="77">
                  <c:v>0.75502687616322206</c:v>
                </c:pt>
                <c:pt idx="78">
                  <c:v>0.77236107399272136</c:v>
                </c:pt>
                <c:pt idx="79">
                  <c:v>0.80778938118302768</c:v>
                </c:pt>
                <c:pt idx="80">
                  <c:v>0.80351765743514458</c:v>
                </c:pt>
                <c:pt idx="81">
                  <c:v>0.79470039955392857</c:v>
                </c:pt>
                <c:pt idx="82">
                  <c:v>0.76088127883796552</c:v>
                </c:pt>
                <c:pt idx="83">
                  <c:v>0.74959837808160135</c:v>
                </c:pt>
                <c:pt idx="84">
                  <c:v>0.76011265871837319</c:v>
                </c:pt>
                <c:pt idx="85">
                  <c:v>0.78416760247109829</c:v>
                </c:pt>
                <c:pt idx="86">
                  <c:v>0.73974036163877444</c:v>
                </c:pt>
                <c:pt idx="87">
                  <c:v>0.70169621311190178</c:v>
                </c:pt>
                <c:pt idx="88">
                  <c:v>0.69462100197978205</c:v>
                </c:pt>
                <c:pt idx="89">
                  <c:v>0.74721722760080089</c:v>
                </c:pt>
                <c:pt idx="90">
                  <c:v>0.76376040521534816</c:v>
                </c:pt>
                <c:pt idx="91">
                  <c:v>0.7426930601163515</c:v>
                </c:pt>
                <c:pt idx="92">
                  <c:v>0.74407075480887608</c:v>
                </c:pt>
                <c:pt idx="93">
                  <c:v>0.73026562839271336</c:v>
                </c:pt>
                <c:pt idx="94">
                  <c:v>0.76536863723311921</c:v>
                </c:pt>
                <c:pt idx="95">
                  <c:v>0.84215691914665647</c:v>
                </c:pt>
                <c:pt idx="96">
                  <c:v>0.82389215305372188</c:v>
                </c:pt>
                <c:pt idx="97">
                  <c:v>0.74822334270058766</c:v>
                </c:pt>
                <c:pt idx="98">
                  <c:v>0.74402866000806489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7E-4F89-B0A0-D3918AF41F48}"/>
            </c:ext>
          </c:extLst>
        </c:ser>
        <c:ser>
          <c:idx val="1"/>
          <c:order val="1"/>
          <c:tx>
            <c:strRef>
              <c:f>'面板-景气指数'!$A$157</c:f>
              <c:strCache>
                <c:ptCount val="1"/>
                <c:pt idx="0">
                  <c:v>证券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'面板-景气指数'!$F$157:$CZ$157</c:f>
              <c:numCache>
                <c:formatCode>0.0%</c:formatCode>
                <c:ptCount val="99"/>
                <c:pt idx="0">
                  <c:v>0.40579999999999994</c:v>
                </c:pt>
                <c:pt idx="1">
                  <c:v>0.38140000000000002</c:v>
                </c:pt>
                <c:pt idx="2">
                  <c:v>0.41359999999999997</c:v>
                </c:pt>
                <c:pt idx="3">
                  <c:v>0.36899999999999999</c:v>
                </c:pt>
                <c:pt idx="4">
                  <c:v>0.4526</c:v>
                </c:pt>
                <c:pt idx="5">
                  <c:v>0.45239999999999997</c:v>
                </c:pt>
                <c:pt idx="6">
                  <c:v>0.45639999999999997</c:v>
                </c:pt>
                <c:pt idx="7">
                  <c:v>0.48940000000000006</c:v>
                </c:pt>
                <c:pt idx="8">
                  <c:v>0.47920000000000001</c:v>
                </c:pt>
                <c:pt idx="9">
                  <c:v>0.5504</c:v>
                </c:pt>
                <c:pt idx="10">
                  <c:v>0.55280000000000007</c:v>
                </c:pt>
                <c:pt idx="11">
                  <c:v>0.54039999999999999</c:v>
                </c:pt>
                <c:pt idx="12">
                  <c:v>0.46279999999999993</c:v>
                </c:pt>
                <c:pt idx="13">
                  <c:v>0.40939999999999999</c:v>
                </c:pt>
                <c:pt idx="14">
                  <c:v>0.36280000000000001</c:v>
                </c:pt>
                <c:pt idx="15">
                  <c:v>0.44019999999999998</c:v>
                </c:pt>
                <c:pt idx="16">
                  <c:v>0.30759999999999998</c:v>
                </c:pt>
                <c:pt idx="17">
                  <c:v>0.16499999999999998</c:v>
                </c:pt>
                <c:pt idx="18">
                  <c:v>0.15259999999999996</c:v>
                </c:pt>
                <c:pt idx="19">
                  <c:v>0.15079999999999999</c:v>
                </c:pt>
                <c:pt idx="20">
                  <c:v>0.36480000000000001</c:v>
                </c:pt>
                <c:pt idx="21">
                  <c:v>0.45679999999999993</c:v>
                </c:pt>
                <c:pt idx="22">
                  <c:v>0.52599999999999991</c:v>
                </c:pt>
                <c:pt idx="23">
                  <c:v>0.36280000000000001</c:v>
                </c:pt>
                <c:pt idx="24">
                  <c:v>0.43439999999999995</c:v>
                </c:pt>
                <c:pt idx="25">
                  <c:v>0.41599999999999993</c:v>
                </c:pt>
                <c:pt idx="26">
                  <c:v>0.47300000000000003</c:v>
                </c:pt>
                <c:pt idx="27">
                  <c:v>0.54220000000000002</c:v>
                </c:pt>
                <c:pt idx="28">
                  <c:v>0.69140000000000001</c:v>
                </c:pt>
                <c:pt idx="29">
                  <c:v>0.61180000000000001</c:v>
                </c:pt>
                <c:pt idx="30">
                  <c:v>0.54459999999999997</c:v>
                </c:pt>
                <c:pt idx="31">
                  <c:v>0.56280000000000008</c:v>
                </c:pt>
                <c:pt idx="32">
                  <c:v>0.65039999999999998</c:v>
                </c:pt>
                <c:pt idx="33">
                  <c:v>0.7178000000000001</c:v>
                </c:pt>
                <c:pt idx="34">
                  <c:v>0.76680000000000004</c:v>
                </c:pt>
                <c:pt idx="35">
                  <c:v>0.7118000000000001</c:v>
                </c:pt>
                <c:pt idx="36">
                  <c:v>0.5464</c:v>
                </c:pt>
                <c:pt idx="37">
                  <c:v>0.68520000000000003</c:v>
                </c:pt>
                <c:pt idx="38">
                  <c:v>0.81379999999999986</c:v>
                </c:pt>
                <c:pt idx="39">
                  <c:v>0.92620000000000002</c:v>
                </c:pt>
                <c:pt idx="40">
                  <c:v>0.92800000000000005</c:v>
                </c:pt>
                <c:pt idx="41">
                  <c:v>0.71379999999999999</c:v>
                </c:pt>
                <c:pt idx="42">
                  <c:v>0.63639999999999985</c:v>
                </c:pt>
                <c:pt idx="43">
                  <c:v>0.69939999999999991</c:v>
                </c:pt>
                <c:pt idx="44">
                  <c:v>0.83420000000000005</c:v>
                </c:pt>
                <c:pt idx="45">
                  <c:v>0.76480000000000004</c:v>
                </c:pt>
                <c:pt idx="46">
                  <c:v>0.78120000000000001</c:v>
                </c:pt>
                <c:pt idx="47">
                  <c:v>0.62839999999999996</c:v>
                </c:pt>
                <c:pt idx="48">
                  <c:v>0.73199999999999998</c:v>
                </c:pt>
                <c:pt idx="49">
                  <c:v>0.59560000000000002</c:v>
                </c:pt>
                <c:pt idx="50">
                  <c:v>0.79520000000000002</c:v>
                </c:pt>
                <c:pt idx="51">
                  <c:v>0.65479999999999994</c:v>
                </c:pt>
                <c:pt idx="52">
                  <c:v>0.66479999999999995</c:v>
                </c:pt>
                <c:pt idx="53">
                  <c:v>0.49540000000000001</c:v>
                </c:pt>
                <c:pt idx="54">
                  <c:v>0.62179999999999991</c:v>
                </c:pt>
                <c:pt idx="55">
                  <c:v>0.628</c:v>
                </c:pt>
                <c:pt idx="56">
                  <c:v>0.65239999999999998</c:v>
                </c:pt>
                <c:pt idx="57">
                  <c:v>0.438</c:v>
                </c:pt>
                <c:pt idx="58">
                  <c:v>0.28919999999999996</c:v>
                </c:pt>
                <c:pt idx="59">
                  <c:v>0.377</c:v>
                </c:pt>
                <c:pt idx="60">
                  <c:v>0.52179999999999993</c:v>
                </c:pt>
                <c:pt idx="61">
                  <c:v>0.58140000000000003</c:v>
                </c:pt>
                <c:pt idx="62">
                  <c:v>0.32199999999999995</c:v>
                </c:pt>
                <c:pt idx="63">
                  <c:v>0.24239999999999998</c:v>
                </c:pt>
                <c:pt idx="64">
                  <c:v>0.12180000000000001</c:v>
                </c:pt>
                <c:pt idx="65">
                  <c:v>0.22779999999999997</c:v>
                </c:pt>
                <c:pt idx="66">
                  <c:v>0.13439999999999999</c:v>
                </c:pt>
                <c:pt idx="67">
                  <c:v>0.25440000000000002</c:v>
                </c:pt>
                <c:pt idx="68">
                  <c:v>0.23819999999999997</c:v>
                </c:pt>
                <c:pt idx="69">
                  <c:v>0.4728</c:v>
                </c:pt>
                <c:pt idx="70">
                  <c:v>0.47300000000000003</c:v>
                </c:pt>
                <c:pt idx="71">
                  <c:v>0.54020000000000001</c:v>
                </c:pt>
                <c:pt idx="72">
                  <c:v>0.47300000000000003</c:v>
                </c:pt>
                <c:pt idx="73">
                  <c:v>0.62380000000000002</c:v>
                </c:pt>
                <c:pt idx="74">
                  <c:v>0.74239999999999995</c:v>
                </c:pt>
                <c:pt idx="75">
                  <c:v>0.68540000000000001</c:v>
                </c:pt>
                <c:pt idx="76">
                  <c:v>0.49539999999999995</c:v>
                </c:pt>
                <c:pt idx="77">
                  <c:v>0.46280000000000004</c:v>
                </c:pt>
                <c:pt idx="78">
                  <c:v>0.58940000000000003</c:v>
                </c:pt>
                <c:pt idx="79">
                  <c:v>0.7056</c:v>
                </c:pt>
                <c:pt idx="80">
                  <c:v>0.60140000000000005</c:v>
                </c:pt>
                <c:pt idx="81">
                  <c:v>0.48920000000000002</c:v>
                </c:pt>
                <c:pt idx="82">
                  <c:v>0.36680000000000001</c:v>
                </c:pt>
                <c:pt idx="83">
                  <c:v>0.34439999999999998</c:v>
                </c:pt>
                <c:pt idx="84">
                  <c:v>0.46060000000000001</c:v>
                </c:pt>
                <c:pt idx="85">
                  <c:v>0.43020000000000003</c:v>
                </c:pt>
                <c:pt idx="86">
                  <c:v>0.37519999999999998</c:v>
                </c:pt>
                <c:pt idx="87">
                  <c:v>0.2384</c:v>
                </c:pt>
                <c:pt idx="88">
                  <c:v>0.26700000000000002</c:v>
                </c:pt>
                <c:pt idx="89">
                  <c:v>0.53839999999999999</c:v>
                </c:pt>
                <c:pt idx="90">
                  <c:v>0.59960000000000002</c:v>
                </c:pt>
                <c:pt idx="91">
                  <c:v>0.40560000000000002</c:v>
                </c:pt>
                <c:pt idx="92">
                  <c:v>0.39539999999999992</c:v>
                </c:pt>
                <c:pt idx="93">
                  <c:v>0.35039999999999999</c:v>
                </c:pt>
                <c:pt idx="94">
                  <c:v>0.43239999999999995</c:v>
                </c:pt>
                <c:pt idx="95">
                  <c:v>0.55059999999999998</c:v>
                </c:pt>
                <c:pt idx="96">
                  <c:v>0.39959999999999996</c:v>
                </c:pt>
                <c:pt idx="97">
                  <c:v>0.25479999999999997</c:v>
                </c:pt>
                <c:pt idx="98">
                  <c:v>0.314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7E-4F89-B0A0-D3918AF41F48}"/>
            </c:ext>
          </c:extLst>
        </c:ser>
        <c:ser>
          <c:idx val="2"/>
          <c:order val="2"/>
          <c:tx>
            <c:strRef>
              <c:f>'面板-景气指数'!$A$158</c:f>
              <c:strCache>
                <c:ptCount val="1"/>
                <c:pt idx="0">
                  <c:v>保险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'面板-景气指数'!$F$158:$CZ$158</c:f>
              <c:numCache>
                <c:formatCode>0.0%</c:formatCode>
                <c:ptCount val="99"/>
                <c:pt idx="0">
                  <c:v>0.48699999999999999</c:v>
                </c:pt>
                <c:pt idx="1">
                  <c:v>0.50612500000000005</c:v>
                </c:pt>
                <c:pt idx="2">
                  <c:v>0.50362499999999999</c:v>
                </c:pt>
                <c:pt idx="3">
                  <c:v>0.50075000000000003</c:v>
                </c:pt>
                <c:pt idx="4">
                  <c:v>0.48149999999999998</c:v>
                </c:pt>
                <c:pt idx="5">
                  <c:v>0.51624999999999988</c:v>
                </c:pt>
                <c:pt idx="6">
                  <c:v>0.5392499999999999</c:v>
                </c:pt>
                <c:pt idx="7">
                  <c:v>0.59362500000000007</c:v>
                </c:pt>
                <c:pt idx="8">
                  <c:v>0.614375</c:v>
                </c:pt>
                <c:pt idx="9">
                  <c:v>0.61537500000000001</c:v>
                </c:pt>
                <c:pt idx="10">
                  <c:v>0.59900000000000009</c:v>
                </c:pt>
                <c:pt idx="11">
                  <c:v>0.55075000000000007</c:v>
                </c:pt>
                <c:pt idx="12">
                  <c:v>0.50587500000000007</c:v>
                </c:pt>
                <c:pt idx="13">
                  <c:v>0.42425000000000007</c:v>
                </c:pt>
                <c:pt idx="14">
                  <c:v>0.36824999999999997</c:v>
                </c:pt>
                <c:pt idx="15">
                  <c:v>0.3782500000000002</c:v>
                </c:pt>
                <c:pt idx="16">
                  <c:v>0.37950000000000017</c:v>
                </c:pt>
                <c:pt idx="17">
                  <c:v>0.37700000000000017</c:v>
                </c:pt>
                <c:pt idx="18">
                  <c:v>0.31862499999999999</c:v>
                </c:pt>
                <c:pt idx="19">
                  <c:v>0.32612500000000011</c:v>
                </c:pt>
                <c:pt idx="20">
                  <c:v>0.34887500000000005</c:v>
                </c:pt>
                <c:pt idx="21">
                  <c:v>0.252</c:v>
                </c:pt>
                <c:pt idx="22">
                  <c:v>0.20212500000000005</c:v>
                </c:pt>
                <c:pt idx="23">
                  <c:v>0.15237500000000004</c:v>
                </c:pt>
                <c:pt idx="24">
                  <c:v>0.17312500000000008</c:v>
                </c:pt>
                <c:pt idx="25">
                  <c:v>0.19600000000000015</c:v>
                </c:pt>
                <c:pt idx="26">
                  <c:v>0.16537500000000016</c:v>
                </c:pt>
                <c:pt idx="27">
                  <c:v>0.13075000000000006</c:v>
                </c:pt>
                <c:pt idx="28">
                  <c:v>0.15137500000000004</c:v>
                </c:pt>
                <c:pt idx="29">
                  <c:v>0.14262500000000006</c:v>
                </c:pt>
                <c:pt idx="30">
                  <c:v>0.20100000000000015</c:v>
                </c:pt>
                <c:pt idx="31">
                  <c:v>0.14637500000000001</c:v>
                </c:pt>
                <c:pt idx="32">
                  <c:v>0.14237499999999997</c:v>
                </c:pt>
                <c:pt idx="33">
                  <c:v>0.17187499999999997</c:v>
                </c:pt>
                <c:pt idx="34">
                  <c:v>0.26225000000000004</c:v>
                </c:pt>
                <c:pt idx="35">
                  <c:v>0.40875000000000011</c:v>
                </c:pt>
                <c:pt idx="36">
                  <c:v>0.46637500000000004</c:v>
                </c:pt>
                <c:pt idx="37">
                  <c:v>0.5711250000000001</c:v>
                </c:pt>
                <c:pt idx="38">
                  <c:v>0.5328750000000001</c:v>
                </c:pt>
                <c:pt idx="39">
                  <c:v>0.48925000000000002</c:v>
                </c:pt>
                <c:pt idx="40">
                  <c:v>0.43562500000000021</c:v>
                </c:pt>
                <c:pt idx="41">
                  <c:v>0.4446250000000001</c:v>
                </c:pt>
                <c:pt idx="42">
                  <c:v>0.44062499999999999</c:v>
                </c:pt>
                <c:pt idx="43">
                  <c:v>0.425375</c:v>
                </c:pt>
                <c:pt idx="44">
                  <c:v>0.41912500000000008</c:v>
                </c:pt>
                <c:pt idx="45">
                  <c:v>0.32600000000000001</c:v>
                </c:pt>
                <c:pt idx="46">
                  <c:v>0.31175000000000003</c:v>
                </c:pt>
                <c:pt idx="47">
                  <c:v>0.24687499999999998</c:v>
                </c:pt>
                <c:pt idx="48">
                  <c:v>0.19724999999999998</c:v>
                </c:pt>
                <c:pt idx="49">
                  <c:v>0.21149999999999997</c:v>
                </c:pt>
                <c:pt idx="50">
                  <c:v>0.35674999999999996</c:v>
                </c:pt>
                <c:pt idx="51">
                  <c:v>0.51849999999999985</c:v>
                </c:pt>
                <c:pt idx="52">
                  <c:v>0.64275000000000015</c:v>
                </c:pt>
                <c:pt idx="53">
                  <c:v>0.64762500000000012</c:v>
                </c:pt>
                <c:pt idx="54">
                  <c:v>0.63975000000000004</c:v>
                </c:pt>
                <c:pt idx="55">
                  <c:v>0.61412500000000003</c:v>
                </c:pt>
                <c:pt idx="56">
                  <c:v>0.63237499999999991</c:v>
                </c:pt>
                <c:pt idx="57">
                  <c:v>0.64637499999999992</c:v>
                </c:pt>
                <c:pt idx="58">
                  <c:v>0.667875</c:v>
                </c:pt>
                <c:pt idx="59">
                  <c:v>0.65874999999999995</c:v>
                </c:pt>
                <c:pt idx="60">
                  <c:v>0.72675000000000001</c:v>
                </c:pt>
                <c:pt idx="61">
                  <c:v>0.79287500000000011</c:v>
                </c:pt>
                <c:pt idx="62">
                  <c:v>0.75562500000000021</c:v>
                </c:pt>
                <c:pt idx="63">
                  <c:v>0.58474999999999999</c:v>
                </c:pt>
                <c:pt idx="64">
                  <c:v>0.27625000000000011</c:v>
                </c:pt>
                <c:pt idx="65">
                  <c:v>0.32737500000000019</c:v>
                </c:pt>
                <c:pt idx="66">
                  <c:v>0.32462500000000022</c:v>
                </c:pt>
                <c:pt idx="67">
                  <c:v>0.31612500000000021</c:v>
                </c:pt>
                <c:pt idx="68">
                  <c:v>0.2242500000000002</c:v>
                </c:pt>
                <c:pt idx="69">
                  <c:v>0.21275000000000022</c:v>
                </c:pt>
                <c:pt idx="70">
                  <c:v>0.16887500000000019</c:v>
                </c:pt>
                <c:pt idx="71">
                  <c:v>0.1756250000000002</c:v>
                </c:pt>
                <c:pt idx="72">
                  <c:v>0.15537500000000018</c:v>
                </c:pt>
                <c:pt idx="73">
                  <c:v>0.22825000000000031</c:v>
                </c:pt>
                <c:pt idx="74">
                  <c:v>0.26850000000000029</c:v>
                </c:pt>
                <c:pt idx="75">
                  <c:v>0.53162500000000035</c:v>
                </c:pt>
                <c:pt idx="76">
                  <c:v>0.79937500000000017</c:v>
                </c:pt>
                <c:pt idx="77">
                  <c:v>0.81175000000000019</c:v>
                </c:pt>
                <c:pt idx="78">
                  <c:v>0.80787500000000012</c:v>
                </c:pt>
                <c:pt idx="79">
                  <c:v>0.82762500000000028</c:v>
                </c:pt>
                <c:pt idx="80">
                  <c:v>0.84274999999999989</c:v>
                </c:pt>
                <c:pt idx="81">
                  <c:v>0.8540000000000002</c:v>
                </c:pt>
                <c:pt idx="82">
                  <c:v>0.83737499999999998</c:v>
                </c:pt>
                <c:pt idx="83">
                  <c:v>0.82825000000000004</c:v>
                </c:pt>
                <c:pt idx="84">
                  <c:v>0.81825000000000014</c:v>
                </c:pt>
                <c:pt idx="85">
                  <c:v>0.85287500000000016</c:v>
                </c:pt>
                <c:pt idx="86">
                  <c:v>0.81049999999999989</c:v>
                </c:pt>
                <c:pt idx="87">
                  <c:v>0.79162499999999991</c:v>
                </c:pt>
                <c:pt idx="88">
                  <c:v>0.7776249999999999</c:v>
                </c:pt>
                <c:pt idx="89">
                  <c:v>0.78775000000000006</c:v>
                </c:pt>
                <c:pt idx="90">
                  <c:v>0.79562499999999992</c:v>
                </c:pt>
                <c:pt idx="91">
                  <c:v>0.80812499999999998</c:v>
                </c:pt>
                <c:pt idx="92">
                  <c:v>0.81174999999999997</c:v>
                </c:pt>
                <c:pt idx="93">
                  <c:v>0.80399999999999994</c:v>
                </c:pt>
                <c:pt idx="94">
                  <c:v>0.83</c:v>
                </c:pt>
                <c:pt idx="95">
                  <c:v>0.89875000000000016</c:v>
                </c:pt>
                <c:pt idx="96">
                  <c:v>0.90625000000000011</c:v>
                </c:pt>
                <c:pt idx="97">
                  <c:v>0.84399999999999986</c:v>
                </c:pt>
                <c:pt idx="98">
                  <c:v>0.82750000000000001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07E-4F89-B0A0-D3918AF41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'面板-景气指数'!$A$63</c:f>
              <c:strCache>
                <c:ptCount val="1"/>
                <c:pt idx="0">
                  <c:v>房地产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'面板-景气指数'!$F$63:$CZ$63</c:f>
              <c:numCache>
                <c:formatCode>0.0%</c:formatCode>
                <c:ptCount val="99"/>
                <c:pt idx="0">
                  <c:v>0.12599833667704846</c:v>
                </c:pt>
                <c:pt idx="1">
                  <c:v>0.10341661885178668</c:v>
                </c:pt>
                <c:pt idx="2">
                  <c:v>0.1510480018056175</c:v>
                </c:pt>
                <c:pt idx="3">
                  <c:v>0.21768257899491458</c:v>
                </c:pt>
                <c:pt idx="4">
                  <c:v>0.24408961514030267</c:v>
                </c:pt>
                <c:pt idx="5">
                  <c:v>0.20620662403453557</c:v>
                </c:pt>
                <c:pt idx="6">
                  <c:v>0.19973552663257446</c:v>
                </c:pt>
                <c:pt idx="7">
                  <c:v>0.19692946199887001</c:v>
                </c:pt>
                <c:pt idx="8">
                  <c:v>0.19731890778078795</c:v>
                </c:pt>
                <c:pt idx="9">
                  <c:v>0.24028845220182835</c:v>
                </c:pt>
                <c:pt idx="10">
                  <c:v>0.33138778245896655</c:v>
                </c:pt>
                <c:pt idx="11">
                  <c:v>0.41040379777310992</c:v>
                </c:pt>
                <c:pt idx="12">
                  <c:v>0.4756537426020947</c:v>
                </c:pt>
                <c:pt idx="13">
                  <c:v>0.36322911609323627</c:v>
                </c:pt>
                <c:pt idx="14">
                  <c:v>0.30100958270639899</c:v>
                </c:pt>
                <c:pt idx="15">
                  <c:v>0.16872279382752242</c:v>
                </c:pt>
                <c:pt idx="16">
                  <c:v>0.26286054318387952</c:v>
                </c:pt>
                <c:pt idx="17">
                  <c:v>0.29257204684523902</c:v>
                </c:pt>
                <c:pt idx="18">
                  <c:v>0.30586688751799945</c:v>
                </c:pt>
                <c:pt idx="19">
                  <c:v>0.24564415989569596</c:v>
                </c:pt>
                <c:pt idx="20">
                  <c:v>0.25635246932158928</c:v>
                </c:pt>
                <c:pt idx="21">
                  <c:v>0.17675635536832335</c:v>
                </c:pt>
                <c:pt idx="22">
                  <c:v>0.14943902263686237</c:v>
                </c:pt>
                <c:pt idx="23">
                  <c:v>0.13413293593475162</c:v>
                </c:pt>
                <c:pt idx="24">
                  <c:v>0.13062818871836473</c:v>
                </c:pt>
                <c:pt idx="25">
                  <c:v>0.17346632811716819</c:v>
                </c:pt>
                <c:pt idx="26">
                  <c:v>0.20421471996523191</c:v>
                </c:pt>
                <c:pt idx="27">
                  <c:v>0.39832840221356169</c:v>
                </c:pt>
                <c:pt idx="28">
                  <c:v>0.42007359982615938</c:v>
                </c:pt>
                <c:pt idx="29">
                  <c:v>0.42973066907415675</c:v>
                </c:pt>
                <c:pt idx="30">
                  <c:v>0.47552553181532348</c:v>
                </c:pt>
                <c:pt idx="31">
                  <c:v>0.52860884675831832</c:v>
                </c:pt>
                <c:pt idx="32">
                  <c:v>0.57578352843819214</c:v>
                </c:pt>
                <c:pt idx="33">
                  <c:v>0.64897260624606989</c:v>
                </c:pt>
                <c:pt idx="34">
                  <c:v>0.78443574012777184</c:v>
                </c:pt>
                <c:pt idx="35">
                  <c:v>0.84031720032102453</c:v>
                </c:pt>
                <c:pt idx="36">
                  <c:v>0.96016982412145691</c:v>
                </c:pt>
                <c:pt idx="37">
                  <c:v>0.9416154117765011</c:v>
                </c:pt>
                <c:pt idx="38">
                  <c:v>0.89310580700169617</c:v>
                </c:pt>
                <c:pt idx="39">
                  <c:v>0.55712987410972314</c:v>
                </c:pt>
                <c:pt idx="40">
                  <c:v>0.54997593289197344</c:v>
                </c:pt>
                <c:pt idx="41">
                  <c:v>0.52894867154847991</c:v>
                </c:pt>
                <c:pt idx="42">
                  <c:v>0.45460420988396277</c:v>
                </c:pt>
                <c:pt idx="43">
                  <c:v>0.46686225064364373</c:v>
                </c:pt>
                <c:pt idx="44">
                  <c:v>0.46480138362253698</c:v>
                </c:pt>
                <c:pt idx="45">
                  <c:v>0.4345642157354172</c:v>
                </c:pt>
                <c:pt idx="46">
                  <c:v>0.37112834319720867</c:v>
                </c:pt>
                <c:pt idx="47">
                  <c:v>0.31041202611424368</c:v>
                </c:pt>
                <c:pt idx="48">
                  <c:v>0.10417805246258974</c:v>
                </c:pt>
                <c:pt idx="49">
                  <c:v>0.13770524760086467</c:v>
                </c:pt>
                <c:pt idx="50">
                  <c:v>0.20831580181894677</c:v>
                </c:pt>
                <c:pt idx="51">
                  <c:v>0.52059944059916974</c:v>
                </c:pt>
                <c:pt idx="52">
                  <c:v>0.53709469338278304</c:v>
                </c:pt>
                <c:pt idx="53">
                  <c:v>0.54475014344464101</c:v>
                </c:pt>
                <c:pt idx="54">
                  <c:v>0.52261550005012547</c:v>
                </c:pt>
                <c:pt idx="55">
                  <c:v>0.45613158156948719</c:v>
                </c:pt>
                <c:pt idx="56">
                  <c:v>0.46066520931550681</c:v>
                </c:pt>
                <c:pt idx="57">
                  <c:v>0.52274852425850182</c:v>
                </c:pt>
                <c:pt idx="58">
                  <c:v>0.5812933980338717</c:v>
                </c:pt>
                <c:pt idx="59">
                  <c:v>0.57978055488678837</c:v>
                </c:pt>
                <c:pt idx="60">
                  <c:v>0.47733348045604201</c:v>
                </c:pt>
                <c:pt idx="61">
                  <c:v>0.42243438576250691</c:v>
                </c:pt>
                <c:pt idx="62">
                  <c:v>0.45422609840501982</c:v>
                </c:pt>
                <c:pt idx="63">
                  <c:v>0.53527099424879598</c:v>
                </c:pt>
                <c:pt idx="64">
                  <c:v>0.50309635670573449</c:v>
                </c:pt>
                <c:pt idx="65">
                  <c:v>0.50954990788103793</c:v>
                </c:pt>
                <c:pt idx="66">
                  <c:v>0.53276786621854832</c:v>
                </c:pt>
                <c:pt idx="67">
                  <c:v>0.64325821730693133</c:v>
                </c:pt>
                <c:pt idx="68">
                  <c:v>0.67186395810340804</c:v>
                </c:pt>
                <c:pt idx="69">
                  <c:v>0.67994403467412423</c:v>
                </c:pt>
                <c:pt idx="70">
                  <c:v>0.65678532417158164</c:v>
                </c:pt>
                <c:pt idx="71">
                  <c:v>0.64217792005215313</c:v>
                </c:pt>
                <c:pt idx="72">
                  <c:v>0.64030451165278468</c:v>
                </c:pt>
                <c:pt idx="73">
                  <c:v>0.68113149329586276</c:v>
                </c:pt>
                <c:pt idx="74">
                  <c:v>0.68216037382549533</c:v>
                </c:pt>
                <c:pt idx="75">
                  <c:v>0.68555625221515804</c:v>
                </c:pt>
                <c:pt idx="76">
                  <c:v>0.69638795900621686</c:v>
                </c:pt>
                <c:pt idx="77">
                  <c:v>0.69859948473598232</c:v>
                </c:pt>
                <c:pt idx="78">
                  <c:v>0.69668437472830391</c:v>
                </c:pt>
                <c:pt idx="79">
                  <c:v>0.70628040040794493</c:v>
                </c:pt>
                <c:pt idx="80">
                  <c:v>0.68881722238943066</c:v>
                </c:pt>
                <c:pt idx="81">
                  <c:v>0.65468577323038124</c:v>
                </c:pt>
                <c:pt idx="82">
                  <c:v>0.64727230447724826</c:v>
                </c:pt>
                <c:pt idx="83">
                  <c:v>0.65256084495270139</c:v>
                </c:pt>
                <c:pt idx="84">
                  <c:v>0.67153857357806301</c:v>
                </c:pt>
                <c:pt idx="85">
                  <c:v>0.69761711923626468</c:v>
                </c:pt>
                <c:pt idx="86">
                  <c:v>0.73050006620521934</c:v>
                </c:pt>
                <c:pt idx="87">
                  <c:v>0.70801588290370676</c:v>
                </c:pt>
                <c:pt idx="88">
                  <c:v>0.70866004279940209</c:v>
                </c:pt>
                <c:pt idx="89">
                  <c:v>0.70889721068652189</c:v>
                </c:pt>
                <c:pt idx="90">
                  <c:v>0.71683153024380963</c:v>
                </c:pt>
                <c:pt idx="91">
                  <c:v>0.71080921473235892</c:v>
                </c:pt>
                <c:pt idx="92">
                  <c:v>0.72165855602370022</c:v>
                </c:pt>
                <c:pt idx="93">
                  <c:v>0.76950947236436829</c:v>
                </c:pt>
                <c:pt idx="94">
                  <c:v>0.85112956515203675</c:v>
                </c:pt>
                <c:pt idx="95">
                  <c:v>0.90862311047588573</c:v>
                </c:pt>
                <c:pt idx="96">
                  <c:v>0.84796293526604682</c:v>
                </c:pt>
                <c:pt idx="97">
                  <c:v>0.75602227137463907</c:v>
                </c:pt>
                <c:pt idx="98">
                  <c:v>0.59092141020498623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85-40E9-BF80-B195CE426AA1}"/>
            </c:ext>
          </c:extLst>
        </c:ser>
        <c:ser>
          <c:idx val="1"/>
          <c:order val="1"/>
          <c:tx>
            <c:strRef>
              <c:f>'面板-景气指数'!$A$159</c:f>
              <c:strCache>
                <c:ptCount val="1"/>
                <c:pt idx="0">
                  <c:v>房地产开发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'面板-景气指数'!$F$159:$CZ$159</c:f>
              <c:numCache>
                <c:formatCode>0.0%</c:formatCode>
                <c:ptCount val="99"/>
                <c:pt idx="0">
                  <c:v>0.12737500000000002</c:v>
                </c:pt>
                <c:pt idx="1">
                  <c:v>0.1045</c:v>
                </c:pt>
                <c:pt idx="2">
                  <c:v>0.15274999999999997</c:v>
                </c:pt>
                <c:pt idx="3">
                  <c:v>0.22025000000000003</c:v>
                </c:pt>
                <c:pt idx="4">
                  <c:v>0.24700000000000003</c:v>
                </c:pt>
                <c:pt idx="5">
                  <c:v>0.20862499999999995</c:v>
                </c:pt>
                <c:pt idx="6">
                  <c:v>0.20087499999999989</c:v>
                </c:pt>
                <c:pt idx="7">
                  <c:v>0.1974999999999999</c:v>
                </c:pt>
                <c:pt idx="8">
                  <c:v>0.19737499999999994</c:v>
                </c:pt>
                <c:pt idx="9">
                  <c:v>0.24049999999999988</c:v>
                </c:pt>
                <c:pt idx="10">
                  <c:v>0.33224999999999988</c:v>
                </c:pt>
                <c:pt idx="11">
                  <c:v>0.41149999999999992</c:v>
                </c:pt>
                <c:pt idx="12">
                  <c:v>0.47800000000000009</c:v>
                </c:pt>
                <c:pt idx="13">
                  <c:v>0.364375</c:v>
                </c:pt>
                <c:pt idx="14">
                  <c:v>0.30175000000000013</c:v>
                </c:pt>
                <c:pt idx="15">
                  <c:v>0.16787500000000014</c:v>
                </c:pt>
                <c:pt idx="16">
                  <c:v>0.26362500000000022</c:v>
                </c:pt>
                <c:pt idx="17">
                  <c:v>0.29412500000000025</c:v>
                </c:pt>
                <c:pt idx="18">
                  <c:v>0.3081250000000002</c:v>
                </c:pt>
                <c:pt idx="19">
                  <c:v>0.24725000000000019</c:v>
                </c:pt>
                <c:pt idx="20">
                  <c:v>0.25850000000000023</c:v>
                </c:pt>
                <c:pt idx="21">
                  <c:v>0.17800000000000007</c:v>
                </c:pt>
                <c:pt idx="22">
                  <c:v>0.15125000000000002</c:v>
                </c:pt>
                <c:pt idx="23">
                  <c:v>0.135875</c:v>
                </c:pt>
                <c:pt idx="24">
                  <c:v>0.13099999999999995</c:v>
                </c:pt>
                <c:pt idx="25">
                  <c:v>0.17387499999999997</c:v>
                </c:pt>
                <c:pt idx="26">
                  <c:v>0.20474999999999985</c:v>
                </c:pt>
                <c:pt idx="27">
                  <c:v>0.40112499999999973</c:v>
                </c:pt>
                <c:pt idx="28">
                  <c:v>0.42274999999999974</c:v>
                </c:pt>
                <c:pt idx="29">
                  <c:v>0.43199999999999977</c:v>
                </c:pt>
                <c:pt idx="30">
                  <c:v>0.4779999999999997</c:v>
                </c:pt>
                <c:pt idx="31">
                  <c:v>0.53149999999999975</c:v>
                </c:pt>
                <c:pt idx="32">
                  <c:v>0.57862499999999972</c:v>
                </c:pt>
                <c:pt idx="33">
                  <c:v>0.65237499999999971</c:v>
                </c:pt>
                <c:pt idx="34">
                  <c:v>0.7879999999999997</c:v>
                </c:pt>
                <c:pt idx="35">
                  <c:v>0.84274999999999978</c:v>
                </c:pt>
                <c:pt idx="36">
                  <c:v>0.96124999999999983</c:v>
                </c:pt>
                <c:pt idx="37">
                  <c:v>0.94099999999999984</c:v>
                </c:pt>
                <c:pt idx="38">
                  <c:v>0.89224999999999977</c:v>
                </c:pt>
                <c:pt idx="39">
                  <c:v>0.55562499999999992</c:v>
                </c:pt>
                <c:pt idx="40">
                  <c:v>0.55062500000000003</c:v>
                </c:pt>
                <c:pt idx="41">
                  <c:v>0.53</c:v>
                </c:pt>
                <c:pt idx="42">
                  <c:v>0.45362500000000006</c:v>
                </c:pt>
                <c:pt idx="43">
                  <c:v>0.46525000000000005</c:v>
                </c:pt>
                <c:pt idx="44">
                  <c:v>0.46250000000000013</c:v>
                </c:pt>
                <c:pt idx="45">
                  <c:v>0.43200000000000022</c:v>
                </c:pt>
                <c:pt idx="46">
                  <c:v>0.3680000000000001</c:v>
                </c:pt>
                <c:pt idx="47">
                  <c:v>0.30662500000000009</c:v>
                </c:pt>
                <c:pt idx="48">
                  <c:v>0.10037500000000009</c:v>
                </c:pt>
                <c:pt idx="49">
                  <c:v>0.13500000000000015</c:v>
                </c:pt>
                <c:pt idx="50">
                  <c:v>0.20612500000000006</c:v>
                </c:pt>
                <c:pt idx="51">
                  <c:v>0.51875000000000004</c:v>
                </c:pt>
                <c:pt idx="52">
                  <c:v>0.53387499999999999</c:v>
                </c:pt>
                <c:pt idx="53">
                  <c:v>0.54149999999999987</c:v>
                </c:pt>
                <c:pt idx="54">
                  <c:v>0.52</c:v>
                </c:pt>
                <c:pt idx="55">
                  <c:v>0.45224999999999993</c:v>
                </c:pt>
                <c:pt idx="56">
                  <c:v>0.45737499999999998</c:v>
                </c:pt>
                <c:pt idx="57">
                  <c:v>0.51987500000000009</c:v>
                </c:pt>
                <c:pt idx="58">
                  <c:v>0.57837500000000008</c:v>
                </c:pt>
                <c:pt idx="59">
                  <c:v>0.57737500000000008</c:v>
                </c:pt>
                <c:pt idx="60">
                  <c:v>0.47400000000000003</c:v>
                </c:pt>
                <c:pt idx="61">
                  <c:v>0.420375</c:v>
                </c:pt>
                <c:pt idx="62">
                  <c:v>0.451125</c:v>
                </c:pt>
                <c:pt idx="63">
                  <c:v>0.53162500000000001</c:v>
                </c:pt>
                <c:pt idx="64">
                  <c:v>0.49849999999999989</c:v>
                </c:pt>
                <c:pt idx="65">
                  <c:v>0.50437500000000002</c:v>
                </c:pt>
                <c:pt idx="66">
                  <c:v>0.52737499999999993</c:v>
                </c:pt>
                <c:pt idx="67">
                  <c:v>0.63862499999999989</c:v>
                </c:pt>
                <c:pt idx="68">
                  <c:v>0.66787499999999989</c:v>
                </c:pt>
                <c:pt idx="69">
                  <c:v>0.67712499999999987</c:v>
                </c:pt>
                <c:pt idx="70">
                  <c:v>0.65525000000000022</c:v>
                </c:pt>
                <c:pt idx="71">
                  <c:v>0.64137500000000003</c:v>
                </c:pt>
                <c:pt idx="72">
                  <c:v>0.63975000000000004</c:v>
                </c:pt>
                <c:pt idx="73">
                  <c:v>0.67925000000000002</c:v>
                </c:pt>
                <c:pt idx="74">
                  <c:v>0.67949999999999988</c:v>
                </c:pt>
                <c:pt idx="75">
                  <c:v>0.6818749999999999</c:v>
                </c:pt>
                <c:pt idx="76">
                  <c:v>0.69325000000000003</c:v>
                </c:pt>
                <c:pt idx="77">
                  <c:v>0.69574999999999987</c:v>
                </c:pt>
                <c:pt idx="78">
                  <c:v>0.6948749999999998</c:v>
                </c:pt>
                <c:pt idx="79">
                  <c:v>0.70737499999999986</c:v>
                </c:pt>
                <c:pt idx="80">
                  <c:v>0.69074999999999986</c:v>
                </c:pt>
                <c:pt idx="81">
                  <c:v>0.65749999999999986</c:v>
                </c:pt>
                <c:pt idx="82">
                  <c:v>0.65024999999999977</c:v>
                </c:pt>
                <c:pt idx="83">
                  <c:v>0.65374999999999994</c:v>
                </c:pt>
                <c:pt idx="84">
                  <c:v>0.66899999999999993</c:v>
                </c:pt>
                <c:pt idx="85">
                  <c:v>0.69462499999999971</c:v>
                </c:pt>
                <c:pt idx="86">
                  <c:v>0.72899999999999976</c:v>
                </c:pt>
                <c:pt idx="87">
                  <c:v>0.71124999999999983</c:v>
                </c:pt>
                <c:pt idx="88">
                  <c:v>0.71349999999999969</c:v>
                </c:pt>
                <c:pt idx="89">
                  <c:v>0.71399999999999975</c:v>
                </c:pt>
                <c:pt idx="90">
                  <c:v>0.72137499999999966</c:v>
                </c:pt>
                <c:pt idx="91">
                  <c:v>0.71262499999999973</c:v>
                </c:pt>
                <c:pt idx="92">
                  <c:v>0.72387499999999982</c:v>
                </c:pt>
                <c:pt idx="93">
                  <c:v>0.77274999999999983</c:v>
                </c:pt>
                <c:pt idx="94">
                  <c:v>0.85662499999999997</c:v>
                </c:pt>
                <c:pt idx="95">
                  <c:v>0.91512499999999986</c:v>
                </c:pt>
                <c:pt idx="96">
                  <c:v>0.85262499999999974</c:v>
                </c:pt>
                <c:pt idx="97">
                  <c:v>0.75974999999999981</c:v>
                </c:pt>
                <c:pt idx="98">
                  <c:v>0.59237499999999965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85-40E9-BF80-B195CE426AA1}"/>
            </c:ext>
          </c:extLst>
        </c:ser>
        <c:ser>
          <c:idx val="2"/>
          <c:order val="2"/>
          <c:tx>
            <c:strRef>
              <c:f>'面板-景气指数'!$A$160</c:f>
              <c:strCache>
                <c:ptCount val="1"/>
                <c:pt idx="0">
                  <c:v>房地产服务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'面板-景气指数'!$F$160:$CZ$160</c:f>
              <c:numCache>
                <c:formatCode>0.0%</c:formatCode>
                <c:ptCount val="99"/>
                <c:pt idx="0">
                  <c:v>1.9999999999999997E-2</c:v>
                </c:pt>
                <c:pt idx="1">
                  <c:v>1.9999999999999997E-2</c:v>
                </c:pt>
                <c:pt idx="2">
                  <c:v>1.9999999999999997E-2</c:v>
                </c:pt>
                <c:pt idx="3">
                  <c:v>1.9999999999999997E-2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0.112</c:v>
                </c:pt>
                <c:pt idx="7">
                  <c:v>0.15299999999999997</c:v>
                </c:pt>
                <c:pt idx="8">
                  <c:v>0.193</c:v>
                </c:pt>
                <c:pt idx="9">
                  <c:v>0.224</c:v>
                </c:pt>
                <c:pt idx="10">
                  <c:v>0.26500000000000001</c:v>
                </c:pt>
                <c:pt idx="11">
                  <c:v>0.32600000000000001</c:v>
                </c:pt>
                <c:pt idx="12">
                  <c:v>0.29499999999999998</c:v>
                </c:pt>
                <c:pt idx="13">
                  <c:v>0.27500000000000002</c:v>
                </c:pt>
                <c:pt idx="14">
                  <c:v>0.24399999999999999</c:v>
                </c:pt>
                <c:pt idx="15">
                  <c:v>0.23400000000000001</c:v>
                </c:pt>
                <c:pt idx="16">
                  <c:v>0.20399999999999999</c:v>
                </c:pt>
                <c:pt idx="17">
                  <c:v>0.17299999999999999</c:v>
                </c:pt>
                <c:pt idx="18">
                  <c:v>0.13200000000000001</c:v>
                </c:pt>
                <c:pt idx="19">
                  <c:v>0.122</c:v>
                </c:pt>
                <c:pt idx="20">
                  <c:v>9.0999999999999998E-2</c:v>
                </c:pt>
                <c:pt idx="21">
                  <c:v>8.1000000000000003E-2</c:v>
                </c:pt>
                <c:pt idx="22">
                  <c:v>9.9999999999999985E-3</c:v>
                </c:pt>
                <c:pt idx="23">
                  <c:v>0</c:v>
                </c:pt>
                <c:pt idx="24">
                  <c:v>0.10199999999999999</c:v>
                </c:pt>
                <c:pt idx="25">
                  <c:v>0.14199999999999999</c:v>
                </c:pt>
                <c:pt idx="26">
                  <c:v>0.16300000000000001</c:v>
                </c:pt>
                <c:pt idx="27">
                  <c:v>0.183</c:v>
                </c:pt>
                <c:pt idx="28">
                  <c:v>0.214</c:v>
                </c:pt>
                <c:pt idx="29">
                  <c:v>0.255</c:v>
                </c:pt>
                <c:pt idx="30">
                  <c:v>0.28499999999999998</c:v>
                </c:pt>
                <c:pt idx="31">
                  <c:v>0.30599999999999994</c:v>
                </c:pt>
                <c:pt idx="32">
                  <c:v>0.35699999999999998</c:v>
                </c:pt>
                <c:pt idx="33">
                  <c:v>0.38700000000000001</c:v>
                </c:pt>
                <c:pt idx="34">
                  <c:v>0.51</c:v>
                </c:pt>
                <c:pt idx="35">
                  <c:v>0.65300000000000002</c:v>
                </c:pt>
                <c:pt idx="36">
                  <c:v>0.877</c:v>
                </c:pt>
                <c:pt idx="37">
                  <c:v>0.98899999999999999</c:v>
                </c:pt>
                <c:pt idx="38">
                  <c:v>0.95899999999999996</c:v>
                </c:pt>
                <c:pt idx="39">
                  <c:v>0.67300000000000004</c:v>
                </c:pt>
                <c:pt idx="40">
                  <c:v>0.5</c:v>
                </c:pt>
                <c:pt idx="41">
                  <c:v>0.44800000000000001</c:v>
                </c:pt>
                <c:pt idx="42">
                  <c:v>0.53</c:v>
                </c:pt>
                <c:pt idx="43">
                  <c:v>0.59099999999999997</c:v>
                </c:pt>
                <c:pt idx="44">
                  <c:v>0.64200000000000002</c:v>
                </c:pt>
                <c:pt idx="45">
                  <c:v>0.63200000000000001</c:v>
                </c:pt>
                <c:pt idx="46">
                  <c:v>0.61199999999999988</c:v>
                </c:pt>
                <c:pt idx="47">
                  <c:v>0.60199999999999998</c:v>
                </c:pt>
                <c:pt idx="48">
                  <c:v>0.39700000000000002</c:v>
                </c:pt>
                <c:pt idx="49">
                  <c:v>0.34599999999999997</c:v>
                </c:pt>
                <c:pt idx="50">
                  <c:v>0.377</c:v>
                </c:pt>
                <c:pt idx="51">
                  <c:v>0.66299999999999992</c:v>
                </c:pt>
                <c:pt idx="52">
                  <c:v>0.78500000000000003</c:v>
                </c:pt>
                <c:pt idx="53">
                  <c:v>0.79500000000000004</c:v>
                </c:pt>
                <c:pt idx="54">
                  <c:v>0.72399999999999998</c:v>
                </c:pt>
                <c:pt idx="55">
                  <c:v>0.75500000000000012</c:v>
                </c:pt>
                <c:pt idx="56">
                  <c:v>0.71399999999999997</c:v>
                </c:pt>
                <c:pt idx="57">
                  <c:v>0.74399999999999999</c:v>
                </c:pt>
                <c:pt idx="58">
                  <c:v>0.80600000000000005</c:v>
                </c:pt>
                <c:pt idx="59">
                  <c:v>0.76500000000000001</c:v>
                </c:pt>
                <c:pt idx="60">
                  <c:v>0.73399999999999999</c:v>
                </c:pt>
                <c:pt idx="61">
                  <c:v>0.58099999999999996</c:v>
                </c:pt>
                <c:pt idx="62">
                  <c:v>0.69299999999999995</c:v>
                </c:pt>
                <c:pt idx="63">
                  <c:v>0.81599999999999995</c:v>
                </c:pt>
                <c:pt idx="64">
                  <c:v>0.85699999999999998</c:v>
                </c:pt>
                <c:pt idx="65">
                  <c:v>0.90800000000000003</c:v>
                </c:pt>
                <c:pt idx="66">
                  <c:v>0.94799999999999995</c:v>
                </c:pt>
                <c:pt idx="67">
                  <c:v>1</c:v>
                </c:pt>
                <c:pt idx="68">
                  <c:v>0.97899999999999987</c:v>
                </c:pt>
                <c:pt idx="69">
                  <c:v>0.89700000000000013</c:v>
                </c:pt>
                <c:pt idx="70">
                  <c:v>0.77500000000000002</c:v>
                </c:pt>
                <c:pt idx="71">
                  <c:v>0.70400000000000007</c:v>
                </c:pt>
                <c:pt idx="72">
                  <c:v>0.68300000000000005</c:v>
                </c:pt>
                <c:pt idx="73">
                  <c:v>0.82599999999999996</c:v>
                </c:pt>
                <c:pt idx="74">
                  <c:v>0.88700000000000001</c:v>
                </c:pt>
                <c:pt idx="75">
                  <c:v>0.96899999999999997</c:v>
                </c:pt>
                <c:pt idx="76">
                  <c:v>0.93800000000000006</c:v>
                </c:pt>
                <c:pt idx="77">
                  <c:v>0.91800000000000004</c:v>
                </c:pt>
                <c:pt idx="78">
                  <c:v>0.83599999999999997</c:v>
                </c:pt>
                <c:pt idx="79">
                  <c:v>0.622</c:v>
                </c:pt>
                <c:pt idx="80">
                  <c:v>0.54</c:v>
                </c:pt>
                <c:pt idx="81">
                  <c:v>0.438</c:v>
                </c:pt>
                <c:pt idx="82">
                  <c:v>0.41799999999999998</c:v>
                </c:pt>
                <c:pt idx="83">
                  <c:v>0.56100000000000005</c:v>
                </c:pt>
                <c:pt idx="84">
                  <c:v>0.86699999999999999</c:v>
                </c:pt>
                <c:pt idx="85">
                  <c:v>0.92800000000000005</c:v>
                </c:pt>
                <c:pt idx="86">
                  <c:v>0.84599999999999986</c:v>
                </c:pt>
                <c:pt idx="87">
                  <c:v>0.45900000000000002</c:v>
                </c:pt>
                <c:pt idx="88">
                  <c:v>0.33599999999999997</c:v>
                </c:pt>
                <c:pt idx="89">
                  <c:v>0.316</c:v>
                </c:pt>
                <c:pt idx="90">
                  <c:v>0.36699999999999999</c:v>
                </c:pt>
                <c:pt idx="91">
                  <c:v>0.57099999999999995</c:v>
                </c:pt>
                <c:pt idx="92">
                  <c:v>0.55100000000000005</c:v>
                </c:pt>
                <c:pt idx="93">
                  <c:v>0.52</c:v>
                </c:pt>
                <c:pt idx="94">
                  <c:v>0.42799999999999999</c:v>
                </c:pt>
                <c:pt idx="95">
                  <c:v>0.40799999999999997</c:v>
                </c:pt>
                <c:pt idx="96">
                  <c:v>0.48899999999999999</c:v>
                </c:pt>
                <c:pt idx="97">
                  <c:v>0.46900000000000003</c:v>
                </c:pt>
                <c:pt idx="98">
                  <c:v>0.47899999999999998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085-40E9-BF80-B195CE426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'面板-景气指数'!$A$64</c:f>
              <c:strCache>
                <c:ptCount val="1"/>
                <c:pt idx="0">
                  <c:v>公用事业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'面板-景气指数'!$F$64:$CZ$64</c:f>
              <c:numCache>
                <c:formatCode>0.0%</c:formatCode>
                <c:ptCount val="99"/>
                <c:pt idx="0">
                  <c:v>0.5854522381843178</c:v>
                </c:pt>
                <c:pt idx="1">
                  <c:v>0.59491153526525276</c:v>
                </c:pt>
                <c:pt idx="2">
                  <c:v>0.54376456130173356</c:v>
                </c:pt>
                <c:pt idx="3">
                  <c:v>0.47531114074372549</c:v>
                </c:pt>
                <c:pt idx="4">
                  <c:v>0.45065292824009606</c:v>
                </c:pt>
                <c:pt idx="5">
                  <c:v>0.42327137740412302</c:v>
                </c:pt>
                <c:pt idx="6">
                  <c:v>0.41365974686193707</c:v>
                </c:pt>
                <c:pt idx="7">
                  <c:v>0.40611426369787956</c:v>
                </c:pt>
                <c:pt idx="8">
                  <c:v>0.38838221521516364</c:v>
                </c:pt>
                <c:pt idx="9">
                  <c:v>0.38520883802785699</c:v>
                </c:pt>
                <c:pt idx="10">
                  <c:v>0.34360977976348961</c:v>
                </c:pt>
                <c:pt idx="11">
                  <c:v>0.30091321871570159</c:v>
                </c:pt>
                <c:pt idx="12">
                  <c:v>0.23965241676472662</c:v>
                </c:pt>
                <c:pt idx="13">
                  <c:v>0.19829236679107193</c:v>
                </c:pt>
                <c:pt idx="14">
                  <c:v>0.21101014248109778</c:v>
                </c:pt>
                <c:pt idx="15">
                  <c:v>0.22892058677531074</c:v>
                </c:pt>
                <c:pt idx="16">
                  <c:v>0.27592622578707132</c:v>
                </c:pt>
                <c:pt idx="17">
                  <c:v>0.27489039849683816</c:v>
                </c:pt>
                <c:pt idx="18">
                  <c:v>0.32091153599704014</c:v>
                </c:pt>
                <c:pt idx="19">
                  <c:v>0.3222493602697139</c:v>
                </c:pt>
                <c:pt idx="20">
                  <c:v>0.32134057790056353</c:v>
                </c:pt>
                <c:pt idx="21">
                  <c:v>0.29661961363203915</c:v>
                </c:pt>
                <c:pt idx="22">
                  <c:v>0.31141975539753647</c:v>
                </c:pt>
                <c:pt idx="23">
                  <c:v>0.35564624351679863</c:v>
                </c:pt>
                <c:pt idx="24">
                  <c:v>0.431037065524288</c:v>
                </c:pt>
                <c:pt idx="25">
                  <c:v>0.49219600216650172</c:v>
                </c:pt>
                <c:pt idx="26">
                  <c:v>0.55914186337914074</c:v>
                </c:pt>
                <c:pt idx="27">
                  <c:v>0.65040390009629012</c:v>
                </c:pt>
                <c:pt idx="28">
                  <c:v>0.65045796127257383</c:v>
                </c:pt>
                <c:pt idx="29">
                  <c:v>0.67842112047327352</c:v>
                </c:pt>
                <c:pt idx="30">
                  <c:v>0.68534616463108322</c:v>
                </c:pt>
                <c:pt idx="31">
                  <c:v>0.72149544053704884</c:v>
                </c:pt>
                <c:pt idx="32">
                  <c:v>0.73037873976225864</c:v>
                </c:pt>
                <c:pt idx="33">
                  <c:v>0.73492245323107064</c:v>
                </c:pt>
                <c:pt idx="34">
                  <c:v>0.75889621058119583</c:v>
                </c:pt>
                <c:pt idx="35">
                  <c:v>0.75742644590926844</c:v>
                </c:pt>
                <c:pt idx="36">
                  <c:v>0.7573292134011933</c:v>
                </c:pt>
                <c:pt idx="37">
                  <c:v>0.78880905764408071</c:v>
                </c:pt>
                <c:pt idx="38">
                  <c:v>0.75538274286518947</c:v>
                </c:pt>
                <c:pt idx="39">
                  <c:v>0.36804495402365867</c:v>
                </c:pt>
                <c:pt idx="40">
                  <c:v>0.35140072043076931</c:v>
                </c:pt>
                <c:pt idx="41">
                  <c:v>0.34424918707439145</c:v>
                </c:pt>
                <c:pt idx="42">
                  <c:v>0.33987968599302554</c:v>
                </c:pt>
                <c:pt idx="43">
                  <c:v>0.3193096673386468</c:v>
                </c:pt>
                <c:pt idx="44">
                  <c:v>0.29795906527824623</c:v>
                </c:pt>
                <c:pt idx="45">
                  <c:v>0.28654154465897586</c:v>
                </c:pt>
                <c:pt idx="46">
                  <c:v>0.27809963802693882</c:v>
                </c:pt>
                <c:pt idx="47">
                  <c:v>0.27851966366380454</c:v>
                </c:pt>
                <c:pt idx="48">
                  <c:v>0.2743620752635782</c:v>
                </c:pt>
                <c:pt idx="49">
                  <c:v>0.24452148797967801</c:v>
                </c:pt>
                <c:pt idx="50">
                  <c:v>0.2927899763037845</c:v>
                </c:pt>
                <c:pt idx="51">
                  <c:v>0.49719518477023072</c:v>
                </c:pt>
                <c:pt idx="52">
                  <c:v>0.4837463790750286</c:v>
                </c:pt>
                <c:pt idx="53">
                  <c:v>0.44589512229200806</c:v>
                </c:pt>
                <c:pt idx="54">
                  <c:v>0.40558293467836526</c:v>
                </c:pt>
                <c:pt idx="55">
                  <c:v>0.41475495812956642</c:v>
                </c:pt>
                <c:pt idx="56">
                  <c:v>0.43927224266521142</c:v>
                </c:pt>
                <c:pt idx="57">
                  <c:v>0.45627171027943558</c:v>
                </c:pt>
                <c:pt idx="58">
                  <c:v>0.50130266564812498</c:v>
                </c:pt>
                <c:pt idx="59">
                  <c:v>0.52336352045443579</c:v>
                </c:pt>
                <c:pt idx="60">
                  <c:v>0.5229074791594559</c:v>
                </c:pt>
                <c:pt idx="61">
                  <c:v>0.50504891900817794</c:v>
                </c:pt>
                <c:pt idx="62">
                  <c:v>0.56017246733760451</c:v>
                </c:pt>
                <c:pt idx="63">
                  <c:v>0.64636489747734438</c:v>
                </c:pt>
                <c:pt idx="64">
                  <c:v>0.64840798499501762</c:v>
                </c:pt>
                <c:pt idx="65">
                  <c:v>0.6741940987004984</c:v>
                </c:pt>
                <c:pt idx="66">
                  <c:v>0.7137718324733755</c:v>
                </c:pt>
                <c:pt idx="67">
                  <c:v>0.74459297718371875</c:v>
                </c:pt>
                <c:pt idx="68">
                  <c:v>0.75176766345579593</c:v>
                </c:pt>
                <c:pt idx="69">
                  <c:v>0.74115392969992344</c:v>
                </c:pt>
                <c:pt idx="70">
                  <c:v>0.73391383308533531</c:v>
                </c:pt>
                <c:pt idx="71">
                  <c:v>0.73500938103020319</c:v>
                </c:pt>
                <c:pt idx="72">
                  <c:v>0.76640216984881393</c:v>
                </c:pt>
                <c:pt idx="73">
                  <c:v>0.78918474985808496</c:v>
                </c:pt>
                <c:pt idx="74">
                  <c:v>0.75296656039444065</c:v>
                </c:pt>
                <c:pt idx="75">
                  <c:v>0.6316098892492954</c:v>
                </c:pt>
                <c:pt idx="76">
                  <c:v>0.63258901712366589</c:v>
                </c:pt>
                <c:pt idx="77">
                  <c:v>0.63947601689570532</c:v>
                </c:pt>
                <c:pt idx="78">
                  <c:v>0.64506861363318746</c:v>
                </c:pt>
                <c:pt idx="79">
                  <c:v>0.63951367455089736</c:v>
                </c:pt>
                <c:pt idx="80">
                  <c:v>0.65130610924084642</c:v>
                </c:pt>
                <c:pt idx="81">
                  <c:v>0.63131094487851314</c:v>
                </c:pt>
                <c:pt idx="82">
                  <c:v>0.61245463826569657</c:v>
                </c:pt>
                <c:pt idx="83">
                  <c:v>0.63377000304377229</c:v>
                </c:pt>
                <c:pt idx="84">
                  <c:v>0.61562594183861929</c:v>
                </c:pt>
                <c:pt idx="85">
                  <c:v>0.61513569780087418</c:v>
                </c:pt>
                <c:pt idx="86">
                  <c:v>0.56317490177782936</c:v>
                </c:pt>
                <c:pt idx="87">
                  <c:v>0.50276345615403972</c:v>
                </c:pt>
                <c:pt idx="88">
                  <c:v>0.47410383576276705</c:v>
                </c:pt>
                <c:pt idx="89">
                  <c:v>0.47194485507022838</c:v>
                </c:pt>
                <c:pt idx="90">
                  <c:v>0.49074947705919275</c:v>
                </c:pt>
                <c:pt idx="91">
                  <c:v>0.45423728687303178</c:v>
                </c:pt>
                <c:pt idx="92">
                  <c:v>0.4124402485059222</c:v>
                </c:pt>
                <c:pt idx="93">
                  <c:v>0.40182108169150094</c:v>
                </c:pt>
                <c:pt idx="94">
                  <c:v>0.3622567274443213</c:v>
                </c:pt>
                <c:pt idx="95">
                  <c:v>0.39388934977314938</c:v>
                </c:pt>
                <c:pt idx="96">
                  <c:v>0.37447489941249884</c:v>
                </c:pt>
                <c:pt idx="97">
                  <c:v>0.37725340892799014</c:v>
                </c:pt>
                <c:pt idx="98">
                  <c:v>0.34099005575903313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C3-444A-AF39-BF30E34340A0}"/>
            </c:ext>
          </c:extLst>
        </c:ser>
        <c:ser>
          <c:idx val="1"/>
          <c:order val="1"/>
          <c:tx>
            <c:strRef>
              <c:f>'面板-景气指数'!$A$161</c:f>
              <c:strCache>
                <c:ptCount val="1"/>
                <c:pt idx="0">
                  <c:v>电力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'面板-景气指数'!$F$161:$CZ$161</c:f>
              <c:numCache>
                <c:formatCode>0.0%</c:formatCode>
                <c:ptCount val="99"/>
                <c:pt idx="0">
                  <c:v>0.65705335318125146</c:v>
                </c:pt>
                <c:pt idx="1">
                  <c:v>0.6580292723743425</c:v>
                </c:pt>
                <c:pt idx="2">
                  <c:v>0.59700932644792903</c:v>
                </c:pt>
                <c:pt idx="3">
                  <c:v>0.49441400879665159</c:v>
                </c:pt>
                <c:pt idx="4">
                  <c:v>0.47239438982132176</c:v>
                </c:pt>
                <c:pt idx="5">
                  <c:v>0.47514480786175595</c:v>
                </c:pt>
                <c:pt idx="6">
                  <c:v>0.47221586633523088</c:v>
                </c:pt>
                <c:pt idx="7">
                  <c:v>0.4668427894062685</c:v>
                </c:pt>
                <c:pt idx="8">
                  <c:v>0.44786230141890693</c:v>
                </c:pt>
                <c:pt idx="9">
                  <c:v>0.44094728194865845</c:v>
                </c:pt>
                <c:pt idx="10">
                  <c:v>0.39909003498928625</c:v>
                </c:pt>
                <c:pt idx="11">
                  <c:v>0.34788493073744448</c:v>
                </c:pt>
                <c:pt idx="12">
                  <c:v>0.26849816639861285</c:v>
                </c:pt>
                <c:pt idx="13">
                  <c:v>0.1513538492156403</c:v>
                </c:pt>
                <c:pt idx="14">
                  <c:v>0.13141053638809261</c:v>
                </c:pt>
                <c:pt idx="15">
                  <c:v>0.15560357654403564</c:v>
                </c:pt>
                <c:pt idx="16">
                  <c:v>0.22989736781218803</c:v>
                </c:pt>
                <c:pt idx="17">
                  <c:v>0.2385435338826547</c:v>
                </c:pt>
                <c:pt idx="18">
                  <c:v>0.26083302786008239</c:v>
                </c:pt>
                <c:pt idx="19">
                  <c:v>0.25076152744222902</c:v>
                </c:pt>
                <c:pt idx="20">
                  <c:v>0.23662750988273387</c:v>
                </c:pt>
                <c:pt idx="21">
                  <c:v>0.19968041390616326</c:v>
                </c:pt>
                <c:pt idx="22">
                  <c:v>0.20863561908292244</c:v>
                </c:pt>
                <c:pt idx="23">
                  <c:v>0.2516069728941886</c:v>
                </c:pt>
                <c:pt idx="24">
                  <c:v>0.34417597289975654</c:v>
                </c:pt>
                <c:pt idx="25">
                  <c:v>0.43006440618455838</c:v>
                </c:pt>
                <c:pt idx="26">
                  <c:v>0.54075799059296148</c:v>
                </c:pt>
                <c:pt idx="27">
                  <c:v>0.63852085529735647</c:v>
                </c:pt>
                <c:pt idx="28">
                  <c:v>0.61226518140099639</c:v>
                </c:pt>
                <c:pt idx="29">
                  <c:v>0.6298887621594168</c:v>
                </c:pt>
                <c:pt idx="30">
                  <c:v>0.63631731481733322</c:v>
                </c:pt>
                <c:pt idx="31">
                  <c:v>0.68314724920976777</c:v>
                </c:pt>
                <c:pt idx="32">
                  <c:v>0.70008485403252008</c:v>
                </c:pt>
                <c:pt idx="33">
                  <c:v>0.71521145007876963</c:v>
                </c:pt>
                <c:pt idx="34">
                  <c:v>0.75468141523889565</c:v>
                </c:pt>
                <c:pt idx="35">
                  <c:v>0.77267282022002537</c:v>
                </c:pt>
                <c:pt idx="36">
                  <c:v>0.78741448141258541</c:v>
                </c:pt>
                <c:pt idx="37">
                  <c:v>0.79426796847114789</c:v>
                </c:pt>
                <c:pt idx="38">
                  <c:v>0.74559530055419898</c:v>
                </c:pt>
                <c:pt idx="39">
                  <c:v>0.30233678404161063</c:v>
                </c:pt>
                <c:pt idx="40">
                  <c:v>0.32256355048623286</c:v>
                </c:pt>
                <c:pt idx="41">
                  <c:v>0.33395579154182131</c:v>
                </c:pt>
                <c:pt idx="42">
                  <c:v>0.34050611161233435</c:v>
                </c:pt>
                <c:pt idx="43">
                  <c:v>0.33308401951347039</c:v>
                </c:pt>
                <c:pt idx="44">
                  <c:v>0.32636993838450395</c:v>
                </c:pt>
                <c:pt idx="45">
                  <c:v>0.31811426302686907</c:v>
                </c:pt>
                <c:pt idx="46">
                  <c:v>0.29184007824551222</c:v>
                </c:pt>
                <c:pt idx="47">
                  <c:v>0.28409331104862195</c:v>
                </c:pt>
                <c:pt idx="48">
                  <c:v>0.27587370373184783</c:v>
                </c:pt>
                <c:pt idx="49">
                  <c:v>0.25768418946801258</c:v>
                </c:pt>
                <c:pt idx="50">
                  <c:v>0.29065704665693504</c:v>
                </c:pt>
                <c:pt idx="51">
                  <c:v>0.51660225616544553</c:v>
                </c:pt>
                <c:pt idx="52">
                  <c:v>0.49775270699243779</c:v>
                </c:pt>
                <c:pt idx="53">
                  <c:v>0.46202448532814583</c:v>
                </c:pt>
                <c:pt idx="54">
                  <c:v>0.42989650239566224</c:v>
                </c:pt>
                <c:pt idx="55">
                  <c:v>0.43409094922433683</c:v>
                </c:pt>
                <c:pt idx="56">
                  <c:v>0.44771227416340315</c:v>
                </c:pt>
                <c:pt idx="57">
                  <c:v>0.45760728518004717</c:v>
                </c:pt>
                <c:pt idx="58">
                  <c:v>0.4982837385308635</c:v>
                </c:pt>
                <c:pt idx="59">
                  <c:v>0.51890125241367757</c:v>
                </c:pt>
                <c:pt idx="60">
                  <c:v>0.5249915590671379</c:v>
                </c:pt>
                <c:pt idx="61">
                  <c:v>0.51248411419151674</c:v>
                </c:pt>
                <c:pt idx="62">
                  <c:v>0.60460263090719379</c:v>
                </c:pt>
                <c:pt idx="63">
                  <c:v>0.6914719832647156</c:v>
                </c:pt>
                <c:pt idx="64">
                  <c:v>0.68399571264858983</c:v>
                </c:pt>
                <c:pt idx="65">
                  <c:v>0.68585077222258717</c:v>
                </c:pt>
                <c:pt idx="66">
                  <c:v>0.7088911027964151</c:v>
                </c:pt>
                <c:pt idx="67">
                  <c:v>0.73144875758051497</c:v>
                </c:pt>
                <c:pt idx="68">
                  <c:v>0.74478724203958613</c:v>
                </c:pt>
                <c:pt idx="69">
                  <c:v>0.74230902442945101</c:v>
                </c:pt>
                <c:pt idx="70">
                  <c:v>0.74697842081028787</c:v>
                </c:pt>
                <c:pt idx="71">
                  <c:v>0.75002695183828871</c:v>
                </c:pt>
                <c:pt idx="72">
                  <c:v>0.7600085866257521</c:v>
                </c:pt>
                <c:pt idx="73">
                  <c:v>0.77662046853493838</c:v>
                </c:pt>
                <c:pt idx="74">
                  <c:v>0.72309051186727202</c:v>
                </c:pt>
                <c:pt idx="75">
                  <c:v>0.58375386197856416</c:v>
                </c:pt>
                <c:pt idx="76">
                  <c:v>0.58812034212703423</c:v>
                </c:pt>
                <c:pt idx="77">
                  <c:v>0.60774467109954833</c:v>
                </c:pt>
                <c:pt idx="78">
                  <c:v>0.63393874733156097</c:v>
                </c:pt>
                <c:pt idx="79">
                  <c:v>0.64734683648207836</c:v>
                </c:pt>
                <c:pt idx="80">
                  <c:v>0.66265794237929654</c:v>
                </c:pt>
                <c:pt idx="81">
                  <c:v>0.63442894737322808</c:v>
                </c:pt>
                <c:pt idx="82">
                  <c:v>0.60929878612945565</c:v>
                </c:pt>
                <c:pt idx="83">
                  <c:v>0.63567042268062357</c:v>
                </c:pt>
                <c:pt idx="84">
                  <c:v>0.62783673094300874</c:v>
                </c:pt>
                <c:pt idx="85">
                  <c:v>0.63711657175775915</c:v>
                </c:pt>
                <c:pt idx="86">
                  <c:v>0.57838066102628416</c:v>
                </c:pt>
                <c:pt idx="87">
                  <c:v>0.5132203560688321</c:v>
                </c:pt>
                <c:pt idx="88">
                  <c:v>0.48316252765857648</c:v>
                </c:pt>
                <c:pt idx="89">
                  <c:v>0.49550954468343256</c:v>
                </c:pt>
                <c:pt idx="90">
                  <c:v>0.52558502819023178</c:v>
                </c:pt>
                <c:pt idx="91">
                  <c:v>0.49141208279124732</c:v>
                </c:pt>
                <c:pt idx="92">
                  <c:v>0.45110098193318482</c:v>
                </c:pt>
                <c:pt idx="93">
                  <c:v>0.4453871946462859</c:v>
                </c:pt>
                <c:pt idx="94">
                  <c:v>0.40766927371504674</c:v>
                </c:pt>
                <c:pt idx="95">
                  <c:v>0.43940404112335729</c:v>
                </c:pt>
                <c:pt idx="96">
                  <c:v>0.41023489423561083</c:v>
                </c:pt>
                <c:pt idx="97">
                  <c:v>0.40861814107625427</c:v>
                </c:pt>
                <c:pt idx="98">
                  <c:v>0.38458345176844966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C3-444A-AF39-BF30E34340A0}"/>
            </c:ext>
          </c:extLst>
        </c:ser>
        <c:ser>
          <c:idx val="2"/>
          <c:order val="2"/>
          <c:tx>
            <c:strRef>
              <c:f>'面板-景气指数'!$A$162</c:f>
              <c:strCache>
                <c:ptCount val="1"/>
                <c:pt idx="0">
                  <c:v>燃气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'面板-景气指数'!$F$162:$CZ$162</c:f>
              <c:numCache>
                <c:formatCode>0.0%</c:formatCode>
                <c:ptCount val="99"/>
                <c:pt idx="0">
                  <c:v>0.14199999999999999</c:v>
                </c:pt>
                <c:pt idx="1">
                  <c:v>0.20399999999999999</c:v>
                </c:pt>
                <c:pt idx="2">
                  <c:v>0.214</c:v>
                </c:pt>
                <c:pt idx="3">
                  <c:v>0.35699999999999998</c:v>
                </c:pt>
                <c:pt idx="4">
                  <c:v>0.316</c:v>
                </c:pt>
                <c:pt idx="5">
                  <c:v>0.10199999999999999</c:v>
                </c:pt>
                <c:pt idx="6">
                  <c:v>5.0999999999999997E-2</c:v>
                </c:pt>
                <c:pt idx="7">
                  <c:v>2.9999999999999995E-2</c:v>
                </c:pt>
                <c:pt idx="8">
                  <c:v>0.02</c:v>
                </c:pt>
                <c:pt idx="9">
                  <c:v>0.04</c:v>
                </c:pt>
                <c:pt idx="10">
                  <c:v>0</c:v>
                </c:pt>
                <c:pt idx="11">
                  <c:v>0.01</c:v>
                </c:pt>
                <c:pt idx="12">
                  <c:v>6.1000000000000006E-2</c:v>
                </c:pt>
                <c:pt idx="13">
                  <c:v>0.48899999999999999</c:v>
                </c:pt>
                <c:pt idx="14">
                  <c:v>0.70399999999999996</c:v>
                </c:pt>
                <c:pt idx="15">
                  <c:v>0.68300000000000005</c:v>
                </c:pt>
                <c:pt idx="16">
                  <c:v>0.56100000000000005</c:v>
                </c:pt>
                <c:pt idx="17">
                  <c:v>0.5</c:v>
                </c:pt>
                <c:pt idx="18">
                  <c:v>0.69299999999999995</c:v>
                </c:pt>
                <c:pt idx="19">
                  <c:v>0.76500000000000001</c:v>
                </c:pt>
                <c:pt idx="20">
                  <c:v>0.84599999999999997</c:v>
                </c:pt>
                <c:pt idx="21">
                  <c:v>0.89700000000000002</c:v>
                </c:pt>
                <c:pt idx="22">
                  <c:v>0.94799999999999995</c:v>
                </c:pt>
                <c:pt idx="23">
                  <c:v>1</c:v>
                </c:pt>
                <c:pt idx="24">
                  <c:v>0.96899999999999997</c:v>
                </c:pt>
                <c:pt idx="25">
                  <c:v>0.877</c:v>
                </c:pt>
                <c:pt idx="26">
                  <c:v>0.67300000000000004</c:v>
                </c:pt>
                <c:pt idx="27">
                  <c:v>0.72399999999999998</c:v>
                </c:pt>
                <c:pt idx="28">
                  <c:v>0.88700000000000001</c:v>
                </c:pt>
                <c:pt idx="29">
                  <c:v>0.97899999999999998</c:v>
                </c:pt>
                <c:pt idx="30">
                  <c:v>0.9890000000000001</c:v>
                </c:pt>
                <c:pt idx="31">
                  <c:v>0.95900000000000007</c:v>
                </c:pt>
                <c:pt idx="32">
                  <c:v>0.91800000000000015</c:v>
                </c:pt>
                <c:pt idx="33">
                  <c:v>0.85699999999999998</c:v>
                </c:pt>
                <c:pt idx="34">
                  <c:v>0.78500000000000003</c:v>
                </c:pt>
                <c:pt idx="35">
                  <c:v>0.66300000000000003</c:v>
                </c:pt>
                <c:pt idx="36">
                  <c:v>0.57099999999999995</c:v>
                </c:pt>
                <c:pt idx="37">
                  <c:v>0.755</c:v>
                </c:pt>
                <c:pt idx="38">
                  <c:v>0.81599999999999995</c:v>
                </c:pt>
                <c:pt idx="39">
                  <c:v>0.77500000000000002</c:v>
                </c:pt>
                <c:pt idx="40">
                  <c:v>0.53</c:v>
                </c:pt>
                <c:pt idx="41">
                  <c:v>0.40799999999999997</c:v>
                </c:pt>
                <c:pt idx="42">
                  <c:v>0.33600000000000002</c:v>
                </c:pt>
                <c:pt idx="43">
                  <c:v>0.23399999999999999</c:v>
                </c:pt>
                <c:pt idx="44">
                  <c:v>0.12200000000000001</c:v>
                </c:pt>
                <c:pt idx="45">
                  <c:v>9.0999999999999998E-2</c:v>
                </c:pt>
                <c:pt idx="46">
                  <c:v>0.193</c:v>
                </c:pt>
                <c:pt idx="47">
                  <c:v>0.24400000000000002</c:v>
                </c:pt>
                <c:pt idx="48">
                  <c:v>0.26500000000000001</c:v>
                </c:pt>
                <c:pt idx="49">
                  <c:v>0.16300000000000001</c:v>
                </c:pt>
                <c:pt idx="50">
                  <c:v>0.30599999999999999</c:v>
                </c:pt>
                <c:pt idx="51">
                  <c:v>0.377</c:v>
                </c:pt>
                <c:pt idx="52">
                  <c:v>0.39700000000000002</c:v>
                </c:pt>
                <c:pt idx="53">
                  <c:v>0.34599999999999997</c:v>
                </c:pt>
                <c:pt idx="54">
                  <c:v>0.255</c:v>
                </c:pt>
                <c:pt idx="55">
                  <c:v>0.29499999999999998</c:v>
                </c:pt>
                <c:pt idx="56">
                  <c:v>0.38700000000000001</c:v>
                </c:pt>
                <c:pt idx="57">
                  <c:v>0.44800000000000001</c:v>
                </c:pt>
                <c:pt idx="58">
                  <c:v>0.52</c:v>
                </c:pt>
                <c:pt idx="59">
                  <c:v>0.55100000000000005</c:v>
                </c:pt>
                <c:pt idx="60">
                  <c:v>0.51</c:v>
                </c:pt>
                <c:pt idx="61">
                  <c:v>0.45900000000000007</c:v>
                </c:pt>
                <c:pt idx="62">
                  <c:v>0.28499999999999998</c:v>
                </c:pt>
                <c:pt idx="63">
                  <c:v>0.36699999999999999</c:v>
                </c:pt>
                <c:pt idx="64">
                  <c:v>0.42799999999999999</c:v>
                </c:pt>
                <c:pt idx="65">
                  <c:v>0.60199999999999998</c:v>
                </c:pt>
                <c:pt idx="66">
                  <c:v>0.74399999999999999</c:v>
                </c:pt>
                <c:pt idx="67">
                  <c:v>0.82599999999999996</c:v>
                </c:pt>
                <c:pt idx="68">
                  <c:v>0.79500000000000004</c:v>
                </c:pt>
                <c:pt idx="69">
                  <c:v>0.73399999999999999</c:v>
                </c:pt>
                <c:pt idx="70">
                  <c:v>0.65300000000000002</c:v>
                </c:pt>
                <c:pt idx="71">
                  <c:v>0.64200000000000002</c:v>
                </c:pt>
                <c:pt idx="72">
                  <c:v>0.80600000000000005</c:v>
                </c:pt>
                <c:pt idx="73">
                  <c:v>0.86699999999999999</c:v>
                </c:pt>
                <c:pt idx="74">
                  <c:v>0.93799999999999983</c:v>
                </c:pt>
                <c:pt idx="75">
                  <c:v>0.92799999999999994</c:v>
                </c:pt>
                <c:pt idx="76">
                  <c:v>0.90800000000000003</c:v>
                </c:pt>
                <c:pt idx="77">
                  <c:v>0.83599999999999997</c:v>
                </c:pt>
                <c:pt idx="78">
                  <c:v>0.71399999999999997</c:v>
                </c:pt>
                <c:pt idx="79">
                  <c:v>0.59099999999999997</c:v>
                </c:pt>
                <c:pt idx="80">
                  <c:v>0.58099999999999996</c:v>
                </c:pt>
                <c:pt idx="81">
                  <c:v>0.61199999999999999</c:v>
                </c:pt>
                <c:pt idx="82">
                  <c:v>0.63200000000000001</c:v>
                </c:pt>
                <c:pt idx="83">
                  <c:v>0.622</c:v>
                </c:pt>
                <c:pt idx="84">
                  <c:v>0.54</c:v>
                </c:pt>
                <c:pt idx="85">
                  <c:v>0.47899999999999998</c:v>
                </c:pt>
                <c:pt idx="86">
                  <c:v>0.46899999999999992</c:v>
                </c:pt>
                <c:pt idx="87">
                  <c:v>0.438</c:v>
                </c:pt>
                <c:pt idx="88">
                  <c:v>0.41799999999999998</c:v>
                </c:pt>
                <c:pt idx="89">
                  <c:v>0.32600000000000001</c:v>
                </c:pt>
                <c:pt idx="90">
                  <c:v>0.27500000000000002</c:v>
                </c:pt>
                <c:pt idx="91">
                  <c:v>0.224</c:v>
                </c:pt>
                <c:pt idx="92">
                  <c:v>0.17299999999999999</c:v>
                </c:pt>
                <c:pt idx="93">
                  <c:v>0.13200000000000001</c:v>
                </c:pt>
                <c:pt idx="94">
                  <c:v>8.1000000000000003E-2</c:v>
                </c:pt>
                <c:pt idx="95">
                  <c:v>0.112</c:v>
                </c:pt>
                <c:pt idx="96">
                  <c:v>0.153</c:v>
                </c:pt>
                <c:pt idx="97">
                  <c:v>0.183</c:v>
                </c:pt>
                <c:pt idx="98">
                  <c:v>7.0999999999999994E-2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7C3-444A-AF39-BF30E3434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90876159230096198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'面板-景气指数'!$A$39</c:f>
              <c:strCache>
                <c:ptCount val="1"/>
                <c:pt idx="0">
                  <c:v>有色金属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'面板-景气指数'!$F$39:$CZ$39</c:f>
              <c:numCache>
                <c:formatCode>0.0%</c:formatCode>
                <c:ptCount val="99"/>
                <c:pt idx="0">
                  <c:v>0.48655130732944357</c:v>
                </c:pt>
                <c:pt idx="1">
                  <c:v>0.47494962029326071</c:v>
                </c:pt>
                <c:pt idx="2">
                  <c:v>0.4400086720730248</c:v>
                </c:pt>
                <c:pt idx="3">
                  <c:v>0.47687224952462381</c:v>
                </c:pt>
                <c:pt idx="4">
                  <c:v>0.50230915589848257</c:v>
                </c:pt>
                <c:pt idx="5">
                  <c:v>0.56871033742653276</c:v>
                </c:pt>
                <c:pt idx="6">
                  <c:v>0.56774032021439569</c:v>
                </c:pt>
                <c:pt idx="7">
                  <c:v>0.5962911063716354</c:v>
                </c:pt>
                <c:pt idx="8">
                  <c:v>0.50920195591289663</c:v>
                </c:pt>
                <c:pt idx="9">
                  <c:v>0.43724983668370249</c:v>
                </c:pt>
                <c:pt idx="10">
                  <c:v>0.31641398926050146</c:v>
                </c:pt>
                <c:pt idx="11">
                  <c:v>0.27038533955469118</c:v>
                </c:pt>
                <c:pt idx="12">
                  <c:v>0.30173882322550977</c:v>
                </c:pt>
                <c:pt idx="13">
                  <c:v>0.35976191835135979</c:v>
                </c:pt>
                <c:pt idx="14">
                  <c:v>0.40790879809489489</c:v>
                </c:pt>
                <c:pt idx="15">
                  <c:v>0.40009985931950615</c:v>
                </c:pt>
                <c:pt idx="16">
                  <c:v>0.33359592996638454</c:v>
                </c:pt>
                <c:pt idx="17">
                  <c:v>0.29252954360095718</c:v>
                </c:pt>
                <c:pt idx="18">
                  <c:v>0.29354376038723973</c:v>
                </c:pt>
                <c:pt idx="19">
                  <c:v>0.29680502155288535</c:v>
                </c:pt>
                <c:pt idx="20">
                  <c:v>0.34433951701540344</c:v>
                </c:pt>
                <c:pt idx="21">
                  <c:v>0.42512557524082051</c:v>
                </c:pt>
                <c:pt idx="22">
                  <c:v>0.56627995006195297</c:v>
                </c:pt>
                <c:pt idx="23">
                  <c:v>0.63511792496243891</c:v>
                </c:pt>
                <c:pt idx="24">
                  <c:v>0.69580940609774944</c:v>
                </c:pt>
                <c:pt idx="25">
                  <c:v>0.68893789211498568</c:v>
                </c:pt>
                <c:pt idx="26">
                  <c:v>0.66911343354743391</c:v>
                </c:pt>
                <c:pt idx="27">
                  <c:v>0.66753019486603649</c:v>
                </c:pt>
                <c:pt idx="28">
                  <c:v>0.7080273260080755</c:v>
                </c:pt>
                <c:pt idx="29">
                  <c:v>0.70799515824480308</c:v>
                </c:pt>
                <c:pt idx="30">
                  <c:v>0.67635950551154334</c:v>
                </c:pt>
                <c:pt idx="31">
                  <c:v>0.68633374060509522</c:v>
                </c:pt>
                <c:pt idx="32">
                  <c:v>0.77204630237382832</c:v>
                </c:pt>
                <c:pt idx="33">
                  <c:v>0.82115935249602345</c:v>
                </c:pt>
                <c:pt idx="34">
                  <c:v>0.84068283376400976</c:v>
                </c:pt>
                <c:pt idx="35">
                  <c:v>0.85587730984673094</c:v>
                </c:pt>
                <c:pt idx="36">
                  <c:v>0.82953381056959086</c:v>
                </c:pt>
                <c:pt idx="37">
                  <c:v>0.78405224837036869</c:v>
                </c:pt>
                <c:pt idx="38">
                  <c:v>0.69814291325664468</c:v>
                </c:pt>
                <c:pt idx="39">
                  <c:v>0.62933674993519917</c:v>
                </c:pt>
                <c:pt idx="40">
                  <c:v>0.59733987442108893</c:v>
                </c:pt>
                <c:pt idx="41">
                  <c:v>0.55179328992270549</c:v>
                </c:pt>
                <c:pt idx="42">
                  <c:v>0.5477747534707188</c:v>
                </c:pt>
                <c:pt idx="43">
                  <c:v>0.54645631429221264</c:v>
                </c:pt>
                <c:pt idx="44">
                  <c:v>0.50290362160875524</c:v>
                </c:pt>
                <c:pt idx="45">
                  <c:v>0.38405198933671009</c:v>
                </c:pt>
                <c:pt idx="46">
                  <c:v>0.25945467411990225</c:v>
                </c:pt>
                <c:pt idx="47">
                  <c:v>0.22035171405279017</c:v>
                </c:pt>
                <c:pt idx="48">
                  <c:v>0.21733201207319849</c:v>
                </c:pt>
                <c:pt idx="49">
                  <c:v>0.27641316734051374</c:v>
                </c:pt>
                <c:pt idx="50">
                  <c:v>0.35191310007687088</c:v>
                </c:pt>
                <c:pt idx="51">
                  <c:v>0.36296352677022165</c:v>
                </c:pt>
                <c:pt idx="52">
                  <c:v>0.3572391007297821</c:v>
                </c:pt>
                <c:pt idx="53">
                  <c:v>0.36592228424733331</c:v>
                </c:pt>
                <c:pt idx="54">
                  <c:v>0.37681372063092367</c:v>
                </c:pt>
                <c:pt idx="55">
                  <c:v>0.37471000211401373</c:v>
                </c:pt>
                <c:pt idx="56">
                  <c:v>0.31590829860773934</c:v>
                </c:pt>
                <c:pt idx="57">
                  <c:v>0.26123087584613913</c:v>
                </c:pt>
                <c:pt idx="58">
                  <c:v>0.23827433173773757</c:v>
                </c:pt>
                <c:pt idx="59">
                  <c:v>0.26619226928600215</c:v>
                </c:pt>
                <c:pt idx="60">
                  <c:v>0.2714115688908087</c:v>
                </c:pt>
                <c:pt idx="61">
                  <c:v>0.22960389759175004</c:v>
                </c:pt>
                <c:pt idx="62">
                  <c:v>0.22241446625345507</c:v>
                </c:pt>
                <c:pt idx="63">
                  <c:v>0.21673778280952469</c:v>
                </c:pt>
                <c:pt idx="64">
                  <c:v>0.22366002845871291</c:v>
                </c:pt>
                <c:pt idx="65">
                  <c:v>0.21293617380981245</c:v>
                </c:pt>
                <c:pt idx="66">
                  <c:v>0.22685931136671389</c:v>
                </c:pt>
                <c:pt idx="67">
                  <c:v>0.33383205865000137</c:v>
                </c:pt>
                <c:pt idx="68">
                  <c:v>0.50794377769387267</c:v>
                </c:pt>
                <c:pt idx="69">
                  <c:v>0.60068723083603215</c:v>
                </c:pt>
                <c:pt idx="70">
                  <c:v>0.6355327797305298</c:v>
                </c:pt>
                <c:pt idx="71">
                  <c:v>0.62207135496387678</c:v>
                </c:pt>
                <c:pt idx="72">
                  <c:v>0.58178149063552742</c:v>
                </c:pt>
                <c:pt idx="73">
                  <c:v>0.61972829560049791</c:v>
                </c:pt>
                <c:pt idx="74">
                  <c:v>0.60694601034602058</c:v>
                </c:pt>
                <c:pt idx="75">
                  <c:v>0.63624834524237406</c:v>
                </c:pt>
                <c:pt idx="76">
                  <c:v>0.7064970027319688</c:v>
                </c:pt>
                <c:pt idx="77">
                  <c:v>0.74833895305937737</c:v>
                </c:pt>
                <c:pt idx="78">
                  <c:v>0.76842573874107267</c:v>
                </c:pt>
                <c:pt idx="79">
                  <c:v>0.71845267596174356</c:v>
                </c:pt>
                <c:pt idx="80">
                  <c:v>0.69251516576187466</c:v>
                </c:pt>
                <c:pt idx="81">
                  <c:v>0.66661378886526901</c:v>
                </c:pt>
                <c:pt idx="82">
                  <c:v>0.69819683681686162</c:v>
                </c:pt>
                <c:pt idx="83">
                  <c:v>0.71157531073870017</c:v>
                </c:pt>
                <c:pt idx="84">
                  <c:v>0.74286552118531157</c:v>
                </c:pt>
                <c:pt idx="85">
                  <c:v>0.763075608662516</c:v>
                </c:pt>
                <c:pt idx="86">
                  <c:v>0.78614375643286272</c:v>
                </c:pt>
                <c:pt idx="87">
                  <c:v>0.79427723649113535</c:v>
                </c:pt>
                <c:pt idx="88">
                  <c:v>0.74866619670021806</c:v>
                </c:pt>
                <c:pt idx="89">
                  <c:v>0.6902938796266701</c:v>
                </c:pt>
                <c:pt idx="90">
                  <c:v>0.61939878580206642</c:v>
                </c:pt>
                <c:pt idx="91">
                  <c:v>0.54462619076552377</c:v>
                </c:pt>
                <c:pt idx="92">
                  <c:v>0.42995344376265771</c:v>
                </c:pt>
                <c:pt idx="93">
                  <c:v>0.3314339083963645</c:v>
                </c:pt>
                <c:pt idx="94">
                  <c:v>0.26721543013998345</c:v>
                </c:pt>
                <c:pt idx="95">
                  <c:v>0.27535899017857862</c:v>
                </c:pt>
                <c:pt idx="96">
                  <c:v>0.27344627442115366</c:v>
                </c:pt>
                <c:pt idx="97">
                  <c:v>0.20331818262307899</c:v>
                </c:pt>
                <c:pt idx="98">
                  <c:v>0.15472663722448934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A7-4143-B2AD-F8AC9045BDB1}"/>
            </c:ext>
          </c:extLst>
        </c:ser>
        <c:ser>
          <c:idx val="1"/>
          <c:order val="1"/>
          <c:tx>
            <c:strRef>
              <c:f>'面板-景气指数'!$A$75</c:f>
              <c:strCache>
                <c:ptCount val="1"/>
                <c:pt idx="0">
                  <c:v>工业金属</c:v>
                </c:pt>
              </c:strCache>
            </c:strRef>
          </c:tx>
          <c:spPr>
            <a:ln w="12700" cap="rnd" cmpd="sng" algn="ctr">
              <a:solidFill>
                <a:srgbClr val="00AEEF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'面板-景气指数'!$F$75:$CZ$75</c:f>
              <c:numCache>
                <c:formatCode>0.0%</c:formatCode>
                <c:ptCount val="99"/>
                <c:pt idx="0">
                  <c:v>0.51100625101558872</c:v>
                </c:pt>
                <c:pt idx="1">
                  <c:v>0.50740782563726128</c:v>
                </c:pt>
                <c:pt idx="2">
                  <c:v>0.45449131995453718</c:v>
                </c:pt>
                <c:pt idx="3">
                  <c:v>0.47496472176035098</c:v>
                </c:pt>
                <c:pt idx="4">
                  <c:v>0.47442664720179367</c:v>
                </c:pt>
                <c:pt idx="5">
                  <c:v>0.54047340180581394</c:v>
                </c:pt>
                <c:pt idx="6">
                  <c:v>0.52079141193983269</c:v>
                </c:pt>
                <c:pt idx="7">
                  <c:v>0.5524464423525125</c:v>
                </c:pt>
                <c:pt idx="8">
                  <c:v>0.43771430732628924</c:v>
                </c:pt>
                <c:pt idx="9">
                  <c:v>0.36627700878698255</c:v>
                </c:pt>
                <c:pt idx="10">
                  <c:v>0.22554746725106573</c:v>
                </c:pt>
                <c:pt idx="11">
                  <c:v>0.18713326396991062</c:v>
                </c:pt>
                <c:pt idx="12">
                  <c:v>0.25756408454534935</c:v>
                </c:pt>
                <c:pt idx="13">
                  <c:v>0.33615520693295076</c:v>
                </c:pt>
                <c:pt idx="14">
                  <c:v>0.37434353223339067</c:v>
                </c:pt>
                <c:pt idx="15">
                  <c:v>0.37362297389151267</c:v>
                </c:pt>
                <c:pt idx="16">
                  <c:v>0.32133070074530612</c:v>
                </c:pt>
                <c:pt idx="17">
                  <c:v>0.28729019715687465</c:v>
                </c:pt>
                <c:pt idx="18">
                  <c:v>0.27021949211824831</c:v>
                </c:pt>
                <c:pt idx="19">
                  <c:v>0.26361435798650829</c:v>
                </c:pt>
                <c:pt idx="20">
                  <c:v>0.31062784182244546</c:v>
                </c:pt>
                <c:pt idx="21">
                  <c:v>0.38658995803265145</c:v>
                </c:pt>
                <c:pt idx="22">
                  <c:v>0.56108020408102799</c:v>
                </c:pt>
                <c:pt idx="23">
                  <c:v>0.61987466724899087</c:v>
                </c:pt>
                <c:pt idx="24">
                  <c:v>0.68381058873356104</c:v>
                </c:pt>
                <c:pt idx="25">
                  <c:v>0.69912469246299502</c:v>
                </c:pt>
                <c:pt idx="26">
                  <c:v>0.70365915170570514</c:v>
                </c:pt>
                <c:pt idx="27">
                  <c:v>0.70056925781351198</c:v>
                </c:pt>
                <c:pt idx="28">
                  <c:v>0.76607641827482909</c:v>
                </c:pt>
                <c:pt idx="29">
                  <c:v>0.77198391883249096</c:v>
                </c:pt>
                <c:pt idx="30">
                  <c:v>0.75156796517764546</c:v>
                </c:pt>
                <c:pt idx="31">
                  <c:v>0.73102735523932061</c:v>
                </c:pt>
                <c:pt idx="32">
                  <c:v>0.81600083324543127</c:v>
                </c:pt>
                <c:pt idx="33">
                  <c:v>0.86277845217083138</c:v>
                </c:pt>
                <c:pt idx="34">
                  <c:v>0.89355470007141402</c:v>
                </c:pt>
                <c:pt idx="35">
                  <c:v>0.91166180549520437</c:v>
                </c:pt>
                <c:pt idx="36">
                  <c:v>0.88560201273323225</c:v>
                </c:pt>
                <c:pt idx="37">
                  <c:v>0.8213679064149586</c:v>
                </c:pt>
                <c:pt idx="38">
                  <c:v>0.69957679159378272</c:v>
                </c:pt>
                <c:pt idx="39">
                  <c:v>0.59216996969230451</c:v>
                </c:pt>
                <c:pt idx="40">
                  <c:v>0.55346122704288947</c:v>
                </c:pt>
                <c:pt idx="41">
                  <c:v>0.48539052200426308</c:v>
                </c:pt>
                <c:pt idx="42">
                  <c:v>0.47399382737336199</c:v>
                </c:pt>
                <c:pt idx="43">
                  <c:v>0.47148331856525794</c:v>
                </c:pt>
                <c:pt idx="44">
                  <c:v>0.43556773822936617</c:v>
                </c:pt>
                <c:pt idx="45">
                  <c:v>0.2772089054572357</c:v>
                </c:pt>
                <c:pt idx="46">
                  <c:v>0.11447653142289473</c:v>
                </c:pt>
                <c:pt idx="47">
                  <c:v>5.6206540567820082E-2</c:v>
                </c:pt>
                <c:pt idx="48">
                  <c:v>5.2754453496870961E-2</c:v>
                </c:pt>
                <c:pt idx="49">
                  <c:v>0.13995504016775906</c:v>
                </c:pt>
                <c:pt idx="50">
                  <c:v>0.25364694679318428</c:v>
                </c:pt>
                <c:pt idx="51">
                  <c:v>0.28557831939650158</c:v>
                </c:pt>
                <c:pt idx="52">
                  <c:v>0.25989219617765658</c:v>
                </c:pt>
                <c:pt idx="53">
                  <c:v>0.24997896045276877</c:v>
                </c:pt>
                <c:pt idx="54">
                  <c:v>0.25984282780491824</c:v>
                </c:pt>
                <c:pt idx="55">
                  <c:v>0.28126161395818799</c:v>
                </c:pt>
                <c:pt idx="56">
                  <c:v>0.20544948152080408</c:v>
                </c:pt>
                <c:pt idx="57">
                  <c:v>0.18538395359160584</c:v>
                </c:pt>
                <c:pt idx="58">
                  <c:v>0.21209689976426241</c:v>
                </c:pt>
                <c:pt idx="59">
                  <c:v>0.29906628278567876</c:v>
                </c:pt>
                <c:pt idx="60">
                  <c:v>0.2870681115483199</c:v>
                </c:pt>
                <c:pt idx="61">
                  <c:v>0.20383369605155099</c:v>
                </c:pt>
                <c:pt idx="62">
                  <c:v>0.16087314766484515</c:v>
                </c:pt>
                <c:pt idx="63">
                  <c:v>0.17445543541773609</c:v>
                </c:pt>
                <c:pt idx="64">
                  <c:v>0.19959209597378796</c:v>
                </c:pt>
                <c:pt idx="65">
                  <c:v>0.21095924753226608</c:v>
                </c:pt>
                <c:pt idx="66">
                  <c:v>0.23696837928563336</c:v>
                </c:pt>
                <c:pt idx="67">
                  <c:v>0.37043655574266471</c:v>
                </c:pt>
                <c:pt idx="68">
                  <c:v>0.55945078621650934</c:v>
                </c:pt>
                <c:pt idx="69">
                  <c:v>0.63804000967109209</c:v>
                </c:pt>
                <c:pt idx="70">
                  <c:v>0.68508341592832533</c:v>
                </c:pt>
                <c:pt idx="71">
                  <c:v>0.66297768152935221</c:v>
                </c:pt>
                <c:pt idx="72">
                  <c:v>0.60418575374115679</c:v>
                </c:pt>
                <c:pt idx="73">
                  <c:v>0.63850533169867585</c:v>
                </c:pt>
                <c:pt idx="74">
                  <c:v>0.62781242955604066</c:v>
                </c:pt>
                <c:pt idx="75">
                  <c:v>0.67350298708767187</c:v>
                </c:pt>
                <c:pt idx="76">
                  <c:v>0.80436402194139711</c:v>
                </c:pt>
                <c:pt idx="77">
                  <c:v>0.86949285159852152</c:v>
                </c:pt>
                <c:pt idx="78">
                  <c:v>0.92955935311390647</c:v>
                </c:pt>
                <c:pt idx="79">
                  <c:v>0.89892519175810603</c:v>
                </c:pt>
                <c:pt idx="80">
                  <c:v>0.87340347355469128</c:v>
                </c:pt>
                <c:pt idx="81">
                  <c:v>0.84926063215342851</c:v>
                </c:pt>
                <c:pt idx="82">
                  <c:v>0.84815870383906611</c:v>
                </c:pt>
                <c:pt idx="83">
                  <c:v>0.85241773417813249</c:v>
                </c:pt>
                <c:pt idx="84">
                  <c:v>0.88423250834517697</c:v>
                </c:pt>
                <c:pt idx="85">
                  <c:v>0.90747935570274574</c:v>
                </c:pt>
                <c:pt idx="86">
                  <c:v>0.92654585721813043</c:v>
                </c:pt>
                <c:pt idx="87">
                  <c:v>0.91322184494782543</c:v>
                </c:pt>
                <c:pt idx="88">
                  <c:v>0.85630991007737722</c:v>
                </c:pt>
                <c:pt idx="89">
                  <c:v>0.74033869829331989</c:v>
                </c:pt>
                <c:pt idx="90">
                  <c:v>0.62088373048459222</c:v>
                </c:pt>
                <c:pt idx="91">
                  <c:v>0.5095449417424831</c:v>
                </c:pt>
                <c:pt idx="92">
                  <c:v>0.33779488856753642</c:v>
                </c:pt>
                <c:pt idx="93">
                  <c:v>0.23800296077934088</c:v>
                </c:pt>
                <c:pt idx="94">
                  <c:v>0.20657799378086009</c:v>
                </c:pt>
                <c:pt idx="95">
                  <c:v>0.26433582961537988</c:v>
                </c:pt>
                <c:pt idx="96">
                  <c:v>0.29806178379639209</c:v>
                </c:pt>
                <c:pt idx="97">
                  <c:v>0.24263644950887681</c:v>
                </c:pt>
                <c:pt idx="98">
                  <c:v>0.18848552832938384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A7-4143-B2AD-F8AC9045BDB1}"/>
            </c:ext>
          </c:extLst>
        </c:ser>
        <c:ser>
          <c:idx val="2"/>
          <c:order val="2"/>
          <c:tx>
            <c:strRef>
              <c:f>'面板-景气指数'!$A$76</c:f>
              <c:strCache>
                <c:ptCount val="1"/>
                <c:pt idx="0">
                  <c:v>贵金属</c:v>
                </c:pt>
              </c:strCache>
            </c:strRef>
          </c:tx>
          <c:spPr>
            <a:ln w="12700" cap="rnd" cmpd="sng" algn="ctr">
              <a:solidFill>
                <a:srgbClr val="FF6464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'面板-景气指数'!$F$76:$CZ$76</c:f>
              <c:numCache>
                <c:formatCode>0.0%</c:formatCode>
                <c:ptCount val="99"/>
                <c:pt idx="0">
                  <c:v>0.64749999999999996</c:v>
                </c:pt>
                <c:pt idx="1">
                  <c:v>0.60699999999999998</c:v>
                </c:pt>
                <c:pt idx="2">
                  <c:v>0.57599999999999996</c:v>
                </c:pt>
                <c:pt idx="3">
                  <c:v>0.63249999999999995</c:v>
                </c:pt>
                <c:pt idx="4">
                  <c:v>0.69850000000000001</c:v>
                </c:pt>
                <c:pt idx="5">
                  <c:v>0.74950000000000006</c:v>
                </c:pt>
                <c:pt idx="6">
                  <c:v>0.75950000000000017</c:v>
                </c:pt>
                <c:pt idx="7">
                  <c:v>0.78499999999999992</c:v>
                </c:pt>
                <c:pt idx="8">
                  <c:v>0.69850000000000001</c:v>
                </c:pt>
                <c:pt idx="9">
                  <c:v>0.66799999999999993</c:v>
                </c:pt>
                <c:pt idx="10">
                  <c:v>0.57099999999999995</c:v>
                </c:pt>
                <c:pt idx="11">
                  <c:v>0.46900000000000003</c:v>
                </c:pt>
                <c:pt idx="12">
                  <c:v>0.32600000000000001</c:v>
                </c:pt>
                <c:pt idx="13">
                  <c:v>0.33599999999999997</c:v>
                </c:pt>
                <c:pt idx="14">
                  <c:v>0.433</c:v>
                </c:pt>
                <c:pt idx="15">
                  <c:v>0.38200000000000006</c:v>
                </c:pt>
                <c:pt idx="16">
                  <c:v>0.17799999999999999</c:v>
                </c:pt>
                <c:pt idx="17">
                  <c:v>5.0500000000000003E-2</c:v>
                </c:pt>
                <c:pt idx="18">
                  <c:v>7.0999999999999994E-2</c:v>
                </c:pt>
                <c:pt idx="19">
                  <c:v>8.6499999999999994E-2</c:v>
                </c:pt>
                <c:pt idx="20">
                  <c:v>0.127</c:v>
                </c:pt>
                <c:pt idx="21">
                  <c:v>0.13250000000000001</c:v>
                </c:pt>
                <c:pt idx="22">
                  <c:v>0.23449999999999999</c:v>
                </c:pt>
                <c:pt idx="23">
                  <c:v>0.38199999999999995</c:v>
                </c:pt>
                <c:pt idx="24">
                  <c:v>0.45399999999999996</c:v>
                </c:pt>
                <c:pt idx="25">
                  <c:v>0.34150000000000003</c:v>
                </c:pt>
                <c:pt idx="26">
                  <c:v>0.19850000000000001</c:v>
                </c:pt>
                <c:pt idx="27">
                  <c:v>0.219</c:v>
                </c:pt>
                <c:pt idx="28">
                  <c:v>0.22900000000000001</c:v>
                </c:pt>
                <c:pt idx="29">
                  <c:v>0.219</c:v>
                </c:pt>
                <c:pt idx="30">
                  <c:v>0.10699999999999998</c:v>
                </c:pt>
                <c:pt idx="31">
                  <c:v>0.2545</c:v>
                </c:pt>
                <c:pt idx="32">
                  <c:v>0.4995</c:v>
                </c:pt>
                <c:pt idx="33">
                  <c:v>0.68299999999999994</c:v>
                </c:pt>
                <c:pt idx="34">
                  <c:v>0.73399999999999999</c:v>
                </c:pt>
                <c:pt idx="35">
                  <c:v>0.76000000000000012</c:v>
                </c:pt>
                <c:pt idx="36">
                  <c:v>0.78499999999999992</c:v>
                </c:pt>
                <c:pt idx="37">
                  <c:v>0.85650000000000004</c:v>
                </c:pt>
                <c:pt idx="38">
                  <c:v>0.89249999999999996</c:v>
                </c:pt>
                <c:pt idx="39">
                  <c:v>0.90750000000000008</c:v>
                </c:pt>
                <c:pt idx="40">
                  <c:v>0.91799999999999993</c:v>
                </c:pt>
                <c:pt idx="41">
                  <c:v>0.91749999999999998</c:v>
                </c:pt>
                <c:pt idx="42">
                  <c:v>0.94299999999999995</c:v>
                </c:pt>
                <c:pt idx="43">
                  <c:v>0.94350000000000012</c:v>
                </c:pt>
                <c:pt idx="44">
                  <c:v>0.92800000000000005</c:v>
                </c:pt>
                <c:pt idx="45">
                  <c:v>0.90749999999999997</c:v>
                </c:pt>
                <c:pt idx="46">
                  <c:v>0.82100000000000006</c:v>
                </c:pt>
                <c:pt idx="47">
                  <c:v>0.77999999999999992</c:v>
                </c:pt>
                <c:pt idx="48">
                  <c:v>0.74450000000000005</c:v>
                </c:pt>
                <c:pt idx="49">
                  <c:v>0.74450000000000005</c:v>
                </c:pt>
                <c:pt idx="50">
                  <c:v>0.76450000000000007</c:v>
                </c:pt>
                <c:pt idx="51">
                  <c:v>0.7699999999999998</c:v>
                </c:pt>
                <c:pt idx="52">
                  <c:v>0.80599999999999994</c:v>
                </c:pt>
                <c:pt idx="53">
                  <c:v>0.86150000000000004</c:v>
                </c:pt>
                <c:pt idx="54">
                  <c:v>0.85699999999999987</c:v>
                </c:pt>
                <c:pt idx="55">
                  <c:v>0.77000000000000013</c:v>
                </c:pt>
                <c:pt idx="56">
                  <c:v>0.65250000000000008</c:v>
                </c:pt>
                <c:pt idx="57">
                  <c:v>0.41749999999999998</c:v>
                </c:pt>
                <c:pt idx="58">
                  <c:v>0.24450000000000002</c:v>
                </c:pt>
                <c:pt idx="59">
                  <c:v>0.18299999999999997</c:v>
                </c:pt>
                <c:pt idx="60">
                  <c:v>0.23949999999999999</c:v>
                </c:pt>
                <c:pt idx="61">
                  <c:v>0.2545</c:v>
                </c:pt>
                <c:pt idx="62">
                  <c:v>0.23899999999999999</c:v>
                </c:pt>
                <c:pt idx="63">
                  <c:v>0.1525</c:v>
                </c:pt>
                <c:pt idx="64">
                  <c:v>0.112</c:v>
                </c:pt>
                <c:pt idx="65">
                  <c:v>4.5499999999999999E-2</c:v>
                </c:pt>
                <c:pt idx="66">
                  <c:v>4.5499999999999999E-2</c:v>
                </c:pt>
                <c:pt idx="67">
                  <c:v>0.112</c:v>
                </c:pt>
                <c:pt idx="68">
                  <c:v>0.29549999999999998</c:v>
                </c:pt>
                <c:pt idx="69">
                  <c:v>0.41249999999999998</c:v>
                </c:pt>
                <c:pt idx="70">
                  <c:v>0.42800000000000005</c:v>
                </c:pt>
                <c:pt idx="71">
                  <c:v>0.4335</c:v>
                </c:pt>
                <c:pt idx="72">
                  <c:v>0.40800000000000003</c:v>
                </c:pt>
                <c:pt idx="73">
                  <c:v>0.50449999999999995</c:v>
                </c:pt>
                <c:pt idx="74">
                  <c:v>0.5455000000000001</c:v>
                </c:pt>
                <c:pt idx="75">
                  <c:v>0.52999999999999992</c:v>
                </c:pt>
                <c:pt idx="76">
                  <c:v>0.44849999999999995</c:v>
                </c:pt>
                <c:pt idx="77">
                  <c:v>0.35649999999999998</c:v>
                </c:pt>
                <c:pt idx="78">
                  <c:v>0.22900000000000001</c:v>
                </c:pt>
                <c:pt idx="79">
                  <c:v>9.1499999999999984E-2</c:v>
                </c:pt>
                <c:pt idx="80">
                  <c:v>0.10649999999999998</c:v>
                </c:pt>
                <c:pt idx="81">
                  <c:v>0.18299999999999997</c:v>
                </c:pt>
                <c:pt idx="82">
                  <c:v>0.41249999999999998</c:v>
                </c:pt>
                <c:pt idx="83">
                  <c:v>0.45399999999999996</c:v>
                </c:pt>
                <c:pt idx="84">
                  <c:v>0.51500000000000001</c:v>
                </c:pt>
                <c:pt idx="85">
                  <c:v>0.58099999999999996</c:v>
                </c:pt>
                <c:pt idx="86">
                  <c:v>0.64749999999999996</c:v>
                </c:pt>
                <c:pt idx="87">
                  <c:v>0.72400000000000009</c:v>
                </c:pt>
                <c:pt idx="88">
                  <c:v>0.68800000000000006</c:v>
                </c:pt>
                <c:pt idx="89">
                  <c:v>0.78549999999999986</c:v>
                </c:pt>
                <c:pt idx="90">
                  <c:v>0.83650000000000002</c:v>
                </c:pt>
                <c:pt idx="91">
                  <c:v>0.84649999999999992</c:v>
                </c:pt>
                <c:pt idx="92">
                  <c:v>0.82599999999999996</c:v>
                </c:pt>
                <c:pt idx="93">
                  <c:v>0.67299999999999993</c:v>
                </c:pt>
                <c:pt idx="94">
                  <c:v>0.52</c:v>
                </c:pt>
                <c:pt idx="95">
                  <c:v>0.46400000000000002</c:v>
                </c:pt>
                <c:pt idx="96">
                  <c:v>0.38199999999999995</c:v>
                </c:pt>
                <c:pt idx="97">
                  <c:v>0.16249999999999998</c:v>
                </c:pt>
                <c:pt idx="98">
                  <c:v>4.5499999999999999E-2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DA7-4143-B2AD-F8AC9045BDB1}"/>
            </c:ext>
          </c:extLst>
        </c:ser>
        <c:ser>
          <c:idx val="3"/>
          <c:order val="3"/>
          <c:tx>
            <c:strRef>
              <c:f>'面板-景气指数'!$A$77</c:f>
              <c:strCache>
                <c:ptCount val="1"/>
                <c:pt idx="0">
                  <c:v>小金属</c:v>
                </c:pt>
              </c:strCache>
            </c:strRef>
          </c:tx>
          <c:spPr>
            <a:ln w="12700" cap="rnd" cmpd="sng" algn="ctr">
              <a:solidFill>
                <a:srgbClr val="B4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'面板-景气指数'!$F$77:$CZ$77</c:f>
              <c:numCache>
                <c:formatCode>0.0%</c:formatCode>
                <c:ptCount val="99"/>
                <c:pt idx="0">
                  <c:v>0.40250000000000002</c:v>
                </c:pt>
                <c:pt idx="1">
                  <c:v>0.39224999999999999</c:v>
                </c:pt>
                <c:pt idx="2">
                  <c:v>0.39750000000000002</c:v>
                </c:pt>
                <c:pt idx="3">
                  <c:v>0.47924999999999995</c:v>
                </c:pt>
                <c:pt idx="4">
                  <c:v>0.55325000000000002</c:v>
                </c:pt>
                <c:pt idx="5">
                  <c:v>0.64275000000000004</c:v>
                </c:pt>
                <c:pt idx="6">
                  <c:v>0.67799999999999994</c:v>
                </c:pt>
                <c:pt idx="7">
                  <c:v>0.71125000000000005</c:v>
                </c:pt>
                <c:pt idx="8">
                  <c:v>0.69850000000000001</c:v>
                </c:pt>
                <c:pt idx="9">
                  <c:v>0.55325000000000002</c:v>
                </c:pt>
                <c:pt idx="10">
                  <c:v>0.45349999999999996</c:v>
                </c:pt>
                <c:pt idx="11">
                  <c:v>0.43575000000000003</c:v>
                </c:pt>
                <c:pt idx="12">
                  <c:v>0.52249999999999996</c:v>
                </c:pt>
                <c:pt idx="13">
                  <c:v>0.56300000000000006</c:v>
                </c:pt>
                <c:pt idx="14">
                  <c:v>0.59400000000000008</c:v>
                </c:pt>
                <c:pt idx="15">
                  <c:v>0.57350000000000001</c:v>
                </c:pt>
                <c:pt idx="16">
                  <c:v>0.53525</c:v>
                </c:pt>
                <c:pt idx="17">
                  <c:v>0.47899999999999998</c:v>
                </c:pt>
                <c:pt idx="18">
                  <c:v>0.47675000000000006</c:v>
                </c:pt>
                <c:pt idx="19">
                  <c:v>0.48199999999999998</c:v>
                </c:pt>
                <c:pt idx="20">
                  <c:v>0.52249999999999996</c:v>
                </c:pt>
                <c:pt idx="21">
                  <c:v>0.7034999999999999</c:v>
                </c:pt>
                <c:pt idx="22">
                  <c:v>0.82099999999999995</c:v>
                </c:pt>
                <c:pt idx="23">
                  <c:v>0.87475000000000003</c:v>
                </c:pt>
                <c:pt idx="24">
                  <c:v>0.90750000000000008</c:v>
                </c:pt>
                <c:pt idx="25">
                  <c:v>0.90775000000000006</c:v>
                </c:pt>
                <c:pt idx="26">
                  <c:v>0.91024999999999989</c:v>
                </c:pt>
                <c:pt idx="27">
                  <c:v>0.89499999999999991</c:v>
                </c:pt>
                <c:pt idx="28">
                  <c:v>0.9</c:v>
                </c:pt>
                <c:pt idx="29">
                  <c:v>0.90024999999999999</c:v>
                </c:pt>
                <c:pt idx="30">
                  <c:v>0.90749999999999986</c:v>
                </c:pt>
                <c:pt idx="31">
                  <c:v>0.88975000000000015</c:v>
                </c:pt>
                <c:pt idx="32">
                  <c:v>0.8590000000000001</c:v>
                </c:pt>
                <c:pt idx="33">
                  <c:v>0.79299999999999993</c:v>
                </c:pt>
                <c:pt idx="34">
                  <c:v>0.73150000000000004</c:v>
                </c:pt>
                <c:pt idx="35">
                  <c:v>0.71375000000000011</c:v>
                </c:pt>
                <c:pt idx="36">
                  <c:v>0.63450000000000006</c:v>
                </c:pt>
                <c:pt idx="37">
                  <c:v>0.55049999999999999</c:v>
                </c:pt>
                <c:pt idx="38">
                  <c:v>0.45850000000000002</c:v>
                </c:pt>
                <c:pt idx="39">
                  <c:v>0.42825000000000002</c:v>
                </c:pt>
                <c:pt idx="40">
                  <c:v>0.38224999999999998</c:v>
                </c:pt>
                <c:pt idx="41">
                  <c:v>0.37975000000000003</c:v>
                </c:pt>
                <c:pt idx="42">
                  <c:v>0.38724999999999998</c:v>
                </c:pt>
                <c:pt idx="43">
                  <c:v>0.40799999999999997</c:v>
                </c:pt>
                <c:pt idx="44">
                  <c:v>0.33875000000000005</c:v>
                </c:pt>
                <c:pt idx="45">
                  <c:v>0.26224999999999998</c:v>
                </c:pt>
                <c:pt idx="46">
                  <c:v>0.17049999999999998</c:v>
                </c:pt>
                <c:pt idx="47">
                  <c:v>0.15275</c:v>
                </c:pt>
                <c:pt idx="48">
                  <c:v>0.19325000000000003</c:v>
                </c:pt>
                <c:pt idx="49">
                  <c:v>0.252</c:v>
                </c:pt>
                <c:pt idx="50">
                  <c:v>0.28000000000000003</c:v>
                </c:pt>
                <c:pt idx="51">
                  <c:v>0.23674999999999999</c:v>
                </c:pt>
                <c:pt idx="52">
                  <c:v>0.23149999999999998</c:v>
                </c:pt>
                <c:pt idx="53">
                  <c:v>0.23949999999999999</c:v>
                </c:pt>
                <c:pt idx="54">
                  <c:v>0.25974999999999998</c:v>
                </c:pt>
                <c:pt idx="55">
                  <c:v>0.26750000000000002</c:v>
                </c:pt>
                <c:pt idx="56">
                  <c:v>0.29799999999999999</c:v>
                </c:pt>
                <c:pt idx="57">
                  <c:v>0.31325000000000003</c:v>
                </c:pt>
                <c:pt idx="58">
                  <c:v>0.31575000000000003</c:v>
                </c:pt>
                <c:pt idx="59">
                  <c:v>0.26224999999999998</c:v>
                </c:pt>
                <c:pt idx="60">
                  <c:v>0.27249999999999996</c:v>
                </c:pt>
                <c:pt idx="61">
                  <c:v>0.27975000000000005</c:v>
                </c:pt>
                <c:pt idx="62">
                  <c:v>0.34649999999999997</c:v>
                </c:pt>
                <c:pt idx="63">
                  <c:v>0.372</c:v>
                </c:pt>
                <c:pt idx="64">
                  <c:v>0.41799999999999998</c:v>
                </c:pt>
                <c:pt idx="65">
                  <c:v>0.41799999999999998</c:v>
                </c:pt>
                <c:pt idx="66">
                  <c:v>0.41549999999999992</c:v>
                </c:pt>
                <c:pt idx="67">
                  <c:v>0.48149999999999998</c:v>
                </c:pt>
                <c:pt idx="68">
                  <c:v>0.58875</c:v>
                </c:pt>
                <c:pt idx="69">
                  <c:v>0.65774999999999995</c:v>
                </c:pt>
                <c:pt idx="70">
                  <c:v>0.65774999999999995</c:v>
                </c:pt>
                <c:pt idx="71">
                  <c:v>0.64500000000000013</c:v>
                </c:pt>
                <c:pt idx="72">
                  <c:v>0.63175000000000003</c:v>
                </c:pt>
                <c:pt idx="73">
                  <c:v>0.63225000000000009</c:v>
                </c:pt>
                <c:pt idx="74">
                  <c:v>0.56300000000000006</c:v>
                </c:pt>
                <c:pt idx="75">
                  <c:v>0.5784999999999999</c:v>
                </c:pt>
                <c:pt idx="76">
                  <c:v>0.60924999999999996</c:v>
                </c:pt>
                <c:pt idx="77">
                  <c:v>0.70374999999999988</c:v>
                </c:pt>
                <c:pt idx="78">
                  <c:v>0.72175</c:v>
                </c:pt>
                <c:pt idx="79">
                  <c:v>0.70374999999999999</c:v>
                </c:pt>
                <c:pt idx="80">
                  <c:v>0.6422500000000001</c:v>
                </c:pt>
                <c:pt idx="81">
                  <c:v>0.52274999999999994</c:v>
                </c:pt>
                <c:pt idx="82">
                  <c:v>0.48675000000000002</c:v>
                </c:pt>
                <c:pt idx="83">
                  <c:v>0.51749999999999996</c:v>
                </c:pt>
                <c:pt idx="84">
                  <c:v>0.53749999999999998</c:v>
                </c:pt>
                <c:pt idx="85">
                  <c:v>0.51724999999999999</c:v>
                </c:pt>
                <c:pt idx="86">
                  <c:v>0.52749999999999997</c:v>
                </c:pt>
                <c:pt idx="87">
                  <c:v>0.55800000000000005</c:v>
                </c:pt>
                <c:pt idx="88">
                  <c:v>0.54025000000000001</c:v>
                </c:pt>
                <c:pt idx="89">
                  <c:v>0.47400000000000003</c:v>
                </c:pt>
                <c:pt idx="90">
                  <c:v>0.41025</c:v>
                </c:pt>
                <c:pt idx="91">
                  <c:v>0.33350000000000002</c:v>
                </c:pt>
                <c:pt idx="92">
                  <c:v>0.30299999999999999</c:v>
                </c:pt>
                <c:pt idx="93">
                  <c:v>0.24700000000000003</c:v>
                </c:pt>
                <c:pt idx="94">
                  <c:v>0.18325</c:v>
                </c:pt>
                <c:pt idx="95">
                  <c:v>0.127</c:v>
                </c:pt>
                <c:pt idx="96">
                  <c:v>9.1499999999999998E-2</c:v>
                </c:pt>
                <c:pt idx="97">
                  <c:v>9.1249999999999998E-2</c:v>
                </c:pt>
                <c:pt idx="98">
                  <c:v>8.1000000000000003E-2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DA7-4143-B2AD-F8AC9045BDB1}"/>
            </c:ext>
          </c:extLst>
        </c:ser>
        <c:ser>
          <c:idx val="4"/>
          <c:order val="4"/>
          <c:tx>
            <c:strRef>
              <c:f>'面板-景气指数'!$A$78</c:f>
              <c:strCache>
                <c:ptCount val="1"/>
                <c:pt idx="0">
                  <c:v>能源金属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6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'面板-景气指数'!$F$78:$CZ$78</c:f>
              <c:numCache>
                <c:formatCode>0.0%</c:formatCode>
                <c:ptCount val="99"/>
                <c:pt idx="0">
                  <c:v>0.17233333333333334</c:v>
                </c:pt>
                <c:pt idx="1">
                  <c:v>0.15266666666666667</c:v>
                </c:pt>
                <c:pt idx="2">
                  <c:v>0.14066666666666666</c:v>
                </c:pt>
                <c:pt idx="3">
                  <c:v>0.11900000000000001</c:v>
                </c:pt>
                <c:pt idx="4">
                  <c:v>0.11766666666666667</c:v>
                </c:pt>
                <c:pt idx="5">
                  <c:v>0.14800000000000002</c:v>
                </c:pt>
                <c:pt idx="6">
                  <c:v>0.17466666666666666</c:v>
                </c:pt>
                <c:pt idx="7">
                  <c:v>0.20833333333333337</c:v>
                </c:pt>
                <c:pt idx="8">
                  <c:v>0.23166666666666666</c:v>
                </c:pt>
                <c:pt idx="9">
                  <c:v>0.2203333333333333</c:v>
                </c:pt>
                <c:pt idx="10">
                  <c:v>0.14833333333333332</c:v>
                </c:pt>
                <c:pt idx="11">
                  <c:v>0.11966666666666667</c:v>
                </c:pt>
                <c:pt idx="12">
                  <c:v>0.248</c:v>
                </c:pt>
                <c:pt idx="13">
                  <c:v>0.39766666666666667</c:v>
                </c:pt>
                <c:pt idx="14">
                  <c:v>0.56266666666666665</c:v>
                </c:pt>
                <c:pt idx="15">
                  <c:v>0.6303333333333333</c:v>
                </c:pt>
                <c:pt idx="16">
                  <c:v>0.67566666666666675</c:v>
                </c:pt>
                <c:pt idx="17">
                  <c:v>0.67333333333333345</c:v>
                </c:pt>
                <c:pt idx="18">
                  <c:v>0.66466666666666663</c:v>
                </c:pt>
                <c:pt idx="19">
                  <c:v>0.69400000000000006</c:v>
                </c:pt>
                <c:pt idx="20">
                  <c:v>0.77233333333333343</c:v>
                </c:pt>
                <c:pt idx="21">
                  <c:v>0.85566666666666646</c:v>
                </c:pt>
                <c:pt idx="22">
                  <c:v>0.89066666666666661</c:v>
                </c:pt>
                <c:pt idx="23">
                  <c:v>0.92600000000000005</c:v>
                </c:pt>
                <c:pt idx="24">
                  <c:v>0.92800000000000005</c:v>
                </c:pt>
                <c:pt idx="25">
                  <c:v>0.93533333333333324</c:v>
                </c:pt>
                <c:pt idx="26">
                  <c:v>0.87033333333333329</c:v>
                </c:pt>
                <c:pt idx="27">
                  <c:v>0.85299999999999998</c:v>
                </c:pt>
                <c:pt idx="28">
                  <c:v>0.8610000000000001</c:v>
                </c:pt>
                <c:pt idx="29">
                  <c:v>0.84299999999999997</c:v>
                </c:pt>
                <c:pt idx="30">
                  <c:v>0.82366666666666666</c:v>
                </c:pt>
                <c:pt idx="31">
                  <c:v>0.84466666666666657</c:v>
                </c:pt>
                <c:pt idx="32">
                  <c:v>0.85499999999999998</c:v>
                </c:pt>
                <c:pt idx="33">
                  <c:v>0.85433333333333339</c:v>
                </c:pt>
                <c:pt idx="34">
                  <c:v>0.83733333333333337</c:v>
                </c:pt>
                <c:pt idx="35">
                  <c:v>0.84366666666666679</c:v>
                </c:pt>
                <c:pt idx="36">
                  <c:v>0.84366666666666679</c:v>
                </c:pt>
                <c:pt idx="37">
                  <c:v>0.78999999999999992</c:v>
                </c:pt>
                <c:pt idx="38">
                  <c:v>0.69066666666666676</c:v>
                </c:pt>
                <c:pt idx="39">
                  <c:v>0.57866666666666666</c:v>
                </c:pt>
                <c:pt idx="40">
                  <c:v>0.46566666666666673</c:v>
                </c:pt>
                <c:pt idx="41">
                  <c:v>0.3776666666666666</c:v>
                </c:pt>
                <c:pt idx="42">
                  <c:v>0.3656666666666667</c:v>
                </c:pt>
                <c:pt idx="43">
                  <c:v>0.37533333333333335</c:v>
                </c:pt>
                <c:pt idx="44">
                  <c:v>0.42566666666666669</c:v>
                </c:pt>
                <c:pt idx="45">
                  <c:v>0.41233333333333333</c:v>
                </c:pt>
                <c:pt idx="46">
                  <c:v>0.40933333333333333</c:v>
                </c:pt>
                <c:pt idx="47">
                  <c:v>0.40566666666666668</c:v>
                </c:pt>
                <c:pt idx="48">
                  <c:v>0.41966666666666669</c:v>
                </c:pt>
                <c:pt idx="49">
                  <c:v>0.43466666666666665</c:v>
                </c:pt>
                <c:pt idx="50">
                  <c:v>0.46333333333333337</c:v>
                </c:pt>
                <c:pt idx="51">
                  <c:v>0.49100000000000005</c:v>
                </c:pt>
                <c:pt idx="52">
                  <c:v>0.51500000000000001</c:v>
                </c:pt>
                <c:pt idx="53">
                  <c:v>0.53933333333333333</c:v>
                </c:pt>
                <c:pt idx="54">
                  <c:v>0.45633333333333337</c:v>
                </c:pt>
                <c:pt idx="55">
                  <c:v>0.37699999999999995</c:v>
                </c:pt>
                <c:pt idx="56">
                  <c:v>0.25566666666666665</c:v>
                </c:pt>
                <c:pt idx="57">
                  <c:v>0.18700000000000003</c:v>
                </c:pt>
                <c:pt idx="58">
                  <c:v>0.18166666666666664</c:v>
                </c:pt>
                <c:pt idx="59">
                  <c:v>0.17666666666666667</c:v>
                </c:pt>
                <c:pt idx="60">
                  <c:v>0.20666666666666667</c:v>
                </c:pt>
                <c:pt idx="61">
                  <c:v>0.19</c:v>
                </c:pt>
                <c:pt idx="62">
                  <c:v>0.19433333333333333</c:v>
                </c:pt>
                <c:pt idx="63">
                  <c:v>0.25866666666666666</c:v>
                </c:pt>
                <c:pt idx="64">
                  <c:v>0.32066666666666666</c:v>
                </c:pt>
                <c:pt idx="65">
                  <c:v>0.3826666666666666</c:v>
                </c:pt>
                <c:pt idx="66">
                  <c:v>0.48433333333333334</c:v>
                </c:pt>
                <c:pt idx="67">
                  <c:v>0.60666666666666669</c:v>
                </c:pt>
                <c:pt idx="68">
                  <c:v>0.71866666666666668</c:v>
                </c:pt>
                <c:pt idx="69">
                  <c:v>0.74333333333333329</c:v>
                </c:pt>
                <c:pt idx="70">
                  <c:v>0.76033333333333331</c:v>
                </c:pt>
                <c:pt idx="71">
                  <c:v>0.72300000000000009</c:v>
                </c:pt>
                <c:pt idx="72">
                  <c:v>0.66266666666666663</c:v>
                </c:pt>
                <c:pt idx="73">
                  <c:v>0.58500000000000008</c:v>
                </c:pt>
                <c:pt idx="74">
                  <c:v>0.56533333333333335</c:v>
                </c:pt>
                <c:pt idx="75">
                  <c:v>0.55299999999999994</c:v>
                </c:pt>
                <c:pt idx="76">
                  <c:v>0.48266666666666669</c:v>
                </c:pt>
                <c:pt idx="77">
                  <c:v>0.51333333333333331</c:v>
                </c:pt>
                <c:pt idx="78">
                  <c:v>0.51700000000000002</c:v>
                </c:pt>
                <c:pt idx="79">
                  <c:v>0.47933333333333328</c:v>
                </c:pt>
                <c:pt idx="80">
                  <c:v>0.46933333333333332</c:v>
                </c:pt>
                <c:pt idx="81">
                  <c:v>0.47599999999999998</c:v>
                </c:pt>
                <c:pt idx="82">
                  <c:v>0.5066666666666666</c:v>
                </c:pt>
                <c:pt idx="83">
                  <c:v>0.52366666666666661</c:v>
                </c:pt>
                <c:pt idx="84">
                  <c:v>0.54066666666666663</c:v>
                </c:pt>
                <c:pt idx="85">
                  <c:v>0.54400000000000004</c:v>
                </c:pt>
                <c:pt idx="86">
                  <c:v>0.57133333333333336</c:v>
                </c:pt>
                <c:pt idx="87">
                  <c:v>0.55433333333333334</c:v>
                </c:pt>
                <c:pt idx="88">
                  <c:v>0.52699999999999991</c:v>
                </c:pt>
                <c:pt idx="89">
                  <c:v>0.48633333333333334</c:v>
                </c:pt>
                <c:pt idx="90">
                  <c:v>0.45899999999999996</c:v>
                </c:pt>
                <c:pt idx="91">
                  <c:v>0.442</c:v>
                </c:pt>
                <c:pt idx="92">
                  <c:v>0.39433333333333337</c:v>
                </c:pt>
                <c:pt idx="93">
                  <c:v>0.36733333333333329</c:v>
                </c:pt>
                <c:pt idx="94">
                  <c:v>0.35699999999999998</c:v>
                </c:pt>
                <c:pt idx="95">
                  <c:v>0.35033333333333333</c:v>
                </c:pt>
                <c:pt idx="96">
                  <c:v>0.34666666666666668</c:v>
                </c:pt>
                <c:pt idx="97">
                  <c:v>0.33666666666666667</c:v>
                </c:pt>
                <c:pt idx="98">
                  <c:v>0.33333333333333331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DA7-4143-B2AD-F8AC9045B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1"/>
          <c:h val="0.104324146981626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4455037037037038"/>
          <c:w val="0.89786818181818195"/>
          <c:h val="0.68756666666666677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'面板-景气指数'!$A$40</c:f>
              <c:strCache>
                <c:ptCount val="1"/>
                <c:pt idx="0">
                  <c:v>基础化工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'面板-景气指数'!$F$40:$CZ$40</c:f>
              <c:numCache>
                <c:formatCode>0.0%</c:formatCode>
                <c:ptCount val="99"/>
                <c:pt idx="0">
                  <c:v>0.29217727371569763</c:v>
                </c:pt>
                <c:pt idx="1">
                  <c:v>0.28263184263568425</c:v>
                </c:pt>
                <c:pt idx="2">
                  <c:v>0.31644587349847986</c:v>
                </c:pt>
                <c:pt idx="3">
                  <c:v>0.33879320674265012</c:v>
                </c:pt>
                <c:pt idx="4">
                  <c:v>0.36605606242466954</c:v>
                </c:pt>
                <c:pt idx="5">
                  <c:v>0.36500388397696398</c:v>
                </c:pt>
                <c:pt idx="6">
                  <c:v>0.37019438433423735</c:v>
                </c:pt>
                <c:pt idx="7">
                  <c:v>0.36400093138478962</c:v>
                </c:pt>
                <c:pt idx="8">
                  <c:v>0.30313350538199046</c:v>
                </c:pt>
                <c:pt idx="9">
                  <c:v>0.2364582482586895</c:v>
                </c:pt>
                <c:pt idx="10">
                  <c:v>0.19729741112389071</c:v>
                </c:pt>
                <c:pt idx="11">
                  <c:v>0.20050758766776597</c:v>
                </c:pt>
                <c:pt idx="12">
                  <c:v>0.28766882099395741</c:v>
                </c:pt>
                <c:pt idx="13">
                  <c:v>0.35653820668436031</c:v>
                </c:pt>
                <c:pt idx="14">
                  <c:v>0.42531386696630269</c:v>
                </c:pt>
                <c:pt idx="15">
                  <c:v>0.44895918288439768</c:v>
                </c:pt>
                <c:pt idx="16">
                  <c:v>0.43047180941618335</c:v>
                </c:pt>
                <c:pt idx="17">
                  <c:v>0.44342180076566967</c:v>
                </c:pt>
                <c:pt idx="18">
                  <c:v>0.46371313333254083</c:v>
                </c:pt>
                <c:pt idx="19">
                  <c:v>0.49426487696469301</c:v>
                </c:pt>
                <c:pt idx="20">
                  <c:v>0.52866390277754305</c:v>
                </c:pt>
                <c:pt idx="21">
                  <c:v>0.58038655602237998</c:v>
                </c:pt>
                <c:pt idx="22">
                  <c:v>0.65068384061905304</c:v>
                </c:pt>
                <c:pt idx="23">
                  <c:v>0.67841651004029968</c:v>
                </c:pt>
                <c:pt idx="24">
                  <c:v>0.67260519977926114</c:v>
                </c:pt>
                <c:pt idx="25">
                  <c:v>0.6759554173388358</c:v>
                </c:pt>
                <c:pt idx="26">
                  <c:v>0.67662898653229342</c:v>
                </c:pt>
                <c:pt idx="27">
                  <c:v>0.71870243619659357</c:v>
                </c:pt>
                <c:pt idx="28">
                  <c:v>0.74873873635253263</c:v>
                </c:pt>
                <c:pt idx="29">
                  <c:v>0.77557304382364811</c:v>
                </c:pt>
                <c:pt idx="30">
                  <c:v>0.77090141921774302</c:v>
                </c:pt>
                <c:pt idx="31">
                  <c:v>0.77772401143836811</c:v>
                </c:pt>
                <c:pt idx="32">
                  <c:v>0.76117998182404023</c:v>
                </c:pt>
                <c:pt idx="33">
                  <c:v>0.74977045260306752</c:v>
                </c:pt>
                <c:pt idx="34">
                  <c:v>0.73755918285328648</c:v>
                </c:pt>
                <c:pt idx="35">
                  <c:v>0.73103936914760115</c:v>
                </c:pt>
                <c:pt idx="36">
                  <c:v>0.72616629256030996</c:v>
                </c:pt>
                <c:pt idx="37">
                  <c:v>0.64998715933989037</c:v>
                </c:pt>
                <c:pt idx="38">
                  <c:v>0.58527544471960968</c:v>
                </c:pt>
                <c:pt idx="39">
                  <c:v>0.53399604124053357</c:v>
                </c:pt>
                <c:pt idx="40">
                  <c:v>0.53485437471782549</c:v>
                </c:pt>
                <c:pt idx="41">
                  <c:v>0.47870386116286334</c:v>
                </c:pt>
                <c:pt idx="42">
                  <c:v>0.41330955521055973</c:v>
                </c:pt>
                <c:pt idx="43">
                  <c:v>0.33278923024899676</c:v>
                </c:pt>
                <c:pt idx="44">
                  <c:v>0.30043663324416053</c:v>
                </c:pt>
                <c:pt idx="45">
                  <c:v>0.28715161421071866</c:v>
                </c:pt>
                <c:pt idx="46">
                  <c:v>0.26545657280909302</c:v>
                </c:pt>
                <c:pt idx="47">
                  <c:v>0.23412570380838152</c:v>
                </c:pt>
                <c:pt idx="48">
                  <c:v>0.22769053635159953</c:v>
                </c:pt>
                <c:pt idx="49">
                  <c:v>0.25292312753101809</c:v>
                </c:pt>
                <c:pt idx="50">
                  <c:v>0.31122108543877419</c:v>
                </c:pt>
                <c:pt idx="51">
                  <c:v>0.34918041326957322</c:v>
                </c:pt>
                <c:pt idx="52">
                  <c:v>0.35351143280021413</c:v>
                </c:pt>
                <c:pt idx="53">
                  <c:v>0.36280377291734012</c:v>
                </c:pt>
                <c:pt idx="54">
                  <c:v>0.35394416278207275</c:v>
                </c:pt>
                <c:pt idx="55">
                  <c:v>0.37606949411589002</c:v>
                </c:pt>
                <c:pt idx="56">
                  <c:v>0.3889767733502319</c:v>
                </c:pt>
                <c:pt idx="57">
                  <c:v>0.40684162252647837</c:v>
                </c:pt>
                <c:pt idx="58">
                  <c:v>0.42653930778430565</c:v>
                </c:pt>
                <c:pt idx="59">
                  <c:v>0.44468304012710441</c:v>
                </c:pt>
                <c:pt idx="60">
                  <c:v>0.44806226039592773</c:v>
                </c:pt>
                <c:pt idx="61">
                  <c:v>0.43797125793349095</c:v>
                </c:pt>
                <c:pt idx="62">
                  <c:v>0.42714092269002435</c:v>
                </c:pt>
                <c:pt idx="63">
                  <c:v>0.45553853646187253</c:v>
                </c:pt>
                <c:pt idx="64">
                  <c:v>0.46814663038083926</c:v>
                </c:pt>
                <c:pt idx="65">
                  <c:v>0.51119470479480711</c:v>
                </c:pt>
                <c:pt idx="66">
                  <c:v>0.56948777945060347</c:v>
                </c:pt>
                <c:pt idx="67">
                  <c:v>0.61689540186941938</c:v>
                </c:pt>
                <c:pt idx="68">
                  <c:v>0.64874770448418262</c:v>
                </c:pt>
                <c:pt idx="69">
                  <c:v>0.65604169620899944</c:v>
                </c:pt>
                <c:pt idx="70">
                  <c:v>0.67247175096158007</c:v>
                </c:pt>
                <c:pt idx="71">
                  <c:v>0.65678683044501063</c:v>
                </c:pt>
                <c:pt idx="72">
                  <c:v>0.65493473968322058</c:v>
                </c:pt>
                <c:pt idx="73">
                  <c:v>0.63056792507224746</c:v>
                </c:pt>
                <c:pt idx="74">
                  <c:v>0.63273041419701281</c:v>
                </c:pt>
                <c:pt idx="75">
                  <c:v>0.62226248251093841</c:v>
                </c:pt>
                <c:pt idx="76">
                  <c:v>0.62888049243254696</c:v>
                </c:pt>
                <c:pt idx="77">
                  <c:v>0.66261208956726503</c:v>
                </c:pt>
                <c:pt idx="78">
                  <c:v>0.71015783667096222</c:v>
                </c:pt>
                <c:pt idx="79">
                  <c:v>0.73200147515236369</c:v>
                </c:pt>
                <c:pt idx="80">
                  <c:v>0.70489639730234255</c:v>
                </c:pt>
                <c:pt idx="81">
                  <c:v>0.66613940725548082</c:v>
                </c:pt>
                <c:pt idx="82">
                  <c:v>0.62450608001300212</c:v>
                </c:pt>
                <c:pt idx="83">
                  <c:v>0.63283049400191704</c:v>
                </c:pt>
                <c:pt idx="84">
                  <c:v>0.6449955010555336</c:v>
                </c:pt>
                <c:pt idx="85">
                  <c:v>0.66335343911901845</c:v>
                </c:pt>
                <c:pt idx="86">
                  <c:v>0.67065112001723948</c:v>
                </c:pt>
                <c:pt idx="87">
                  <c:v>0.63934299317366627</c:v>
                </c:pt>
                <c:pt idx="88">
                  <c:v>0.59983284745739873</c:v>
                </c:pt>
                <c:pt idx="89">
                  <c:v>0.5440267471310708</c:v>
                </c:pt>
                <c:pt idx="90">
                  <c:v>0.49361878326212982</c:v>
                </c:pt>
                <c:pt idx="91">
                  <c:v>0.41780727449023647</c:v>
                </c:pt>
                <c:pt idx="92">
                  <c:v>0.37918046738733668</c:v>
                </c:pt>
                <c:pt idx="93">
                  <c:v>0.34155404812258805</c:v>
                </c:pt>
                <c:pt idx="94">
                  <c:v>0.33788510176872411</c:v>
                </c:pt>
                <c:pt idx="95">
                  <c:v>0.35237580039757233</c:v>
                </c:pt>
                <c:pt idx="96">
                  <c:v>0.36278628474495389</c:v>
                </c:pt>
                <c:pt idx="97">
                  <c:v>0.35894960203424919</c:v>
                </c:pt>
                <c:pt idx="98">
                  <c:v>0.33949323735569603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F7-411F-B22E-00E9935F9DB3}"/>
            </c:ext>
          </c:extLst>
        </c:ser>
        <c:ser>
          <c:idx val="1"/>
          <c:order val="1"/>
          <c:tx>
            <c:strRef>
              <c:f>'面板-景气指数'!$A$80</c:f>
              <c:strCache>
                <c:ptCount val="1"/>
                <c:pt idx="0">
                  <c:v>化学原料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'面板-景气指数'!$F$80:$CZ$80</c:f>
              <c:numCache>
                <c:formatCode>0.0%</c:formatCode>
                <c:ptCount val="99"/>
                <c:pt idx="0">
                  <c:v>0.24918725927695651</c:v>
                </c:pt>
                <c:pt idx="1">
                  <c:v>0.2369370586111923</c:v>
                </c:pt>
                <c:pt idx="2">
                  <c:v>0.28890281887237679</c:v>
                </c:pt>
                <c:pt idx="3">
                  <c:v>0.32015215855141621</c:v>
                </c:pt>
                <c:pt idx="4">
                  <c:v>0.40331709477070393</c:v>
                </c:pt>
                <c:pt idx="5">
                  <c:v>0.43610154278148094</c:v>
                </c:pt>
                <c:pt idx="6">
                  <c:v>0.42447936192968727</c:v>
                </c:pt>
                <c:pt idx="7">
                  <c:v>0.36939494016203972</c:v>
                </c:pt>
                <c:pt idx="8">
                  <c:v>0.25872218764138893</c:v>
                </c:pt>
                <c:pt idx="9">
                  <c:v>0.20179675144464346</c:v>
                </c:pt>
                <c:pt idx="10">
                  <c:v>0.1795942656375073</c:v>
                </c:pt>
                <c:pt idx="11">
                  <c:v>0.21636421707638812</c:v>
                </c:pt>
                <c:pt idx="12">
                  <c:v>0.25952883667281634</c:v>
                </c:pt>
                <c:pt idx="13">
                  <c:v>0.25378950721548099</c:v>
                </c:pt>
                <c:pt idx="14">
                  <c:v>0.23776970522960103</c:v>
                </c:pt>
                <c:pt idx="15">
                  <c:v>0.20479151696453479</c:v>
                </c:pt>
                <c:pt idx="16">
                  <c:v>0.16611581579893772</c:v>
                </c:pt>
                <c:pt idx="17">
                  <c:v>0.17188068739100804</c:v>
                </c:pt>
                <c:pt idx="18">
                  <c:v>0.20687762210140703</c:v>
                </c:pt>
                <c:pt idx="19">
                  <c:v>0.25737408409832319</c:v>
                </c:pt>
                <c:pt idx="20">
                  <c:v>0.32978296887117375</c:v>
                </c:pt>
                <c:pt idx="21">
                  <c:v>0.3915833913984752</c:v>
                </c:pt>
                <c:pt idx="22">
                  <c:v>0.48806559283970002</c:v>
                </c:pt>
                <c:pt idx="23">
                  <c:v>0.58531485619291024</c:v>
                </c:pt>
                <c:pt idx="24">
                  <c:v>0.62454636721552081</c:v>
                </c:pt>
                <c:pt idx="25">
                  <c:v>0.61527111013073588</c:v>
                </c:pt>
                <c:pt idx="26">
                  <c:v>0.62595981154612412</c:v>
                </c:pt>
                <c:pt idx="27">
                  <c:v>0.62377522812269659</c:v>
                </c:pt>
                <c:pt idx="28">
                  <c:v>0.64226342198274711</c:v>
                </c:pt>
                <c:pt idx="29">
                  <c:v>0.68193435557408444</c:v>
                </c:pt>
                <c:pt idx="30">
                  <c:v>0.68313216853159919</c:v>
                </c:pt>
                <c:pt idx="31">
                  <c:v>0.68919385370262365</c:v>
                </c:pt>
                <c:pt idx="32">
                  <c:v>0.70147223233679934</c:v>
                </c:pt>
                <c:pt idx="33">
                  <c:v>0.72131151071886601</c:v>
                </c:pt>
                <c:pt idx="34">
                  <c:v>0.77290356760917112</c:v>
                </c:pt>
                <c:pt idx="35">
                  <c:v>0.73467370962351675</c:v>
                </c:pt>
                <c:pt idx="36">
                  <c:v>0.74722652182007188</c:v>
                </c:pt>
                <c:pt idx="37">
                  <c:v>0.6500398359907934</c:v>
                </c:pt>
                <c:pt idx="38">
                  <c:v>0.581767694594294</c:v>
                </c:pt>
                <c:pt idx="39">
                  <c:v>0.51665529265588372</c:v>
                </c:pt>
                <c:pt idx="40">
                  <c:v>0.58393451683678133</c:v>
                </c:pt>
                <c:pt idx="41">
                  <c:v>0.582178871553655</c:v>
                </c:pt>
                <c:pt idx="42">
                  <c:v>0.51522491793967717</c:v>
                </c:pt>
                <c:pt idx="43">
                  <c:v>0.44918689918656335</c:v>
                </c:pt>
                <c:pt idx="44">
                  <c:v>0.36744889917196338</c:v>
                </c:pt>
                <c:pt idx="45">
                  <c:v>0.28925356631971427</c:v>
                </c:pt>
                <c:pt idx="46">
                  <c:v>0.19144469942015011</c:v>
                </c:pt>
                <c:pt idx="47">
                  <c:v>0.16681431853363721</c:v>
                </c:pt>
                <c:pt idx="48">
                  <c:v>0.19226320293233659</c:v>
                </c:pt>
                <c:pt idx="49">
                  <c:v>0.3004951207342112</c:v>
                </c:pt>
                <c:pt idx="50">
                  <c:v>0.53344073980157325</c:v>
                </c:pt>
                <c:pt idx="51">
                  <c:v>0.61592558885657189</c:v>
                </c:pt>
                <c:pt idx="52">
                  <c:v>0.59497181129231802</c:v>
                </c:pt>
                <c:pt idx="53">
                  <c:v>0.53315078205964572</c:v>
                </c:pt>
                <c:pt idx="54">
                  <c:v>0.42234100533669744</c:v>
                </c:pt>
                <c:pt idx="55">
                  <c:v>0.40884093990105125</c:v>
                </c:pt>
                <c:pt idx="56">
                  <c:v>0.45565391314518211</c:v>
                </c:pt>
                <c:pt idx="57">
                  <c:v>0.52602474344067729</c:v>
                </c:pt>
                <c:pt idx="58">
                  <c:v>0.52616243782474481</c:v>
                </c:pt>
                <c:pt idx="59">
                  <c:v>0.51126944066829316</c:v>
                </c:pt>
                <c:pt idx="60">
                  <c:v>0.48014435129860467</c:v>
                </c:pt>
                <c:pt idx="61">
                  <c:v>0.52181458444810069</c:v>
                </c:pt>
                <c:pt idx="62">
                  <c:v>0.55581601936232772</c:v>
                </c:pt>
                <c:pt idx="63">
                  <c:v>0.55215867645839678</c:v>
                </c:pt>
                <c:pt idx="64">
                  <c:v>0.501149583681743</c:v>
                </c:pt>
                <c:pt idx="65">
                  <c:v>0.47649135232037348</c:v>
                </c:pt>
                <c:pt idx="66">
                  <c:v>0.48522548491131845</c:v>
                </c:pt>
                <c:pt idx="67">
                  <c:v>0.57565702515286621</c:v>
                </c:pt>
                <c:pt idx="68">
                  <c:v>0.695128770452206</c:v>
                </c:pt>
                <c:pt idx="69">
                  <c:v>0.73329002002619348</c:v>
                </c:pt>
                <c:pt idx="70">
                  <c:v>0.74782873818181672</c:v>
                </c:pt>
                <c:pt idx="71">
                  <c:v>0.6888228330578543</c:v>
                </c:pt>
                <c:pt idx="72">
                  <c:v>0.60992264919275263</c:v>
                </c:pt>
                <c:pt idx="73">
                  <c:v>0.56429987534089276</c:v>
                </c:pt>
                <c:pt idx="74">
                  <c:v>0.55790652080459191</c:v>
                </c:pt>
                <c:pt idx="75">
                  <c:v>0.48159683406461301</c:v>
                </c:pt>
                <c:pt idx="76">
                  <c:v>0.46376959407556412</c:v>
                </c:pt>
                <c:pt idx="77">
                  <c:v>0.54537639009856564</c:v>
                </c:pt>
                <c:pt idx="78">
                  <c:v>0.76427745502432543</c:v>
                </c:pt>
                <c:pt idx="79">
                  <c:v>0.79767418093015452</c:v>
                </c:pt>
                <c:pt idx="80">
                  <c:v>0.76981212746085181</c:v>
                </c:pt>
                <c:pt idx="81">
                  <c:v>0.69641869146541868</c:v>
                </c:pt>
                <c:pt idx="82">
                  <c:v>0.6166236691178747</c:v>
                </c:pt>
                <c:pt idx="83">
                  <c:v>0.66515339408165519</c:v>
                </c:pt>
                <c:pt idx="84">
                  <c:v>0.7590836956757685</c:v>
                </c:pt>
                <c:pt idx="85">
                  <c:v>0.82216206906658473</c:v>
                </c:pt>
                <c:pt idx="86">
                  <c:v>0.85484824194770725</c:v>
                </c:pt>
                <c:pt idx="87">
                  <c:v>0.85090033752992722</c:v>
                </c:pt>
                <c:pt idx="88">
                  <c:v>0.82376901179346318</c:v>
                </c:pt>
                <c:pt idx="89">
                  <c:v>0.77486825123715042</c:v>
                </c:pt>
                <c:pt idx="90">
                  <c:v>0.70213642546108368</c:v>
                </c:pt>
                <c:pt idx="91">
                  <c:v>0.58622063683488024</c:v>
                </c:pt>
                <c:pt idx="92">
                  <c:v>0.43462525735033131</c:v>
                </c:pt>
                <c:pt idx="93">
                  <c:v>0.31784787304775025</c:v>
                </c:pt>
                <c:pt idx="94">
                  <c:v>0.26604590638827053</c:v>
                </c:pt>
                <c:pt idx="95">
                  <c:v>0.29784652363316888</c:v>
                </c:pt>
                <c:pt idx="96">
                  <c:v>0.3279998518834642</c:v>
                </c:pt>
                <c:pt idx="97">
                  <c:v>0.31631564903344472</c:v>
                </c:pt>
                <c:pt idx="98">
                  <c:v>0.25361460559127508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8F7-411F-B22E-00E9935F9DB3}"/>
            </c:ext>
          </c:extLst>
        </c:ser>
        <c:ser>
          <c:idx val="2"/>
          <c:order val="2"/>
          <c:tx>
            <c:strRef>
              <c:f>'面板-景气指数'!$A$81</c:f>
              <c:strCache>
                <c:ptCount val="1"/>
                <c:pt idx="0">
                  <c:v>化学制品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'面板-景气指数'!$F$81:$CZ$81</c:f>
              <c:numCache>
                <c:formatCode>0.0%</c:formatCode>
                <c:ptCount val="99"/>
                <c:pt idx="0">
                  <c:v>0.41705215744218005</c:v>
                </c:pt>
                <c:pt idx="1">
                  <c:v>0.4151559578385301</c:v>
                </c:pt>
                <c:pt idx="2">
                  <c:v>0.43100398145984808</c:v>
                </c:pt>
                <c:pt idx="3">
                  <c:v>0.45502587951860091</c:v>
                </c:pt>
                <c:pt idx="4">
                  <c:v>0.46313569196582743</c:v>
                </c:pt>
                <c:pt idx="5">
                  <c:v>0.4698748086503341</c:v>
                </c:pt>
                <c:pt idx="6">
                  <c:v>0.47078157858950598</c:v>
                </c:pt>
                <c:pt idx="7">
                  <c:v>0.48679030667652035</c:v>
                </c:pt>
                <c:pt idx="8">
                  <c:v>0.33991038478293056</c:v>
                </c:pt>
                <c:pt idx="9">
                  <c:v>0.24248097048719547</c:v>
                </c:pt>
                <c:pt idx="10">
                  <c:v>0.18543822602032053</c:v>
                </c:pt>
                <c:pt idx="11">
                  <c:v>0.18558362405310472</c:v>
                </c:pt>
                <c:pt idx="12">
                  <c:v>0.2336767451368929</c:v>
                </c:pt>
                <c:pt idx="13">
                  <c:v>0.29219880243118324</c:v>
                </c:pt>
                <c:pt idx="14">
                  <c:v>0.3680903499037888</c:v>
                </c:pt>
                <c:pt idx="15">
                  <c:v>0.37888187984772681</c:v>
                </c:pt>
                <c:pt idx="16">
                  <c:v>0.38006109317770226</c:v>
                </c:pt>
                <c:pt idx="17">
                  <c:v>0.42099436204766416</c:v>
                </c:pt>
                <c:pt idx="18">
                  <c:v>0.43064002289850056</c:v>
                </c:pt>
                <c:pt idx="19">
                  <c:v>0.4422013900265564</c:v>
                </c:pt>
                <c:pt idx="20">
                  <c:v>0.4581730118332818</c:v>
                </c:pt>
                <c:pt idx="21">
                  <c:v>0.48943957648790459</c:v>
                </c:pt>
                <c:pt idx="22">
                  <c:v>0.52014204005063991</c:v>
                </c:pt>
                <c:pt idx="23">
                  <c:v>0.55390928442543186</c:v>
                </c:pt>
                <c:pt idx="24">
                  <c:v>0.54971014138579477</c:v>
                </c:pt>
                <c:pt idx="25">
                  <c:v>0.55403425260452022</c:v>
                </c:pt>
                <c:pt idx="26">
                  <c:v>0.54430025801512183</c:v>
                </c:pt>
                <c:pt idx="27">
                  <c:v>0.59832532981627817</c:v>
                </c:pt>
                <c:pt idx="28">
                  <c:v>0.67224761258521293</c:v>
                </c:pt>
                <c:pt idx="29">
                  <c:v>0.70441375726594313</c:v>
                </c:pt>
                <c:pt idx="30">
                  <c:v>0.70402505782675162</c:v>
                </c:pt>
                <c:pt idx="31">
                  <c:v>0.72384426297723281</c:v>
                </c:pt>
                <c:pt idx="32">
                  <c:v>0.71545790993018565</c:v>
                </c:pt>
                <c:pt idx="33">
                  <c:v>0.68213829905187018</c:v>
                </c:pt>
                <c:pt idx="34">
                  <c:v>0.67054609452214997</c:v>
                </c:pt>
                <c:pt idx="35">
                  <c:v>0.7153338516204949</c:v>
                </c:pt>
                <c:pt idx="36">
                  <c:v>0.77675398999517042</c:v>
                </c:pt>
                <c:pt idx="37">
                  <c:v>0.71281376858855794</c:v>
                </c:pt>
                <c:pt idx="38">
                  <c:v>0.6368479938092515</c:v>
                </c:pt>
                <c:pt idx="39">
                  <c:v>0.55374484414812775</c:v>
                </c:pt>
                <c:pt idx="40">
                  <c:v>0.59214501556915999</c:v>
                </c:pt>
                <c:pt idx="41">
                  <c:v>0.56000177909422555</c:v>
                </c:pt>
                <c:pt idx="42">
                  <c:v>0.49861816728227076</c:v>
                </c:pt>
                <c:pt idx="43">
                  <c:v>0.37179998547894977</c:v>
                </c:pt>
                <c:pt idx="44">
                  <c:v>0.31138253260509285</c:v>
                </c:pt>
                <c:pt idx="45">
                  <c:v>0.30542226552597618</c:v>
                </c:pt>
                <c:pt idx="46">
                  <c:v>0.29131593283429369</c:v>
                </c:pt>
                <c:pt idx="47">
                  <c:v>0.21760766050274458</c:v>
                </c:pt>
                <c:pt idx="48">
                  <c:v>0.18919673670624343</c:v>
                </c:pt>
                <c:pt idx="49">
                  <c:v>0.20710875219767541</c:v>
                </c:pt>
                <c:pt idx="50">
                  <c:v>0.26410969963887032</c:v>
                </c:pt>
                <c:pt idx="51">
                  <c:v>0.32644974052681597</c:v>
                </c:pt>
                <c:pt idx="52">
                  <c:v>0.33633278289508728</c:v>
                </c:pt>
                <c:pt idx="53">
                  <c:v>0.3447660188605764</c:v>
                </c:pt>
                <c:pt idx="54">
                  <c:v>0.31891866747983344</c:v>
                </c:pt>
                <c:pt idx="55">
                  <c:v>0.3162652185056109</c:v>
                </c:pt>
                <c:pt idx="56">
                  <c:v>0.31752918933056312</c:v>
                </c:pt>
                <c:pt idx="57">
                  <c:v>0.33911439281361105</c:v>
                </c:pt>
                <c:pt idx="58">
                  <c:v>0.37302416985816678</c:v>
                </c:pt>
                <c:pt idx="59">
                  <c:v>0.41127564551337414</c:v>
                </c:pt>
                <c:pt idx="60">
                  <c:v>0.43537186462596189</c:v>
                </c:pt>
                <c:pt idx="61">
                  <c:v>0.4234764584372474</c:v>
                </c:pt>
                <c:pt idx="62">
                  <c:v>0.40982585592972059</c:v>
                </c:pt>
                <c:pt idx="63">
                  <c:v>0.4271393454074347</c:v>
                </c:pt>
                <c:pt idx="64">
                  <c:v>0.4426189747035465</c:v>
                </c:pt>
                <c:pt idx="65">
                  <c:v>0.50886704286774831</c:v>
                </c:pt>
                <c:pt idx="66">
                  <c:v>0.54754410439493084</c:v>
                </c:pt>
                <c:pt idx="67">
                  <c:v>0.59383094707233131</c:v>
                </c:pt>
                <c:pt idx="68">
                  <c:v>0.62852243747088976</c:v>
                </c:pt>
                <c:pt idx="69">
                  <c:v>0.66230936245347227</c:v>
                </c:pt>
                <c:pt idx="70">
                  <c:v>0.69308948625434996</c:v>
                </c:pt>
                <c:pt idx="71">
                  <c:v>0.68440900589875686</c:v>
                </c:pt>
                <c:pt idx="72">
                  <c:v>0.71443418670669223</c:v>
                </c:pt>
                <c:pt idx="73">
                  <c:v>0.67888164662503225</c:v>
                </c:pt>
                <c:pt idx="74">
                  <c:v>0.6796022894154331</c:v>
                </c:pt>
                <c:pt idx="75">
                  <c:v>0.6773654440117387</c:v>
                </c:pt>
                <c:pt idx="76">
                  <c:v>0.71893836549815671</c:v>
                </c:pt>
                <c:pt idx="77">
                  <c:v>0.74680179949646486</c:v>
                </c:pt>
                <c:pt idx="78">
                  <c:v>0.79082236114413784</c:v>
                </c:pt>
                <c:pt idx="79">
                  <c:v>0.84843674205260489</c:v>
                </c:pt>
                <c:pt idx="80">
                  <c:v>0.82864966451173006</c:v>
                </c:pt>
                <c:pt idx="81">
                  <c:v>0.80309043539645353</c:v>
                </c:pt>
                <c:pt idx="82">
                  <c:v>0.80885529532558553</c:v>
                </c:pt>
                <c:pt idx="83">
                  <c:v>0.83603323558770315</c:v>
                </c:pt>
                <c:pt idx="84">
                  <c:v>0.76203358966361978</c:v>
                </c:pt>
                <c:pt idx="85">
                  <c:v>0.69355998963335475</c:v>
                </c:pt>
                <c:pt idx="86">
                  <c:v>0.6525506854049371</c:v>
                </c:pt>
                <c:pt idx="87">
                  <c:v>0.62548444899433953</c:v>
                </c:pt>
                <c:pt idx="88">
                  <c:v>0.61400493033676418</c:v>
                </c:pt>
                <c:pt idx="89">
                  <c:v>0.57095676629399161</c:v>
                </c:pt>
                <c:pt idx="90">
                  <c:v>0.517982895998925</c:v>
                </c:pt>
                <c:pt idx="91">
                  <c:v>0.39676362239161594</c:v>
                </c:pt>
                <c:pt idx="92">
                  <c:v>0.35541132140604847</c:v>
                </c:pt>
                <c:pt idx="93">
                  <c:v>0.31539122175815359</c:v>
                </c:pt>
                <c:pt idx="94">
                  <c:v>0.28654698564808456</c:v>
                </c:pt>
                <c:pt idx="95">
                  <c:v>0.28835439746277919</c:v>
                </c:pt>
                <c:pt idx="96">
                  <c:v>0.28065689153306783</c:v>
                </c:pt>
                <c:pt idx="97">
                  <c:v>0.28578125605562388</c:v>
                </c:pt>
                <c:pt idx="98">
                  <c:v>0.2658415596553162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8F7-411F-B22E-00E9935F9DB3}"/>
            </c:ext>
          </c:extLst>
        </c:ser>
        <c:ser>
          <c:idx val="3"/>
          <c:order val="3"/>
          <c:tx>
            <c:strRef>
              <c:f>'面板-景气指数'!$A$82</c:f>
              <c:strCache>
                <c:ptCount val="1"/>
                <c:pt idx="0">
                  <c:v>化学纤维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'面板-景气指数'!$F$82:$CZ$82</c:f>
              <c:numCache>
                <c:formatCode>0.0%</c:formatCode>
                <c:ptCount val="99"/>
                <c:pt idx="0">
                  <c:v>0.35373444098748702</c:v>
                </c:pt>
                <c:pt idx="1">
                  <c:v>0.35032429214388594</c:v>
                </c:pt>
                <c:pt idx="2">
                  <c:v>0.43294850004699209</c:v>
                </c:pt>
                <c:pt idx="3">
                  <c:v>0.44988738720937355</c:v>
                </c:pt>
                <c:pt idx="4">
                  <c:v>0.41229810185756383</c:v>
                </c:pt>
                <c:pt idx="5">
                  <c:v>0.34794621296007922</c:v>
                </c:pt>
                <c:pt idx="6">
                  <c:v>0.32840464393779151</c:v>
                </c:pt>
                <c:pt idx="7">
                  <c:v>0.33930889223698874</c:v>
                </c:pt>
                <c:pt idx="8">
                  <c:v>0.31699943904768862</c:v>
                </c:pt>
                <c:pt idx="9">
                  <c:v>0.27512965872015505</c:v>
                </c:pt>
                <c:pt idx="10">
                  <c:v>0.26573697902767923</c:v>
                </c:pt>
                <c:pt idx="11">
                  <c:v>0.27180202972369155</c:v>
                </c:pt>
                <c:pt idx="12">
                  <c:v>0.27152628855639738</c:v>
                </c:pt>
                <c:pt idx="13">
                  <c:v>0.29944455128711689</c:v>
                </c:pt>
                <c:pt idx="14">
                  <c:v>0.34809231239689375</c:v>
                </c:pt>
                <c:pt idx="15">
                  <c:v>0.42040955941244806</c:v>
                </c:pt>
                <c:pt idx="16">
                  <c:v>0.41024873161499747</c:v>
                </c:pt>
                <c:pt idx="17">
                  <c:v>0.45459524138551843</c:v>
                </c:pt>
                <c:pt idx="18">
                  <c:v>0.52533416864686577</c:v>
                </c:pt>
                <c:pt idx="19">
                  <c:v>0.53518755375122573</c:v>
                </c:pt>
                <c:pt idx="20">
                  <c:v>0.49609055704422172</c:v>
                </c:pt>
                <c:pt idx="21">
                  <c:v>0.46233850620698647</c:v>
                </c:pt>
                <c:pt idx="22">
                  <c:v>0.59924905711045817</c:v>
                </c:pt>
                <c:pt idx="23">
                  <c:v>0.53901248812756786</c:v>
                </c:pt>
                <c:pt idx="24">
                  <c:v>0.46529578997800281</c:v>
                </c:pt>
                <c:pt idx="25">
                  <c:v>0.53884100341201613</c:v>
                </c:pt>
                <c:pt idx="26">
                  <c:v>0.56252352676224804</c:v>
                </c:pt>
                <c:pt idx="27">
                  <c:v>0.67830226545501082</c:v>
                </c:pt>
                <c:pt idx="28">
                  <c:v>0.66652259716152518</c:v>
                </c:pt>
                <c:pt idx="29">
                  <c:v>0.71138157347942765</c:v>
                </c:pt>
                <c:pt idx="30">
                  <c:v>0.68110767068472655</c:v>
                </c:pt>
                <c:pt idx="31">
                  <c:v>0.68969647943199874</c:v>
                </c:pt>
                <c:pt idx="32">
                  <c:v>0.64755402026491249</c:v>
                </c:pt>
                <c:pt idx="33">
                  <c:v>0.65984775274778396</c:v>
                </c:pt>
                <c:pt idx="34">
                  <c:v>0.61411030889293361</c:v>
                </c:pt>
                <c:pt idx="35">
                  <c:v>0.59263915826881242</c:v>
                </c:pt>
                <c:pt idx="36">
                  <c:v>0.53743269346654376</c:v>
                </c:pt>
                <c:pt idx="37">
                  <c:v>0.40829971822907019</c:v>
                </c:pt>
                <c:pt idx="38">
                  <c:v>0.37948503680642981</c:v>
                </c:pt>
                <c:pt idx="39">
                  <c:v>0.43912847930732296</c:v>
                </c:pt>
                <c:pt idx="40">
                  <c:v>0.45607520887327035</c:v>
                </c:pt>
                <c:pt idx="41">
                  <c:v>0.39668965137554896</c:v>
                </c:pt>
                <c:pt idx="42">
                  <c:v>0.33756339066976399</c:v>
                </c:pt>
                <c:pt idx="43">
                  <c:v>0.31407756088658645</c:v>
                </c:pt>
                <c:pt idx="44">
                  <c:v>0.33741618411189689</c:v>
                </c:pt>
                <c:pt idx="45">
                  <c:v>0.37001264795067484</c:v>
                </c:pt>
                <c:pt idx="46">
                  <c:v>0.35510699032300819</c:v>
                </c:pt>
                <c:pt idx="47">
                  <c:v>0.30424847671882849</c:v>
                </c:pt>
                <c:pt idx="48">
                  <c:v>0.222533197499174</c:v>
                </c:pt>
                <c:pt idx="49">
                  <c:v>0.2313486111426323</c:v>
                </c:pt>
                <c:pt idx="50">
                  <c:v>0.24773437410885826</c:v>
                </c:pt>
                <c:pt idx="51">
                  <c:v>0.28103281183239359</c:v>
                </c:pt>
                <c:pt idx="52">
                  <c:v>0.28588892477355432</c:v>
                </c:pt>
                <c:pt idx="53">
                  <c:v>0.33093619002825386</c:v>
                </c:pt>
                <c:pt idx="54">
                  <c:v>0.36034093809766021</c:v>
                </c:pt>
                <c:pt idx="55">
                  <c:v>0.44255914970691862</c:v>
                </c:pt>
                <c:pt idx="56">
                  <c:v>0.48873171061124299</c:v>
                </c:pt>
                <c:pt idx="57">
                  <c:v>0.54223092915629767</c:v>
                </c:pt>
                <c:pt idx="58">
                  <c:v>0.61920679443542859</c:v>
                </c:pt>
                <c:pt idx="59">
                  <c:v>0.66479753398444397</c:v>
                </c:pt>
                <c:pt idx="60">
                  <c:v>0.695256756353126</c:v>
                </c:pt>
                <c:pt idx="61">
                  <c:v>0.64299101418032678</c:v>
                </c:pt>
                <c:pt idx="62">
                  <c:v>0.60300113004195777</c:v>
                </c:pt>
                <c:pt idx="63">
                  <c:v>0.66704414801171419</c:v>
                </c:pt>
                <c:pt idx="64">
                  <c:v>0.66718227281939191</c:v>
                </c:pt>
                <c:pt idx="65">
                  <c:v>0.69761562750749329</c:v>
                </c:pt>
                <c:pt idx="66">
                  <c:v>0.81480035949983809</c:v>
                </c:pt>
                <c:pt idx="67">
                  <c:v>0.79182748232074762</c:v>
                </c:pt>
                <c:pt idx="68">
                  <c:v>0.75577078120902108</c:v>
                </c:pt>
                <c:pt idx="69">
                  <c:v>0.66535741120765679</c:v>
                </c:pt>
                <c:pt idx="70">
                  <c:v>0.66172461973698782</c:v>
                </c:pt>
                <c:pt idx="71">
                  <c:v>0.65127869509995073</c:v>
                </c:pt>
                <c:pt idx="72">
                  <c:v>0.63581559201998217</c:v>
                </c:pt>
                <c:pt idx="73">
                  <c:v>0.61195481564456256</c:v>
                </c:pt>
                <c:pt idx="74">
                  <c:v>0.62401062280705732</c:v>
                </c:pt>
                <c:pt idx="75">
                  <c:v>0.62934953634678881</c:v>
                </c:pt>
                <c:pt idx="76">
                  <c:v>0.64486424182685986</c:v>
                </c:pt>
                <c:pt idx="77">
                  <c:v>0.68589051214973218</c:v>
                </c:pt>
                <c:pt idx="78">
                  <c:v>0.70580211647467017</c:v>
                </c:pt>
                <c:pt idx="79">
                  <c:v>0.72750319239753691</c:v>
                </c:pt>
                <c:pt idx="80">
                  <c:v>0.67031439787467573</c:v>
                </c:pt>
                <c:pt idx="81">
                  <c:v>0.60861907503899049</c:v>
                </c:pt>
                <c:pt idx="82">
                  <c:v>0.47711762527905421</c:v>
                </c:pt>
                <c:pt idx="83">
                  <c:v>0.49101067455170155</c:v>
                </c:pt>
                <c:pt idx="84">
                  <c:v>0.59460001074856506</c:v>
                </c:pt>
                <c:pt idx="85">
                  <c:v>0.69627048231081778</c:v>
                </c:pt>
                <c:pt idx="86">
                  <c:v>0.68779466304632009</c:v>
                </c:pt>
                <c:pt idx="87">
                  <c:v>0.64622031859000628</c:v>
                </c:pt>
                <c:pt idx="88">
                  <c:v>0.55434391745084965</c:v>
                </c:pt>
                <c:pt idx="89">
                  <c:v>0.49029180479242579</c:v>
                </c:pt>
                <c:pt idx="90">
                  <c:v>0.4470948517593798</c:v>
                </c:pt>
                <c:pt idx="91">
                  <c:v>0.4055802508361584</c:v>
                </c:pt>
                <c:pt idx="92">
                  <c:v>0.38625061300710783</c:v>
                </c:pt>
                <c:pt idx="93">
                  <c:v>0.34109435369306595</c:v>
                </c:pt>
                <c:pt idx="94">
                  <c:v>0.39656101923496545</c:v>
                </c:pt>
                <c:pt idx="95">
                  <c:v>0.40747308074200833</c:v>
                </c:pt>
                <c:pt idx="96">
                  <c:v>0.43719631633469219</c:v>
                </c:pt>
                <c:pt idx="97">
                  <c:v>0.3962371951482469</c:v>
                </c:pt>
                <c:pt idx="98">
                  <c:v>0.36843079513618066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8F7-411F-B22E-00E9935F9DB3}"/>
            </c:ext>
          </c:extLst>
        </c:ser>
        <c:ser>
          <c:idx val="4"/>
          <c:order val="4"/>
          <c:tx>
            <c:strRef>
              <c:f>'面板-景气指数'!$A$85</c:f>
              <c:strCache>
                <c:ptCount val="1"/>
                <c:pt idx="0">
                  <c:v>农化制品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7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'面板-景气指数'!$F$85:$CZ$85</c:f>
              <c:numCache>
                <c:formatCode>0.0%</c:formatCode>
                <c:ptCount val="99"/>
                <c:pt idx="0">
                  <c:v>0.15321428571428572</c:v>
                </c:pt>
                <c:pt idx="1">
                  <c:v>0.13814285714285712</c:v>
                </c:pt>
                <c:pt idx="2">
                  <c:v>0.21807142857142855</c:v>
                </c:pt>
                <c:pt idx="3">
                  <c:v>0.26914285714285713</c:v>
                </c:pt>
                <c:pt idx="4">
                  <c:v>0.35728571428571426</c:v>
                </c:pt>
                <c:pt idx="5">
                  <c:v>0.36549999999999999</c:v>
                </c:pt>
                <c:pt idx="6">
                  <c:v>0.41928571428571437</c:v>
                </c:pt>
                <c:pt idx="7">
                  <c:v>0.38414285714285723</c:v>
                </c:pt>
                <c:pt idx="8">
                  <c:v>0.28950000000000004</c:v>
                </c:pt>
                <c:pt idx="9">
                  <c:v>0.11485714285714287</c:v>
                </c:pt>
                <c:pt idx="10">
                  <c:v>5.0928571428571434E-2</c:v>
                </c:pt>
                <c:pt idx="11">
                  <c:v>0.11271428571428573</c:v>
                </c:pt>
                <c:pt idx="12">
                  <c:v>0.35278571428571426</c:v>
                </c:pt>
                <c:pt idx="13">
                  <c:v>0.49864285714285711</c:v>
                </c:pt>
                <c:pt idx="14">
                  <c:v>0.57335714285714279</c:v>
                </c:pt>
                <c:pt idx="15">
                  <c:v>0.58635714285714302</c:v>
                </c:pt>
                <c:pt idx="16">
                  <c:v>0.50164285714285717</c:v>
                </c:pt>
                <c:pt idx="17">
                  <c:v>0.43378571428571433</c:v>
                </c:pt>
                <c:pt idx="18">
                  <c:v>0.41292857142857137</c:v>
                </c:pt>
                <c:pt idx="19">
                  <c:v>0.46092857142857141</c:v>
                </c:pt>
                <c:pt idx="20">
                  <c:v>0.56635714285714289</c:v>
                </c:pt>
                <c:pt idx="21">
                  <c:v>0.73357142857142854</c:v>
                </c:pt>
                <c:pt idx="22">
                  <c:v>0.87857142857142856</c:v>
                </c:pt>
                <c:pt idx="23">
                  <c:v>0.92649999999999999</c:v>
                </c:pt>
                <c:pt idx="24">
                  <c:v>0.90871428571428581</c:v>
                </c:pt>
                <c:pt idx="25">
                  <c:v>0.85285714285714276</c:v>
                </c:pt>
                <c:pt idx="26">
                  <c:v>0.85678571428571437</c:v>
                </c:pt>
                <c:pt idx="27">
                  <c:v>0.89971428571428569</c:v>
                </c:pt>
                <c:pt idx="28">
                  <c:v>0.9096428571428572</c:v>
                </c:pt>
                <c:pt idx="29">
                  <c:v>0.92614285714285716</c:v>
                </c:pt>
                <c:pt idx="30">
                  <c:v>0.94271428571428562</c:v>
                </c:pt>
                <c:pt idx="31">
                  <c:v>0.96585714285714264</c:v>
                </c:pt>
                <c:pt idx="32">
                  <c:v>0.96621428571428591</c:v>
                </c:pt>
                <c:pt idx="33">
                  <c:v>0.94542857142857151</c:v>
                </c:pt>
                <c:pt idx="34">
                  <c:v>0.90885714285714281</c:v>
                </c:pt>
                <c:pt idx="35">
                  <c:v>0.85485714285714276</c:v>
                </c:pt>
                <c:pt idx="36">
                  <c:v>0.77707142857142864</c:v>
                </c:pt>
                <c:pt idx="37">
                  <c:v>0.70742857142857141</c:v>
                </c:pt>
                <c:pt idx="38">
                  <c:v>0.61835714285714283</c:v>
                </c:pt>
                <c:pt idx="39">
                  <c:v>0.57157142857142873</c:v>
                </c:pt>
                <c:pt idx="40">
                  <c:v>0.52192857142857152</c:v>
                </c:pt>
                <c:pt idx="41">
                  <c:v>0.44871428571428573</c:v>
                </c:pt>
                <c:pt idx="42">
                  <c:v>0.38599999999999995</c:v>
                </c:pt>
                <c:pt idx="43">
                  <c:v>0.32178571428571434</c:v>
                </c:pt>
                <c:pt idx="44">
                  <c:v>0.29100000000000004</c:v>
                </c:pt>
                <c:pt idx="45">
                  <c:v>0.25821428571428579</c:v>
                </c:pt>
                <c:pt idx="46">
                  <c:v>0.22407142857142859</c:v>
                </c:pt>
                <c:pt idx="47">
                  <c:v>0.23035714285714282</c:v>
                </c:pt>
                <c:pt idx="48">
                  <c:v>0.28100000000000003</c:v>
                </c:pt>
                <c:pt idx="49">
                  <c:v>0.27692857142857147</c:v>
                </c:pt>
                <c:pt idx="50">
                  <c:v>0.27200000000000002</c:v>
                </c:pt>
                <c:pt idx="51">
                  <c:v>0.22757142857142859</c:v>
                </c:pt>
                <c:pt idx="52">
                  <c:v>0.20500000000000002</c:v>
                </c:pt>
                <c:pt idx="53">
                  <c:v>0.21614285714285711</c:v>
                </c:pt>
                <c:pt idx="54">
                  <c:v>0.26792857142857135</c:v>
                </c:pt>
                <c:pt idx="55">
                  <c:v>0.34957142857142859</c:v>
                </c:pt>
                <c:pt idx="56">
                  <c:v>0.39750000000000008</c:v>
                </c:pt>
                <c:pt idx="57">
                  <c:v>0.41914285714285715</c:v>
                </c:pt>
                <c:pt idx="58">
                  <c:v>0.45107142857142851</c:v>
                </c:pt>
                <c:pt idx="59">
                  <c:v>0.49221428571428572</c:v>
                </c:pt>
                <c:pt idx="60">
                  <c:v>0.47792857142857148</c:v>
                </c:pt>
                <c:pt idx="61">
                  <c:v>0.46607142857142853</c:v>
                </c:pt>
                <c:pt idx="62">
                  <c:v>0.45507142857142852</c:v>
                </c:pt>
                <c:pt idx="63">
                  <c:v>0.53021428571428575</c:v>
                </c:pt>
                <c:pt idx="64">
                  <c:v>0.60571428571428565</c:v>
                </c:pt>
                <c:pt idx="65">
                  <c:v>0.65971428571428581</c:v>
                </c:pt>
                <c:pt idx="66">
                  <c:v>0.71499999999999997</c:v>
                </c:pt>
                <c:pt idx="67">
                  <c:v>0.71957142857142853</c:v>
                </c:pt>
                <c:pt idx="68">
                  <c:v>0.71021428571428569</c:v>
                </c:pt>
                <c:pt idx="69">
                  <c:v>0.68171428571428572</c:v>
                </c:pt>
                <c:pt idx="70">
                  <c:v>0.68100000000000005</c:v>
                </c:pt>
                <c:pt idx="71">
                  <c:v>0.65828571428571425</c:v>
                </c:pt>
                <c:pt idx="72">
                  <c:v>0.65328571428571436</c:v>
                </c:pt>
                <c:pt idx="73">
                  <c:v>0.6379999999999999</c:v>
                </c:pt>
                <c:pt idx="74">
                  <c:v>0.63592857142857129</c:v>
                </c:pt>
                <c:pt idx="75">
                  <c:v>0.63457142857142856</c:v>
                </c:pt>
                <c:pt idx="76">
                  <c:v>0.65721428571428564</c:v>
                </c:pt>
                <c:pt idx="77">
                  <c:v>0.70771428571428574</c:v>
                </c:pt>
                <c:pt idx="78">
                  <c:v>0.69685714285714284</c:v>
                </c:pt>
                <c:pt idx="79">
                  <c:v>0.67864285714285721</c:v>
                </c:pt>
                <c:pt idx="80">
                  <c:v>0.6468571428571428</c:v>
                </c:pt>
                <c:pt idx="81">
                  <c:v>0.61028571428571421</c:v>
                </c:pt>
                <c:pt idx="82">
                  <c:v>0.5675</c:v>
                </c:pt>
                <c:pt idx="83">
                  <c:v>0.51414285714285712</c:v>
                </c:pt>
                <c:pt idx="84">
                  <c:v>0.5416428571428572</c:v>
                </c:pt>
                <c:pt idx="85">
                  <c:v>0.62357142857142855</c:v>
                </c:pt>
                <c:pt idx="86">
                  <c:v>0.6875714285714285</c:v>
                </c:pt>
                <c:pt idx="87">
                  <c:v>0.56085714285714283</c:v>
                </c:pt>
                <c:pt idx="88">
                  <c:v>0.42735714285714288</c:v>
                </c:pt>
                <c:pt idx="89">
                  <c:v>0.28099999999999997</c:v>
                </c:pt>
                <c:pt idx="90">
                  <c:v>0.18885714285714283</c:v>
                </c:pt>
                <c:pt idx="91">
                  <c:v>0.10949999999999999</c:v>
                </c:pt>
                <c:pt idx="92">
                  <c:v>0.11114285714285714</c:v>
                </c:pt>
                <c:pt idx="93">
                  <c:v>0.11478571428571428</c:v>
                </c:pt>
                <c:pt idx="94">
                  <c:v>0.12621428571428572</c:v>
                </c:pt>
                <c:pt idx="95">
                  <c:v>0.15857142857142856</c:v>
                </c:pt>
                <c:pt idx="96">
                  <c:v>0.17021428571428568</c:v>
                </c:pt>
                <c:pt idx="97">
                  <c:v>0.18614285714285717</c:v>
                </c:pt>
                <c:pt idx="98">
                  <c:v>0.20864285714285716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8F7-411F-B22E-00E9935F9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1"/>
          <c:h val="0.13254629629629633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'面板-景气指数'!$A$59</c:f>
              <c:strCache>
                <c:ptCount val="1"/>
                <c:pt idx="0">
                  <c:v>通信</c:v>
                </c:pt>
              </c:strCache>
            </c:strRef>
          </c:tx>
          <c:marker>
            <c:symbol val="none"/>
          </c:marker>
          <c:dPt>
            <c:idx val="27"/>
            <c:bubble3D val="0"/>
            <c:spPr>
              <a:ln>
                <a:solidFill>
                  <a:srgbClr val="00377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F97-451D-AE3D-45E411959C8B}"/>
              </c:ext>
            </c:extLst>
          </c:dPt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'面板-景气指数'!$F$59:$CZ$59</c:f>
              <c:numCache>
                <c:formatCode>0.0%</c:formatCode>
                <c:ptCount val="99"/>
                <c:pt idx="0">
                  <c:v>0.19661303935491015</c:v>
                </c:pt>
                <c:pt idx="1">
                  <c:v>0.19661303935491015</c:v>
                </c:pt>
                <c:pt idx="2">
                  <c:v>0.2381964974592484</c:v>
                </c:pt>
                <c:pt idx="3">
                  <c:v>0.25458132799443067</c:v>
                </c:pt>
                <c:pt idx="4">
                  <c:v>0.2115228851772713</c:v>
                </c:pt>
                <c:pt idx="5">
                  <c:v>0.15400143936796867</c:v>
                </c:pt>
                <c:pt idx="6">
                  <c:v>0.10656273197901994</c:v>
                </c:pt>
                <c:pt idx="7">
                  <c:v>8.8639368818422007E-2</c:v>
                </c:pt>
                <c:pt idx="8">
                  <c:v>0.12393744857292222</c:v>
                </c:pt>
                <c:pt idx="9">
                  <c:v>0.16147109754412867</c:v>
                </c:pt>
                <c:pt idx="10">
                  <c:v>0.18029352826212994</c:v>
                </c:pt>
                <c:pt idx="11">
                  <c:v>0.13937010974122557</c:v>
                </c:pt>
                <c:pt idx="12">
                  <c:v>0.11833657149063213</c:v>
                </c:pt>
                <c:pt idx="13">
                  <c:v>7.6117107075544796E-2</c:v>
                </c:pt>
                <c:pt idx="14">
                  <c:v>0.17752336894900694</c:v>
                </c:pt>
                <c:pt idx="15">
                  <c:v>0.2887102915990174</c:v>
                </c:pt>
                <c:pt idx="16">
                  <c:v>0.3089404789187562</c:v>
                </c:pt>
                <c:pt idx="17">
                  <c:v>0.33967000191481694</c:v>
                </c:pt>
                <c:pt idx="18">
                  <c:v>0.33087495250615084</c:v>
                </c:pt>
                <c:pt idx="19">
                  <c:v>0.32373822651141737</c:v>
                </c:pt>
                <c:pt idx="20">
                  <c:v>0.30271755574640558</c:v>
                </c:pt>
                <c:pt idx="21">
                  <c:v>0.32585152819683733</c:v>
                </c:pt>
                <c:pt idx="22">
                  <c:v>0.33624174062898704</c:v>
                </c:pt>
                <c:pt idx="23">
                  <c:v>0.36674586370992818</c:v>
                </c:pt>
                <c:pt idx="24">
                  <c:v>0.3780538359644825</c:v>
                </c:pt>
                <c:pt idx="25">
                  <c:v>0.39535158355714384</c:v>
                </c:pt>
                <c:pt idx="26">
                  <c:v>0.44693047569808908</c:v>
                </c:pt>
                <c:pt idx="27">
                  <c:v>0.4621221159213893</c:v>
                </c:pt>
                <c:pt idx="28">
                  <c:v>0.48221090056238874</c:v>
                </c:pt>
                <c:pt idx="29">
                  <c:v>0.47543315941106146</c:v>
                </c:pt>
                <c:pt idx="30">
                  <c:v>0.49188566093977931</c:v>
                </c:pt>
                <c:pt idx="31">
                  <c:v>0.43877983037195101</c:v>
                </c:pt>
                <c:pt idx="32">
                  <c:v>0.39011171070755435</c:v>
                </c:pt>
                <c:pt idx="33">
                  <c:v>0.39036327400526644</c:v>
                </c:pt>
                <c:pt idx="34">
                  <c:v>0.41175749879774448</c:v>
                </c:pt>
                <c:pt idx="35">
                  <c:v>0.42246838488911076</c:v>
                </c:pt>
                <c:pt idx="36">
                  <c:v>0.40646476005092802</c:v>
                </c:pt>
                <c:pt idx="37">
                  <c:v>0.39951863690469447</c:v>
                </c:pt>
                <c:pt idx="38">
                  <c:v>0.41272440342960293</c:v>
                </c:pt>
                <c:pt idx="39">
                  <c:v>0.43175293283435134</c:v>
                </c:pt>
                <c:pt idx="40">
                  <c:v>0.39785584377695887</c:v>
                </c:pt>
                <c:pt idx="41">
                  <c:v>0.30166080015670188</c:v>
                </c:pt>
                <c:pt idx="42">
                  <c:v>0.2596551968185084</c:v>
                </c:pt>
                <c:pt idx="43">
                  <c:v>0.30983150728448061</c:v>
                </c:pt>
                <c:pt idx="44">
                  <c:v>0.40600974089015707</c:v>
                </c:pt>
                <c:pt idx="45">
                  <c:v>0.43559072225172613</c:v>
                </c:pt>
                <c:pt idx="46">
                  <c:v>0.42345432841883168</c:v>
                </c:pt>
                <c:pt idx="47">
                  <c:v>0.40369363319433366</c:v>
                </c:pt>
                <c:pt idx="48">
                  <c:v>0.43631435063703827</c:v>
                </c:pt>
                <c:pt idx="49">
                  <c:v>0.45876783418025013</c:v>
                </c:pt>
                <c:pt idx="50">
                  <c:v>0.43768284045835298</c:v>
                </c:pt>
                <c:pt idx="51">
                  <c:v>0.44030708648965011</c:v>
                </c:pt>
                <c:pt idx="52">
                  <c:v>0.45581132029120425</c:v>
                </c:pt>
                <c:pt idx="53">
                  <c:v>0.50010670186170914</c:v>
                </c:pt>
                <c:pt idx="54">
                  <c:v>0.53316590525213681</c:v>
                </c:pt>
                <c:pt idx="55">
                  <c:v>0.54334495479138789</c:v>
                </c:pt>
                <c:pt idx="56">
                  <c:v>0.62475051145188842</c:v>
                </c:pt>
                <c:pt idx="57">
                  <c:v>0.67577179118027153</c:v>
                </c:pt>
                <c:pt idx="58">
                  <c:v>0.69894958190349643</c:v>
                </c:pt>
                <c:pt idx="59">
                  <c:v>0.71770587724552093</c:v>
                </c:pt>
                <c:pt idx="60">
                  <c:v>0.77478234800400347</c:v>
                </c:pt>
                <c:pt idx="61">
                  <c:v>0.79334430493873265</c:v>
                </c:pt>
                <c:pt idx="62">
                  <c:v>0.83030900962935417</c:v>
                </c:pt>
                <c:pt idx="63">
                  <c:v>0.84119927742181055</c:v>
                </c:pt>
                <c:pt idx="64">
                  <c:v>0.85725897905499626</c:v>
                </c:pt>
                <c:pt idx="65">
                  <c:v>0.87196755448451291</c:v>
                </c:pt>
                <c:pt idx="66">
                  <c:v>0.884597569934923</c:v>
                </c:pt>
                <c:pt idx="67">
                  <c:v>0.8956614500093566</c:v>
                </c:pt>
                <c:pt idx="68">
                  <c:v>0.89930191156288553</c:v>
                </c:pt>
                <c:pt idx="69">
                  <c:v>0.87335760083574332</c:v>
                </c:pt>
                <c:pt idx="70">
                  <c:v>0.80732576428362834</c:v>
                </c:pt>
                <c:pt idx="71">
                  <c:v>0.78425753968702772</c:v>
                </c:pt>
                <c:pt idx="72">
                  <c:v>0.77089811196116997</c:v>
                </c:pt>
                <c:pt idx="73">
                  <c:v>0.77561961023657455</c:v>
                </c:pt>
                <c:pt idx="74">
                  <c:v>0.73063357045726318</c:v>
                </c:pt>
                <c:pt idx="75">
                  <c:v>0.71389382279930935</c:v>
                </c:pt>
                <c:pt idx="76">
                  <c:v>0.71353862887500541</c:v>
                </c:pt>
                <c:pt idx="77">
                  <c:v>0.68924104736326353</c:v>
                </c:pt>
                <c:pt idx="78">
                  <c:v>0.70253500403682256</c:v>
                </c:pt>
                <c:pt idx="79">
                  <c:v>0.70047552384486289</c:v>
                </c:pt>
                <c:pt idx="80">
                  <c:v>0.7201910866202349</c:v>
                </c:pt>
                <c:pt idx="81">
                  <c:v>0.67096117610202877</c:v>
                </c:pt>
                <c:pt idx="82">
                  <c:v>0.6331324777221562</c:v>
                </c:pt>
                <c:pt idx="83">
                  <c:v>0.58451461007334349</c:v>
                </c:pt>
                <c:pt idx="84">
                  <c:v>0.53791412051319865</c:v>
                </c:pt>
                <c:pt idx="85">
                  <c:v>0.54580851138659603</c:v>
                </c:pt>
                <c:pt idx="86">
                  <c:v>0.58674028678999557</c:v>
                </c:pt>
                <c:pt idx="87">
                  <c:v>0.62956414240494274</c:v>
                </c:pt>
                <c:pt idx="88">
                  <c:v>0.61217783161250805</c:v>
                </c:pt>
                <c:pt idx="89">
                  <c:v>0.6138724468213359</c:v>
                </c:pt>
                <c:pt idx="90">
                  <c:v>0.60716816055367995</c:v>
                </c:pt>
                <c:pt idx="91">
                  <c:v>0.63157393865540656</c:v>
                </c:pt>
                <c:pt idx="92">
                  <c:v>0.65794018764620077</c:v>
                </c:pt>
                <c:pt idx="93">
                  <c:v>0.66331457207826405</c:v>
                </c:pt>
                <c:pt idx="94">
                  <c:v>0.66468659048817125</c:v>
                </c:pt>
                <c:pt idx="95">
                  <c:v>0.66302353502992595</c:v>
                </c:pt>
                <c:pt idx="96">
                  <c:v>0.65235602432890072</c:v>
                </c:pt>
                <c:pt idx="97">
                  <c:v>0.64649049502209099</c:v>
                </c:pt>
                <c:pt idx="98">
                  <c:v>0.54015865557577136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F97-451D-AE3D-45E411959C8B}"/>
            </c:ext>
          </c:extLst>
        </c:ser>
        <c:ser>
          <c:idx val="1"/>
          <c:order val="1"/>
          <c:tx>
            <c:strRef>
              <c:f>'面板-景气指数'!$A$107</c:f>
              <c:strCache>
                <c:ptCount val="1"/>
                <c:pt idx="0">
                  <c:v>通信服务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'面板-景气指数'!$F$107:$CZ$107</c:f>
              <c:numCache>
                <c:formatCode>0.0%</c:formatCode>
                <c:ptCount val="99"/>
                <c:pt idx="0">
                  <c:v>0.11700000000000001</c:v>
                </c:pt>
                <c:pt idx="1">
                  <c:v>0.11700000000000001</c:v>
                </c:pt>
                <c:pt idx="2">
                  <c:v>0.1145</c:v>
                </c:pt>
                <c:pt idx="3">
                  <c:v>0.10200000000000001</c:v>
                </c:pt>
                <c:pt idx="4">
                  <c:v>9.0999999999999998E-2</c:v>
                </c:pt>
                <c:pt idx="5">
                  <c:v>7.6000000000000012E-2</c:v>
                </c:pt>
                <c:pt idx="6">
                  <c:v>6.6000000000000003E-2</c:v>
                </c:pt>
                <c:pt idx="7">
                  <c:v>3.7749999999999992E-2</c:v>
                </c:pt>
                <c:pt idx="8">
                  <c:v>4.2749999999999996E-2</c:v>
                </c:pt>
                <c:pt idx="9">
                  <c:v>4.8250000000000001E-2</c:v>
                </c:pt>
                <c:pt idx="10">
                  <c:v>6.0750000000000019E-2</c:v>
                </c:pt>
                <c:pt idx="11">
                  <c:v>1.2499999999999997E-2</c:v>
                </c:pt>
                <c:pt idx="12">
                  <c:v>1.7500000000000005E-2</c:v>
                </c:pt>
                <c:pt idx="13">
                  <c:v>0</c:v>
                </c:pt>
                <c:pt idx="14">
                  <c:v>0.14275000000000002</c:v>
                </c:pt>
                <c:pt idx="15">
                  <c:v>0.20125000000000004</c:v>
                </c:pt>
                <c:pt idx="16">
                  <c:v>0.17550000000000002</c:v>
                </c:pt>
                <c:pt idx="17">
                  <c:v>0.19625000000000001</c:v>
                </c:pt>
                <c:pt idx="18">
                  <c:v>0.16550000000000001</c:v>
                </c:pt>
                <c:pt idx="19">
                  <c:v>0.17799999999999999</c:v>
                </c:pt>
                <c:pt idx="20">
                  <c:v>0.15749999999999997</c:v>
                </c:pt>
                <c:pt idx="21">
                  <c:v>0.19825000000000001</c:v>
                </c:pt>
                <c:pt idx="22">
                  <c:v>0.22400000000000003</c:v>
                </c:pt>
                <c:pt idx="23">
                  <c:v>0.255</c:v>
                </c:pt>
                <c:pt idx="24">
                  <c:v>0.25975000000000004</c:v>
                </c:pt>
                <c:pt idx="25">
                  <c:v>0.2647500000000001</c:v>
                </c:pt>
                <c:pt idx="26">
                  <c:v>0.29575000000000007</c:v>
                </c:pt>
                <c:pt idx="27">
                  <c:v>0.33849999999999997</c:v>
                </c:pt>
                <c:pt idx="28">
                  <c:v>0.36175000000000002</c:v>
                </c:pt>
                <c:pt idx="29">
                  <c:v>0.40275</c:v>
                </c:pt>
                <c:pt idx="30">
                  <c:v>0.41800000000000004</c:v>
                </c:pt>
                <c:pt idx="31">
                  <c:v>0.38975000000000004</c:v>
                </c:pt>
                <c:pt idx="32">
                  <c:v>0.38250000000000001</c:v>
                </c:pt>
                <c:pt idx="33">
                  <c:v>0.41</c:v>
                </c:pt>
                <c:pt idx="34">
                  <c:v>0.45325000000000004</c:v>
                </c:pt>
                <c:pt idx="35">
                  <c:v>0.45624999999999999</c:v>
                </c:pt>
                <c:pt idx="36">
                  <c:v>0.41275000000000006</c:v>
                </c:pt>
                <c:pt idx="37">
                  <c:v>0.39725000000000005</c:v>
                </c:pt>
                <c:pt idx="38">
                  <c:v>0.4562500000000001</c:v>
                </c:pt>
                <c:pt idx="39">
                  <c:v>0.49675000000000014</c:v>
                </c:pt>
                <c:pt idx="40">
                  <c:v>0.48425000000000007</c:v>
                </c:pt>
                <c:pt idx="41">
                  <c:v>0.32100000000000006</c:v>
                </c:pt>
                <c:pt idx="42">
                  <c:v>0.24675000000000002</c:v>
                </c:pt>
                <c:pt idx="43">
                  <c:v>0.25950000000000001</c:v>
                </c:pt>
                <c:pt idx="44">
                  <c:v>0.32600000000000007</c:v>
                </c:pt>
                <c:pt idx="45">
                  <c:v>0.33375000000000005</c:v>
                </c:pt>
                <c:pt idx="46">
                  <c:v>0.32324999999999998</c:v>
                </c:pt>
                <c:pt idx="47">
                  <c:v>0.32324999999999998</c:v>
                </c:pt>
                <c:pt idx="48">
                  <c:v>0.42</c:v>
                </c:pt>
                <c:pt idx="49">
                  <c:v>0.5</c:v>
                </c:pt>
                <c:pt idx="50">
                  <c:v>0.49425000000000002</c:v>
                </c:pt>
                <c:pt idx="51">
                  <c:v>0.48175000000000001</c:v>
                </c:pt>
                <c:pt idx="52">
                  <c:v>0.49175000000000008</c:v>
                </c:pt>
                <c:pt idx="53">
                  <c:v>0.54</c:v>
                </c:pt>
                <c:pt idx="54">
                  <c:v>0.61175000000000013</c:v>
                </c:pt>
                <c:pt idx="55">
                  <c:v>0.66000000000000014</c:v>
                </c:pt>
                <c:pt idx="56">
                  <c:v>0.70900000000000007</c:v>
                </c:pt>
                <c:pt idx="57">
                  <c:v>0.72650000000000015</c:v>
                </c:pt>
                <c:pt idx="58">
                  <c:v>0.74400000000000022</c:v>
                </c:pt>
                <c:pt idx="59">
                  <c:v>0.75750000000000017</c:v>
                </c:pt>
                <c:pt idx="60">
                  <c:v>0.81325000000000014</c:v>
                </c:pt>
                <c:pt idx="61">
                  <c:v>0.83325000000000016</c:v>
                </c:pt>
                <c:pt idx="62">
                  <c:v>0.87950000000000006</c:v>
                </c:pt>
                <c:pt idx="63">
                  <c:v>0.90275000000000005</c:v>
                </c:pt>
                <c:pt idx="64">
                  <c:v>0.9305000000000001</c:v>
                </c:pt>
                <c:pt idx="65">
                  <c:v>0.95074999999999998</c:v>
                </c:pt>
                <c:pt idx="66">
                  <c:v>0.97149999999999992</c:v>
                </c:pt>
                <c:pt idx="67">
                  <c:v>0.99175000000000002</c:v>
                </c:pt>
                <c:pt idx="68">
                  <c:v>0.99725000000000008</c:v>
                </c:pt>
                <c:pt idx="69">
                  <c:v>0.97650000000000015</c:v>
                </c:pt>
                <c:pt idx="70">
                  <c:v>0.95625000000000016</c:v>
                </c:pt>
                <c:pt idx="71">
                  <c:v>0.9355</c:v>
                </c:pt>
                <c:pt idx="72">
                  <c:v>0.91800000000000026</c:v>
                </c:pt>
                <c:pt idx="73">
                  <c:v>0.89975000000000016</c:v>
                </c:pt>
                <c:pt idx="74">
                  <c:v>0.88200000000000012</c:v>
                </c:pt>
                <c:pt idx="75">
                  <c:v>0.86950000000000005</c:v>
                </c:pt>
                <c:pt idx="76">
                  <c:v>0.85949999999999993</c:v>
                </c:pt>
                <c:pt idx="77">
                  <c:v>0.83850000000000002</c:v>
                </c:pt>
                <c:pt idx="78">
                  <c:v>0.82099999999999995</c:v>
                </c:pt>
                <c:pt idx="79">
                  <c:v>0.79525000000000001</c:v>
                </c:pt>
                <c:pt idx="80">
                  <c:v>0.77775000000000005</c:v>
                </c:pt>
                <c:pt idx="81">
                  <c:v>0.75950000000000006</c:v>
                </c:pt>
                <c:pt idx="82">
                  <c:v>0.73175000000000001</c:v>
                </c:pt>
                <c:pt idx="83">
                  <c:v>0.68850000000000011</c:v>
                </c:pt>
                <c:pt idx="84">
                  <c:v>0.60124999999999995</c:v>
                </c:pt>
                <c:pt idx="85">
                  <c:v>0.622</c:v>
                </c:pt>
                <c:pt idx="86">
                  <c:v>0.66525000000000001</c:v>
                </c:pt>
                <c:pt idx="87">
                  <c:v>0.73650000000000004</c:v>
                </c:pt>
                <c:pt idx="88">
                  <c:v>0.71625000000000005</c:v>
                </c:pt>
                <c:pt idx="89">
                  <c:v>0.69625000000000004</c:v>
                </c:pt>
                <c:pt idx="90">
                  <c:v>0.6755000000000001</c:v>
                </c:pt>
                <c:pt idx="91">
                  <c:v>0.65550000000000008</c:v>
                </c:pt>
                <c:pt idx="92">
                  <c:v>0.65225</c:v>
                </c:pt>
                <c:pt idx="93">
                  <c:v>0.63500000000000001</c:v>
                </c:pt>
                <c:pt idx="94">
                  <c:v>0.63</c:v>
                </c:pt>
                <c:pt idx="95">
                  <c:v>0.61924999999999997</c:v>
                </c:pt>
                <c:pt idx="96">
                  <c:v>0.61699999999999999</c:v>
                </c:pt>
                <c:pt idx="97">
                  <c:v>0.60175000000000012</c:v>
                </c:pt>
                <c:pt idx="98">
                  <c:v>0.56375000000000008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F97-451D-AE3D-45E411959C8B}"/>
            </c:ext>
          </c:extLst>
        </c:ser>
        <c:ser>
          <c:idx val="2"/>
          <c:order val="2"/>
          <c:tx>
            <c:strRef>
              <c:f>'面板-景气指数'!$A$108</c:f>
              <c:strCache>
                <c:ptCount val="1"/>
                <c:pt idx="0">
                  <c:v>通信设备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'面板-景气指数'!$F$108:$DB$108</c:f>
              <c:numCache>
                <c:formatCode>0.0%</c:formatCode>
                <c:ptCount val="101"/>
                <c:pt idx="0">
                  <c:v>0.34635714285714303</c:v>
                </c:pt>
                <c:pt idx="1">
                  <c:v>0.34635714285714303</c:v>
                </c:pt>
                <c:pt idx="2">
                  <c:v>0.47085714285714286</c:v>
                </c:pt>
                <c:pt idx="3">
                  <c:v>0.54157142857142848</c:v>
                </c:pt>
                <c:pt idx="4">
                  <c:v>0.43821428571428567</c:v>
                </c:pt>
                <c:pt idx="5">
                  <c:v>0.30071428571428582</c:v>
                </c:pt>
                <c:pt idx="6">
                  <c:v>0.182857142857143</c:v>
                </c:pt>
                <c:pt idx="7">
                  <c:v>0.18435714285714297</c:v>
                </c:pt>
                <c:pt idx="8">
                  <c:v>0.27664285714285719</c:v>
                </c:pt>
                <c:pt idx="9">
                  <c:v>0.37442857142857139</c:v>
                </c:pt>
                <c:pt idx="10">
                  <c:v>0.40514285714285708</c:v>
                </c:pt>
                <c:pt idx="11">
                  <c:v>0.37800000000000011</c:v>
                </c:pt>
                <c:pt idx="12">
                  <c:v>0.30800000000000016</c:v>
                </c:pt>
                <c:pt idx="13">
                  <c:v>0.21928571428571442</c:v>
                </c:pt>
                <c:pt idx="14">
                  <c:v>0.24292857142857158</c:v>
                </c:pt>
                <c:pt idx="15">
                  <c:v>0.45321428571428557</c:v>
                </c:pt>
                <c:pt idx="16">
                  <c:v>0.55992857142857122</c:v>
                </c:pt>
                <c:pt idx="17">
                  <c:v>0.6094285714285711</c:v>
                </c:pt>
                <c:pt idx="18">
                  <c:v>0.6419285714285714</c:v>
                </c:pt>
                <c:pt idx="19">
                  <c:v>0.59785714285714275</c:v>
                </c:pt>
                <c:pt idx="20">
                  <c:v>0.57585714285714285</c:v>
                </c:pt>
                <c:pt idx="21">
                  <c:v>0.56585714285714261</c:v>
                </c:pt>
                <c:pt idx="22">
                  <c:v>0.54735714285714276</c:v>
                </c:pt>
                <c:pt idx="23">
                  <c:v>0.57692857142857124</c:v>
                </c:pt>
                <c:pt idx="24">
                  <c:v>0.60057142857142842</c:v>
                </c:pt>
                <c:pt idx="25">
                  <c:v>0.6409999999999999</c:v>
                </c:pt>
                <c:pt idx="26">
                  <c:v>0.73128571428571409</c:v>
                </c:pt>
                <c:pt idx="27">
                  <c:v>0.69464285714285712</c:v>
                </c:pt>
                <c:pt idx="28">
                  <c:v>0.70878571428571413</c:v>
                </c:pt>
                <c:pt idx="29">
                  <c:v>0.61214285714285721</c:v>
                </c:pt>
                <c:pt idx="30">
                  <c:v>0.63085714285714301</c:v>
                </c:pt>
                <c:pt idx="31">
                  <c:v>0.53100000000000025</c:v>
                </c:pt>
                <c:pt idx="32">
                  <c:v>0.4044285714285718</c:v>
                </c:pt>
                <c:pt idx="33">
                  <c:v>0.35342857142857181</c:v>
                </c:pt>
                <c:pt idx="34">
                  <c:v>0.33371428571428607</c:v>
                </c:pt>
                <c:pt idx="35">
                  <c:v>0.35892857142857187</c:v>
                </c:pt>
                <c:pt idx="36">
                  <c:v>0.39464285714285757</c:v>
                </c:pt>
                <c:pt idx="37">
                  <c:v>0.40378571428571475</c:v>
                </c:pt>
                <c:pt idx="38">
                  <c:v>0.33085714285714313</c:v>
                </c:pt>
                <c:pt idx="39">
                  <c:v>0.30950000000000027</c:v>
                </c:pt>
                <c:pt idx="40">
                  <c:v>0.23535714285714301</c:v>
                </c:pt>
                <c:pt idx="41">
                  <c:v>0.26528571428571451</c:v>
                </c:pt>
                <c:pt idx="42">
                  <c:v>0.28392857142857164</c:v>
                </c:pt>
                <c:pt idx="43">
                  <c:v>0.40450000000000003</c:v>
                </c:pt>
                <c:pt idx="44">
                  <c:v>0.55649999999999999</c:v>
                </c:pt>
                <c:pt idx="45">
                  <c:v>0.627142857142857</c:v>
                </c:pt>
                <c:pt idx="46">
                  <c:v>0.61192857142857138</c:v>
                </c:pt>
                <c:pt idx="47">
                  <c:v>0.55499999999999994</c:v>
                </c:pt>
                <c:pt idx="48">
                  <c:v>0.46699999999999986</c:v>
                </c:pt>
                <c:pt idx="49">
                  <c:v>0.38121428571428556</c:v>
                </c:pt>
                <c:pt idx="50">
                  <c:v>0.33128571428571424</c:v>
                </c:pt>
                <c:pt idx="51">
                  <c:v>0.36235714285714277</c:v>
                </c:pt>
                <c:pt idx="52">
                  <c:v>0.38821428571428568</c:v>
                </c:pt>
                <c:pt idx="53">
                  <c:v>0.42507142857142838</c:v>
                </c:pt>
                <c:pt idx="54">
                  <c:v>0.38535714285714268</c:v>
                </c:pt>
                <c:pt idx="55">
                  <c:v>0.32392857142857134</c:v>
                </c:pt>
                <c:pt idx="56">
                  <c:v>0.46628571428571414</c:v>
                </c:pt>
                <c:pt idx="57">
                  <c:v>0.58035714285714257</c:v>
                </c:pt>
                <c:pt idx="58">
                  <c:v>0.61421428571428538</c:v>
                </c:pt>
                <c:pt idx="59">
                  <c:v>0.64285714285714257</c:v>
                </c:pt>
                <c:pt idx="60">
                  <c:v>0.70242857142857118</c:v>
                </c:pt>
                <c:pt idx="61">
                  <c:v>0.71828571428571397</c:v>
                </c:pt>
                <c:pt idx="62">
                  <c:v>0.73778571428571404</c:v>
                </c:pt>
                <c:pt idx="63">
                  <c:v>0.7254285714285712</c:v>
                </c:pt>
                <c:pt idx="64">
                  <c:v>0.7194999999999997</c:v>
                </c:pt>
                <c:pt idx="65">
                  <c:v>0.72378571428571403</c:v>
                </c:pt>
                <c:pt idx="66">
                  <c:v>0.72114285714285697</c:v>
                </c:pt>
                <c:pt idx="67">
                  <c:v>0.71492857142857125</c:v>
                </c:pt>
                <c:pt idx="68">
                  <c:v>0.71507142857142847</c:v>
                </c:pt>
                <c:pt idx="69">
                  <c:v>0.67935714285714277</c:v>
                </c:pt>
                <c:pt idx="70">
                  <c:v>0.52721428571428575</c:v>
                </c:pt>
                <c:pt idx="71">
                  <c:v>0.49978571428571422</c:v>
                </c:pt>
                <c:pt idx="72">
                  <c:v>0.49421428571428577</c:v>
                </c:pt>
                <c:pt idx="73">
                  <c:v>0.54214285714285704</c:v>
                </c:pt>
                <c:pt idx="74">
                  <c:v>0.44592857142857162</c:v>
                </c:pt>
                <c:pt idx="75">
                  <c:v>0.42121428571428587</c:v>
                </c:pt>
                <c:pt idx="76">
                  <c:v>0.43900000000000011</c:v>
                </c:pt>
                <c:pt idx="77">
                  <c:v>0.40850000000000014</c:v>
                </c:pt>
                <c:pt idx="78">
                  <c:v>0.47971428571428587</c:v>
                </c:pt>
                <c:pt idx="79">
                  <c:v>0.52221428571428574</c:v>
                </c:pt>
                <c:pt idx="80">
                  <c:v>0.61192857142857149</c:v>
                </c:pt>
                <c:pt idx="81">
                  <c:v>0.50442857142857156</c:v>
                </c:pt>
                <c:pt idx="82">
                  <c:v>0.44764285714285723</c:v>
                </c:pt>
                <c:pt idx="83">
                  <c:v>0.38892857142857168</c:v>
                </c:pt>
                <c:pt idx="84">
                  <c:v>0.41878571428571459</c:v>
                </c:pt>
                <c:pt idx="85">
                  <c:v>0.40250000000000025</c:v>
                </c:pt>
                <c:pt idx="86">
                  <c:v>0.43907142857142883</c:v>
                </c:pt>
                <c:pt idx="87">
                  <c:v>0.4284285714285716</c:v>
                </c:pt>
                <c:pt idx="88">
                  <c:v>0.41642857142857165</c:v>
                </c:pt>
                <c:pt idx="89">
                  <c:v>0.45892857142857163</c:v>
                </c:pt>
                <c:pt idx="90">
                  <c:v>0.47864285714285726</c:v>
                </c:pt>
                <c:pt idx="91">
                  <c:v>0.58657142857142852</c:v>
                </c:pt>
                <c:pt idx="92">
                  <c:v>0.66864285714285709</c:v>
                </c:pt>
                <c:pt idx="93">
                  <c:v>0.71657142857142841</c:v>
                </c:pt>
                <c:pt idx="94">
                  <c:v>0.72992857142857115</c:v>
                </c:pt>
                <c:pt idx="95">
                  <c:v>0.74535714285714272</c:v>
                </c:pt>
                <c:pt idx="96">
                  <c:v>0.71885714285714275</c:v>
                </c:pt>
                <c:pt idx="97">
                  <c:v>0.73064285714285693</c:v>
                </c:pt>
                <c:pt idx="98">
                  <c:v>0.49578571428571433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F97-451D-AE3D-45E411959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3.8774494949494899E-2"/>
          <c:y val="4.4411111111111101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90876159230096198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'面板-景气指数'!$A$56</c:f>
              <c:strCache>
                <c:ptCount val="1"/>
                <c:pt idx="0">
                  <c:v>电子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'面板-景气指数'!$F$56:$CZ$56</c:f>
              <c:numCache>
                <c:formatCode>0.0%</c:formatCode>
                <c:ptCount val="99"/>
                <c:pt idx="0">
                  <c:v>0.53801433709008439</c:v>
                </c:pt>
                <c:pt idx="1">
                  <c:v>0.53719821631802389</c:v>
                </c:pt>
                <c:pt idx="2">
                  <c:v>0.57472747400635715</c:v>
                </c:pt>
                <c:pt idx="3">
                  <c:v>0.57572104303006211</c:v>
                </c:pt>
                <c:pt idx="4">
                  <c:v>0.52664181047104452</c:v>
                </c:pt>
                <c:pt idx="5">
                  <c:v>0.4619006458075729</c:v>
                </c:pt>
                <c:pt idx="6">
                  <c:v>0.41985326579805582</c:v>
                </c:pt>
                <c:pt idx="7">
                  <c:v>0.3198222677330318</c:v>
                </c:pt>
                <c:pt idx="8">
                  <c:v>0.25169333754389062</c:v>
                </c:pt>
                <c:pt idx="9">
                  <c:v>0.19699693477630914</c:v>
                </c:pt>
                <c:pt idx="10">
                  <c:v>0.1871320746237515</c:v>
                </c:pt>
                <c:pt idx="11">
                  <c:v>0.16363395353340698</c:v>
                </c:pt>
                <c:pt idx="12">
                  <c:v>0.12996177744169929</c:v>
                </c:pt>
                <c:pt idx="13">
                  <c:v>0.11480317539170803</c:v>
                </c:pt>
                <c:pt idx="14">
                  <c:v>0.10581638114750154</c:v>
                </c:pt>
                <c:pt idx="15">
                  <c:v>0.12985489706510928</c:v>
                </c:pt>
                <c:pt idx="16">
                  <c:v>0.16642758594623325</c:v>
                </c:pt>
                <c:pt idx="17">
                  <c:v>0.20311362443499906</c:v>
                </c:pt>
                <c:pt idx="18">
                  <c:v>0.2336132189855141</c:v>
                </c:pt>
                <c:pt idx="19">
                  <c:v>0.25745039089856714</c:v>
                </c:pt>
                <c:pt idx="20">
                  <c:v>0.30831413437093941</c:v>
                </c:pt>
                <c:pt idx="21">
                  <c:v>0.36388922898510601</c:v>
                </c:pt>
                <c:pt idx="22">
                  <c:v>0.39909766445707495</c:v>
                </c:pt>
                <c:pt idx="23">
                  <c:v>0.43777485650989095</c:v>
                </c:pt>
                <c:pt idx="24">
                  <c:v>0.49417195142725623</c:v>
                </c:pt>
                <c:pt idx="25">
                  <c:v>0.53479464543994049</c:v>
                </c:pt>
                <c:pt idx="26">
                  <c:v>0.58697295775427938</c:v>
                </c:pt>
                <c:pt idx="27">
                  <c:v>0.60143240242373985</c:v>
                </c:pt>
                <c:pt idx="28">
                  <c:v>0.64472223344654211</c:v>
                </c:pt>
                <c:pt idx="29">
                  <c:v>0.69711050349825265</c:v>
                </c:pt>
                <c:pt idx="30">
                  <c:v>0.78313048377753813</c:v>
                </c:pt>
                <c:pt idx="31">
                  <c:v>0.84624451861255046</c:v>
                </c:pt>
                <c:pt idx="32">
                  <c:v>0.88028069442835533</c:v>
                </c:pt>
                <c:pt idx="33">
                  <c:v>0.88159432745884314</c:v>
                </c:pt>
                <c:pt idx="34">
                  <c:v>0.8592719197887041</c:v>
                </c:pt>
                <c:pt idx="35">
                  <c:v>0.83588608128179409</c:v>
                </c:pt>
                <c:pt idx="36">
                  <c:v>0.80463586696971012</c:v>
                </c:pt>
                <c:pt idx="37">
                  <c:v>0.80031645228405457</c:v>
                </c:pt>
                <c:pt idx="38">
                  <c:v>0.68660131220685572</c:v>
                </c:pt>
                <c:pt idx="39">
                  <c:v>0.65859040158339621</c:v>
                </c:pt>
                <c:pt idx="40">
                  <c:v>0.59947227369095157</c:v>
                </c:pt>
                <c:pt idx="41">
                  <c:v>0.55105548446314467</c:v>
                </c:pt>
                <c:pt idx="42">
                  <c:v>0.47670273640642669</c:v>
                </c:pt>
                <c:pt idx="43">
                  <c:v>0.42857451037755806</c:v>
                </c:pt>
                <c:pt idx="44">
                  <c:v>0.40501704724026305</c:v>
                </c:pt>
                <c:pt idx="45">
                  <c:v>0.40139949491006899</c:v>
                </c:pt>
                <c:pt idx="46">
                  <c:v>0.46357095107457308</c:v>
                </c:pt>
                <c:pt idx="47">
                  <c:v>0.47087624579915571</c:v>
                </c:pt>
                <c:pt idx="48">
                  <c:v>0.50594118571894664</c:v>
                </c:pt>
                <c:pt idx="49">
                  <c:v>0.40258690356953741</c:v>
                </c:pt>
                <c:pt idx="50">
                  <c:v>0.44178597134226633</c:v>
                </c:pt>
                <c:pt idx="51">
                  <c:v>0.38970411609333611</c:v>
                </c:pt>
                <c:pt idx="52">
                  <c:v>0.37392291538301287</c:v>
                </c:pt>
                <c:pt idx="53">
                  <c:v>0.31737665487049932</c:v>
                </c:pt>
                <c:pt idx="54">
                  <c:v>0.27827506348951425</c:v>
                </c:pt>
                <c:pt idx="55">
                  <c:v>0.24589343806311412</c:v>
                </c:pt>
                <c:pt idx="56">
                  <c:v>0.21409929529420291</c:v>
                </c:pt>
                <c:pt idx="57">
                  <c:v>0.23557125685103592</c:v>
                </c:pt>
                <c:pt idx="58">
                  <c:v>0.24588303903770942</c:v>
                </c:pt>
                <c:pt idx="59">
                  <c:v>0.2717543111389632</c:v>
                </c:pt>
                <c:pt idx="60">
                  <c:v>0.25812117260725137</c:v>
                </c:pt>
                <c:pt idx="61">
                  <c:v>0.24623765487306815</c:v>
                </c:pt>
                <c:pt idx="62">
                  <c:v>0.26119885946337051</c:v>
                </c:pt>
                <c:pt idx="63">
                  <c:v>0.32064179062794324</c:v>
                </c:pt>
                <c:pt idx="64">
                  <c:v>0.37006936699676907</c:v>
                </c:pt>
                <c:pt idx="65">
                  <c:v>0.42507113555756781</c:v>
                </c:pt>
                <c:pt idx="66">
                  <c:v>0.4560480053083254</c:v>
                </c:pt>
                <c:pt idx="67">
                  <c:v>0.50972245367911806</c:v>
                </c:pt>
                <c:pt idx="68">
                  <c:v>0.55346593154890666</c:v>
                </c:pt>
                <c:pt idx="69">
                  <c:v>0.61041881824838029</c:v>
                </c:pt>
                <c:pt idx="70">
                  <c:v>0.62528308872641958</c:v>
                </c:pt>
                <c:pt idx="71">
                  <c:v>0.60082345571395535</c:v>
                </c:pt>
                <c:pt idx="72">
                  <c:v>0.56923663619233578</c:v>
                </c:pt>
                <c:pt idx="73">
                  <c:v>0.59015808661453539</c:v>
                </c:pt>
                <c:pt idx="74">
                  <c:v>0.60203442093574211</c:v>
                </c:pt>
                <c:pt idx="75">
                  <c:v>0.63129213227304481</c:v>
                </c:pt>
                <c:pt idx="76">
                  <c:v>0.62469162693329006</c:v>
                </c:pt>
                <c:pt idx="77">
                  <c:v>0.65846606528573204</c:v>
                </c:pt>
                <c:pt idx="78">
                  <c:v>0.72533226094786518</c:v>
                </c:pt>
                <c:pt idx="79">
                  <c:v>0.73867393422280392</c:v>
                </c:pt>
                <c:pt idx="80">
                  <c:v>0.76340066110997484</c:v>
                </c:pt>
                <c:pt idx="81">
                  <c:v>0.75144117657823972</c:v>
                </c:pt>
                <c:pt idx="82">
                  <c:v>0.77052118424845928</c:v>
                </c:pt>
                <c:pt idx="83">
                  <c:v>0.76476924277522029</c:v>
                </c:pt>
                <c:pt idx="84">
                  <c:v>0.78807678101548362</c:v>
                </c:pt>
                <c:pt idx="85">
                  <c:v>0.76997320493749499</c:v>
                </c:pt>
                <c:pt idx="86">
                  <c:v>0.70691152389892042</c:v>
                </c:pt>
                <c:pt idx="87">
                  <c:v>0.68223208084471298</c:v>
                </c:pt>
                <c:pt idx="88">
                  <c:v>0.67410561929576673</c:v>
                </c:pt>
                <c:pt idx="89">
                  <c:v>0.61340720819207883</c:v>
                </c:pt>
                <c:pt idx="90">
                  <c:v>0.58554041994519712</c:v>
                </c:pt>
                <c:pt idx="91">
                  <c:v>0.54017026721221806</c:v>
                </c:pt>
                <c:pt idx="92">
                  <c:v>0.49950403674106869</c:v>
                </c:pt>
                <c:pt idx="93">
                  <c:v>0.40878239043493358</c:v>
                </c:pt>
                <c:pt idx="94">
                  <c:v>0.35895618017384684</c:v>
                </c:pt>
                <c:pt idx="95">
                  <c:v>0.35511116489985656</c:v>
                </c:pt>
                <c:pt idx="96">
                  <c:v>0.35940451783254695</c:v>
                </c:pt>
                <c:pt idx="97">
                  <c:v>0.39331618005991237</c:v>
                </c:pt>
                <c:pt idx="98">
                  <c:v>0.32755123995411856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EA-49B2-94D2-B723FBA035F6}"/>
            </c:ext>
          </c:extLst>
        </c:ser>
        <c:ser>
          <c:idx val="1"/>
          <c:order val="1"/>
          <c:tx>
            <c:strRef>
              <c:f>'面板-景气指数'!$A$103</c:f>
              <c:strCache>
                <c:ptCount val="1"/>
                <c:pt idx="0">
                  <c:v>半导体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'面板-景气指数'!$F$103:$CZ$103</c:f>
              <c:numCache>
                <c:formatCode>0.0%</c:formatCode>
                <c:ptCount val="99"/>
                <c:pt idx="0">
                  <c:v>0.48635714285714288</c:v>
                </c:pt>
                <c:pt idx="1">
                  <c:v>0.5088571428571429</c:v>
                </c:pt>
                <c:pt idx="2">
                  <c:v>0.47399999999999998</c:v>
                </c:pt>
                <c:pt idx="3">
                  <c:v>0.41728571428571432</c:v>
                </c:pt>
                <c:pt idx="4">
                  <c:v>0.37521428571428572</c:v>
                </c:pt>
                <c:pt idx="5">
                  <c:v>0.307</c:v>
                </c:pt>
                <c:pt idx="6">
                  <c:v>0.26664285714285718</c:v>
                </c:pt>
                <c:pt idx="7">
                  <c:v>0.22664285714285715</c:v>
                </c:pt>
                <c:pt idx="8">
                  <c:v>0.20707142857142855</c:v>
                </c:pt>
                <c:pt idx="9">
                  <c:v>0.18864285714285714</c:v>
                </c:pt>
                <c:pt idx="10">
                  <c:v>0.21971428571428572</c:v>
                </c:pt>
                <c:pt idx="11">
                  <c:v>0.22857142857142859</c:v>
                </c:pt>
                <c:pt idx="12">
                  <c:v>0.251</c:v>
                </c:pt>
                <c:pt idx="13">
                  <c:v>0.24257142857142852</c:v>
                </c:pt>
                <c:pt idx="14">
                  <c:v>0.24900000000000003</c:v>
                </c:pt>
                <c:pt idx="15">
                  <c:v>0.27085714285714291</c:v>
                </c:pt>
                <c:pt idx="16">
                  <c:v>0.35642857142857137</c:v>
                </c:pt>
                <c:pt idx="17">
                  <c:v>0.39649999999999991</c:v>
                </c:pt>
                <c:pt idx="18">
                  <c:v>0.44650000000000006</c:v>
                </c:pt>
                <c:pt idx="19">
                  <c:v>0.443</c:v>
                </c:pt>
                <c:pt idx="20">
                  <c:v>0.46200000000000008</c:v>
                </c:pt>
                <c:pt idx="21">
                  <c:v>0.47807142857142854</c:v>
                </c:pt>
                <c:pt idx="22">
                  <c:v>0.48757142857142854</c:v>
                </c:pt>
                <c:pt idx="23">
                  <c:v>0.49892857142857139</c:v>
                </c:pt>
                <c:pt idx="24">
                  <c:v>0.5357142857142857</c:v>
                </c:pt>
                <c:pt idx="25">
                  <c:v>0.62807142857142861</c:v>
                </c:pt>
                <c:pt idx="26">
                  <c:v>0.64607142857142863</c:v>
                </c:pt>
                <c:pt idx="27">
                  <c:v>0.65335714285714286</c:v>
                </c:pt>
                <c:pt idx="28">
                  <c:v>0.66700000000000004</c:v>
                </c:pt>
                <c:pt idx="29">
                  <c:v>0.66649999999999998</c:v>
                </c:pt>
                <c:pt idx="30">
                  <c:v>0.67885714285714294</c:v>
                </c:pt>
                <c:pt idx="31">
                  <c:v>0.7132857142857143</c:v>
                </c:pt>
                <c:pt idx="32">
                  <c:v>0.74342857142857122</c:v>
                </c:pt>
                <c:pt idx="33">
                  <c:v>0.78557142857142859</c:v>
                </c:pt>
                <c:pt idx="34">
                  <c:v>0.83007142857142857</c:v>
                </c:pt>
                <c:pt idx="35">
                  <c:v>0.81392857142857167</c:v>
                </c:pt>
                <c:pt idx="36">
                  <c:v>0.75414285714285711</c:v>
                </c:pt>
                <c:pt idx="37">
                  <c:v>0.74085714285714288</c:v>
                </c:pt>
                <c:pt idx="38">
                  <c:v>0.6984999999999999</c:v>
                </c:pt>
                <c:pt idx="39">
                  <c:v>0.67792857142857155</c:v>
                </c:pt>
                <c:pt idx="40">
                  <c:v>0.59971428571428564</c:v>
                </c:pt>
                <c:pt idx="41">
                  <c:v>0.57985714285714296</c:v>
                </c:pt>
                <c:pt idx="42">
                  <c:v>0.52778571428571441</c:v>
                </c:pt>
                <c:pt idx="43">
                  <c:v>0.53992857142857131</c:v>
                </c:pt>
                <c:pt idx="44">
                  <c:v>0.52328571428571424</c:v>
                </c:pt>
                <c:pt idx="45">
                  <c:v>0.52214285714285724</c:v>
                </c:pt>
                <c:pt idx="46">
                  <c:v>0.54</c:v>
                </c:pt>
                <c:pt idx="47">
                  <c:v>0.55214285714285705</c:v>
                </c:pt>
                <c:pt idx="48">
                  <c:v>0.63050000000000017</c:v>
                </c:pt>
                <c:pt idx="49">
                  <c:v>0.60071428571428565</c:v>
                </c:pt>
                <c:pt idx="50">
                  <c:v>0.57000000000000006</c:v>
                </c:pt>
                <c:pt idx="51">
                  <c:v>0.45192857142857151</c:v>
                </c:pt>
                <c:pt idx="52">
                  <c:v>0.42249999999999999</c:v>
                </c:pt>
                <c:pt idx="53">
                  <c:v>0.36499999999999999</c:v>
                </c:pt>
                <c:pt idx="54">
                  <c:v>0.33642857142857147</c:v>
                </c:pt>
                <c:pt idx="55">
                  <c:v>0.29378571428571426</c:v>
                </c:pt>
                <c:pt idx="56">
                  <c:v>0.2673571428571429</c:v>
                </c:pt>
                <c:pt idx="57">
                  <c:v>0.24864285714285717</c:v>
                </c:pt>
                <c:pt idx="58">
                  <c:v>0.24885714285714289</c:v>
                </c:pt>
                <c:pt idx="59">
                  <c:v>0.24485714285714291</c:v>
                </c:pt>
                <c:pt idx="60">
                  <c:v>0.25185714285714284</c:v>
                </c:pt>
                <c:pt idx="61">
                  <c:v>0.26385714285714285</c:v>
                </c:pt>
                <c:pt idx="62">
                  <c:v>0.28307142857142858</c:v>
                </c:pt>
                <c:pt idx="63">
                  <c:v>0.32692857142857146</c:v>
                </c:pt>
                <c:pt idx="64">
                  <c:v>0.39900000000000008</c:v>
                </c:pt>
                <c:pt idx="65">
                  <c:v>0.45942857142857146</c:v>
                </c:pt>
                <c:pt idx="66">
                  <c:v>0.52928571428571436</c:v>
                </c:pt>
                <c:pt idx="67">
                  <c:v>0.60421428571428581</c:v>
                </c:pt>
                <c:pt idx="68">
                  <c:v>0.60050000000000003</c:v>
                </c:pt>
                <c:pt idx="69">
                  <c:v>0.62928571428571434</c:v>
                </c:pt>
                <c:pt idx="70">
                  <c:v>0.63492857142857151</c:v>
                </c:pt>
                <c:pt idx="71">
                  <c:v>0.64935714285714297</c:v>
                </c:pt>
                <c:pt idx="72">
                  <c:v>0.57278571428571434</c:v>
                </c:pt>
                <c:pt idx="73">
                  <c:v>0.55049999999999999</c:v>
                </c:pt>
                <c:pt idx="74">
                  <c:v>0.54242857142857148</c:v>
                </c:pt>
                <c:pt idx="75">
                  <c:v>0.60085714285714298</c:v>
                </c:pt>
                <c:pt idx="76">
                  <c:v>0.58164285714285702</c:v>
                </c:pt>
                <c:pt idx="77">
                  <c:v>0.59942857142857153</c:v>
                </c:pt>
                <c:pt idx="78">
                  <c:v>0.63928571428571435</c:v>
                </c:pt>
                <c:pt idx="79">
                  <c:v>0.64357142857142857</c:v>
                </c:pt>
                <c:pt idx="80">
                  <c:v>0.6457142857142858</c:v>
                </c:pt>
                <c:pt idx="81">
                  <c:v>0.64014285714285735</c:v>
                </c:pt>
                <c:pt idx="82">
                  <c:v>0.61035714285714282</c:v>
                </c:pt>
                <c:pt idx="83">
                  <c:v>0.60842857142857132</c:v>
                </c:pt>
                <c:pt idx="84">
                  <c:v>0.65199999999999991</c:v>
                </c:pt>
                <c:pt idx="85">
                  <c:v>0.66307142857142864</c:v>
                </c:pt>
                <c:pt idx="86">
                  <c:v>0.70950000000000002</c:v>
                </c:pt>
                <c:pt idx="87">
                  <c:v>0.6677142857142857</c:v>
                </c:pt>
                <c:pt idx="88">
                  <c:v>0.65335714285714275</c:v>
                </c:pt>
                <c:pt idx="89">
                  <c:v>0.56721428571428578</c:v>
                </c:pt>
                <c:pt idx="90">
                  <c:v>0.53092857142857153</c:v>
                </c:pt>
                <c:pt idx="91">
                  <c:v>0.51992857142857152</c:v>
                </c:pt>
                <c:pt idx="92">
                  <c:v>0.49292857142857144</c:v>
                </c:pt>
                <c:pt idx="93">
                  <c:v>0.45435714285714285</c:v>
                </c:pt>
                <c:pt idx="94">
                  <c:v>0.40042857142857141</c:v>
                </c:pt>
                <c:pt idx="95">
                  <c:v>0.36835714285714277</c:v>
                </c:pt>
                <c:pt idx="96">
                  <c:v>0.36100000000000004</c:v>
                </c:pt>
                <c:pt idx="97">
                  <c:v>0.37500000000000006</c:v>
                </c:pt>
                <c:pt idx="98">
                  <c:v>0.37200000000000005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AEA-49B2-94D2-B723FBA035F6}"/>
            </c:ext>
          </c:extLst>
        </c:ser>
        <c:ser>
          <c:idx val="2"/>
          <c:order val="2"/>
          <c:tx>
            <c:strRef>
              <c:f>'面板-景气指数'!$A$104</c:f>
              <c:strCache>
                <c:ptCount val="1"/>
                <c:pt idx="0">
                  <c:v>元件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'面板-景气指数'!$F$104:$CZ$104</c:f>
              <c:numCache>
                <c:formatCode>0.0%</c:formatCode>
                <c:ptCount val="99"/>
                <c:pt idx="0">
                  <c:v>0.28299999999999997</c:v>
                </c:pt>
                <c:pt idx="1">
                  <c:v>0.28299999999999997</c:v>
                </c:pt>
                <c:pt idx="2">
                  <c:v>0.17324999999999999</c:v>
                </c:pt>
                <c:pt idx="3">
                  <c:v>0.1525</c:v>
                </c:pt>
                <c:pt idx="4">
                  <c:v>0.13749999999999998</c:v>
                </c:pt>
                <c:pt idx="5">
                  <c:v>0.13974999999999999</c:v>
                </c:pt>
                <c:pt idx="6">
                  <c:v>0.11424999999999999</c:v>
                </c:pt>
                <c:pt idx="7">
                  <c:v>9.3750000000000014E-2</c:v>
                </c:pt>
                <c:pt idx="8">
                  <c:v>7.6249999999999998E-2</c:v>
                </c:pt>
                <c:pt idx="9">
                  <c:v>6.0999999999999999E-2</c:v>
                </c:pt>
                <c:pt idx="10">
                  <c:v>6.0999999999999999E-2</c:v>
                </c:pt>
                <c:pt idx="11">
                  <c:v>6.0500000000000005E-2</c:v>
                </c:pt>
                <c:pt idx="12">
                  <c:v>0.10174999999999999</c:v>
                </c:pt>
                <c:pt idx="13">
                  <c:v>9.425E-2</c:v>
                </c:pt>
                <c:pt idx="14">
                  <c:v>0.13974999999999999</c:v>
                </c:pt>
                <c:pt idx="15">
                  <c:v>0.14249999999999999</c:v>
                </c:pt>
                <c:pt idx="16">
                  <c:v>0.26224999999999998</c:v>
                </c:pt>
                <c:pt idx="17">
                  <c:v>0.43850000000000006</c:v>
                </c:pt>
                <c:pt idx="18">
                  <c:v>0.53249999999999997</c:v>
                </c:pt>
                <c:pt idx="19">
                  <c:v>0.53549999999999998</c:v>
                </c:pt>
                <c:pt idx="20">
                  <c:v>0.59150000000000003</c:v>
                </c:pt>
                <c:pt idx="21">
                  <c:v>0.66025000000000011</c:v>
                </c:pt>
                <c:pt idx="22">
                  <c:v>0.62925000000000009</c:v>
                </c:pt>
                <c:pt idx="23">
                  <c:v>0.69324999999999992</c:v>
                </c:pt>
                <c:pt idx="24">
                  <c:v>0.7390000000000001</c:v>
                </c:pt>
                <c:pt idx="25">
                  <c:v>0.79299999999999993</c:v>
                </c:pt>
                <c:pt idx="26">
                  <c:v>0.78774999999999995</c:v>
                </c:pt>
                <c:pt idx="27">
                  <c:v>0.76474999999999993</c:v>
                </c:pt>
                <c:pt idx="28">
                  <c:v>0.76475000000000004</c:v>
                </c:pt>
                <c:pt idx="29">
                  <c:v>0.82624999999999993</c:v>
                </c:pt>
                <c:pt idx="30">
                  <c:v>0.87199999999999989</c:v>
                </c:pt>
                <c:pt idx="31">
                  <c:v>0.91</c:v>
                </c:pt>
                <c:pt idx="32">
                  <c:v>0.91499999999999992</c:v>
                </c:pt>
                <c:pt idx="33">
                  <c:v>0.89224999999999988</c:v>
                </c:pt>
                <c:pt idx="34">
                  <c:v>0.87675000000000003</c:v>
                </c:pt>
                <c:pt idx="35">
                  <c:v>0.84375</c:v>
                </c:pt>
                <c:pt idx="36">
                  <c:v>0.91274999999999995</c:v>
                </c:pt>
                <c:pt idx="37">
                  <c:v>0.95100000000000007</c:v>
                </c:pt>
                <c:pt idx="38">
                  <c:v>0.95125000000000004</c:v>
                </c:pt>
                <c:pt idx="39">
                  <c:v>0.94325000000000003</c:v>
                </c:pt>
                <c:pt idx="40">
                  <c:v>0.82100000000000006</c:v>
                </c:pt>
                <c:pt idx="41">
                  <c:v>0.70874999999999999</c:v>
                </c:pt>
                <c:pt idx="42">
                  <c:v>0.54275000000000007</c:v>
                </c:pt>
                <c:pt idx="43">
                  <c:v>0.51724999999999988</c:v>
                </c:pt>
                <c:pt idx="44">
                  <c:v>0.52500000000000002</c:v>
                </c:pt>
                <c:pt idx="45">
                  <c:v>0.56099999999999994</c:v>
                </c:pt>
                <c:pt idx="46">
                  <c:v>0.63449999999999995</c:v>
                </c:pt>
                <c:pt idx="47">
                  <c:v>0.67800000000000005</c:v>
                </c:pt>
                <c:pt idx="48">
                  <c:v>0.64249999999999996</c:v>
                </c:pt>
                <c:pt idx="49">
                  <c:v>0.42025000000000001</c:v>
                </c:pt>
                <c:pt idx="50">
                  <c:v>0.36674999999999996</c:v>
                </c:pt>
                <c:pt idx="51">
                  <c:v>0.28799999999999998</c:v>
                </c:pt>
                <c:pt idx="52">
                  <c:v>0.34400000000000008</c:v>
                </c:pt>
                <c:pt idx="53">
                  <c:v>0.29775000000000001</c:v>
                </c:pt>
                <c:pt idx="54">
                  <c:v>0.3105</c:v>
                </c:pt>
                <c:pt idx="55">
                  <c:v>0.29025000000000001</c:v>
                </c:pt>
                <c:pt idx="56">
                  <c:v>0.29299999999999998</c:v>
                </c:pt>
                <c:pt idx="57">
                  <c:v>0.35400000000000004</c:v>
                </c:pt>
                <c:pt idx="58">
                  <c:v>0.36725000000000002</c:v>
                </c:pt>
                <c:pt idx="59">
                  <c:v>0.39775000000000005</c:v>
                </c:pt>
                <c:pt idx="60">
                  <c:v>0.38725000000000004</c:v>
                </c:pt>
                <c:pt idx="61">
                  <c:v>0.30824999999999997</c:v>
                </c:pt>
                <c:pt idx="62">
                  <c:v>0.33624999999999994</c:v>
                </c:pt>
                <c:pt idx="63">
                  <c:v>0.3745</c:v>
                </c:pt>
                <c:pt idx="64">
                  <c:v>0.46899999999999997</c:v>
                </c:pt>
                <c:pt idx="65">
                  <c:v>0.63975000000000004</c:v>
                </c:pt>
                <c:pt idx="66">
                  <c:v>0.69324999999999992</c:v>
                </c:pt>
                <c:pt idx="67">
                  <c:v>0.7420000000000001</c:v>
                </c:pt>
                <c:pt idx="68">
                  <c:v>0.77524999999999999</c:v>
                </c:pt>
                <c:pt idx="69">
                  <c:v>0.82374999999999998</c:v>
                </c:pt>
                <c:pt idx="70">
                  <c:v>0.76974999999999993</c:v>
                </c:pt>
                <c:pt idx="71">
                  <c:v>0.71624999999999994</c:v>
                </c:pt>
                <c:pt idx="72">
                  <c:v>0.59124999999999994</c:v>
                </c:pt>
                <c:pt idx="73">
                  <c:v>0.67274999999999985</c:v>
                </c:pt>
                <c:pt idx="74">
                  <c:v>0.74175000000000002</c:v>
                </c:pt>
                <c:pt idx="75">
                  <c:v>0.83874999999999988</c:v>
                </c:pt>
                <c:pt idx="76">
                  <c:v>0.7955000000000001</c:v>
                </c:pt>
                <c:pt idx="77">
                  <c:v>0.73150000000000004</c:v>
                </c:pt>
                <c:pt idx="78">
                  <c:v>0.66300000000000003</c:v>
                </c:pt>
                <c:pt idx="79">
                  <c:v>0.60424999999999995</c:v>
                </c:pt>
                <c:pt idx="80">
                  <c:v>0.57074999999999998</c:v>
                </c:pt>
                <c:pt idx="81">
                  <c:v>0.51224999999999998</c:v>
                </c:pt>
                <c:pt idx="82">
                  <c:v>0.4355</c:v>
                </c:pt>
                <c:pt idx="83">
                  <c:v>0.377</c:v>
                </c:pt>
                <c:pt idx="84">
                  <c:v>0.53025</c:v>
                </c:pt>
                <c:pt idx="85">
                  <c:v>0.49199999999999994</c:v>
                </c:pt>
                <c:pt idx="86">
                  <c:v>0.54799999999999993</c:v>
                </c:pt>
                <c:pt idx="87">
                  <c:v>0.39250000000000002</c:v>
                </c:pt>
                <c:pt idx="88">
                  <c:v>0.40749999999999997</c:v>
                </c:pt>
                <c:pt idx="89">
                  <c:v>0.27250000000000002</c:v>
                </c:pt>
                <c:pt idx="90">
                  <c:v>0.29775000000000001</c:v>
                </c:pt>
                <c:pt idx="91">
                  <c:v>0.35675000000000001</c:v>
                </c:pt>
                <c:pt idx="92">
                  <c:v>0.38724999999999998</c:v>
                </c:pt>
                <c:pt idx="93">
                  <c:v>0.32350000000000001</c:v>
                </c:pt>
                <c:pt idx="94">
                  <c:v>0.26974999999999999</c:v>
                </c:pt>
                <c:pt idx="95">
                  <c:v>0.26</c:v>
                </c:pt>
                <c:pt idx="96">
                  <c:v>0.2495</c:v>
                </c:pt>
                <c:pt idx="97">
                  <c:v>0.26474999999999999</c:v>
                </c:pt>
                <c:pt idx="98">
                  <c:v>0.25974999999999998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AEA-49B2-94D2-B723FBA035F6}"/>
            </c:ext>
          </c:extLst>
        </c:ser>
        <c:ser>
          <c:idx val="3"/>
          <c:order val="3"/>
          <c:tx>
            <c:strRef>
              <c:f>'面板-景气指数'!$A$105</c:f>
              <c:strCache>
                <c:ptCount val="1"/>
                <c:pt idx="0">
                  <c:v>光学光电子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'面板-景气指数'!$F$105:$CZ$105</c:f>
              <c:numCache>
                <c:formatCode>0.0%</c:formatCode>
                <c:ptCount val="99"/>
                <c:pt idx="0">
                  <c:v>0.47959999999999992</c:v>
                </c:pt>
                <c:pt idx="1">
                  <c:v>0.48019999999999979</c:v>
                </c:pt>
                <c:pt idx="2">
                  <c:v>0.45169999999999988</c:v>
                </c:pt>
                <c:pt idx="3">
                  <c:v>0.44509999999999988</c:v>
                </c:pt>
                <c:pt idx="4">
                  <c:v>0.45339999999999991</c:v>
                </c:pt>
                <c:pt idx="5">
                  <c:v>0.48400000000000004</c:v>
                </c:pt>
                <c:pt idx="6">
                  <c:v>0.51039999999999996</c:v>
                </c:pt>
                <c:pt idx="7">
                  <c:v>0.5089999999999999</c:v>
                </c:pt>
                <c:pt idx="8">
                  <c:v>0.44369999999999993</c:v>
                </c:pt>
                <c:pt idx="9">
                  <c:v>0.3332</c:v>
                </c:pt>
                <c:pt idx="10">
                  <c:v>0.27189999999999998</c:v>
                </c:pt>
                <c:pt idx="11">
                  <c:v>0.18559999999999999</c:v>
                </c:pt>
                <c:pt idx="12">
                  <c:v>0.13799999999999996</c:v>
                </c:pt>
                <c:pt idx="13">
                  <c:v>8.5799999999999987E-2</c:v>
                </c:pt>
                <c:pt idx="14">
                  <c:v>6.1900000000000004E-2</c:v>
                </c:pt>
                <c:pt idx="15">
                  <c:v>4.7899999999999998E-2</c:v>
                </c:pt>
                <c:pt idx="16">
                  <c:v>8.3199999999999941E-2</c:v>
                </c:pt>
                <c:pt idx="17">
                  <c:v>0.10519999999999989</c:v>
                </c:pt>
                <c:pt idx="18">
                  <c:v>9.4699999999999909E-2</c:v>
                </c:pt>
                <c:pt idx="19">
                  <c:v>9.7599999999999881E-2</c:v>
                </c:pt>
                <c:pt idx="20">
                  <c:v>0.1253999999999999</c:v>
                </c:pt>
                <c:pt idx="21">
                  <c:v>0.15199999999999991</c:v>
                </c:pt>
                <c:pt idx="22">
                  <c:v>0.20119999999999988</c:v>
                </c:pt>
                <c:pt idx="23">
                  <c:v>0.29459999999999986</c:v>
                </c:pt>
                <c:pt idx="24">
                  <c:v>0.33099999999999979</c:v>
                </c:pt>
                <c:pt idx="25">
                  <c:v>0.37659999999999982</c:v>
                </c:pt>
                <c:pt idx="26">
                  <c:v>0.43059999999999982</c:v>
                </c:pt>
                <c:pt idx="27">
                  <c:v>0.48619999999999974</c:v>
                </c:pt>
                <c:pt idx="28">
                  <c:v>0.55569999999999997</c:v>
                </c:pt>
                <c:pt idx="29">
                  <c:v>0.60780000000000001</c:v>
                </c:pt>
                <c:pt idx="30">
                  <c:v>0.6734</c:v>
                </c:pt>
                <c:pt idx="31">
                  <c:v>0.7824000000000001</c:v>
                </c:pt>
                <c:pt idx="32">
                  <c:v>0.85720000000000007</c:v>
                </c:pt>
                <c:pt idx="33">
                  <c:v>0.89050000000000018</c:v>
                </c:pt>
                <c:pt idx="34">
                  <c:v>0.8953000000000001</c:v>
                </c:pt>
                <c:pt idx="35">
                  <c:v>0.86440000000000017</c:v>
                </c:pt>
                <c:pt idx="36">
                  <c:v>0.85149999999999992</c:v>
                </c:pt>
                <c:pt idx="37">
                  <c:v>0.8529000000000001</c:v>
                </c:pt>
                <c:pt idx="38">
                  <c:v>0.82559999999999989</c:v>
                </c:pt>
                <c:pt idx="39">
                  <c:v>0.78569999999999984</c:v>
                </c:pt>
                <c:pt idx="40">
                  <c:v>0.69009999999999994</c:v>
                </c:pt>
                <c:pt idx="41">
                  <c:v>0.65759999999999996</c:v>
                </c:pt>
                <c:pt idx="42">
                  <c:v>0.59629999999999994</c:v>
                </c:pt>
                <c:pt idx="43">
                  <c:v>0.52039999999999986</c:v>
                </c:pt>
                <c:pt idx="44">
                  <c:v>0.44049999999999984</c:v>
                </c:pt>
                <c:pt idx="45">
                  <c:v>0.37679999999999986</c:v>
                </c:pt>
                <c:pt idx="46">
                  <c:v>0.3651999999999998</c:v>
                </c:pt>
                <c:pt idx="47">
                  <c:v>0.3960999999999999</c:v>
                </c:pt>
                <c:pt idx="48">
                  <c:v>0.38429999999999986</c:v>
                </c:pt>
                <c:pt idx="49">
                  <c:v>0.31129999999999991</c:v>
                </c:pt>
                <c:pt idx="50">
                  <c:v>0.3147999999999998</c:v>
                </c:pt>
                <c:pt idx="51">
                  <c:v>0.35999999999999976</c:v>
                </c:pt>
                <c:pt idx="52">
                  <c:v>0.3796999999999997</c:v>
                </c:pt>
                <c:pt idx="53">
                  <c:v>0.35349999999999976</c:v>
                </c:pt>
                <c:pt idx="54">
                  <c:v>0.33099999999999979</c:v>
                </c:pt>
                <c:pt idx="55">
                  <c:v>0.33129999999999987</c:v>
                </c:pt>
                <c:pt idx="56">
                  <c:v>0.33439999999999998</c:v>
                </c:pt>
                <c:pt idx="57">
                  <c:v>0.38479999999999998</c:v>
                </c:pt>
                <c:pt idx="58">
                  <c:v>0.46820000000000001</c:v>
                </c:pt>
                <c:pt idx="59">
                  <c:v>0.52079999999999993</c:v>
                </c:pt>
                <c:pt idx="60">
                  <c:v>0.49060000000000004</c:v>
                </c:pt>
                <c:pt idx="61">
                  <c:v>0.42210000000000014</c:v>
                </c:pt>
                <c:pt idx="62">
                  <c:v>0.35820000000000024</c:v>
                </c:pt>
                <c:pt idx="63">
                  <c:v>0.35290000000000021</c:v>
                </c:pt>
                <c:pt idx="64">
                  <c:v>0.4094000000000001</c:v>
                </c:pt>
                <c:pt idx="65">
                  <c:v>0.46110000000000012</c:v>
                </c:pt>
                <c:pt idx="66">
                  <c:v>0.55940000000000012</c:v>
                </c:pt>
                <c:pt idx="67">
                  <c:v>0.59720000000000006</c:v>
                </c:pt>
                <c:pt idx="68">
                  <c:v>0.61119999999999997</c:v>
                </c:pt>
                <c:pt idx="69">
                  <c:v>0.6351</c:v>
                </c:pt>
                <c:pt idx="70">
                  <c:v>0.61909999999999998</c:v>
                </c:pt>
                <c:pt idx="71">
                  <c:v>0.59960000000000013</c:v>
                </c:pt>
                <c:pt idx="72">
                  <c:v>0.52400000000000024</c:v>
                </c:pt>
                <c:pt idx="73">
                  <c:v>0.59320000000000006</c:v>
                </c:pt>
                <c:pt idx="74">
                  <c:v>0.60480000000000012</c:v>
                </c:pt>
                <c:pt idx="75">
                  <c:v>0.67349999999999999</c:v>
                </c:pt>
                <c:pt idx="76">
                  <c:v>0.64470000000000016</c:v>
                </c:pt>
                <c:pt idx="77">
                  <c:v>0.68589999999999995</c:v>
                </c:pt>
                <c:pt idx="78">
                  <c:v>0.70569999999999999</c:v>
                </c:pt>
                <c:pt idx="79">
                  <c:v>0.73180000000000012</c:v>
                </c:pt>
                <c:pt idx="80">
                  <c:v>0.76550000000000018</c:v>
                </c:pt>
                <c:pt idx="81">
                  <c:v>0.79620000000000013</c:v>
                </c:pt>
                <c:pt idx="82">
                  <c:v>0.82540000000000002</c:v>
                </c:pt>
                <c:pt idx="83">
                  <c:v>0.87160000000000004</c:v>
                </c:pt>
                <c:pt idx="84">
                  <c:v>0.9124000000000001</c:v>
                </c:pt>
                <c:pt idx="85">
                  <c:v>0.87939999999999996</c:v>
                </c:pt>
                <c:pt idx="86">
                  <c:v>0.82250000000000012</c:v>
                </c:pt>
                <c:pt idx="87">
                  <c:v>0.73140000000000027</c:v>
                </c:pt>
                <c:pt idx="88">
                  <c:v>0.70200000000000018</c:v>
                </c:pt>
                <c:pt idx="89">
                  <c:v>0.65050000000000008</c:v>
                </c:pt>
                <c:pt idx="90">
                  <c:v>0.66850000000000009</c:v>
                </c:pt>
                <c:pt idx="91">
                  <c:v>0.66260000000000019</c:v>
                </c:pt>
                <c:pt idx="92">
                  <c:v>0.61520000000000008</c:v>
                </c:pt>
                <c:pt idx="93">
                  <c:v>0.40790000000000015</c:v>
                </c:pt>
                <c:pt idx="94">
                  <c:v>0.36100000000000021</c:v>
                </c:pt>
                <c:pt idx="95">
                  <c:v>0.34970000000000012</c:v>
                </c:pt>
                <c:pt idx="96">
                  <c:v>0.32830000000000026</c:v>
                </c:pt>
                <c:pt idx="97">
                  <c:v>0.3223000000000002</c:v>
                </c:pt>
                <c:pt idx="98">
                  <c:v>0.32130000000000014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AEA-49B2-94D2-B723FBA035F6}"/>
            </c:ext>
          </c:extLst>
        </c:ser>
        <c:ser>
          <c:idx val="4"/>
          <c:order val="4"/>
          <c:tx>
            <c:strRef>
              <c:f>'面板-景气指数'!$A$106</c:f>
              <c:strCache>
                <c:ptCount val="1"/>
                <c:pt idx="0">
                  <c:v>消费电子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7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'面板-景气指数'!$F$106:$CZ$106</c:f>
              <c:numCache>
                <c:formatCode>0.0%</c:formatCode>
                <c:ptCount val="99"/>
                <c:pt idx="0">
                  <c:v>0.60127272727272729</c:v>
                </c:pt>
                <c:pt idx="1">
                  <c:v>0.59345454545454546</c:v>
                </c:pt>
                <c:pt idx="2">
                  <c:v>0.53881818181818175</c:v>
                </c:pt>
                <c:pt idx="3">
                  <c:v>0.49454545454545451</c:v>
                </c:pt>
                <c:pt idx="4">
                  <c:v>0.39527272727272711</c:v>
                </c:pt>
                <c:pt idx="5">
                  <c:v>0.33372727272727254</c:v>
                </c:pt>
                <c:pt idx="6">
                  <c:v>0.28781818181818164</c:v>
                </c:pt>
                <c:pt idx="7">
                  <c:v>0.27563636363636346</c:v>
                </c:pt>
                <c:pt idx="8">
                  <c:v>0.17372727272727262</c:v>
                </c:pt>
                <c:pt idx="9">
                  <c:v>0.21172727272727263</c:v>
                </c:pt>
                <c:pt idx="10">
                  <c:v>0.24218181818181805</c:v>
                </c:pt>
                <c:pt idx="11">
                  <c:v>0.25536363636363624</c:v>
                </c:pt>
                <c:pt idx="12">
                  <c:v>0.26418181818181802</c:v>
                </c:pt>
                <c:pt idx="13">
                  <c:v>0.2616363636363635</c:v>
                </c:pt>
                <c:pt idx="14">
                  <c:v>0.23890909090909082</c:v>
                </c:pt>
                <c:pt idx="15">
                  <c:v>0.26063636363636361</c:v>
                </c:pt>
                <c:pt idx="16">
                  <c:v>0.31109090909090914</c:v>
                </c:pt>
                <c:pt idx="17">
                  <c:v>0.36427272727272725</c:v>
                </c:pt>
                <c:pt idx="18">
                  <c:v>0.42099999999999999</c:v>
                </c:pt>
                <c:pt idx="19">
                  <c:v>0.45690909090909093</c:v>
                </c:pt>
                <c:pt idx="20">
                  <c:v>0.47654545454545461</c:v>
                </c:pt>
                <c:pt idx="21">
                  <c:v>0.56109090909090908</c:v>
                </c:pt>
                <c:pt idx="22">
                  <c:v>0.55136363636363639</c:v>
                </c:pt>
                <c:pt idx="23">
                  <c:v>0.51254545454545464</c:v>
                </c:pt>
                <c:pt idx="24">
                  <c:v>0.54981818181818198</c:v>
                </c:pt>
                <c:pt idx="25">
                  <c:v>0.60127272727272751</c:v>
                </c:pt>
                <c:pt idx="26">
                  <c:v>0.65609090909090928</c:v>
                </c:pt>
                <c:pt idx="27">
                  <c:v>0.64909090909090916</c:v>
                </c:pt>
                <c:pt idx="28">
                  <c:v>0.70809090909090933</c:v>
                </c:pt>
                <c:pt idx="29">
                  <c:v>0.6975454545454548</c:v>
                </c:pt>
                <c:pt idx="30">
                  <c:v>0.66690909090909112</c:v>
                </c:pt>
                <c:pt idx="31">
                  <c:v>0.71727272727272762</c:v>
                </c:pt>
                <c:pt idx="32">
                  <c:v>0.72627272727272751</c:v>
                </c:pt>
                <c:pt idx="33">
                  <c:v>0.75245454545454571</c:v>
                </c:pt>
                <c:pt idx="34">
                  <c:v>0.71363636363636385</c:v>
                </c:pt>
                <c:pt idx="35">
                  <c:v>0.78927272727272735</c:v>
                </c:pt>
                <c:pt idx="36">
                  <c:v>0.79072727272727272</c:v>
                </c:pt>
                <c:pt idx="37">
                  <c:v>0.77509090909090916</c:v>
                </c:pt>
                <c:pt idx="38">
                  <c:v>0.72790909090909084</c:v>
                </c:pt>
                <c:pt idx="39">
                  <c:v>0.70690909090909093</c:v>
                </c:pt>
                <c:pt idx="40">
                  <c:v>0.57663636363636372</c:v>
                </c:pt>
                <c:pt idx="41">
                  <c:v>0.48327272727272735</c:v>
                </c:pt>
                <c:pt idx="42">
                  <c:v>0.39236363636363636</c:v>
                </c:pt>
                <c:pt idx="43">
                  <c:v>0.38472727272727281</c:v>
                </c:pt>
                <c:pt idx="44">
                  <c:v>0.40863636363636363</c:v>
                </c:pt>
                <c:pt idx="45">
                  <c:v>0.46463636363636363</c:v>
                </c:pt>
                <c:pt idx="46">
                  <c:v>0.50300000000000011</c:v>
                </c:pt>
                <c:pt idx="47">
                  <c:v>0.40972727272727283</c:v>
                </c:pt>
                <c:pt idx="48">
                  <c:v>0.3204545454545456</c:v>
                </c:pt>
                <c:pt idx="49">
                  <c:v>0.23172727272727289</c:v>
                </c:pt>
                <c:pt idx="50">
                  <c:v>0.19409090909090917</c:v>
                </c:pt>
                <c:pt idx="51">
                  <c:v>0.17045454545454547</c:v>
                </c:pt>
                <c:pt idx="52">
                  <c:v>0.20236363636363633</c:v>
                </c:pt>
                <c:pt idx="53">
                  <c:v>0.24045454545454537</c:v>
                </c:pt>
                <c:pt idx="54">
                  <c:v>0.28836363636363627</c:v>
                </c:pt>
                <c:pt idx="55">
                  <c:v>0.29263636363636353</c:v>
                </c:pt>
                <c:pt idx="56">
                  <c:v>0.26618181818181808</c:v>
                </c:pt>
                <c:pt idx="57">
                  <c:v>0.26818181818181813</c:v>
                </c:pt>
                <c:pt idx="58">
                  <c:v>0.29518181818181816</c:v>
                </c:pt>
                <c:pt idx="59">
                  <c:v>0.33072727272727276</c:v>
                </c:pt>
                <c:pt idx="60">
                  <c:v>0.31690909090909092</c:v>
                </c:pt>
                <c:pt idx="61">
                  <c:v>0.30718181818181822</c:v>
                </c:pt>
                <c:pt idx="62">
                  <c:v>0.29881818181818193</c:v>
                </c:pt>
                <c:pt idx="63">
                  <c:v>0.34636363636363648</c:v>
                </c:pt>
                <c:pt idx="64">
                  <c:v>0.39972727272727288</c:v>
                </c:pt>
                <c:pt idx="65">
                  <c:v>0.46700000000000019</c:v>
                </c:pt>
                <c:pt idx="66">
                  <c:v>0.48518181818181833</c:v>
                </c:pt>
                <c:pt idx="67">
                  <c:v>0.49118181818181844</c:v>
                </c:pt>
                <c:pt idx="68">
                  <c:v>0.5216363636363639</c:v>
                </c:pt>
                <c:pt idx="69">
                  <c:v>0.59236363636363654</c:v>
                </c:pt>
                <c:pt idx="70">
                  <c:v>0.62490909090909119</c:v>
                </c:pt>
                <c:pt idx="71">
                  <c:v>0.62036363636363667</c:v>
                </c:pt>
                <c:pt idx="72">
                  <c:v>0.61136363636363666</c:v>
                </c:pt>
                <c:pt idx="73">
                  <c:v>0.63854545454545486</c:v>
                </c:pt>
                <c:pt idx="74">
                  <c:v>0.67945454545454576</c:v>
                </c:pt>
                <c:pt idx="75">
                  <c:v>0.70481818181818223</c:v>
                </c:pt>
                <c:pt idx="76">
                  <c:v>0.70863636363636395</c:v>
                </c:pt>
                <c:pt idx="77">
                  <c:v>0.73900000000000021</c:v>
                </c:pt>
                <c:pt idx="78">
                  <c:v>0.73509090909090935</c:v>
                </c:pt>
                <c:pt idx="79">
                  <c:v>0.74236363636363667</c:v>
                </c:pt>
                <c:pt idx="80">
                  <c:v>0.76700000000000035</c:v>
                </c:pt>
                <c:pt idx="81">
                  <c:v>0.7733636363636367</c:v>
                </c:pt>
                <c:pt idx="82">
                  <c:v>0.79254545454545489</c:v>
                </c:pt>
                <c:pt idx="83">
                  <c:v>0.80227272727272747</c:v>
                </c:pt>
                <c:pt idx="84">
                  <c:v>0.84463636363636407</c:v>
                </c:pt>
                <c:pt idx="85">
                  <c:v>0.79536363636363672</c:v>
                </c:pt>
                <c:pt idx="86">
                  <c:v>0.7863636363636366</c:v>
                </c:pt>
                <c:pt idx="87">
                  <c:v>0.72954545454545483</c:v>
                </c:pt>
                <c:pt idx="88">
                  <c:v>0.70290909090909115</c:v>
                </c:pt>
                <c:pt idx="89">
                  <c:v>0.64072727272727281</c:v>
                </c:pt>
                <c:pt idx="90">
                  <c:v>0.61727272727272731</c:v>
                </c:pt>
                <c:pt idx="91">
                  <c:v>0.5905454545454546</c:v>
                </c:pt>
                <c:pt idx="92">
                  <c:v>0.52</c:v>
                </c:pt>
                <c:pt idx="93">
                  <c:v>0.42690909090909079</c:v>
                </c:pt>
                <c:pt idx="94">
                  <c:v>0.35127272727272724</c:v>
                </c:pt>
                <c:pt idx="95">
                  <c:v>0.30454545454545451</c:v>
                </c:pt>
                <c:pt idx="96">
                  <c:v>0.2985454545454545</c:v>
                </c:pt>
                <c:pt idx="97">
                  <c:v>0.30118181818181811</c:v>
                </c:pt>
                <c:pt idx="98">
                  <c:v>0.31681818181818178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AEA-49B2-94D2-B723FBA03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07407407407E-3"/>
          <c:w val="1"/>
          <c:h val="0.104324146981626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'面板-景气指数'!$A$50</c:f>
              <c:strCache>
                <c:ptCount val="1"/>
                <c:pt idx="0">
                  <c:v>汽车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'面板-景气指数'!$F$50:$CZ$50</c:f>
              <c:numCache>
                <c:formatCode>0.0%</c:formatCode>
                <c:ptCount val="99"/>
                <c:pt idx="0">
                  <c:v>0.36739999999999995</c:v>
                </c:pt>
                <c:pt idx="1">
                  <c:v>0.80459999999999987</c:v>
                </c:pt>
                <c:pt idx="2">
                  <c:v>0.85845000000000005</c:v>
                </c:pt>
                <c:pt idx="3">
                  <c:v>0.88745000000000007</c:v>
                </c:pt>
                <c:pt idx="4">
                  <c:v>0.84755000000000003</c:v>
                </c:pt>
                <c:pt idx="5">
                  <c:v>0.77675000000000005</c:v>
                </c:pt>
                <c:pt idx="6">
                  <c:v>0.65225</c:v>
                </c:pt>
                <c:pt idx="7">
                  <c:v>0.46945000000000003</c:v>
                </c:pt>
                <c:pt idx="8">
                  <c:v>0.50120000000000009</c:v>
                </c:pt>
                <c:pt idx="9">
                  <c:v>0.56710000000000005</c:v>
                </c:pt>
                <c:pt idx="10">
                  <c:v>0.70120000000000005</c:v>
                </c:pt>
                <c:pt idx="11">
                  <c:v>0.53320000000000012</c:v>
                </c:pt>
                <c:pt idx="12">
                  <c:v>0.38464999999999999</c:v>
                </c:pt>
                <c:pt idx="13">
                  <c:v>0.25685000000000002</c:v>
                </c:pt>
                <c:pt idx="14">
                  <c:v>0.26655000000000001</c:v>
                </c:pt>
                <c:pt idx="15">
                  <c:v>0.30155000000000004</c:v>
                </c:pt>
                <c:pt idx="16">
                  <c:v>0.54725000000000001</c:v>
                </c:pt>
                <c:pt idx="17">
                  <c:v>0.58050000000000002</c:v>
                </c:pt>
                <c:pt idx="18">
                  <c:v>0.58649999999999991</c:v>
                </c:pt>
                <c:pt idx="19">
                  <c:v>0.56150000000000011</c:v>
                </c:pt>
                <c:pt idx="20">
                  <c:v>0.50354999999999994</c:v>
                </c:pt>
                <c:pt idx="21">
                  <c:v>0.35704999999999998</c:v>
                </c:pt>
                <c:pt idx="22">
                  <c:v>0.24885000000000002</c:v>
                </c:pt>
                <c:pt idx="23">
                  <c:v>0.25535000000000002</c:v>
                </c:pt>
                <c:pt idx="24">
                  <c:v>0.41915000000000002</c:v>
                </c:pt>
                <c:pt idx="25">
                  <c:v>0.57055</c:v>
                </c:pt>
                <c:pt idx="26">
                  <c:v>0.60400000000000009</c:v>
                </c:pt>
                <c:pt idx="27">
                  <c:v>0.55979999999999996</c:v>
                </c:pt>
                <c:pt idx="28">
                  <c:v>0.59335000000000004</c:v>
                </c:pt>
                <c:pt idx="29">
                  <c:v>0.64744999999999997</c:v>
                </c:pt>
                <c:pt idx="30">
                  <c:v>0.72160000000000002</c:v>
                </c:pt>
                <c:pt idx="31">
                  <c:v>0.78730000000000011</c:v>
                </c:pt>
                <c:pt idx="32">
                  <c:v>0.82660000000000022</c:v>
                </c:pt>
                <c:pt idx="33">
                  <c:v>0.87080000000000002</c:v>
                </c:pt>
                <c:pt idx="34">
                  <c:v>0.90715000000000012</c:v>
                </c:pt>
                <c:pt idx="35">
                  <c:v>0.95865</c:v>
                </c:pt>
                <c:pt idx="36">
                  <c:v>0.9859</c:v>
                </c:pt>
                <c:pt idx="37">
                  <c:v>0.97650000000000003</c:v>
                </c:pt>
                <c:pt idx="38">
                  <c:v>0.95525000000000004</c:v>
                </c:pt>
                <c:pt idx="39">
                  <c:v>0.57750000000000001</c:v>
                </c:pt>
                <c:pt idx="40">
                  <c:v>0.41395000000000004</c:v>
                </c:pt>
                <c:pt idx="41">
                  <c:v>0.38519999999999999</c:v>
                </c:pt>
                <c:pt idx="42">
                  <c:v>0.32079999999999997</c:v>
                </c:pt>
                <c:pt idx="43">
                  <c:v>0.2419</c:v>
                </c:pt>
                <c:pt idx="44">
                  <c:v>0.20324999999999999</c:v>
                </c:pt>
                <c:pt idx="45">
                  <c:v>0.15279999999999999</c:v>
                </c:pt>
                <c:pt idx="46">
                  <c:v>0.125</c:v>
                </c:pt>
                <c:pt idx="47">
                  <c:v>8.7300000000000016E-2</c:v>
                </c:pt>
                <c:pt idx="48">
                  <c:v>3.9150000000000004E-2</c:v>
                </c:pt>
                <c:pt idx="49">
                  <c:v>4.1050000000000003E-2</c:v>
                </c:pt>
                <c:pt idx="50">
                  <c:v>8.77E-2</c:v>
                </c:pt>
                <c:pt idx="51">
                  <c:v>0.2427</c:v>
                </c:pt>
                <c:pt idx="52">
                  <c:v>0.30405000000000004</c:v>
                </c:pt>
                <c:pt idx="53">
                  <c:v>0.2797</c:v>
                </c:pt>
                <c:pt idx="54">
                  <c:v>0.26594999999999996</c:v>
                </c:pt>
                <c:pt idx="55">
                  <c:v>0.25335000000000002</c:v>
                </c:pt>
                <c:pt idx="56">
                  <c:v>0.2311</c:v>
                </c:pt>
                <c:pt idx="57">
                  <c:v>0.21065</c:v>
                </c:pt>
                <c:pt idx="58">
                  <c:v>0.18490000000000001</c:v>
                </c:pt>
                <c:pt idx="59">
                  <c:v>0.21984999999999999</c:v>
                </c:pt>
                <c:pt idx="60">
                  <c:v>0.19685000000000002</c:v>
                </c:pt>
                <c:pt idx="61">
                  <c:v>0.21565000000000001</c:v>
                </c:pt>
                <c:pt idx="62">
                  <c:v>0.25375000000000003</c:v>
                </c:pt>
                <c:pt idx="63">
                  <c:v>0.32075000000000004</c:v>
                </c:pt>
                <c:pt idx="64">
                  <c:v>0.33865000000000001</c:v>
                </c:pt>
                <c:pt idx="65">
                  <c:v>0.36699999999999999</c:v>
                </c:pt>
                <c:pt idx="66">
                  <c:v>0.38934999999999997</c:v>
                </c:pt>
                <c:pt idx="67">
                  <c:v>0.43780000000000002</c:v>
                </c:pt>
                <c:pt idx="68">
                  <c:v>0.51480000000000004</c:v>
                </c:pt>
                <c:pt idx="69">
                  <c:v>0.53569999999999995</c:v>
                </c:pt>
                <c:pt idx="70">
                  <c:v>0.56200000000000006</c:v>
                </c:pt>
                <c:pt idx="71">
                  <c:v>0.51980000000000004</c:v>
                </c:pt>
                <c:pt idx="72">
                  <c:v>0.48405000000000004</c:v>
                </c:pt>
                <c:pt idx="73">
                  <c:v>0.55154999999999998</c:v>
                </c:pt>
                <c:pt idx="74">
                  <c:v>0.58340000000000014</c:v>
                </c:pt>
                <c:pt idx="75">
                  <c:v>0.58850000000000002</c:v>
                </c:pt>
                <c:pt idx="76">
                  <c:v>0.51415</c:v>
                </c:pt>
                <c:pt idx="77">
                  <c:v>0.54389999999999994</c:v>
                </c:pt>
                <c:pt idx="78">
                  <c:v>0.56285000000000007</c:v>
                </c:pt>
                <c:pt idx="79">
                  <c:v>0.55940000000000001</c:v>
                </c:pt>
                <c:pt idx="80">
                  <c:v>0.5212500000000001</c:v>
                </c:pt>
                <c:pt idx="81">
                  <c:v>0.52310000000000001</c:v>
                </c:pt>
                <c:pt idx="82">
                  <c:v>0.52685000000000004</c:v>
                </c:pt>
                <c:pt idx="83">
                  <c:v>0.5676000000000001</c:v>
                </c:pt>
                <c:pt idx="84">
                  <c:v>0.64300000000000002</c:v>
                </c:pt>
                <c:pt idx="85">
                  <c:v>0.5989000000000001</c:v>
                </c:pt>
                <c:pt idx="86">
                  <c:v>0.62434999999999996</c:v>
                </c:pt>
                <c:pt idx="87">
                  <c:v>0.64505000000000001</c:v>
                </c:pt>
                <c:pt idx="88">
                  <c:v>0.69950000000000012</c:v>
                </c:pt>
                <c:pt idx="89">
                  <c:v>0.68924999999999992</c:v>
                </c:pt>
                <c:pt idx="90">
                  <c:v>0.68620000000000014</c:v>
                </c:pt>
                <c:pt idx="91">
                  <c:v>0.67710000000000004</c:v>
                </c:pt>
                <c:pt idx="92">
                  <c:v>0.64639999999999997</c:v>
                </c:pt>
                <c:pt idx="93">
                  <c:v>0.61360000000000003</c:v>
                </c:pt>
                <c:pt idx="94">
                  <c:v>0.58555000000000001</c:v>
                </c:pt>
                <c:pt idx="95">
                  <c:v>0.55790000000000006</c:v>
                </c:pt>
                <c:pt idx="96">
                  <c:v>0.50854999999999995</c:v>
                </c:pt>
                <c:pt idx="97">
                  <c:v>0.51470000000000005</c:v>
                </c:pt>
                <c:pt idx="98">
                  <c:v>0.50839999999999996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1C-4DC0-997C-E8B2D22352DC}"/>
            </c:ext>
          </c:extLst>
        </c:ser>
        <c:ser>
          <c:idx val="1"/>
          <c:order val="1"/>
          <c:tx>
            <c:strRef>
              <c:f>'面板-景气指数'!$A$119</c:f>
              <c:strCache>
                <c:ptCount val="1"/>
                <c:pt idx="0">
                  <c:v>汽车零部件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'面板-景气指数'!$F$119:$CZ$119</c:f>
              <c:numCache>
                <c:formatCode>0.0%</c:formatCode>
                <c:ptCount val="99"/>
                <c:pt idx="0">
                  <c:v>0.93799999999999994</c:v>
                </c:pt>
                <c:pt idx="1">
                  <c:v>0.93799999999999994</c:v>
                </c:pt>
                <c:pt idx="2">
                  <c:v>0.93799999999999994</c:v>
                </c:pt>
                <c:pt idx="3">
                  <c:v>0.92800000000000005</c:v>
                </c:pt>
                <c:pt idx="4">
                  <c:v>0.877</c:v>
                </c:pt>
                <c:pt idx="5">
                  <c:v>0.76500000000000012</c:v>
                </c:pt>
                <c:pt idx="6">
                  <c:v>0.58099999999999996</c:v>
                </c:pt>
                <c:pt idx="7">
                  <c:v>0.36699999999999999</c:v>
                </c:pt>
                <c:pt idx="8">
                  <c:v>0.39700000000000002</c:v>
                </c:pt>
                <c:pt idx="9">
                  <c:v>0.44800000000000006</c:v>
                </c:pt>
                <c:pt idx="10">
                  <c:v>0.622</c:v>
                </c:pt>
                <c:pt idx="11">
                  <c:v>0.43800000000000006</c:v>
                </c:pt>
                <c:pt idx="12">
                  <c:v>0.183</c:v>
                </c:pt>
                <c:pt idx="13">
                  <c:v>0.122</c:v>
                </c:pt>
                <c:pt idx="14">
                  <c:v>7.0999999999999994E-2</c:v>
                </c:pt>
                <c:pt idx="15">
                  <c:v>0.10200000000000001</c:v>
                </c:pt>
                <c:pt idx="16">
                  <c:v>0.13200000000000001</c:v>
                </c:pt>
                <c:pt idx="17">
                  <c:v>0.14199999999999999</c:v>
                </c:pt>
                <c:pt idx="18">
                  <c:v>0.11200000000000002</c:v>
                </c:pt>
                <c:pt idx="19">
                  <c:v>9.0999999999999998E-2</c:v>
                </c:pt>
                <c:pt idx="20">
                  <c:v>8.1000000000000003E-2</c:v>
                </c:pt>
                <c:pt idx="21">
                  <c:v>0.04</c:v>
                </c:pt>
                <c:pt idx="22">
                  <c:v>0.02</c:v>
                </c:pt>
                <c:pt idx="23">
                  <c:v>6.0999999999999999E-2</c:v>
                </c:pt>
                <c:pt idx="24">
                  <c:v>0.153</c:v>
                </c:pt>
                <c:pt idx="25">
                  <c:v>0.21400000000000002</c:v>
                </c:pt>
                <c:pt idx="26">
                  <c:v>0.41800000000000004</c:v>
                </c:pt>
                <c:pt idx="27">
                  <c:v>0.5</c:v>
                </c:pt>
                <c:pt idx="28">
                  <c:v>0.54</c:v>
                </c:pt>
                <c:pt idx="29">
                  <c:v>0.63200000000000001</c:v>
                </c:pt>
                <c:pt idx="30">
                  <c:v>0.72399999999999998</c:v>
                </c:pt>
                <c:pt idx="31">
                  <c:v>0.74399999999999999</c:v>
                </c:pt>
                <c:pt idx="32">
                  <c:v>0.75500000000000012</c:v>
                </c:pt>
                <c:pt idx="33">
                  <c:v>0.77500000000000013</c:v>
                </c:pt>
                <c:pt idx="34">
                  <c:v>0.83600000000000008</c:v>
                </c:pt>
                <c:pt idx="35">
                  <c:v>0.96899999999999997</c:v>
                </c:pt>
                <c:pt idx="36">
                  <c:v>0.98899999999999999</c:v>
                </c:pt>
                <c:pt idx="37">
                  <c:v>1</c:v>
                </c:pt>
                <c:pt idx="38">
                  <c:v>0.97899999999999998</c:v>
                </c:pt>
                <c:pt idx="39">
                  <c:v>0.377</c:v>
                </c:pt>
                <c:pt idx="40">
                  <c:v>0.35699999999999998</c:v>
                </c:pt>
                <c:pt idx="41">
                  <c:v>0.316</c:v>
                </c:pt>
                <c:pt idx="42">
                  <c:v>0.28499999999999998</c:v>
                </c:pt>
                <c:pt idx="43">
                  <c:v>0.193</c:v>
                </c:pt>
                <c:pt idx="44">
                  <c:v>0.20400000000000001</c:v>
                </c:pt>
                <c:pt idx="45">
                  <c:v>0.17299999999999999</c:v>
                </c:pt>
                <c:pt idx="46">
                  <c:v>0.16300000000000001</c:v>
                </c:pt>
                <c:pt idx="47">
                  <c:v>0.03</c:v>
                </c:pt>
                <c:pt idx="48">
                  <c:v>0.01</c:v>
                </c:pt>
                <c:pt idx="49">
                  <c:v>0</c:v>
                </c:pt>
                <c:pt idx="50">
                  <c:v>5.1000000000000004E-2</c:v>
                </c:pt>
                <c:pt idx="51">
                  <c:v>0.38700000000000001</c:v>
                </c:pt>
                <c:pt idx="52">
                  <c:v>0.33600000000000002</c:v>
                </c:pt>
                <c:pt idx="53">
                  <c:v>0.27500000000000002</c:v>
                </c:pt>
                <c:pt idx="54">
                  <c:v>0.22400000000000003</c:v>
                </c:pt>
                <c:pt idx="55">
                  <c:v>0.23400000000000004</c:v>
                </c:pt>
                <c:pt idx="56">
                  <c:v>0.24399999999999999</c:v>
                </c:pt>
                <c:pt idx="57">
                  <c:v>0.26500000000000001</c:v>
                </c:pt>
                <c:pt idx="58">
                  <c:v>0.255</c:v>
                </c:pt>
                <c:pt idx="59">
                  <c:v>0.29499999999999998</c:v>
                </c:pt>
                <c:pt idx="60">
                  <c:v>0.32600000000000001</c:v>
                </c:pt>
                <c:pt idx="61">
                  <c:v>0.34599999999999997</c:v>
                </c:pt>
                <c:pt idx="62">
                  <c:v>0.40800000000000003</c:v>
                </c:pt>
                <c:pt idx="63">
                  <c:v>0.47899999999999998</c:v>
                </c:pt>
                <c:pt idx="64">
                  <c:v>0.48899999999999999</c:v>
                </c:pt>
                <c:pt idx="65">
                  <c:v>0.53</c:v>
                </c:pt>
                <c:pt idx="66">
                  <c:v>0.57099999999999995</c:v>
                </c:pt>
                <c:pt idx="67">
                  <c:v>0.61199999999999999</c:v>
                </c:pt>
                <c:pt idx="68">
                  <c:v>0.67300000000000004</c:v>
                </c:pt>
                <c:pt idx="69">
                  <c:v>0.68300000000000005</c:v>
                </c:pt>
                <c:pt idx="70">
                  <c:v>0.66300000000000003</c:v>
                </c:pt>
                <c:pt idx="71">
                  <c:v>0.60199999999999998</c:v>
                </c:pt>
                <c:pt idx="72">
                  <c:v>0.51</c:v>
                </c:pt>
                <c:pt idx="73">
                  <c:v>0.46899999999999997</c:v>
                </c:pt>
                <c:pt idx="74">
                  <c:v>0.70399999999999996</c:v>
                </c:pt>
                <c:pt idx="75">
                  <c:v>0.79500000000000015</c:v>
                </c:pt>
                <c:pt idx="76">
                  <c:v>0.86699999999999999</c:v>
                </c:pt>
                <c:pt idx="77">
                  <c:v>0.88700000000000001</c:v>
                </c:pt>
                <c:pt idx="78">
                  <c:v>0.89700000000000002</c:v>
                </c:pt>
                <c:pt idx="79">
                  <c:v>0.85699999999999998</c:v>
                </c:pt>
                <c:pt idx="80">
                  <c:v>0.80600000000000005</c:v>
                </c:pt>
                <c:pt idx="81">
                  <c:v>0.81600000000000006</c:v>
                </c:pt>
                <c:pt idx="82">
                  <c:v>0.78500000000000014</c:v>
                </c:pt>
                <c:pt idx="83">
                  <c:v>0.82600000000000007</c:v>
                </c:pt>
                <c:pt idx="84">
                  <c:v>0.90800000000000003</c:v>
                </c:pt>
                <c:pt idx="85">
                  <c:v>0.91800000000000004</c:v>
                </c:pt>
                <c:pt idx="86">
                  <c:v>0.84600000000000009</c:v>
                </c:pt>
                <c:pt idx="87">
                  <c:v>0.73399999999999999</c:v>
                </c:pt>
                <c:pt idx="88">
                  <c:v>0.71399999999999997</c:v>
                </c:pt>
                <c:pt idx="89">
                  <c:v>0.69299999999999995</c:v>
                </c:pt>
                <c:pt idx="90">
                  <c:v>0.64200000000000002</c:v>
                </c:pt>
                <c:pt idx="91">
                  <c:v>0.65300000000000002</c:v>
                </c:pt>
                <c:pt idx="92">
                  <c:v>0.59099999999999997</c:v>
                </c:pt>
                <c:pt idx="93">
                  <c:v>0.56100000000000005</c:v>
                </c:pt>
                <c:pt idx="94">
                  <c:v>0.55100000000000005</c:v>
                </c:pt>
                <c:pt idx="95">
                  <c:v>0.52</c:v>
                </c:pt>
                <c:pt idx="96">
                  <c:v>0.45900000000000002</c:v>
                </c:pt>
                <c:pt idx="97">
                  <c:v>0.42800000000000005</c:v>
                </c:pt>
                <c:pt idx="98">
                  <c:v>0.30599999999999999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61C-4DC0-997C-E8B2D22352DC}"/>
            </c:ext>
          </c:extLst>
        </c:ser>
        <c:ser>
          <c:idx val="2"/>
          <c:order val="2"/>
          <c:tx>
            <c:strRef>
              <c:f>'面板-景气指数'!$A$121</c:f>
              <c:strCache>
                <c:ptCount val="1"/>
                <c:pt idx="0">
                  <c:v>商用车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'面板-景气指数'!$F$121:$CZ$121</c:f>
              <c:numCache>
                <c:formatCode>0.0%</c:formatCode>
                <c:ptCount val="99"/>
                <c:pt idx="0">
                  <c:v>0.23899999999999999</c:v>
                </c:pt>
                <c:pt idx="1">
                  <c:v>0.73399999999999999</c:v>
                </c:pt>
                <c:pt idx="2">
                  <c:v>0.8055000000000001</c:v>
                </c:pt>
                <c:pt idx="3">
                  <c:v>0.91249999999999998</c:v>
                </c:pt>
                <c:pt idx="4">
                  <c:v>0.83650000000000002</c:v>
                </c:pt>
                <c:pt idx="5">
                  <c:v>0.74949999999999994</c:v>
                </c:pt>
                <c:pt idx="6">
                  <c:v>0.69850000000000001</c:v>
                </c:pt>
                <c:pt idx="7">
                  <c:v>0.69850000000000001</c:v>
                </c:pt>
                <c:pt idx="8">
                  <c:v>0.70900000000000019</c:v>
                </c:pt>
                <c:pt idx="9">
                  <c:v>0.76000000000000012</c:v>
                </c:pt>
                <c:pt idx="10">
                  <c:v>0.82100000000000006</c:v>
                </c:pt>
                <c:pt idx="11">
                  <c:v>0.77500000000000013</c:v>
                </c:pt>
                <c:pt idx="12">
                  <c:v>0.86150000000000004</c:v>
                </c:pt>
                <c:pt idx="13">
                  <c:v>0.50950000000000006</c:v>
                </c:pt>
                <c:pt idx="14">
                  <c:v>0.48450000000000004</c:v>
                </c:pt>
                <c:pt idx="15">
                  <c:v>0.45850000000000002</c:v>
                </c:pt>
                <c:pt idx="16">
                  <c:v>0.54049999999999998</c:v>
                </c:pt>
                <c:pt idx="17">
                  <c:v>0.55600000000000005</c:v>
                </c:pt>
                <c:pt idx="18">
                  <c:v>0.57599999999999996</c:v>
                </c:pt>
                <c:pt idx="19">
                  <c:v>0.53</c:v>
                </c:pt>
                <c:pt idx="20">
                  <c:v>0.4995</c:v>
                </c:pt>
                <c:pt idx="21">
                  <c:v>0.40250000000000008</c:v>
                </c:pt>
                <c:pt idx="22">
                  <c:v>0.34150000000000003</c:v>
                </c:pt>
                <c:pt idx="23">
                  <c:v>0.38250000000000006</c:v>
                </c:pt>
                <c:pt idx="24">
                  <c:v>0.35649999999999998</c:v>
                </c:pt>
                <c:pt idx="25">
                  <c:v>0.48449999999999999</c:v>
                </c:pt>
                <c:pt idx="26">
                  <c:v>0.47400000000000009</c:v>
                </c:pt>
                <c:pt idx="27">
                  <c:v>0.41800000000000004</c:v>
                </c:pt>
                <c:pt idx="28">
                  <c:v>0.34649999999999997</c:v>
                </c:pt>
                <c:pt idx="29">
                  <c:v>0.40749999999999997</c:v>
                </c:pt>
                <c:pt idx="30">
                  <c:v>0.47399999999999998</c:v>
                </c:pt>
                <c:pt idx="31">
                  <c:v>0.48899999999999999</c:v>
                </c:pt>
                <c:pt idx="32">
                  <c:v>0.52499999999999991</c:v>
                </c:pt>
                <c:pt idx="33">
                  <c:v>0.59099999999999997</c:v>
                </c:pt>
                <c:pt idx="34">
                  <c:v>0.63749999999999996</c:v>
                </c:pt>
                <c:pt idx="35">
                  <c:v>0.85650000000000004</c:v>
                </c:pt>
                <c:pt idx="36">
                  <c:v>0.98399999999999999</c:v>
                </c:pt>
                <c:pt idx="37">
                  <c:v>0.97399999999999998</c:v>
                </c:pt>
                <c:pt idx="38">
                  <c:v>0.95350000000000001</c:v>
                </c:pt>
                <c:pt idx="39">
                  <c:v>0.67799999999999994</c:v>
                </c:pt>
                <c:pt idx="40">
                  <c:v>0.55049999999999999</c:v>
                </c:pt>
                <c:pt idx="41">
                  <c:v>0.622</c:v>
                </c:pt>
                <c:pt idx="42">
                  <c:v>0.58099999999999996</c:v>
                </c:pt>
                <c:pt idx="43">
                  <c:v>0.53500000000000003</c:v>
                </c:pt>
                <c:pt idx="44">
                  <c:v>0.53549999999999998</c:v>
                </c:pt>
                <c:pt idx="45">
                  <c:v>0.52999999999999992</c:v>
                </c:pt>
                <c:pt idx="46">
                  <c:v>0.48899999999999999</c:v>
                </c:pt>
                <c:pt idx="47">
                  <c:v>0.377</c:v>
                </c:pt>
                <c:pt idx="48">
                  <c:v>8.6499999999999994E-2</c:v>
                </c:pt>
                <c:pt idx="49">
                  <c:v>3.5499999999999997E-2</c:v>
                </c:pt>
                <c:pt idx="50">
                  <c:v>0.11700000000000002</c:v>
                </c:pt>
                <c:pt idx="51">
                  <c:v>0.26</c:v>
                </c:pt>
                <c:pt idx="52">
                  <c:v>0.41249999999999998</c:v>
                </c:pt>
                <c:pt idx="53">
                  <c:v>0.372</c:v>
                </c:pt>
                <c:pt idx="54">
                  <c:v>0.35649999999999998</c:v>
                </c:pt>
                <c:pt idx="55">
                  <c:v>0.2445</c:v>
                </c:pt>
                <c:pt idx="56">
                  <c:v>0.22400000000000003</c:v>
                </c:pt>
                <c:pt idx="57">
                  <c:v>0.20349999999999999</c:v>
                </c:pt>
                <c:pt idx="58">
                  <c:v>0.22900000000000004</c:v>
                </c:pt>
                <c:pt idx="59">
                  <c:v>0.39749999999999996</c:v>
                </c:pt>
                <c:pt idx="60">
                  <c:v>0.53549999999999998</c:v>
                </c:pt>
                <c:pt idx="61">
                  <c:v>0.65249999999999997</c:v>
                </c:pt>
                <c:pt idx="62">
                  <c:v>0.61150000000000004</c:v>
                </c:pt>
                <c:pt idx="63">
                  <c:v>0.53050000000000008</c:v>
                </c:pt>
                <c:pt idx="64">
                  <c:v>0.39250000000000007</c:v>
                </c:pt>
                <c:pt idx="65">
                  <c:v>0.34600000000000003</c:v>
                </c:pt>
                <c:pt idx="66">
                  <c:v>0.30549999999999999</c:v>
                </c:pt>
                <c:pt idx="67">
                  <c:v>0.43300000000000005</c:v>
                </c:pt>
                <c:pt idx="68">
                  <c:v>0.52</c:v>
                </c:pt>
                <c:pt idx="69">
                  <c:v>0.49399999999999999</c:v>
                </c:pt>
                <c:pt idx="70">
                  <c:v>0.58100000000000007</c:v>
                </c:pt>
                <c:pt idx="71">
                  <c:v>0.55600000000000005</c:v>
                </c:pt>
                <c:pt idx="72">
                  <c:v>0.45850000000000002</c:v>
                </c:pt>
                <c:pt idx="73">
                  <c:v>0.48950000000000005</c:v>
                </c:pt>
                <c:pt idx="74">
                  <c:v>0.377</c:v>
                </c:pt>
                <c:pt idx="75">
                  <c:v>0.48399999999999999</c:v>
                </c:pt>
                <c:pt idx="76">
                  <c:v>0.53550000000000009</c:v>
                </c:pt>
                <c:pt idx="77">
                  <c:v>0.61699999999999999</c:v>
                </c:pt>
                <c:pt idx="78">
                  <c:v>0.63249999999999995</c:v>
                </c:pt>
                <c:pt idx="79">
                  <c:v>0.57600000000000007</c:v>
                </c:pt>
                <c:pt idx="80">
                  <c:v>0.49450000000000005</c:v>
                </c:pt>
                <c:pt idx="81">
                  <c:v>0.58100000000000007</c:v>
                </c:pt>
                <c:pt idx="82">
                  <c:v>0.55049999999999999</c:v>
                </c:pt>
                <c:pt idx="83">
                  <c:v>0.53</c:v>
                </c:pt>
                <c:pt idx="84">
                  <c:v>0.57600000000000007</c:v>
                </c:pt>
                <c:pt idx="85">
                  <c:v>0.55600000000000005</c:v>
                </c:pt>
                <c:pt idx="86">
                  <c:v>0.51450000000000007</c:v>
                </c:pt>
                <c:pt idx="87">
                  <c:v>0.38250000000000006</c:v>
                </c:pt>
                <c:pt idx="88">
                  <c:v>0.36699999999999999</c:v>
                </c:pt>
                <c:pt idx="89">
                  <c:v>0.38749999999999996</c:v>
                </c:pt>
                <c:pt idx="90">
                  <c:v>0.41800000000000004</c:v>
                </c:pt>
                <c:pt idx="91">
                  <c:v>0.41800000000000004</c:v>
                </c:pt>
                <c:pt idx="92">
                  <c:v>0.377</c:v>
                </c:pt>
                <c:pt idx="93">
                  <c:v>0.27500000000000002</c:v>
                </c:pt>
                <c:pt idx="94">
                  <c:v>0.24950000000000003</c:v>
                </c:pt>
                <c:pt idx="95">
                  <c:v>0.27499999999999997</c:v>
                </c:pt>
                <c:pt idx="96">
                  <c:v>0.28050000000000003</c:v>
                </c:pt>
                <c:pt idx="97">
                  <c:v>0.21400000000000002</c:v>
                </c:pt>
                <c:pt idx="98">
                  <c:v>0.188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61C-4DC0-997C-E8B2D22352DC}"/>
            </c:ext>
          </c:extLst>
        </c:ser>
        <c:ser>
          <c:idx val="3"/>
          <c:order val="3"/>
          <c:tx>
            <c:strRef>
              <c:f>'面板-景气指数'!$A$118</c:f>
              <c:strCache>
                <c:ptCount val="1"/>
                <c:pt idx="0">
                  <c:v>乘用车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'面板-景气指数'!$F$118:$CZ$118</c:f>
              <c:numCache>
                <c:formatCode>0.0%</c:formatCode>
                <c:ptCount val="99"/>
                <c:pt idx="0">
                  <c:v>0.10183333333333335</c:v>
                </c:pt>
                <c:pt idx="1">
                  <c:v>0.75649999999999995</c:v>
                </c:pt>
                <c:pt idx="2">
                  <c:v>0.83933333333333349</c:v>
                </c:pt>
                <c:pt idx="3">
                  <c:v>0.90216666666666667</c:v>
                </c:pt>
                <c:pt idx="4">
                  <c:v>0.8823333333333333</c:v>
                </c:pt>
                <c:pt idx="5">
                  <c:v>0.82800000000000007</c:v>
                </c:pt>
                <c:pt idx="6">
                  <c:v>0.69366666666666676</c:v>
                </c:pt>
                <c:pt idx="7">
                  <c:v>0.48599999999999999</c:v>
                </c:pt>
                <c:pt idx="8">
                  <c:v>0.52533333333333343</c:v>
                </c:pt>
                <c:pt idx="9">
                  <c:v>0.61316666666666675</c:v>
                </c:pt>
                <c:pt idx="10">
                  <c:v>0.748</c:v>
                </c:pt>
                <c:pt idx="11">
                  <c:v>0.54050000000000009</c:v>
                </c:pt>
                <c:pt idx="12">
                  <c:v>0.38900000000000001</c:v>
                </c:pt>
                <c:pt idx="13">
                  <c:v>0.27533333333333337</c:v>
                </c:pt>
                <c:pt idx="14">
                  <c:v>0.33483333333333337</c:v>
                </c:pt>
                <c:pt idx="15">
                  <c:v>0.38883333333333336</c:v>
                </c:pt>
                <c:pt idx="16">
                  <c:v>0.77800000000000002</c:v>
                </c:pt>
                <c:pt idx="17">
                  <c:v>0.82583333333333331</c:v>
                </c:pt>
                <c:pt idx="18">
                  <c:v>0.83749999999999991</c:v>
                </c:pt>
                <c:pt idx="19">
                  <c:v>0.79350000000000009</c:v>
                </c:pt>
                <c:pt idx="20">
                  <c:v>0.70350000000000013</c:v>
                </c:pt>
                <c:pt idx="21">
                  <c:v>0.49266666666666664</c:v>
                </c:pt>
                <c:pt idx="22">
                  <c:v>0.33933333333333338</c:v>
                </c:pt>
                <c:pt idx="23">
                  <c:v>0.32283333333333336</c:v>
                </c:pt>
                <c:pt idx="24">
                  <c:v>0.57116666666666671</c:v>
                </c:pt>
                <c:pt idx="25">
                  <c:v>0.76833333333333342</c:v>
                </c:pt>
                <c:pt idx="26">
                  <c:v>0.75266666666666671</c:v>
                </c:pt>
                <c:pt idx="27">
                  <c:v>0.65600000000000003</c:v>
                </c:pt>
                <c:pt idx="28">
                  <c:v>0.70700000000000007</c:v>
                </c:pt>
                <c:pt idx="29">
                  <c:v>0.75466666666666671</c:v>
                </c:pt>
                <c:pt idx="30">
                  <c:v>0.82800000000000007</c:v>
                </c:pt>
                <c:pt idx="31">
                  <c:v>0.9181666666666668</c:v>
                </c:pt>
                <c:pt idx="32">
                  <c:v>0.93816666666666682</c:v>
                </c:pt>
                <c:pt idx="33">
                  <c:v>0.94833333333333325</c:v>
                </c:pt>
                <c:pt idx="34">
                  <c:v>0.97066666666666679</c:v>
                </c:pt>
                <c:pt idx="35">
                  <c:v>0.97050000000000014</c:v>
                </c:pt>
                <c:pt idx="36">
                  <c:v>0.98283333333333334</c:v>
                </c:pt>
                <c:pt idx="37">
                  <c:v>0.96700000000000008</c:v>
                </c:pt>
                <c:pt idx="38">
                  <c:v>0.94366666666666676</c:v>
                </c:pt>
                <c:pt idx="39">
                  <c:v>0.56916666666666671</c:v>
                </c:pt>
                <c:pt idx="40">
                  <c:v>0.32616666666666672</c:v>
                </c:pt>
                <c:pt idx="41">
                  <c:v>0.28166666666666668</c:v>
                </c:pt>
                <c:pt idx="42">
                  <c:v>0.19500000000000001</c:v>
                </c:pt>
                <c:pt idx="43">
                  <c:v>0.10866666666666666</c:v>
                </c:pt>
                <c:pt idx="44">
                  <c:v>6.25E-2</c:v>
                </c:pt>
                <c:pt idx="45">
                  <c:v>4.2499999999999996E-2</c:v>
                </c:pt>
                <c:pt idx="46">
                  <c:v>0.03</c:v>
                </c:pt>
                <c:pt idx="47">
                  <c:v>4.3833333333333342E-2</c:v>
                </c:pt>
                <c:pt idx="48">
                  <c:v>3.7333333333333343E-2</c:v>
                </c:pt>
                <c:pt idx="49">
                  <c:v>4.7333333333333345E-2</c:v>
                </c:pt>
                <c:pt idx="50">
                  <c:v>7.7499999999999999E-2</c:v>
                </c:pt>
                <c:pt idx="51">
                  <c:v>0.17100000000000001</c:v>
                </c:pt>
                <c:pt idx="52">
                  <c:v>0.25633333333333336</c:v>
                </c:pt>
                <c:pt idx="53">
                  <c:v>0.23433333333333334</c:v>
                </c:pt>
                <c:pt idx="54">
                  <c:v>0.21916666666666668</c:v>
                </c:pt>
                <c:pt idx="55">
                  <c:v>0.19650000000000001</c:v>
                </c:pt>
                <c:pt idx="56">
                  <c:v>0.17299999999999999</c:v>
                </c:pt>
                <c:pt idx="57">
                  <c:v>0.13200000000000001</c:v>
                </c:pt>
                <c:pt idx="58">
                  <c:v>0.11366666666666667</c:v>
                </c:pt>
                <c:pt idx="59">
                  <c:v>0.11349999999999999</c:v>
                </c:pt>
                <c:pt idx="60">
                  <c:v>9.2833333333333337E-2</c:v>
                </c:pt>
                <c:pt idx="61">
                  <c:v>8.6166666666666669E-2</c:v>
                </c:pt>
                <c:pt idx="62">
                  <c:v>0.151</c:v>
                </c:pt>
                <c:pt idx="63">
                  <c:v>0.21183333333333332</c:v>
                </c:pt>
                <c:pt idx="64">
                  <c:v>0.24416666666666667</c:v>
                </c:pt>
                <c:pt idx="65">
                  <c:v>0.26850000000000002</c:v>
                </c:pt>
                <c:pt idx="66">
                  <c:v>0.3056666666666667</c:v>
                </c:pt>
                <c:pt idx="67">
                  <c:v>0.36850000000000005</c:v>
                </c:pt>
                <c:pt idx="68">
                  <c:v>0.47899999999999998</c:v>
                </c:pt>
                <c:pt idx="69">
                  <c:v>0.53183333333333338</c:v>
                </c:pt>
                <c:pt idx="70">
                  <c:v>0.55600000000000005</c:v>
                </c:pt>
                <c:pt idx="71">
                  <c:v>0.52033333333333343</c:v>
                </c:pt>
                <c:pt idx="72">
                  <c:v>0.43800000000000006</c:v>
                </c:pt>
                <c:pt idx="73">
                  <c:v>0.55216666666666669</c:v>
                </c:pt>
                <c:pt idx="74">
                  <c:v>0.53200000000000014</c:v>
                </c:pt>
                <c:pt idx="75">
                  <c:v>0.52466666666666673</c:v>
                </c:pt>
                <c:pt idx="76">
                  <c:v>0.36649999999999999</c:v>
                </c:pt>
                <c:pt idx="77">
                  <c:v>0.39416666666666667</c:v>
                </c:pt>
                <c:pt idx="78">
                  <c:v>0.43000000000000005</c:v>
                </c:pt>
                <c:pt idx="79">
                  <c:v>0.43333333333333335</c:v>
                </c:pt>
                <c:pt idx="80">
                  <c:v>0.39366666666666672</c:v>
                </c:pt>
                <c:pt idx="81">
                  <c:v>0.36366666666666669</c:v>
                </c:pt>
                <c:pt idx="82">
                  <c:v>0.39383333333333337</c:v>
                </c:pt>
                <c:pt idx="83">
                  <c:v>0.45483333333333342</c:v>
                </c:pt>
                <c:pt idx="84">
                  <c:v>0.57783333333333342</c:v>
                </c:pt>
                <c:pt idx="85">
                  <c:v>0.51800000000000002</c:v>
                </c:pt>
                <c:pt idx="86">
                  <c:v>0.65250000000000008</c:v>
                </c:pt>
                <c:pt idx="87">
                  <c:v>0.75316666666666676</c:v>
                </c:pt>
                <c:pt idx="88">
                  <c:v>0.85816666666666674</c:v>
                </c:pt>
                <c:pt idx="89">
                  <c:v>0.81416666666666671</c:v>
                </c:pt>
                <c:pt idx="90">
                  <c:v>0.78016666666666667</c:v>
                </c:pt>
                <c:pt idx="91">
                  <c:v>0.73583333333333334</c:v>
                </c:pt>
                <c:pt idx="92">
                  <c:v>0.69166666666666676</c:v>
                </c:pt>
                <c:pt idx="93">
                  <c:v>0.65216666666666667</c:v>
                </c:pt>
                <c:pt idx="94">
                  <c:v>0.61816666666666664</c:v>
                </c:pt>
                <c:pt idx="95">
                  <c:v>0.57466666666666666</c:v>
                </c:pt>
                <c:pt idx="96">
                  <c:v>0.52716666666666667</c:v>
                </c:pt>
                <c:pt idx="97">
                  <c:v>0.54516666666666669</c:v>
                </c:pt>
                <c:pt idx="98">
                  <c:v>0.5541666666666667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61C-4DC0-997C-E8B2D2235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93525196850393699"/>
          <c:h val="0.718266966629171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'面板-景气指数'!$A$48</c:f>
              <c:strCache>
                <c:ptCount val="1"/>
                <c:pt idx="0">
                  <c:v>医药生物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'面板-景气指数'!$F$48:$CZ$48</c:f>
              <c:numCache>
                <c:formatCode>0.0%</c:formatCode>
                <c:ptCount val="99"/>
                <c:pt idx="0">
                  <c:v>0.22473957654466237</c:v>
                </c:pt>
                <c:pt idx="1">
                  <c:v>0.23044223647763726</c:v>
                </c:pt>
                <c:pt idx="2">
                  <c:v>0.26221393407749444</c:v>
                </c:pt>
                <c:pt idx="3">
                  <c:v>0.24211498988164976</c:v>
                </c:pt>
                <c:pt idx="4">
                  <c:v>0.23517997850737152</c:v>
                </c:pt>
                <c:pt idx="5">
                  <c:v>0.25212104618515729</c:v>
                </c:pt>
                <c:pt idx="6">
                  <c:v>0.22866364878167794</c:v>
                </c:pt>
                <c:pt idx="7">
                  <c:v>0.23669934530964831</c:v>
                </c:pt>
                <c:pt idx="8">
                  <c:v>0.25585745437849272</c:v>
                </c:pt>
                <c:pt idx="9">
                  <c:v>0.25172912536899844</c:v>
                </c:pt>
                <c:pt idx="10">
                  <c:v>0.2413696389360877</c:v>
                </c:pt>
                <c:pt idx="11">
                  <c:v>0.25237577879967349</c:v>
                </c:pt>
                <c:pt idx="12">
                  <c:v>0.36205902805438328</c:v>
                </c:pt>
                <c:pt idx="13">
                  <c:v>0.40715784054670556</c:v>
                </c:pt>
                <c:pt idx="14">
                  <c:v>0.41064066066881666</c:v>
                </c:pt>
                <c:pt idx="15">
                  <c:v>0.38619653653550595</c:v>
                </c:pt>
                <c:pt idx="16">
                  <c:v>0.40291391332550097</c:v>
                </c:pt>
                <c:pt idx="17">
                  <c:v>0.26927905672428143</c:v>
                </c:pt>
                <c:pt idx="18">
                  <c:v>0.24786285894265639</c:v>
                </c:pt>
                <c:pt idx="19">
                  <c:v>0.21690446056507909</c:v>
                </c:pt>
                <c:pt idx="20">
                  <c:v>0.26110595333163927</c:v>
                </c:pt>
                <c:pt idx="21">
                  <c:v>0.2833685542197999</c:v>
                </c:pt>
                <c:pt idx="22">
                  <c:v>0.30217351371115475</c:v>
                </c:pt>
                <c:pt idx="23">
                  <c:v>0.38467686595192674</c:v>
                </c:pt>
                <c:pt idx="24">
                  <c:v>0.37705386355953058</c:v>
                </c:pt>
                <c:pt idx="25">
                  <c:v>0.50007578736284763</c:v>
                </c:pt>
                <c:pt idx="26">
                  <c:v>0.62753857710199268</c:v>
                </c:pt>
                <c:pt idx="27">
                  <c:v>0.74998871466814776</c:v>
                </c:pt>
                <c:pt idx="28">
                  <c:v>0.72079362477146613</c:v>
                </c:pt>
                <c:pt idx="29">
                  <c:v>0.71619524621661845</c:v>
                </c:pt>
                <c:pt idx="30">
                  <c:v>0.70862813110995337</c:v>
                </c:pt>
                <c:pt idx="31">
                  <c:v>0.72316036415542095</c:v>
                </c:pt>
                <c:pt idx="32">
                  <c:v>0.70867533002717797</c:v>
                </c:pt>
                <c:pt idx="33">
                  <c:v>0.6762787155168366</c:v>
                </c:pt>
                <c:pt idx="34">
                  <c:v>0.66857895750224838</c:v>
                </c:pt>
                <c:pt idx="35">
                  <c:v>0.70504834271341077</c:v>
                </c:pt>
                <c:pt idx="36">
                  <c:v>0.80338649648231908</c:v>
                </c:pt>
                <c:pt idx="37">
                  <c:v>0.83291447152370646</c:v>
                </c:pt>
                <c:pt idx="38">
                  <c:v>0.79075862197949265</c:v>
                </c:pt>
                <c:pt idx="39">
                  <c:v>0.67456432688258539</c:v>
                </c:pt>
                <c:pt idx="40">
                  <c:v>0.64838793817060569</c:v>
                </c:pt>
                <c:pt idx="41">
                  <c:v>0.54274318488525386</c:v>
                </c:pt>
                <c:pt idx="42">
                  <c:v>0.4205544944697493</c:v>
                </c:pt>
                <c:pt idx="43">
                  <c:v>0.35422080691182073</c:v>
                </c:pt>
                <c:pt idx="44">
                  <c:v>0.34159926485399389</c:v>
                </c:pt>
                <c:pt idx="45">
                  <c:v>0.32701027357357515</c:v>
                </c:pt>
                <c:pt idx="46">
                  <c:v>0.34327055821918956</c:v>
                </c:pt>
                <c:pt idx="47">
                  <c:v>0.3208755058353473</c:v>
                </c:pt>
                <c:pt idx="48">
                  <c:v>0.29480538215107993</c:v>
                </c:pt>
                <c:pt idx="49">
                  <c:v>0.31691437856114091</c:v>
                </c:pt>
                <c:pt idx="50">
                  <c:v>0.25497357937727116</c:v>
                </c:pt>
                <c:pt idx="51">
                  <c:v>0.30419108127211242</c:v>
                </c:pt>
                <c:pt idx="52">
                  <c:v>0.29923507309191516</c:v>
                </c:pt>
                <c:pt idx="53">
                  <c:v>0.31353183855988181</c:v>
                </c:pt>
                <c:pt idx="54">
                  <c:v>0.33982752895774226</c:v>
                </c:pt>
                <c:pt idx="55">
                  <c:v>0.37526429953189494</c:v>
                </c:pt>
                <c:pt idx="56">
                  <c:v>0.40176252550231295</c:v>
                </c:pt>
                <c:pt idx="57">
                  <c:v>0.44107677142457352</c:v>
                </c:pt>
                <c:pt idx="58">
                  <c:v>0.44190802860413642</c:v>
                </c:pt>
                <c:pt idx="59">
                  <c:v>0.43572255143876981</c:v>
                </c:pt>
                <c:pt idx="60">
                  <c:v>0.43771446893607641</c:v>
                </c:pt>
                <c:pt idx="61">
                  <c:v>0.40480079691735366</c:v>
                </c:pt>
                <c:pt idx="62">
                  <c:v>0.43744791559644219</c:v>
                </c:pt>
                <c:pt idx="63">
                  <c:v>0.42791551363463581</c:v>
                </c:pt>
                <c:pt idx="64">
                  <c:v>0.44855802534176947</c:v>
                </c:pt>
                <c:pt idx="65">
                  <c:v>0.46774010758926704</c:v>
                </c:pt>
                <c:pt idx="66">
                  <c:v>0.46318146478450684</c:v>
                </c:pt>
                <c:pt idx="67">
                  <c:v>0.44910189442990767</c:v>
                </c:pt>
                <c:pt idx="68">
                  <c:v>0.45389035787313831</c:v>
                </c:pt>
                <c:pt idx="69">
                  <c:v>0.47644525319260689</c:v>
                </c:pt>
                <c:pt idx="70">
                  <c:v>0.52331759669094358</c:v>
                </c:pt>
                <c:pt idx="71">
                  <c:v>0.58258127656956549</c:v>
                </c:pt>
                <c:pt idx="72">
                  <c:v>0.62444813545846101</c:v>
                </c:pt>
                <c:pt idx="73">
                  <c:v>0.65694026257244442</c:v>
                </c:pt>
                <c:pt idx="74">
                  <c:v>0.75413336143315624</c:v>
                </c:pt>
                <c:pt idx="75">
                  <c:v>0.75181082254760745</c:v>
                </c:pt>
                <c:pt idx="76">
                  <c:v>0.75232999885873164</c:v>
                </c:pt>
                <c:pt idx="77">
                  <c:v>0.76710731433693158</c:v>
                </c:pt>
                <c:pt idx="78">
                  <c:v>0.75964404669634789</c:v>
                </c:pt>
                <c:pt idx="79">
                  <c:v>0.7619796277819697</c:v>
                </c:pt>
                <c:pt idx="80">
                  <c:v>0.74787459584819727</c:v>
                </c:pt>
                <c:pt idx="81">
                  <c:v>0.74060147371082619</c:v>
                </c:pt>
                <c:pt idx="82">
                  <c:v>0.73543094967985667</c:v>
                </c:pt>
                <c:pt idx="83">
                  <c:v>0.69194336873586759</c:v>
                </c:pt>
                <c:pt idx="84">
                  <c:v>0.65774474919959491</c:v>
                </c:pt>
                <c:pt idx="85">
                  <c:v>0.63661637824999262</c:v>
                </c:pt>
                <c:pt idx="86">
                  <c:v>0.56848891719181049</c:v>
                </c:pt>
                <c:pt idx="87">
                  <c:v>0.60876163115721926</c:v>
                </c:pt>
                <c:pt idx="88">
                  <c:v>0.62302513500041057</c:v>
                </c:pt>
                <c:pt idx="89">
                  <c:v>0.63817507626446424</c:v>
                </c:pt>
                <c:pt idx="90">
                  <c:v>0.61677284070837624</c:v>
                </c:pt>
                <c:pt idx="91">
                  <c:v>0.55891427248849024</c:v>
                </c:pt>
                <c:pt idx="92">
                  <c:v>0.54594366324765009</c:v>
                </c:pt>
                <c:pt idx="93">
                  <c:v>0.5674537673769926</c:v>
                </c:pt>
                <c:pt idx="94">
                  <c:v>0.62269037085606271</c:v>
                </c:pt>
                <c:pt idx="95">
                  <c:v>0.6760597225924555</c:v>
                </c:pt>
                <c:pt idx="96">
                  <c:v>0.60976678429849074</c:v>
                </c:pt>
                <c:pt idx="97">
                  <c:v>0.6130705355069298</c:v>
                </c:pt>
                <c:pt idx="98">
                  <c:v>0.52622765113267966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F3-4695-9AD9-CA794809D3EE}"/>
            </c:ext>
          </c:extLst>
        </c:ser>
        <c:ser>
          <c:idx val="1"/>
          <c:order val="1"/>
          <c:tx>
            <c:strRef>
              <c:f>'面板-景气指数'!$A$148</c:f>
              <c:strCache>
                <c:ptCount val="1"/>
                <c:pt idx="0">
                  <c:v>化学制药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'面板-景气指数'!$F$148:$CZ$148</c:f>
              <c:numCache>
                <c:formatCode>0.0%</c:formatCode>
                <c:ptCount val="99"/>
                <c:pt idx="0">
                  <c:v>0.25475000000000009</c:v>
                </c:pt>
                <c:pt idx="1">
                  <c:v>0.26758333333333351</c:v>
                </c:pt>
                <c:pt idx="2">
                  <c:v>0.5183333333333332</c:v>
                </c:pt>
                <c:pt idx="3">
                  <c:v>0.50183333333333324</c:v>
                </c:pt>
                <c:pt idx="4">
                  <c:v>0.52849999999999986</c:v>
                </c:pt>
                <c:pt idx="5">
                  <c:v>0.44275000000000003</c:v>
                </c:pt>
                <c:pt idx="6">
                  <c:v>0.36691666666666667</c:v>
                </c:pt>
                <c:pt idx="7">
                  <c:v>0.45466666666666661</c:v>
                </c:pt>
                <c:pt idx="8">
                  <c:v>0.46650000000000003</c:v>
                </c:pt>
                <c:pt idx="9">
                  <c:v>0.56333333333333324</c:v>
                </c:pt>
                <c:pt idx="10">
                  <c:v>0.54441666666666677</c:v>
                </c:pt>
                <c:pt idx="11">
                  <c:v>0.56291666666666662</c:v>
                </c:pt>
                <c:pt idx="12">
                  <c:v>0.47566666666666679</c:v>
                </c:pt>
                <c:pt idx="13">
                  <c:v>0.43275000000000019</c:v>
                </c:pt>
                <c:pt idx="14">
                  <c:v>0.38391666666666691</c:v>
                </c:pt>
                <c:pt idx="15">
                  <c:v>0.3765833333333336</c:v>
                </c:pt>
                <c:pt idx="16">
                  <c:v>0.4088333333333336</c:v>
                </c:pt>
                <c:pt idx="17">
                  <c:v>0.41408333333333347</c:v>
                </c:pt>
                <c:pt idx="18">
                  <c:v>0.40375000000000016</c:v>
                </c:pt>
                <c:pt idx="19">
                  <c:v>0.39875000000000022</c:v>
                </c:pt>
                <c:pt idx="20">
                  <c:v>0.40541666666666687</c:v>
                </c:pt>
                <c:pt idx="21">
                  <c:v>0.39691666666666686</c:v>
                </c:pt>
                <c:pt idx="22">
                  <c:v>0.41466666666666702</c:v>
                </c:pt>
                <c:pt idx="23">
                  <c:v>0.48300000000000021</c:v>
                </c:pt>
                <c:pt idx="24">
                  <c:v>0.55125000000000013</c:v>
                </c:pt>
                <c:pt idx="25">
                  <c:v>0.64375000000000004</c:v>
                </c:pt>
                <c:pt idx="26">
                  <c:v>0.85399999999999998</c:v>
                </c:pt>
                <c:pt idx="27">
                  <c:v>0.82483333333333309</c:v>
                </c:pt>
                <c:pt idx="28">
                  <c:v>0.82424999999999982</c:v>
                </c:pt>
                <c:pt idx="29">
                  <c:v>0.77291666666666647</c:v>
                </c:pt>
                <c:pt idx="30">
                  <c:v>0.71991666666666654</c:v>
                </c:pt>
                <c:pt idx="31">
                  <c:v>0.66024999999999989</c:v>
                </c:pt>
                <c:pt idx="32">
                  <c:v>0.66699999999999993</c:v>
                </c:pt>
                <c:pt idx="33">
                  <c:v>0.69966666666666644</c:v>
                </c:pt>
                <c:pt idx="34">
                  <c:v>0.71516666666666651</c:v>
                </c:pt>
                <c:pt idx="35">
                  <c:v>0.7161666666666664</c:v>
                </c:pt>
                <c:pt idx="36">
                  <c:v>0.70266666666666633</c:v>
                </c:pt>
                <c:pt idx="37">
                  <c:v>0.65841666666666654</c:v>
                </c:pt>
                <c:pt idx="38">
                  <c:v>0.55991666666666662</c:v>
                </c:pt>
                <c:pt idx="39">
                  <c:v>0.48266666666666663</c:v>
                </c:pt>
                <c:pt idx="40">
                  <c:v>0.51358333333333317</c:v>
                </c:pt>
                <c:pt idx="41">
                  <c:v>0.53733333333333322</c:v>
                </c:pt>
                <c:pt idx="42">
                  <c:v>0.52216666666666656</c:v>
                </c:pt>
                <c:pt idx="43">
                  <c:v>0.53149999999999997</c:v>
                </c:pt>
                <c:pt idx="44">
                  <c:v>0.53583333333333327</c:v>
                </c:pt>
                <c:pt idx="45">
                  <c:v>0.52799999999999991</c:v>
                </c:pt>
                <c:pt idx="46">
                  <c:v>0.51008333333333322</c:v>
                </c:pt>
                <c:pt idx="47">
                  <c:v>0.43241666666666673</c:v>
                </c:pt>
                <c:pt idx="48">
                  <c:v>0.4</c:v>
                </c:pt>
                <c:pt idx="49">
                  <c:v>0.36083333333333334</c:v>
                </c:pt>
                <c:pt idx="50">
                  <c:v>0.38216666666666643</c:v>
                </c:pt>
                <c:pt idx="51">
                  <c:v>0.38258333333333322</c:v>
                </c:pt>
                <c:pt idx="52">
                  <c:v>0.37274999999999991</c:v>
                </c:pt>
                <c:pt idx="53">
                  <c:v>0.36316666666666658</c:v>
                </c:pt>
                <c:pt idx="54">
                  <c:v>0.39233333333333326</c:v>
                </c:pt>
                <c:pt idx="55">
                  <c:v>0.39466666666666661</c:v>
                </c:pt>
                <c:pt idx="56">
                  <c:v>0.39566666666666661</c:v>
                </c:pt>
                <c:pt idx="57">
                  <c:v>0.37916666666666671</c:v>
                </c:pt>
                <c:pt idx="58">
                  <c:v>0.3405833333333334</c:v>
                </c:pt>
                <c:pt idx="59">
                  <c:v>0.29649999999999999</c:v>
                </c:pt>
                <c:pt idx="60">
                  <c:v>0.28108333333333341</c:v>
                </c:pt>
                <c:pt idx="61">
                  <c:v>0.33641666666666675</c:v>
                </c:pt>
                <c:pt idx="62">
                  <c:v>0.39716666666666667</c:v>
                </c:pt>
                <c:pt idx="63">
                  <c:v>0.42033333333333328</c:v>
                </c:pt>
                <c:pt idx="64">
                  <c:v>0.40983333333333333</c:v>
                </c:pt>
                <c:pt idx="65">
                  <c:v>0.39466666666666661</c:v>
                </c:pt>
                <c:pt idx="66">
                  <c:v>0.37041666666666667</c:v>
                </c:pt>
                <c:pt idx="67">
                  <c:v>0.37016666666666675</c:v>
                </c:pt>
                <c:pt idx="68">
                  <c:v>0.41041666666666671</c:v>
                </c:pt>
                <c:pt idx="69">
                  <c:v>0.46583333333333332</c:v>
                </c:pt>
                <c:pt idx="70">
                  <c:v>0.53683333333333327</c:v>
                </c:pt>
                <c:pt idx="71">
                  <c:v>0.63824999999999987</c:v>
                </c:pt>
                <c:pt idx="72">
                  <c:v>0.69333333333333336</c:v>
                </c:pt>
                <c:pt idx="73">
                  <c:v>0.70649999999999991</c:v>
                </c:pt>
                <c:pt idx="74">
                  <c:v>0.66633333333333333</c:v>
                </c:pt>
                <c:pt idx="75">
                  <c:v>0.65249999999999986</c:v>
                </c:pt>
                <c:pt idx="76">
                  <c:v>0.63400000000000001</c:v>
                </c:pt>
                <c:pt idx="77">
                  <c:v>0.59308333333333341</c:v>
                </c:pt>
                <c:pt idx="78">
                  <c:v>0.56083333333333318</c:v>
                </c:pt>
                <c:pt idx="79">
                  <c:v>0.51999999999999991</c:v>
                </c:pt>
                <c:pt idx="80">
                  <c:v>0.49016666666666658</c:v>
                </c:pt>
                <c:pt idx="81">
                  <c:v>0.47924999999999984</c:v>
                </c:pt>
                <c:pt idx="82">
                  <c:v>0.49374999999999986</c:v>
                </c:pt>
                <c:pt idx="83">
                  <c:v>0.47324999999999989</c:v>
                </c:pt>
                <c:pt idx="84">
                  <c:v>0.46666666666666656</c:v>
                </c:pt>
                <c:pt idx="85">
                  <c:v>0.45441666666666658</c:v>
                </c:pt>
                <c:pt idx="86">
                  <c:v>0.47999999999999993</c:v>
                </c:pt>
                <c:pt idx="87">
                  <c:v>0.4825833333333332</c:v>
                </c:pt>
                <c:pt idx="88">
                  <c:v>0.49108333333333321</c:v>
                </c:pt>
                <c:pt idx="89">
                  <c:v>0.48091666666666649</c:v>
                </c:pt>
                <c:pt idx="90">
                  <c:v>0.46749999999999986</c:v>
                </c:pt>
                <c:pt idx="91">
                  <c:v>0.46066666666666645</c:v>
                </c:pt>
                <c:pt idx="92">
                  <c:v>0.4631666666666665</c:v>
                </c:pt>
                <c:pt idx="93">
                  <c:v>0.46899999999999986</c:v>
                </c:pt>
                <c:pt idx="94">
                  <c:v>0.48708333333333315</c:v>
                </c:pt>
                <c:pt idx="95">
                  <c:v>0.47574999999999984</c:v>
                </c:pt>
                <c:pt idx="96">
                  <c:v>0.41633333333333311</c:v>
                </c:pt>
                <c:pt idx="97">
                  <c:v>0.38916666666666655</c:v>
                </c:pt>
                <c:pt idx="98">
                  <c:v>0.37649999999999983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F3-4695-9AD9-CA794809D3EE}"/>
            </c:ext>
          </c:extLst>
        </c:ser>
        <c:ser>
          <c:idx val="2"/>
          <c:order val="2"/>
          <c:tx>
            <c:strRef>
              <c:f>'面板-景气指数'!$A$149</c:f>
              <c:strCache>
                <c:ptCount val="1"/>
                <c:pt idx="0">
                  <c:v>医药商业</c:v>
                </c:pt>
              </c:strCache>
            </c:strRef>
          </c:tx>
          <c:spPr>
            <a:ln w="12700" cap="rnd" cmpd="sng" algn="ctr">
              <a:solidFill>
                <a:srgbClr val="FF6464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'面板-景气指数'!$F$149:$CZ$149</c:f>
              <c:numCache>
                <c:formatCode>0.0%</c:formatCode>
                <c:ptCount val="99"/>
                <c:pt idx="0">
                  <c:v>0.03</c:v>
                </c:pt>
                <c:pt idx="1">
                  <c:v>0.03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  <c:pt idx="5">
                  <c:v>0.17299999999999999</c:v>
                </c:pt>
                <c:pt idx="6">
                  <c:v>9.0999999999999998E-2</c:v>
                </c:pt>
                <c:pt idx="7">
                  <c:v>5.1000000000000004E-2</c:v>
                </c:pt>
                <c:pt idx="8">
                  <c:v>8.1000000000000003E-2</c:v>
                </c:pt>
                <c:pt idx="9">
                  <c:v>0.12199999999999998</c:v>
                </c:pt>
                <c:pt idx="10">
                  <c:v>0.12199999999999998</c:v>
                </c:pt>
                <c:pt idx="11">
                  <c:v>0.214</c:v>
                </c:pt>
                <c:pt idx="12">
                  <c:v>0.73399999999999999</c:v>
                </c:pt>
                <c:pt idx="13">
                  <c:v>0.95899999999999996</c:v>
                </c:pt>
                <c:pt idx="14">
                  <c:v>1</c:v>
                </c:pt>
                <c:pt idx="15">
                  <c:v>0.98899999999999999</c:v>
                </c:pt>
                <c:pt idx="16">
                  <c:v>0.97899999999999987</c:v>
                </c:pt>
                <c:pt idx="17">
                  <c:v>0.36699999999999999</c:v>
                </c:pt>
                <c:pt idx="18">
                  <c:v>0.42799999999999999</c:v>
                </c:pt>
                <c:pt idx="19">
                  <c:v>0.33600000000000002</c:v>
                </c:pt>
                <c:pt idx="20">
                  <c:v>0.47899999999999998</c:v>
                </c:pt>
                <c:pt idx="21">
                  <c:v>0.54</c:v>
                </c:pt>
                <c:pt idx="22">
                  <c:v>0.55100000000000005</c:v>
                </c:pt>
                <c:pt idx="23">
                  <c:v>0.55100000000000005</c:v>
                </c:pt>
                <c:pt idx="24">
                  <c:v>0.40800000000000003</c:v>
                </c:pt>
                <c:pt idx="25">
                  <c:v>0.48899999999999993</c:v>
                </c:pt>
                <c:pt idx="26">
                  <c:v>0.29499999999999998</c:v>
                </c:pt>
                <c:pt idx="27">
                  <c:v>0.45900000000000007</c:v>
                </c:pt>
                <c:pt idx="28">
                  <c:v>0.255</c:v>
                </c:pt>
                <c:pt idx="29">
                  <c:v>0.224</c:v>
                </c:pt>
                <c:pt idx="30">
                  <c:v>0.26500000000000001</c:v>
                </c:pt>
                <c:pt idx="31">
                  <c:v>0.438</c:v>
                </c:pt>
                <c:pt idx="32">
                  <c:v>0.40800000000000003</c:v>
                </c:pt>
                <c:pt idx="33">
                  <c:v>0.27500000000000002</c:v>
                </c:pt>
                <c:pt idx="34">
                  <c:v>0.23400000000000001</c:v>
                </c:pt>
                <c:pt idx="35">
                  <c:v>0.38700000000000001</c:v>
                </c:pt>
                <c:pt idx="36">
                  <c:v>0.78500000000000003</c:v>
                </c:pt>
                <c:pt idx="37">
                  <c:v>0.92800000000000005</c:v>
                </c:pt>
                <c:pt idx="38">
                  <c:v>0.93799999999999994</c:v>
                </c:pt>
                <c:pt idx="39">
                  <c:v>0.81600000000000006</c:v>
                </c:pt>
                <c:pt idx="40">
                  <c:v>0.77500000000000002</c:v>
                </c:pt>
                <c:pt idx="41">
                  <c:v>0.68300000000000005</c:v>
                </c:pt>
                <c:pt idx="42">
                  <c:v>0.377</c:v>
                </c:pt>
                <c:pt idx="43">
                  <c:v>0.183</c:v>
                </c:pt>
                <c:pt idx="44">
                  <c:v>0.193</c:v>
                </c:pt>
                <c:pt idx="45">
                  <c:v>0.20400000000000001</c:v>
                </c:pt>
                <c:pt idx="46">
                  <c:v>0.30599999999999999</c:v>
                </c:pt>
                <c:pt idx="47">
                  <c:v>0.24399999999999997</c:v>
                </c:pt>
                <c:pt idx="48">
                  <c:v>0.112</c:v>
                </c:pt>
                <c:pt idx="49">
                  <c:v>6.0999999999999992E-2</c:v>
                </c:pt>
                <c:pt idx="50">
                  <c:v>7.0999999999999994E-2</c:v>
                </c:pt>
                <c:pt idx="51">
                  <c:v>0.16300000000000001</c:v>
                </c:pt>
                <c:pt idx="52">
                  <c:v>0.14199999999999999</c:v>
                </c:pt>
                <c:pt idx="53">
                  <c:v>0.10200000000000001</c:v>
                </c:pt>
                <c:pt idx="54">
                  <c:v>0.153</c:v>
                </c:pt>
                <c:pt idx="55">
                  <c:v>0.32600000000000001</c:v>
                </c:pt>
                <c:pt idx="56">
                  <c:v>0.51</c:v>
                </c:pt>
                <c:pt idx="57">
                  <c:v>0.68300000000000005</c:v>
                </c:pt>
                <c:pt idx="58">
                  <c:v>0.65300000000000014</c:v>
                </c:pt>
                <c:pt idx="59">
                  <c:v>0.71399999999999986</c:v>
                </c:pt>
                <c:pt idx="60">
                  <c:v>0.70399999999999996</c:v>
                </c:pt>
                <c:pt idx="61">
                  <c:v>0.66300000000000003</c:v>
                </c:pt>
                <c:pt idx="62">
                  <c:v>0.58099999999999996</c:v>
                </c:pt>
                <c:pt idx="63">
                  <c:v>0.53</c:v>
                </c:pt>
                <c:pt idx="64">
                  <c:v>0.59099999999999997</c:v>
                </c:pt>
                <c:pt idx="65">
                  <c:v>0.51</c:v>
                </c:pt>
                <c:pt idx="66">
                  <c:v>0.44800000000000001</c:v>
                </c:pt>
                <c:pt idx="67">
                  <c:v>0.34599999999999997</c:v>
                </c:pt>
                <c:pt idx="68">
                  <c:v>0.316</c:v>
                </c:pt>
                <c:pt idx="69">
                  <c:v>0.35699999999999993</c:v>
                </c:pt>
                <c:pt idx="70">
                  <c:v>0.28499999999999998</c:v>
                </c:pt>
                <c:pt idx="71">
                  <c:v>0.39700000000000002</c:v>
                </c:pt>
                <c:pt idx="72">
                  <c:v>0.5</c:v>
                </c:pt>
                <c:pt idx="73">
                  <c:v>0.60199999999999998</c:v>
                </c:pt>
                <c:pt idx="74">
                  <c:v>0.7649999999999999</c:v>
                </c:pt>
                <c:pt idx="75">
                  <c:v>0.80600000000000005</c:v>
                </c:pt>
                <c:pt idx="76">
                  <c:v>0.78500000000000003</c:v>
                </c:pt>
                <c:pt idx="77">
                  <c:v>0.82599999999999996</c:v>
                </c:pt>
                <c:pt idx="78">
                  <c:v>0.85699999999999998</c:v>
                </c:pt>
                <c:pt idx="79">
                  <c:v>0.88700000000000001</c:v>
                </c:pt>
                <c:pt idx="80">
                  <c:v>0.8670000000000001</c:v>
                </c:pt>
                <c:pt idx="81">
                  <c:v>0.90800000000000003</c:v>
                </c:pt>
                <c:pt idx="82">
                  <c:v>0.89700000000000002</c:v>
                </c:pt>
                <c:pt idx="83">
                  <c:v>0.877</c:v>
                </c:pt>
                <c:pt idx="84">
                  <c:v>0.72399999999999998</c:v>
                </c:pt>
                <c:pt idx="85">
                  <c:v>0.64200000000000002</c:v>
                </c:pt>
                <c:pt idx="86">
                  <c:v>0.46899999999999997</c:v>
                </c:pt>
                <c:pt idx="87">
                  <c:v>0.57099999999999995</c:v>
                </c:pt>
                <c:pt idx="88">
                  <c:v>0.622</c:v>
                </c:pt>
                <c:pt idx="89">
                  <c:v>0.755</c:v>
                </c:pt>
                <c:pt idx="90">
                  <c:v>0.82599999999999996</c:v>
                </c:pt>
                <c:pt idx="91">
                  <c:v>0.67300000000000004</c:v>
                </c:pt>
                <c:pt idx="92">
                  <c:v>0.61199999999999999</c:v>
                </c:pt>
                <c:pt idx="93">
                  <c:v>0.622</c:v>
                </c:pt>
                <c:pt idx="94">
                  <c:v>0.74399999999999999</c:v>
                </c:pt>
                <c:pt idx="95">
                  <c:v>0.94799999999999995</c:v>
                </c:pt>
                <c:pt idx="96">
                  <c:v>0.91800000000000015</c:v>
                </c:pt>
                <c:pt idx="97">
                  <c:v>0.96899999999999997</c:v>
                </c:pt>
                <c:pt idx="98">
                  <c:v>0.82599999999999996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BF3-4695-9AD9-CA794809D3EE}"/>
            </c:ext>
          </c:extLst>
        </c:ser>
        <c:ser>
          <c:idx val="3"/>
          <c:order val="3"/>
          <c:tx>
            <c:strRef>
              <c:f>'面板-景气指数'!$A$150</c:f>
              <c:strCache>
                <c:ptCount val="1"/>
                <c:pt idx="0">
                  <c:v>医疗器械</c:v>
                </c:pt>
              </c:strCache>
            </c:strRef>
          </c:tx>
          <c:spPr>
            <a:ln w="12700" cap="rnd" cmpd="sng" algn="ctr">
              <a:solidFill>
                <a:srgbClr val="B4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'面板-景气指数'!$F$150:$CZ$150</c:f>
              <c:numCache>
                <c:formatCode>0.0%</c:formatCode>
                <c:ptCount val="99"/>
                <c:pt idx="0">
                  <c:v>0.69699999999999995</c:v>
                </c:pt>
                <c:pt idx="1">
                  <c:v>0.73859999999999992</c:v>
                </c:pt>
                <c:pt idx="2">
                  <c:v>0.74959999999999993</c:v>
                </c:pt>
                <c:pt idx="3">
                  <c:v>0.72839999999999994</c:v>
                </c:pt>
                <c:pt idx="4">
                  <c:v>0.70679999999999987</c:v>
                </c:pt>
                <c:pt idx="5">
                  <c:v>0.73579999999999979</c:v>
                </c:pt>
                <c:pt idx="6">
                  <c:v>0.75679999999999981</c:v>
                </c:pt>
                <c:pt idx="7">
                  <c:v>0.66299999999999981</c:v>
                </c:pt>
                <c:pt idx="8">
                  <c:v>0.64379999999999971</c:v>
                </c:pt>
                <c:pt idx="9">
                  <c:v>0.33279999999999993</c:v>
                </c:pt>
                <c:pt idx="10">
                  <c:v>0.32760000000000006</c:v>
                </c:pt>
                <c:pt idx="11">
                  <c:v>0.35680000000000006</c:v>
                </c:pt>
                <c:pt idx="12">
                  <c:v>0.33080000000000009</c:v>
                </c:pt>
                <c:pt idx="13">
                  <c:v>0.24180000000000004</c:v>
                </c:pt>
                <c:pt idx="14">
                  <c:v>0.12979999999999997</c:v>
                </c:pt>
                <c:pt idx="15">
                  <c:v>8.0199999999999952E-2</c:v>
                </c:pt>
                <c:pt idx="16">
                  <c:v>5.9199999999999996E-2</c:v>
                </c:pt>
                <c:pt idx="17">
                  <c:v>4.9200000000000015E-2</c:v>
                </c:pt>
                <c:pt idx="18">
                  <c:v>4.6800000000000043E-2</c:v>
                </c:pt>
                <c:pt idx="19">
                  <c:v>0.15560000000000007</c:v>
                </c:pt>
                <c:pt idx="20">
                  <c:v>0.3226</c:v>
                </c:pt>
                <c:pt idx="21">
                  <c:v>0.37659999999999999</c:v>
                </c:pt>
                <c:pt idx="22">
                  <c:v>0.3763999999999999</c:v>
                </c:pt>
                <c:pt idx="23">
                  <c:v>0.41859999999999992</c:v>
                </c:pt>
                <c:pt idx="24">
                  <c:v>0.4701999999999999</c:v>
                </c:pt>
                <c:pt idx="25">
                  <c:v>0.55959999999999999</c:v>
                </c:pt>
                <c:pt idx="26">
                  <c:v>0.63479999999999992</c:v>
                </c:pt>
                <c:pt idx="27">
                  <c:v>0.69959999999999989</c:v>
                </c:pt>
                <c:pt idx="28">
                  <c:v>0.72620000000000007</c:v>
                </c:pt>
                <c:pt idx="29">
                  <c:v>0.67960000000000009</c:v>
                </c:pt>
                <c:pt idx="30">
                  <c:v>0.63260000000000005</c:v>
                </c:pt>
                <c:pt idx="31">
                  <c:v>0.49959999999999999</c:v>
                </c:pt>
                <c:pt idx="32">
                  <c:v>0.31179999999999997</c:v>
                </c:pt>
                <c:pt idx="33">
                  <c:v>0.19979999999999989</c:v>
                </c:pt>
                <c:pt idx="34">
                  <c:v>0.35479999999999984</c:v>
                </c:pt>
                <c:pt idx="35">
                  <c:v>0.55080000000000007</c:v>
                </c:pt>
                <c:pt idx="36">
                  <c:v>0.68400000000000016</c:v>
                </c:pt>
                <c:pt idx="37">
                  <c:v>0.70000000000000018</c:v>
                </c:pt>
                <c:pt idx="38">
                  <c:v>0.69200000000000017</c:v>
                </c:pt>
                <c:pt idx="39">
                  <c:v>0.61360000000000015</c:v>
                </c:pt>
                <c:pt idx="40">
                  <c:v>0.62120000000000009</c:v>
                </c:pt>
                <c:pt idx="41">
                  <c:v>0.62920000000000009</c:v>
                </c:pt>
                <c:pt idx="42">
                  <c:v>0.63720000000000021</c:v>
                </c:pt>
                <c:pt idx="43">
                  <c:v>0.65280000000000016</c:v>
                </c:pt>
                <c:pt idx="44">
                  <c:v>0.6604000000000001</c:v>
                </c:pt>
                <c:pt idx="45">
                  <c:v>0.67640000000000022</c:v>
                </c:pt>
                <c:pt idx="46">
                  <c:v>0.66840000000000011</c:v>
                </c:pt>
                <c:pt idx="47">
                  <c:v>0.64480000000000015</c:v>
                </c:pt>
                <c:pt idx="48">
                  <c:v>0.48799999999999999</c:v>
                </c:pt>
                <c:pt idx="49">
                  <c:v>0.3703999999999999</c:v>
                </c:pt>
                <c:pt idx="50">
                  <c:v>0.31559999999999983</c:v>
                </c:pt>
                <c:pt idx="51">
                  <c:v>0.57440000000000013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BF3-4695-9AD9-CA794809D3EE}"/>
            </c:ext>
          </c:extLst>
        </c:ser>
        <c:ser>
          <c:idx val="4"/>
          <c:order val="4"/>
          <c:tx>
            <c:strRef>
              <c:f>'面板-景气指数'!$A$151</c:f>
              <c:strCache>
                <c:ptCount val="1"/>
                <c:pt idx="0">
                  <c:v>医疗服务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6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'面板-景气指数'!$F$151:$CZ$151</c:f>
              <c:numCache>
                <c:formatCode>0.0%</c:formatCode>
                <c:ptCount val="99"/>
                <c:pt idx="0">
                  <c:v>8.0125000000000002E-2</c:v>
                </c:pt>
                <c:pt idx="1">
                  <c:v>0.2521250000000001</c:v>
                </c:pt>
                <c:pt idx="2">
                  <c:v>0.56900000000000006</c:v>
                </c:pt>
                <c:pt idx="3">
                  <c:v>0.71750000000000014</c:v>
                </c:pt>
                <c:pt idx="4">
                  <c:v>0.74187500000000006</c:v>
                </c:pt>
                <c:pt idx="5">
                  <c:v>0.66662500000000002</c:v>
                </c:pt>
                <c:pt idx="6">
                  <c:v>0.57625000000000004</c:v>
                </c:pt>
                <c:pt idx="7">
                  <c:v>0.61449999999999994</c:v>
                </c:pt>
                <c:pt idx="8">
                  <c:v>0.5588749999999999</c:v>
                </c:pt>
                <c:pt idx="9">
                  <c:v>0.69349999999999989</c:v>
                </c:pt>
                <c:pt idx="10">
                  <c:v>0.7586250000000001</c:v>
                </c:pt>
                <c:pt idx="11">
                  <c:v>0.8317500000000001</c:v>
                </c:pt>
                <c:pt idx="12">
                  <c:v>0.70587500000000025</c:v>
                </c:pt>
                <c:pt idx="13">
                  <c:v>0.54525000000000001</c:v>
                </c:pt>
                <c:pt idx="14">
                  <c:v>0.35199999999999998</c:v>
                </c:pt>
                <c:pt idx="15">
                  <c:v>0.24112499999999995</c:v>
                </c:pt>
                <c:pt idx="16">
                  <c:v>0.26437500000000003</c:v>
                </c:pt>
                <c:pt idx="17">
                  <c:v>0.29512500000000003</c:v>
                </c:pt>
                <c:pt idx="18">
                  <c:v>0.36287499999999995</c:v>
                </c:pt>
                <c:pt idx="19">
                  <c:v>0.38200000000000001</c:v>
                </c:pt>
                <c:pt idx="20">
                  <c:v>0.33237500000000003</c:v>
                </c:pt>
                <c:pt idx="21">
                  <c:v>0.21450000000000008</c:v>
                </c:pt>
                <c:pt idx="22">
                  <c:v>0.11800000000000002</c:v>
                </c:pt>
                <c:pt idx="23">
                  <c:v>0.17462499999999997</c:v>
                </c:pt>
                <c:pt idx="24">
                  <c:v>0.31699999999999989</c:v>
                </c:pt>
                <c:pt idx="25">
                  <c:v>0.5585</c:v>
                </c:pt>
                <c:pt idx="26">
                  <c:v>0.65049999999999986</c:v>
                </c:pt>
                <c:pt idx="27">
                  <c:v>0.68375000000000008</c:v>
                </c:pt>
                <c:pt idx="28">
                  <c:v>0.55349999999999999</c:v>
                </c:pt>
                <c:pt idx="29">
                  <c:v>0.53412500000000007</c:v>
                </c:pt>
                <c:pt idx="30">
                  <c:v>0.55500000000000005</c:v>
                </c:pt>
                <c:pt idx="31">
                  <c:v>0.53650000000000009</c:v>
                </c:pt>
                <c:pt idx="32">
                  <c:v>0.63087499999999996</c:v>
                </c:pt>
                <c:pt idx="33">
                  <c:v>0.62762499999999999</c:v>
                </c:pt>
                <c:pt idx="34">
                  <c:v>0.60225000000000006</c:v>
                </c:pt>
                <c:pt idx="35">
                  <c:v>0.52600000000000002</c:v>
                </c:pt>
                <c:pt idx="36">
                  <c:v>0.49987500000000001</c:v>
                </c:pt>
                <c:pt idx="37">
                  <c:v>0.47050000000000008</c:v>
                </c:pt>
                <c:pt idx="38">
                  <c:v>0.31012499999999998</c:v>
                </c:pt>
                <c:pt idx="39">
                  <c:v>0.33187499999999998</c:v>
                </c:pt>
                <c:pt idx="40">
                  <c:v>0.372</c:v>
                </c:pt>
                <c:pt idx="41">
                  <c:v>0.38099999999999995</c:v>
                </c:pt>
                <c:pt idx="42">
                  <c:v>0.37462499999999999</c:v>
                </c:pt>
                <c:pt idx="43">
                  <c:v>0.358875</c:v>
                </c:pt>
                <c:pt idx="44">
                  <c:v>0.32274999999999998</c:v>
                </c:pt>
                <c:pt idx="45">
                  <c:v>0.309</c:v>
                </c:pt>
                <c:pt idx="46">
                  <c:v>0.31800000000000006</c:v>
                </c:pt>
                <c:pt idx="47">
                  <c:v>0.30200000000000005</c:v>
                </c:pt>
                <c:pt idx="48">
                  <c:v>0.27700000000000008</c:v>
                </c:pt>
                <c:pt idx="49">
                  <c:v>0.2531250000000001</c:v>
                </c:pt>
                <c:pt idx="50">
                  <c:v>0.2677500000000001</c:v>
                </c:pt>
                <c:pt idx="51">
                  <c:v>0.25175000000000008</c:v>
                </c:pt>
                <c:pt idx="52">
                  <c:v>0.22887500000000008</c:v>
                </c:pt>
                <c:pt idx="53">
                  <c:v>0.19750000000000012</c:v>
                </c:pt>
                <c:pt idx="54">
                  <c:v>0.20112500000000008</c:v>
                </c:pt>
                <c:pt idx="55">
                  <c:v>0.19575000000000009</c:v>
                </c:pt>
                <c:pt idx="56">
                  <c:v>0.23112500000000008</c:v>
                </c:pt>
                <c:pt idx="57">
                  <c:v>0.35600000000000009</c:v>
                </c:pt>
                <c:pt idx="58">
                  <c:v>0.39612500000000017</c:v>
                </c:pt>
                <c:pt idx="59">
                  <c:v>0.42099999999999999</c:v>
                </c:pt>
                <c:pt idx="60">
                  <c:v>0.496</c:v>
                </c:pt>
                <c:pt idx="61">
                  <c:v>0.44262499999999994</c:v>
                </c:pt>
                <c:pt idx="62">
                  <c:v>0.42375000000000002</c:v>
                </c:pt>
                <c:pt idx="63">
                  <c:v>0.30387499999999995</c:v>
                </c:pt>
                <c:pt idx="64">
                  <c:v>0.45024999999999998</c:v>
                </c:pt>
                <c:pt idx="65">
                  <c:v>0.37837500000000002</c:v>
                </c:pt>
                <c:pt idx="66">
                  <c:v>0.3297500000000001</c:v>
                </c:pt>
                <c:pt idx="67">
                  <c:v>0.34512500000000007</c:v>
                </c:pt>
                <c:pt idx="68">
                  <c:v>0.38500000000000006</c:v>
                </c:pt>
                <c:pt idx="69">
                  <c:v>0.45537500000000003</c:v>
                </c:pt>
                <c:pt idx="70">
                  <c:v>0.46500000000000002</c:v>
                </c:pt>
                <c:pt idx="71">
                  <c:v>0.60199999999999998</c:v>
                </c:pt>
                <c:pt idx="72">
                  <c:v>0.66825000000000012</c:v>
                </c:pt>
                <c:pt idx="73">
                  <c:v>0.66774999999999995</c:v>
                </c:pt>
                <c:pt idx="74">
                  <c:v>0.65650000000000008</c:v>
                </c:pt>
                <c:pt idx="75">
                  <c:v>0.66825000000000012</c:v>
                </c:pt>
                <c:pt idx="76">
                  <c:v>0.68700000000000006</c:v>
                </c:pt>
                <c:pt idx="77">
                  <c:v>0.70387500000000003</c:v>
                </c:pt>
                <c:pt idx="78">
                  <c:v>0.72537499999999999</c:v>
                </c:pt>
                <c:pt idx="79">
                  <c:v>0.74862499999999998</c:v>
                </c:pt>
                <c:pt idx="80">
                  <c:v>0.77037500000000003</c:v>
                </c:pt>
                <c:pt idx="81">
                  <c:v>0.75849999999999995</c:v>
                </c:pt>
                <c:pt idx="82">
                  <c:v>0.71900000000000008</c:v>
                </c:pt>
                <c:pt idx="83">
                  <c:v>0.74212500000000003</c:v>
                </c:pt>
                <c:pt idx="84">
                  <c:v>0.71112500000000001</c:v>
                </c:pt>
                <c:pt idx="85">
                  <c:v>0.69862499999999994</c:v>
                </c:pt>
                <c:pt idx="86">
                  <c:v>0.66425000000000001</c:v>
                </c:pt>
                <c:pt idx="87">
                  <c:v>0.67549999999999999</c:v>
                </c:pt>
                <c:pt idx="88">
                  <c:v>0.63749999999999996</c:v>
                </c:pt>
                <c:pt idx="89">
                  <c:v>0.67299999999999993</c:v>
                </c:pt>
                <c:pt idx="90">
                  <c:v>0.65399999999999991</c:v>
                </c:pt>
                <c:pt idx="91">
                  <c:v>0.62875000000000003</c:v>
                </c:pt>
                <c:pt idx="92">
                  <c:v>0.58262499999999995</c:v>
                </c:pt>
                <c:pt idx="93">
                  <c:v>0.59149999999999991</c:v>
                </c:pt>
                <c:pt idx="94">
                  <c:v>0.65037499999999993</c:v>
                </c:pt>
                <c:pt idx="95">
                  <c:v>0.70137499999999997</c:v>
                </c:pt>
                <c:pt idx="96">
                  <c:v>0.69874999999999998</c:v>
                </c:pt>
                <c:pt idx="97">
                  <c:v>0.72537499999999988</c:v>
                </c:pt>
                <c:pt idx="98">
                  <c:v>0.72549999999999992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BF3-4695-9AD9-CA794809D3EE}"/>
            </c:ext>
          </c:extLst>
        </c:ser>
        <c:ser>
          <c:idx val="5"/>
          <c:order val="5"/>
          <c:tx>
            <c:strRef>
              <c:f>'面板-景气指数'!$A$152</c:f>
              <c:strCache>
                <c:ptCount val="1"/>
                <c:pt idx="0">
                  <c:v>中药</c:v>
                </c:pt>
              </c:strCache>
            </c:strRef>
          </c:tx>
          <c:spPr>
            <a:ln w="12700" cap="rnd" cmpd="sng" algn="ctr">
              <a:solidFill>
                <a:srgbClr val="FFC000">
                  <a:lumMod val="60000"/>
                  <a:lumOff val="40000"/>
                </a:srgbClr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'面板-景气指数'!$G$152:$CZ$152</c:f>
              <c:numCache>
                <c:formatCode>0.0%</c:formatCode>
                <c:ptCount val="98"/>
                <c:pt idx="0">
                  <c:v>0.42799999999999999</c:v>
                </c:pt>
                <c:pt idx="1">
                  <c:v>0.51</c:v>
                </c:pt>
                <c:pt idx="2">
                  <c:v>0.56100000000000005</c:v>
                </c:pt>
                <c:pt idx="3">
                  <c:v>0.64200000000000002</c:v>
                </c:pt>
                <c:pt idx="4">
                  <c:v>0.70399999999999996</c:v>
                </c:pt>
                <c:pt idx="5">
                  <c:v>0.74399999999999999</c:v>
                </c:pt>
                <c:pt idx="6">
                  <c:v>0.755</c:v>
                </c:pt>
                <c:pt idx="7">
                  <c:v>0.73399999999999999</c:v>
                </c:pt>
                <c:pt idx="8">
                  <c:v>0.72399999999999998</c:v>
                </c:pt>
                <c:pt idx="9">
                  <c:v>0.77500000000000002</c:v>
                </c:pt>
                <c:pt idx="10">
                  <c:v>0.82599999999999996</c:v>
                </c:pt>
                <c:pt idx="11">
                  <c:v>0.84599999999999997</c:v>
                </c:pt>
                <c:pt idx="12">
                  <c:v>0.8570000000000001</c:v>
                </c:pt>
                <c:pt idx="13">
                  <c:v>0.8670000000000001</c:v>
                </c:pt>
                <c:pt idx="14">
                  <c:v>0.88700000000000012</c:v>
                </c:pt>
                <c:pt idx="15">
                  <c:v>0.89700000000000013</c:v>
                </c:pt>
                <c:pt idx="16">
                  <c:v>0.92800000000000005</c:v>
                </c:pt>
                <c:pt idx="17">
                  <c:v>0.94799999999999995</c:v>
                </c:pt>
                <c:pt idx="18">
                  <c:v>0.97899999999999987</c:v>
                </c:pt>
                <c:pt idx="19">
                  <c:v>1</c:v>
                </c:pt>
                <c:pt idx="20">
                  <c:v>0.98899999999999988</c:v>
                </c:pt>
                <c:pt idx="21">
                  <c:v>0.96899999999999986</c:v>
                </c:pt>
                <c:pt idx="22">
                  <c:v>0.95899999999999985</c:v>
                </c:pt>
                <c:pt idx="23">
                  <c:v>0.93800000000000006</c:v>
                </c:pt>
                <c:pt idx="24">
                  <c:v>0.91800000000000004</c:v>
                </c:pt>
                <c:pt idx="25">
                  <c:v>0.90800000000000003</c:v>
                </c:pt>
                <c:pt idx="26">
                  <c:v>0.87700000000000011</c:v>
                </c:pt>
                <c:pt idx="27">
                  <c:v>0.83599999999999997</c:v>
                </c:pt>
                <c:pt idx="28">
                  <c:v>0.78500000000000003</c:v>
                </c:pt>
                <c:pt idx="29">
                  <c:v>0.59099999999999997</c:v>
                </c:pt>
                <c:pt idx="30">
                  <c:v>0.377</c:v>
                </c:pt>
                <c:pt idx="31">
                  <c:v>0.224</c:v>
                </c:pt>
                <c:pt idx="32">
                  <c:v>0.23400000000000001</c:v>
                </c:pt>
                <c:pt idx="33">
                  <c:v>0.24400000000000002</c:v>
                </c:pt>
                <c:pt idx="34">
                  <c:v>0.29499999999999998</c:v>
                </c:pt>
                <c:pt idx="35">
                  <c:v>0.33600000000000002</c:v>
                </c:pt>
                <c:pt idx="36">
                  <c:v>0.38700000000000001</c:v>
                </c:pt>
                <c:pt idx="37">
                  <c:v>0.34599999999999997</c:v>
                </c:pt>
                <c:pt idx="38">
                  <c:v>0.40799999999999997</c:v>
                </c:pt>
                <c:pt idx="39">
                  <c:v>0.47899999999999998</c:v>
                </c:pt>
                <c:pt idx="40">
                  <c:v>0.54</c:v>
                </c:pt>
                <c:pt idx="41">
                  <c:v>0.60199999999999998</c:v>
                </c:pt>
                <c:pt idx="42">
                  <c:v>0.58099999999999996</c:v>
                </c:pt>
                <c:pt idx="43">
                  <c:v>0.52</c:v>
                </c:pt>
                <c:pt idx="44">
                  <c:v>0.438</c:v>
                </c:pt>
                <c:pt idx="45">
                  <c:v>0.36699999999999999</c:v>
                </c:pt>
                <c:pt idx="46">
                  <c:v>0.35699999999999998</c:v>
                </c:pt>
                <c:pt idx="47">
                  <c:v>0.26500000000000001</c:v>
                </c:pt>
                <c:pt idx="48">
                  <c:v>0.28499999999999998</c:v>
                </c:pt>
                <c:pt idx="49">
                  <c:v>0.255</c:v>
                </c:pt>
                <c:pt idx="50">
                  <c:v>0.214</c:v>
                </c:pt>
                <c:pt idx="51">
                  <c:v>0.12200000000000001</c:v>
                </c:pt>
                <c:pt idx="52">
                  <c:v>0.01</c:v>
                </c:pt>
                <c:pt idx="53">
                  <c:v>0</c:v>
                </c:pt>
                <c:pt idx="54">
                  <c:v>5.0999999999999997E-2</c:v>
                </c:pt>
                <c:pt idx="55">
                  <c:v>0.14199999999999999</c:v>
                </c:pt>
                <c:pt idx="56">
                  <c:v>0.17299999999999999</c:v>
                </c:pt>
                <c:pt idx="57">
                  <c:v>0.183</c:v>
                </c:pt>
                <c:pt idx="58">
                  <c:v>0.13200000000000001</c:v>
                </c:pt>
                <c:pt idx="59">
                  <c:v>9.0999999999999998E-2</c:v>
                </c:pt>
                <c:pt idx="60">
                  <c:v>0.10199999999999999</c:v>
                </c:pt>
                <c:pt idx="61">
                  <c:v>0.16300000000000001</c:v>
                </c:pt>
                <c:pt idx="62">
                  <c:v>0.20399999999999999</c:v>
                </c:pt>
                <c:pt idx="63">
                  <c:v>0.316</c:v>
                </c:pt>
                <c:pt idx="64">
                  <c:v>0.45900000000000002</c:v>
                </c:pt>
                <c:pt idx="65">
                  <c:v>0.48899999999999999</c:v>
                </c:pt>
                <c:pt idx="66">
                  <c:v>0.41799999999999998</c:v>
                </c:pt>
                <c:pt idx="67">
                  <c:v>0.32600000000000001</c:v>
                </c:pt>
                <c:pt idx="68">
                  <c:v>0.30599999999999999</c:v>
                </c:pt>
                <c:pt idx="69">
                  <c:v>0.39700000000000002</c:v>
                </c:pt>
                <c:pt idx="70">
                  <c:v>0.46900000000000003</c:v>
                </c:pt>
                <c:pt idx="71">
                  <c:v>0.53</c:v>
                </c:pt>
                <c:pt idx="72">
                  <c:v>0.55100000000000005</c:v>
                </c:pt>
                <c:pt idx="73">
                  <c:v>0.57099999999999995</c:v>
                </c:pt>
                <c:pt idx="74">
                  <c:v>0.61199999999999999</c:v>
                </c:pt>
                <c:pt idx="75">
                  <c:v>0.63200000000000001</c:v>
                </c:pt>
                <c:pt idx="76">
                  <c:v>0.67300000000000004</c:v>
                </c:pt>
                <c:pt idx="77">
                  <c:v>0.76500000000000001</c:v>
                </c:pt>
                <c:pt idx="78">
                  <c:v>0.80599999999999994</c:v>
                </c:pt>
                <c:pt idx="79">
                  <c:v>0.81599999999999995</c:v>
                </c:pt>
                <c:pt idx="80">
                  <c:v>0.79500000000000004</c:v>
                </c:pt>
                <c:pt idx="81">
                  <c:v>0.71399999999999997</c:v>
                </c:pt>
                <c:pt idx="82">
                  <c:v>0.66300000000000003</c:v>
                </c:pt>
                <c:pt idx="83">
                  <c:v>0.65300000000000002</c:v>
                </c:pt>
                <c:pt idx="84">
                  <c:v>0.69299999999999995</c:v>
                </c:pt>
                <c:pt idx="85">
                  <c:v>0.68300000000000005</c:v>
                </c:pt>
                <c:pt idx="86">
                  <c:v>0.622</c:v>
                </c:pt>
                <c:pt idx="87">
                  <c:v>0.5</c:v>
                </c:pt>
                <c:pt idx="88">
                  <c:v>0.27500000000000002</c:v>
                </c:pt>
                <c:pt idx="89">
                  <c:v>0.193</c:v>
                </c:pt>
                <c:pt idx="90">
                  <c:v>8.1000000000000003E-2</c:v>
                </c:pt>
                <c:pt idx="91">
                  <c:v>0.02</c:v>
                </c:pt>
                <c:pt idx="92">
                  <c:v>0.03</c:v>
                </c:pt>
                <c:pt idx="93">
                  <c:v>7.0999999999999994E-2</c:v>
                </c:pt>
                <c:pt idx="94">
                  <c:v>0.112</c:v>
                </c:pt>
                <c:pt idx="95">
                  <c:v>0.153</c:v>
                </c:pt>
                <c:pt idx="96">
                  <c:v>6.1000000000000006E-2</c:v>
                </c:pt>
                <c:pt idx="97">
                  <c:v>0.04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BF3-4695-9AD9-CA794809D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12622023739569899"/>
          <c:y val="4.48416041018129E-3"/>
          <c:w val="0.73945140439534596"/>
          <c:h val="0.104324146981626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90876159230096198"/>
          <c:h val="0.707373561477891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'面板-景气指数'!$A$65</c:f>
              <c:strCache>
                <c:ptCount val="1"/>
                <c:pt idx="0">
                  <c:v>交通运输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'面板-景气指数'!$F$65:$CZ$65</c:f>
              <c:numCache>
                <c:formatCode>0.0%</c:formatCode>
                <c:ptCount val="99"/>
                <c:pt idx="0">
                  <c:v>0.54915539128618518</c:v>
                </c:pt>
                <c:pt idx="1">
                  <c:v>0.54772000013043742</c:v>
                </c:pt>
                <c:pt idx="2">
                  <c:v>0.53017308999159607</c:v>
                </c:pt>
                <c:pt idx="3">
                  <c:v>0.50675404566578808</c:v>
                </c:pt>
                <c:pt idx="4">
                  <c:v>0.48188170047479034</c:v>
                </c:pt>
                <c:pt idx="5">
                  <c:v>0.50066672259317013</c:v>
                </c:pt>
                <c:pt idx="6">
                  <c:v>0.43392559809476622</c:v>
                </c:pt>
                <c:pt idx="7">
                  <c:v>0.38628423484013041</c:v>
                </c:pt>
                <c:pt idx="8">
                  <c:v>0.35800350630364064</c:v>
                </c:pt>
                <c:pt idx="9">
                  <c:v>0.35709205619388151</c:v>
                </c:pt>
                <c:pt idx="10">
                  <c:v>0.38262417420075256</c:v>
                </c:pt>
                <c:pt idx="11">
                  <c:v>0.46042552701507378</c:v>
                </c:pt>
                <c:pt idx="12">
                  <c:v>0.41207137815387207</c:v>
                </c:pt>
                <c:pt idx="13">
                  <c:v>0.30720654541540637</c:v>
                </c:pt>
                <c:pt idx="14">
                  <c:v>0.22444899314219</c:v>
                </c:pt>
                <c:pt idx="15">
                  <c:v>0.20613748877601218</c:v>
                </c:pt>
                <c:pt idx="16">
                  <c:v>0.18496339315779012</c:v>
                </c:pt>
                <c:pt idx="17">
                  <c:v>0.21066578888615139</c:v>
                </c:pt>
                <c:pt idx="18">
                  <c:v>0.2289641931580205</c:v>
                </c:pt>
                <c:pt idx="19">
                  <c:v>0.25043265603399045</c:v>
                </c:pt>
                <c:pt idx="20">
                  <c:v>0.25673301877265242</c:v>
                </c:pt>
                <c:pt idx="21">
                  <c:v>0.25668020387895812</c:v>
                </c:pt>
                <c:pt idx="22">
                  <c:v>0.21804174506743373</c:v>
                </c:pt>
                <c:pt idx="23">
                  <c:v>0.22278673615635303</c:v>
                </c:pt>
                <c:pt idx="24">
                  <c:v>0.23585393536305993</c:v>
                </c:pt>
                <c:pt idx="25">
                  <c:v>0.32257881320008119</c:v>
                </c:pt>
                <c:pt idx="26">
                  <c:v>0.38890519224003078</c:v>
                </c:pt>
                <c:pt idx="27">
                  <c:v>0.45909448680564641</c:v>
                </c:pt>
                <c:pt idx="28">
                  <c:v>0.56384996913357011</c:v>
                </c:pt>
                <c:pt idx="29">
                  <c:v>0.62111323304615518</c:v>
                </c:pt>
                <c:pt idx="30">
                  <c:v>0.47812113427503311</c:v>
                </c:pt>
                <c:pt idx="31">
                  <c:v>0.44409271421307267</c:v>
                </c:pt>
                <c:pt idx="32">
                  <c:v>0.45129664285779658</c:v>
                </c:pt>
                <c:pt idx="33">
                  <c:v>0.58572338163474913</c:v>
                </c:pt>
                <c:pt idx="34">
                  <c:v>0.70110886984297038</c:v>
                </c:pt>
                <c:pt idx="35">
                  <c:v>0.7267899449883779</c:v>
                </c:pt>
                <c:pt idx="36">
                  <c:v>0.64860879026323193</c:v>
                </c:pt>
                <c:pt idx="37">
                  <c:v>0.55060639394889377</c:v>
                </c:pt>
                <c:pt idx="38">
                  <c:v>0.6064719887839839</c:v>
                </c:pt>
                <c:pt idx="39">
                  <c:v>0.70870564371241074</c:v>
                </c:pt>
                <c:pt idx="40">
                  <c:v>0.64813325103808861</c:v>
                </c:pt>
                <c:pt idx="41">
                  <c:v>0.63830486467939718</c:v>
                </c:pt>
                <c:pt idx="42">
                  <c:v>0.56958763640716858</c:v>
                </c:pt>
                <c:pt idx="43">
                  <c:v>0.44139907880400159</c:v>
                </c:pt>
                <c:pt idx="44">
                  <c:v>0.37631711430441772</c:v>
                </c:pt>
                <c:pt idx="45">
                  <c:v>0.42472678963618871</c:v>
                </c:pt>
                <c:pt idx="46">
                  <c:v>0.45327398197983237</c:v>
                </c:pt>
                <c:pt idx="47">
                  <c:v>0.38257845077251507</c:v>
                </c:pt>
                <c:pt idx="48">
                  <c:v>0.17801637794932557</c:v>
                </c:pt>
                <c:pt idx="49">
                  <c:v>0.18700448456049984</c:v>
                </c:pt>
                <c:pt idx="50">
                  <c:v>0.215331835509953</c:v>
                </c:pt>
                <c:pt idx="51">
                  <c:v>0.55285444827825625</c:v>
                </c:pt>
                <c:pt idx="52">
                  <c:v>0.6523082019594717</c:v>
                </c:pt>
                <c:pt idx="53">
                  <c:v>0.60756427921753731</c:v>
                </c:pt>
                <c:pt idx="54">
                  <c:v>0.48607622085455526</c:v>
                </c:pt>
                <c:pt idx="55">
                  <c:v>0.4525022170345403</c:v>
                </c:pt>
                <c:pt idx="56">
                  <c:v>0.42407469639624307</c:v>
                </c:pt>
                <c:pt idx="57">
                  <c:v>0.44944132753284427</c:v>
                </c:pt>
                <c:pt idx="58">
                  <c:v>0.4882816458864418</c:v>
                </c:pt>
                <c:pt idx="59">
                  <c:v>0.5051532598378643</c:v>
                </c:pt>
                <c:pt idx="60">
                  <c:v>0.44128286349881746</c:v>
                </c:pt>
                <c:pt idx="61">
                  <c:v>0.47512856498095579</c:v>
                </c:pt>
                <c:pt idx="62">
                  <c:v>0.51661603410830848</c:v>
                </c:pt>
                <c:pt idx="63">
                  <c:v>0.64980195858754397</c:v>
                </c:pt>
                <c:pt idx="64">
                  <c:v>0.66620255596118372</c:v>
                </c:pt>
                <c:pt idx="65">
                  <c:v>0.65401596506197324</c:v>
                </c:pt>
                <c:pt idx="66">
                  <c:v>0.55311721654570989</c:v>
                </c:pt>
                <c:pt idx="67">
                  <c:v>0.47176227502316909</c:v>
                </c:pt>
                <c:pt idx="68">
                  <c:v>0.48865974161685904</c:v>
                </c:pt>
                <c:pt idx="69">
                  <c:v>0.60545749592508291</c:v>
                </c:pt>
                <c:pt idx="70">
                  <c:v>0.63496335894435474</c:v>
                </c:pt>
                <c:pt idx="71">
                  <c:v>0.60885732545740845</c:v>
                </c:pt>
                <c:pt idx="72">
                  <c:v>0.47667239208736345</c:v>
                </c:pt>
                <c:pt idx="73">
                  <c:v>0.5112309094789913</c:v>
                </c:pt>
                <c:pt idx="74">
                  <c:v>0.60336596938088027</c:v>
                </c:pt>
                <c:pt idx="75">
                  <c:v>0.70926193536056414</c:v>
                </c:pt>
                <c:pt idx="76">
                  <c:v>0.69482135532673506</c:v>
                </c:pt>
                <c:pt idx="77">
                  <c:v>0.67390194889187394</c:v>
                </c:pt>
                <c:pt idx="78">
                  <c:v>0.63949987035916234</c:v>
                </c:pt>
                <c:pt idx="79">
                  <c:v>0.57511344579164625</c:v>
                </c:pt>
                <c:pt idx="80">
                  <c:v>0.6007997933610163</c:v>
                </c:pt>
                <c:pt idx="81">
                  <c:v>0.65695928258241043</c:v>
                </c:pt>
                <c:pt idx="82">
                  <c:v>0.69570322306072574</c:v>
                </c:pt>
                <c:pt idx="83">
                  <c:v>0.69657983790095224</c:v>
                </c:pt>
                <c:pt idx="84">
                  <c:v>0.64936518919172936</c:v>
                </c:pt>
                <c:pt idx="85">
                  <c:v>0.51468602624963011</c:v>
                </c:pt>
                <c:pt idx="86">
                  <c:v>0.5730657550158812</c:v>
                </c:pt>
                <c:pt idx="87">
                  <c:v>0.66717550840441786</c:v>
                </c:pt>
                <c:pt idx="88">
                  <c:v>0.70583682983215101</c:v>
                </c:pt>
                <c:pt idx="89">
                  <c:v>0.70709066127768927</c:v>
                </c:pt>
                <c:pt idx="90">
                  <c:v>0.69222462487761349</c:v>
                </c:pt>
                <c:pt idx="91">
                  <c:v>0.65993471103861823</c:v>
                </c:pt>
                <c:pt idx="92">
                  <c:v>0.61554239145217005</c:v>
                </c:pt>
                <c:pt idx="93">
                  <c:v>0.61129927883252932</c:v>
                </c:pt>
                <c:pt idx="94">
                  <c:v>0.6031934479351958</c:v>
                </c:pt>
                <c:pt idx="95">
                  <c:v>0.56915559850187403</c:v>
                </c:pt>
                <c:pt idx="96">
                  <c:v>0.46259095125879302</c:v>
                </c:pt>
                <c:pt idx="97">
                  <c:v>0.45377305140831353</c:v>
                </c:pt>
                <c:pt idx="98">
                  <c:v>0.50401352087140516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A4-4E1A-B3A1-5081CF367F18}"/>
            </c:ext>
          </c:extLst>
        </c:ser>
        <c:ser>
          <c:idx val="1"/>
          <c:order val="1"/>
          <c:tx>
            <c:strRef>
              <c:f>'面板-景气指数'!$A$163</c:f>
              <c:strCache>
                <c:ptCount val="1"/>
                <c:pt idx="0">
                  <c:v>物流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'面板-景气指数'!$F$163:$CZ$163</c:f>
              <c:numCache>
                <c:formatCode>0.0%</c:formatCode>
                <c:ptCount val="99"/>
                <c:pt idx="0">
                  <c:v>0.45974999999999999</c:v>
                </c:pt>
                <c:pt idx="1">
                  <c:v>0.45974999999999999</c:v>
                </c:pt>
                <c:pt idx="2">
                  <c:v>0.42450000000000004</c:v>
                </c:pt>
                <c:pt idx="3">
                  <c:v>0.38125000000000009</c:v>
                </c:pt>
                <c:pt idx="4">
                  <c:v>0.36200000000000004</c:v>
                </c:pt>
                <c:pt idx="5">
                  <c:v>0.40175</c:v>
                </c:pt>
                <c:pt idx="6">
                  <c:v>0.31700000000000006</c:v>
                </c:pt>
                <c:pt idx="7">
                  <c:v>0.26150000000000001</c:v>
                </c:pt>
                <c:pt idx="8">
                  <c:v>0.22399999999999998</c:v>
                </c:pt>
                <c:pt idx="9">
                  <c:v>0.21324999999999997</c:v>
                </c:pt>
                <c:pt idx="10">
                  <c:v>0.24375000000000002</c:v>
                </c:pt>
                <c:pt idx="11">
                  <c:v>0.35649999999999998</c:v>
                </c:pt>
                <c:pt idx="12">
                  <c:v>0.30449999999999999</c:v>
                </c:pt>
                <c:pt idx="13">
                  <c:v>0.17600000000000002</c:v>
                </c:pt>
                <c:pt idx="14">
                  <c:v>0.13375000000000001</c:v>
                </c:pt>
                <c:pt idx="15">
                  <c:v>0.12325</c:v>
                </c:pt>
                <c:pt idx="16">
                  <c:v>7.9000000000000001E-2</c:v>
                </c:pt>
                <c:pt idx="17">
                  <c:v>0.10575</c:v>
                </c:pt>
                <c:pt idx="18">
                  <c:v>0.1245</c:v>
                </c:pt>
                <c:pt idx="19">
                  <c:v>0.156</c:v>
                </c:pt>
                <c:pt idx="20">
                  <c:v>0.16249999999999998</c:v>
                </c:pt>
                <c:pt idx="21">
                  <c:v>0.161</c:v>
                </c:pt>
                <c:pt idx="22">
                  <c:v>0.1055</c:v>
                </c:pt>
                <c:pt idx="23">
                  <c:v>9.8750000000000004E-2</c:v>
                </c:pt>
                <c:pt idx="24">
                  <c:v>0.10999999999999999</c:v>
                </c:pt>
                <c:pt idx="25">
                  <c:v>0.22724999999999995</c:v>
                </c:pt>
                <c:pt idx="26">
                  <c:v>0.29775000000000001</c:v>
                </c:pt>
                <c:pt idx="27">
                  <c:v>0.38500000000000001</c:v>
                </c:pt>
                <c:pt idx="28">
                  <c:v>0.49775000000000003</c:v>
                </c:pt>
                <c:pt idx="29">
                  <c:v>0.5482499999999999</c:v>
                </c:pt>
                <c:pt idx="30">
                  <c:v>0.34950000000000003</c:v>
                </c:pt>
                <c:pt idx="31">
                  <c:v>0.30125000000000002</c:v>
                </c:pt>
                <c:pt idx="32">
                  <c:v>0.30774999999999997</c:v>
                </c:pt>
                <c:pt idx="33">
                  <c:v>0.49199999999999999</c:v>
                </c:pt>
                <c:pt idx="34">
                  <c:v>0.64575000000000005</c:v>
                </c:pt>
                <c:pt idx="35">
                  <c:v>0.6845</c:v>
                </c:pt>
                <c:pt idx="36">
                  <c:v>0.60225000000000006</c:v>
                </c:pt>
                <c:pt idx="37">
                  <c:v>0.54849999999999999</c:v>
                </c:pt>
                <c:pt idx="38">
                  <c:v>0.65250000000000008</c:v>
                </c:pt>
                <c:pt idx="39">
                  <c:v>0.81574999999999998</c:v>
                </c:pt>
                <c:pt idx="40">
                  <c:v>0.76024999999999998</c:v>
                </c:pt>
                <c:pt idx="41">
                  <c:v>0.75075000000000003</c:v>
                </c:pt>
                <c:pt idx="42">
                  <c:v>0.66025</c:v>
                </c:pt>
                <c:pt idx="43">
                  <c:v>0.48999999999999988</c:v>
                </c:pt>
                <c:pt idx="44">
                  <c:v>0.41224999999999995</c:v>
                </c:pt>
                <c:pt idx="45">
                  <c:v>0.50600000000000001</c:v>
                </c:pt>
                <c:pt idx="46">
                  <c:v>0.56025000000000003</c:v>
                </c:pt>
                <c:pt idx="47">
                  <c:v>0.46425000000000005</c:v>
                </c:pt>
                <c:pt idx="48">
                  <c:v>0.17149999999999999</c:v>
                </c:pt>
                <c:pt idx="49">
                  <c:v>0.157</c:v>
                </c:pt>
                <c:pt idx="50">
                  <c:v>0.17774999999999999</c:v>
                </c:pt>
                <c:pt idx="51">
                  <c:v>0.627</c:v>
                </c:pt>
                <c:pt idx="52">
                  <c:v>0.75050000000000006</c:v>
                </c:pt>
                <c:pt idx="53">
                  <c:v>0.68974999999999997</c:v>
                </c:pt>
                <c:pt idx="54">
                  <c:v>0.51424999999999998</c:v>
                </c:pt>
                <c:pt idx="55">
                  <c:v>0.45400000000000001</c:v>
                </c:pt>
                <c:pt idx="56">
                  <c:v>0.42075000000000001</c:v>
                </c:pt>
                <c:pt idx="57">
                  <c:v>0.47525000000000001</c:v>
                </c:pt>
                <c:pt idx="58">
                  <c:v>0.54799999999999993</c:v>
                </c:pt>
                <c:pt idx="59">
                  <c:v>0.57000000000000006</c:v>
                </c:pt>
                <c:pt idx="60">
                  <c:v>0.46274999999999994</c:v>
                </c:pt>
                <c:pt idx="61">
                  <c:v>0.46624999999999994</c:v>
                </c:pt>
                <c:pt idx="62">
                  <c:v>0.50274999999999992</c:v>
                </c:pt>
                <c:pt idx="63">
                  <c:v>0.69224999999999992</c:v>
                </c:pt>
                <c:pt idx="64">
                  <c:v>0.73250000000000004</c:v>
                </c:pt>
                <c:pt idx="65">
                  <c:v>0.70950000000000002</c:v>
                </c:pt>
                <c:pt idx="66">
                  <c:v>0.56575000000000009</c:v>
                </c:pt>
                <c:pt idx="67">
                  <c:v>0.45849999999999996</c:v>
                </c:pt>
                <c:pt idx="68">
                  <c:v>0.49049999999999999</c:v>
                </c:pt>
                <c:pt idx="69">
                  <c:v>0.67275000000000007</c:v>
                </c:pt>
                <c:pt idx="70">
                  <c:v>0.72675000000000001</c:v>
                </c:pt>
                <c:pt idx="71">
                  <c:v>0.70124999999999993</c:v>
                </c:pt>
                <c:pt idx="72">
                  <c:v>0.53099999999999992</c:v>
                </c:pt>
                <c:pt idx="73">
                  <c:v>0.57074999999999998</c:v>
                </c:pt>
                <c:pt idx="74">
                  <c:v>0.69499999999999995</c:v>
                </c:pt>
                <c:pt idx="75">
                  <c:v>0.84024999999999994</c:v>
                </c:pt>
                <c:pt idx="76">
                  <c:v>0.79400000000000004</c:v>
                </c:pt>
                <c:pt idx="77">
                  <c:v>0.76674999999999993</c:v>
                </c:pt>
                <c:pt idx="78">
                  <c:v>0.71299999999999997</c:v>
                </c:pt>
                <c:pt idx="79">
                  <c:v>0.60925000000000007</c:v>
                </c:pt>
                <c:pt idx="80">
                  <c:v>0.63975000000000004</c:v>
                </c:pt>
                <c:pt idx="81">
                  <c:v>0.71624999999999994</c:v>
                </c:pt>
                <c:pt idx="82">
                  <c:v>0.77024999999999999</c:v>
                </c:pt>
                <c:pt idx="83">
                  <c:v>0.77749999999999986</c:v>
                </c:pt>
                <c:pt idx="84">
                  <c:v>0.70899999999999996</c:v>
                </c:pt>
                <c:pt idx="85">
                  <c:v>0.52024999999999999</c:v>
                </c:pt>
                <c:pt idx="86">
                  <c:v>0.60450000000000004</c:v>
                </c:pt>
                <c:pt idx="87">
                  <c:v>0.74724999999999997</c:v>
                </c:pt>
                <c:pt idx="88">
                  <c:v>0.83624999999999994</c:v>
                </c:pt>
                <c:pt idx="89">
                  <c:v>0.84424999999999994</c:v>
                </c:pt>
                <c:pt idx="90">
                  <c:v>0.83624999999999994</c:v>
                </c:pt>
                <c:pt idx="91">
                  <c:v>0.79549999999999998</c:v>
                </c:pt>
                <c:pt idx="92">
                  <c:v>0.73699999999999999</c:v>
                </c:pt>
                <c:pt idx="93">
                  <c:v>0.73450000000000004</c:v>
                </c:pt>
                <c:pt idx="94">
                  <c:v>0.72399999999999998</c:v>
                </c:pt>
                <c:pt idx="95">
                  <c:v>0.67549999999999999</c:v>
                </c:pt>
                <c:pt idx="96">
                  <c:v>0.51475000000000004</c:v>
                </c:pt>
                <c:pt idx="97">
                  <c:v>0.48399999999999999</c:v>
                </c:pt>
                <c:pt idx="98">
                  <c:v>0.54800000000000004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A4-4E1A-B3A1-5081CF367F18}"/>
            </c:ext>
          </c:extLst>
        </c:ser>
        <c:ser>
          <c:idx val="2"/>
          <c:order val="2"/>
          <c:tx>
            <c:strRef>
              <c:f>'面板-景气指数'!$A$164</c:f>
              <c:strCache>
                <c:ptCount val="1"/>
                <c:pt idx="0">
                  <c:v>铁路公路</c:v>
                </c:pt>
              </c:strCache>
            </c:strRef>
          </c:tx>
          <c:spPr>
            <a:ln w="12700" cap="rnd" cmpd="sng" algn="ctr">
              <a:solidFill>
                <a:srgbClr val="FF9B9B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'面板-景气指数'!$F$164:$CZ$164</c:f>
              <c:numCache>
                <c:formatCode>0.0%</c:formatCode>
                <c:ptCount val="99"/>
                <c:pt idx="0">
                  <c:v>0.64</c:v>
                </c:pt>
                <c:pt idx="1">
                  <c:v>0.64</c:v>
                </c:pt>
                <c:pt idx="2">
                  <c:v>0.70600000000000007</c:v>
                </c:pt>
                <c:pt idx="3">
                  <c:v>0.75499999999999989</c:v>
                </c:pt>
                <c:pt idx="4">
                  <c:v>0.74175000000000002</c:v>
                </c:pt>
                <c:pt idx="5">
                  <c:v>0.70350000000000001</c:v>
                </c:pt>
                <c:pt idx="6">
                  <c:v>0.68300000000000005</c:v>
                </c:pt>
                <c:pt idx="7">
                  <c:v>0.65</c:v>
                </c:pt>
                <c:pt idx="8">
                  <c:v>0.64750000000000008</c:v>
                </c:pt>
                <c:pt idx="9">
                  <c:v>0.67325000000000002</c:v>
                </c:pt>
                <c:pt idx="10">
                  <c:v>0.69850000000000001</c:v>
                </c:pt>
                <c:pt idx="11">
                  <c:v>0.66</c:v>
                </c:pt>
                <c:pt idx="12">
                  <c:v>0.62175000000000002</c:v>
                </c:pt>
                <c:pt idx="13">
                  <c:v>0.54274999999999995</c:v>
                </c:pt>
                <c:pt idx="14">
                  <c:v>0.35699999999999998</c:v>
                </c:pt>
                <c:pt idx="15">
                  <c:v>0.20874999999999999</c:v>
                </c:pt>
                <c:pt idx="16">
                  <c:v>0.22900000000000001</c:v>
                </c:pt>
                <c:pt idx="17">
                  <c:v>0.2495</c:v>
                </c:pt>
                <c:pt idx="18">
                  <c:v>0.26250000000000001</c:v>
                </c:pt>
                <c:pt idx="19">
                  <c:v>0.25974999999999998</c:v>
                </c:pt>
                <c:pt idx="20">
                  <c:v>0.23675000000000002</c:v>
                </c:pt>
                <c:pt idx="21">
                  <c:v>0.21124999999999999</c:v>
                </c:pt>
                <c:pt idx="22">
                  <c:v>0.21899999999999997</c:v>
                </c:pt>
                <c:pt idx="23">
                  <c:v>0.23925000000000002</c:v>
                </c:pt>
                <c:pt idx="24">
                  <c:v>0.24950000000000006</c:v>
                </c:pt>
                <c:pt idx="25">
                  <c:v>0.25700000000000006</c:v>
                </c:pt>
                <c:pt idx="26">
                  <c:v>0.41275000000000001</c:v>
                </c:pt>
                <c:pt idx="27">
                  <c:v>0.53800000000000003</c:v>
                </c:pt>
                <c:pt idx="28">
                  <c:v>0.62950000000000006</c:v>
                </c:pt>
                <c:pt idx="29">
                  <c:v>0.65</c:v>
                </c:pt>
                <c:pt idx="30">
                  <c:v>0.67300000000000004</c:v>
                </c:pt>
                <c:pt idx="31">
                  <c:v>0.69850000000000001</c:v>
                </c:pt>
                <c:pt idx="32">
                  <c:v>0.73425000000000007</c:v>
                </c:pt>
                <c:pt idx="33">
                  <c:v>0.76975000000000005</c:v>
                </c:pt>
                <c:pt idx="34">
                  <c:v>0.85150000000000003</c:v>
                </c:pt>
                <c:pt idx="35">
                  <c:v>0.89500000000000002</c:v>
                </c:pt>
                <c:pt idx="36">
                  <c:v>0.7722500000000001</c:v>
                </c:pt>
                <c:pt idx="37">
                  <c:v>0.60175000000000012</c:v>
                </c:pt>
                <c:pt idx="38">
                  <c:v>0.52750000000000008</c:v>
                </c:pt>
                <c:pt idx="39">
                  <c:v>0.42549999999999999</c:v>
                </c:pt>
                <c:pt idx="40">
                  <c:v>0.20350000000000001</c:v>
                </c:pt>
                <c:pt idx="41">
                  <c:v>0.18574999999999997</c:v>
                </c:pt>
                <c:pt idx="42">
                  <c:v>0.17050000000000001</c:v>
                </c:pt>
                <c:pt idx="43">
                  <c:v>0.14249999999999999</c:v>
                </c:pt>
                <c:pt idx="44">
                  <c:v>0.11924999999999999</c:v>
                </c:pt>
                <c:pt idx="45">
                  <c:v>9.6499999999999989E-2</c:v>
                </c:pt>
                <c:pt idx="46">
                  <c:v>6.8499999999999991E-2</c:v>
                </c:pt>
                <c:pt idx="47">
                  <c:v>5.6000000000000001E-2</c:v>
                </c:pt>
                <c:pt idx="48">
                  <c:v>8.1250000000000003E-2</c:v>
                </c:pt>
                <c:pt idx="49">
                  <c:v>0.10425</c:v>
                </c:pt>
                <c:pt idx="50">
                  <c:v>0.21900000000000003</c:v>
                </c:pt>
                <c:pt idx="51">
                  <c:v>0.33099999999999996</c:v>
                </c:pt>
                <c:pt idx="52">
                  <c:v>0.51200000000000001</c:v>
                </c:pt>
                <c:pt idx="53">
                  <c:v>0.52750000000000008</c:v>
                </c:pt>
                <c:pt idx="54">
                  <c:v>0.52749999999999997</c:v>
                </c:pt>
                <c:pt idx="55">
                  <c:v>0.55049999999999999</c:v>
                </c:pt>
                <c:pt idx="56">
                  <c:v>0.53800000000000003</c:v>
                </c:pt>
                <c:pt idx="57">
                  <c:v>0.52249999999999996</c:v>
                </c:pt>
                <c:pt idx="58">
                  <c:v>0.48175000000000007</c:v>
                </c:pt>
                <c:pt idx="59">
                  <c:v>0.47175</c:v>
                </c:pt>
                <c:pt idx="60">
                  <c:v>0.52</c:v>
                </c:pt>
                <c:pt idx="61">
                  <c:v>0.59624999999999995</c:v>
                </c:pt>
                <c:pt idx="62">
                  <c:v>0.65500000000000003</c:v>
                </c:pt>
                <c:pt idx="63">
                  <c:v>0.61675000000000002</c:v>
                </c:pt>
                <c:pt idx="64">
                  <c:v>0.57075000000000009</c:v>
                </c:pt>
                <c:pt idx="65">
                  <c:v>0.57100000000000006</c:v>
                </c:pt>
                <c:pt idx="66">
                  <c:v>0.54299999999999993</c:v>
                </c:pt>
                <c:pt idx="67">
                  <c:v>0.52500000000000002</c:v>
                </c:pt>
                <c:pt idx="68">
                  <c:v>0.51475000000000004</c:v>
                </c:pt>
                <c:pt idx="69">
                  <c:v>0.52249999999999996</c:v>
                </c:pt>
                <c:pt idx="70">
                  <c:v>0.52</c:v>
                </c:pt>
                <c:pt idx="71">
                  <c:v>0.50175000000000003</c:v>
                </c:pt>
                <c:pt idx="72">
                  <c:v>0.47675000000000001</c:v>
                </c:pt>
                <c:pt idx="73">
                  <c:v>0.55025000000000002</c:v>
                </c:pt>
                <c:pt idx="74">
                  <c:v>0.57350000000000012</c:v>
                </c:pt>
                <c:pt idx="75">
                  <c:v>0.59624999999999995</c:v>
                </c:pt>
                <c:pt idx="76">
                  <c:v>0.65775000000000006</c:v>
                </c:pt>
                <c:pt idx="77">
                  <c:v>0.66025</c:v>
                </c:pt>
                <c:pt idx="78">
                  <c:v>0.68574999999999997</c:v>
                </c:pt>
                <c:pt idx="79">
                  <c:v>0.73175000000000001</c:v>
                </c:pt>
                <c:pt idx="80">
                  <c:v>0.76</c:v>
                </c:pt>
                <c:pt idx="81">
                  <c:v>0.76975000000000016</c:v>
                </c:pt>
                <c:pt idx="82">
                  <c:v>0.77250000000000008</c:v>
                </c:pt>
                <c:pt idx="83">
                  <c:v>0.7569999999999999</c:v>
                </c:pt>
                <c:pt idx="84">
                  <c:v>0.7569999999999999</c:v>
                </c:pt>
                <c:pt idx="85">
                  <c:v>0.69850000000000001</c:v>
                </c:pt>
                <c:pt idx="86">
                  <c:v>0.66549999999999998</c:v>
                </c:pt>
                <c:pt idx="87">
                  <c:v>0.54549999999999987</c:v>
                </c:pt>
                <c:pt idx="88">
                  <c:v>0.47174999999999995</c:v>
                </c:pt>
                <c:pt idx="89">
                  <c:v>0.43325000000000002</c:v>
                </c:pt>
                <c:pt idx="90">
                  <c:v>0.40500000000000003</c:v>
                </c:pt>
                <c:pt idx="91">
                  <c:v>0.39249999999999996</c:v>
                </c:pt>
                <c:pt idx="92">
                  <c:v>0.38725000000000004</c:v>
                </c:pt>
                <c:pt idx="93">
                  <c:v>0.38724999999999998</c:v>
                </c:pt>
                <c:pt idx="94">
                  <c:v>0.39500000000000002</c:v>
                </c:pt>
                <c:pt idx="95">
                  <c:v>0.42774999999999996</c:v>
                </c:pt>
                <c:pt idx="96">
                  <c:v>0.43325000000000002</c:v>
                </c:pt>
                <c:pt idx="97">
                  <c:v>0.45600000000000002</c:v>
                </c:pt>
                <c:pt idx="98">
                  <c:v>0.46375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DA4-4E1A-B3A1-5081CF367F18}"/>
            </c:ext>
          </c:extLst>
        </c:ser>
        <c:ser>
          <c:idx val="3"/>
          <c:order val="3"/>
          <c:tx>
            <c:strRef>
              <c:f>'面板-景气指数'!$A$165</c:f>
              <c:strCache>
                <c:ptCount val="1"/>
                <c:pt idx="0">
                  <c:v>航空机场</c:v>
                </c:pt>
              </c:strCache>
            </c:strRef>
          </c:tx>
          <c:spPr>
            <a:ln w="127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'面板-景气指数'!$F$165:$CZ$165</c:f>
              <c:numCache>
                <c:formatCode>0.0%</c:formatCode>
                <c:ptCount val="99"/>
                <c:pt idx="0">
                  <c:v>0.82599999999999996</c:v>
                </c:pt>
                <c:pt idx="1">
                  <c:v>0.82599999999999996</c:v>
                </c:pt>
                <c:pt idx="2">
                  <c:v>0.90800000000000003</c:v>
                </c:pt>
                <c:pt idx="3">
                  <c:v>1</c:v>
                </c:pt>
                <c:pt idx="4">
                  <c:v>0.98899999999999988</c:v>
                </c:pt>
                <c:pt idx="5">
                  <c:v>0.96899999999999986</c:v>
                </c:pt>
                <c:pt idx="6">
                  <c:v>0.93800000000000006</c:v>
                </c:pt>
                <c:pt idx="7">
                  <c:v>0.92800000000000005</c:v>
                </c:pt>
                <c:pt idx="8">
                  <c:v>0.94800000000000006</c:v>
                </c:pt>
                <c:pt idx="9">
                  <c:v>0.97899999999999987</c:v>
                </c:pt>
                <c:pt idx="10">
                  <c:v>0.95899999999999985</c:v>
                </c:pt>
                <c:pt idx="11">
                  <c:v>0.91800000000000004</c:v>
                </c:pt>
                <c:pt idx="12">
                  <c:v>0.89700000000000002</c:v>
                </c:pt>
                <c:pt idx="13">
                  <c:v>0.84599999999999997</c:v>
                </c:pt>
                <c:pt idx="14">
                  <c:v>0.255</c:v>
                </c:pt>
                <c:pt idx="15">
                  <c:v>0.12200000000000001</c:v>
                </c:pt>
                <c:pt idx="16">
                  <c:v>0.112</c:v>
                </c:pt>
                <c:pt idx="17">
                  <c:v>0.13200000000000001</c:v>
                </c:pt>
                <c:pt idx="18">
                  <c:v>0.14199999999999999</c:v>
                </c:pt>
                <c:pt idx="19">
                  <c:v>9.0999999999999998E-2</c:v>
                </c:pt>
                <c:pt idx="20">
                  <c:v>7.0999999999999994E-2</c:v>
                </c:pt>
                <c:pt idx="21">
                  <c:v>0.04</c:v>
                </c:pt>
                <c:pt idx="22">
                  <c:v>6.1000000000000006E-2</c:v>
                </c:pt>
                <c:pt idx="23">
                  <c:v>0.153</c:v>
                </c:pt>
                <c:pt idx="24">
                  <c:v>0.214</c:v>
                </c:pt>
                <c:pt idx="25">
                  <c:v>0.23400000000000001</c:v>
                </c:pt>
                <c:pt idx="26">
                  <c:v>0.28499999999999998</c:v>
                </c:pt>
                <c:pt idx="27">
                  <c:v>0.27500000000000002</c:v>
                </c:pt>
                <c:pt idx="28">
                  <c:v>0.5</c:v>
                </c:pt>
                <c:pt idx="29">
                  <c:v>0.78500000000000003</c:v>
                </c:pt>
                <c:pt idx="30">
                  <c:v>0.79500000000000004</c:v>
                </c:pt>
                <c:pt idx="31">
                  <c:v>0.81599999999999995</c:v>
                </c:pt>
                <c:pt idx="32">
                  <c:v>0.85699999999999998</c:v>
                </c:pt>
                <c:pt idx="33">
                  <c:v>0.877</c:v>
                </c:pt>
                <c:pt idx="34">
                  <c:v>0.88700000000000001</c:v>
                </c:pt>
                <c:pt idx="35">
                  <c:v>0.86699999999999999</c:v>
                </c:pt>
                <c:pt idx="36">
                  <c:v>0.80600000000000005</c:v>
                </c:pt>
                <c:pt idx="37">
                  <c:v>0.24400000000000002</c:v>
                </c:pt>
                <c:pt idx="38">
                  <c:v>0.20399999999999999</c:v>
                </c:pt>
                <c:pt idx="39">
                  <c:v>0.17299999999999999</c:v>
                </c:pt>
                <c:pt idx="40">
                  <c:v>0.183</c:v>
                </c:pt>
                <c:pt idx="41">
                  <c:v>0.16300000000000001</c:v>
                </c:pt>
                <c:pt idx="42">
                  <c:v>0.10199999999999999</c:v>
                </c:pt>
                <c:pt idx="43">
                  <c:v>7.0999999999999994E-2</c:v>
                </c:pt>
                <c:pt idx="44">
                  <c:v>5.0999999999999997E-2</c:v>
                </c:pt>
                <c:pt idx="45">
                  <c:v>0.02</c:v>
                </c:pt>
                <c:pt idx="46">
                  <c:v>0</c:v>
                </c:pt>
                <c:pt idx="47">
                  <c:v>0.01</c:v>
                </c:pt>
                <c:pt idx="48">
                  <c:v>0.03</c:v>
                </c:pt>
                <c:pt idx="49">
                  <c:v>0.193</c:v>
                </c:pt>
                <c:pt idx="50">
                  <c:v>0.224</c:v>
                </c:pt>
                <c:pt idx="51">
                  <c:v>0.26500000000000001</c:v>
                </c:pt>
                <c:pt idx="52">
                  <c:v>0.29499999999999998</c:v>
                </c:pt>
                <c:pt idx="53">
                  <c:v>0.30599999999999999</c:v>
                </c:pt>
                <c:pt idx="54">
                  <c:v>0.32600000000000001</c:v>
                </c:pt>
                <c:pt idx="55">
                  <c:v>0.35699999999999998</c:v>
                </c:pt>
                <c:pt idx="56">
                  <c:v>0.34599999999999997</c:v>
                </c:pt>
                <c:pt idx="57">
                  <c:v>0.32600000000000001</c:v>
                </c:pt>
                <c:pt idx="58">
                  <c:v>0.316</c:v>
                </c:pt>
                <c:pt idx="59">
                  <c:v>0.377</c:v>
                </c:pt>
                <c:pt idx="60">
                  <c:v>0.39700000000000002</c:v>
                </c:pt>
                <c:pt idx="61">
                  <c:v>0.63200000000000001</c:v>
                </c:pt>
                <c:pt idx="62">
                  <c:v>0.67300000000000004</c:v>
                </c:pt>
                <c:pt idx="63">
                  <c:v>0.60199999999999998</c:v>
                </c:pt>
                <c:pt idx="64">
                  <c:v>0.48899999999999999</c:v>
                </c:pt>
                <c:pt idx="65">
                  <c:v>0.52</c:v>
                </c:pt>
                <c:pt idx="66">
                  <c:v>0.55100000000000005</c:v>
                </c:pt>
                <c:pt idx="67">
                  <c:v>0.56100000000000005</c:v>
                </c:pt>
                <c:pt idx="68">
                  <c:v>0.58099999999999996</c:v>
                </c:pt>
                <c:pt idx="69">
                  <c:v>0.59099999999999997</c:v>
                </c:pt>
                <c:pt idx="70">
                  <c:v>0.61199999999999999</c:v>
                </c:pt>
                <c:pt idx="71">
                  <c:v>0.57099999999999995</c:v>
                </c:pt>
                <c:pt idx="72">
                  <c:v>0.46900000000000003</c:v>
                </c:pt>
                <c:pt idx="73">
                  <c:v>0.36699999999999999</c:v>
                </c:pt>
                <c:pt idx="74">
                  <c:v>0.38700000000000001</c:v>
                </c:pt>
                <c:pt idx="75">
                  <c:v>0.40799999999999997</c:v>
                </c:pt>
                <c:pt idx="76">
                  <c:v>0.65300000000000002</c:v>
                </c:pt>
                <c:pt idx="77">
                  <c:v>0.64200000000000002</c:v>
                </c:pt>
                <c:pt idx="78">
                  <c:v>0.622</c:v>
                </c:pt>
                <c:pt idx="79">
                  <c:v>0.66300000000000003</c:v>
                </c:pt>
                <c:pt idx="80">
                  <c:v>0.69299999999999995</c:v>
                </c:pt>
                <c:pt idx="81">
                  <c:v>0.72399999999999998</c:v>
                </c:pt>
                <c:pt idx="82">
                  <c:v>0.71399999999999997</c:v>
                </c:pt>
                <c:pt idx="83">
                  <c:v>0.72399999999999998</c:v>
                </c:pt>
                <c:pt idx="84">
                  <c:v>0.74399999999999999</c:v>
                </c:pt>
                <c:pt idx="85">
                  <c:v>0.77500000000000002</c:v>
                </c:pt>
                <c:pt idx="86">
                  <c:v>0.76500000000000001</c:v>
                </c:pt>
                <c:pt idx="87">
                  <c:v>0.755</c:v>
                </c:pt>
                <c:pt idx="88">
                  <c:v>0.53</c:v>
                </c:pt>
                <c:pt idx="89">
                  <c:v>0.51</c:v>
                </c:pt>
                <c:pt idx="90">
                  <c:v>0.46900000000000003</c:v>
                </c:pt>
                <c:pt idx="91">
                  <c:v>0.45900000000000002</c:v>
                </c:pt>
                <c:pt idx="92">
                  <c:v>0.44800000000000001</c:v>
                </c:pt>
                <c:pt idx="93">
                  <c:v>0.42799999999999999</c:v>
                </c:pt>
                <c:pt idx="94">
                  <c:v>0.42799999999999999</c:v>
                </c:pt>
                <c:pt idx="95">
                  <c:v>0.41799999999999998</c:v>
                </c:pt>
                <c:pt idx="96">
                  <c:v>0.54</c:v>
                </c:pt>
                <c:pt idx="97">
                  <c:v>0.68300000000000005</c:v>
                </c:pt>
                <c:pt idx="98">
                  <c:v>0.70399999999999996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DA4-4E1A-B3A1-5081CF367F18}"/>
            </c:ext>
          </c:extLst>
        </c:ser>
        <c:ser>
          <c:idx val="4"/>
          <c:order val="4"/>
          <c:tx>
            <c:strRef>
              <c:f>'面板-景气指数'!$A$166</c:f>
              <c:strCache>
                <c:ptCount val="1"/>
                <c:pt idx="0">
                  <c:v>航运港口</c:v>
                </c:pt>
              </c:strCache>
            </c:strRef>
          </c:tx>
          <c:spPr>
            <a:ln w="12700" cap="rnd" cmpd="sng" algn="ctr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'面板-景气指数'!$F$36:$CZ$36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'面板-景气指数'!$F$166:$CZ$166</c:f>
              <c:numCache>
                <c:formatCode>0.0%</c:formatCode>
                <c:ptCount val="99"/>
                <c:pt idx="0">
                  <c:v>0.82600000000000007</c:v>
                </c:pt>
                <c:pt idx="1">
                  <c:v>0.81574999999999998</c:v>
                </c:pt>
                <c:pt idx="2">
                  <c:v>0.79800000000000004</c:v>
                </c:pt>
                <c:pt idx="3">
                  <c:v>0.78299999999999992</c:v>
                </c:pt>
                <c:pt idx="4">
                  <c:v>0.71650000000000003</c:v>
                </c:pt>
                <c:pt idx="5">
                  <c:v>0.67525000000000002</c:v>
                </c:pt>
                <c:pt idx="6">
                  <c:v>0.66024999999999989</c:v>
                </c:pt>
                <c:pt idx="7">
                  <c:v>0.627</c:v>
                </c:pt>
                <c:pt idx="8">
                  <c:v>0.60925000000000007</c:v>
                </c:pt>
                <c:pt idx="9">
                  <c:v>0.62975000000000003</c:v>
                </c:pt>
                <c:pt idx="10">
                  <c:v>0.65249999999999997</c:v>
                </c:pt>
                <c:pt idx="11">
                  <c:v>0.66775000000000007</c:v>
                </c:pt>
                <c:pt idx="12">
                  <c:v>0.61950000000000005</c:v>
                </c:pt>
                <c:pt idx="13">
                  <c:v>0.59650000000000003</c:v>
                </c:pt>
                <c:pt idx="14">
                  <c:v>0.60949999999999993</c:v>
                </c:pt>
                <c:pt idx="15">
                  <c:v>0.67300000000000004</c:v>
                </c:pt>
                <c:pt idx="16">
                  <c:v>0.74424999999999997</c:v>
                </c:pt>
                <c:pt idx="17">
                  <c:v>0.77</c:v>
                </c:pt>
                <c:pt idx="18">
                  <c:v>0.79275000000000007</c:v>
                </c:pt>
                <c:pt idx="19">
                  <c:v>0.81074999999999997</c:v>
                </c:pt>
                <c:pt idx="20">
                  <c:v>0.84375000000000011</c:v>
                </c:pt>
                <c:pt idx="21">
                  <c:v>0.87925000000000009</c:v>
                </c:pt>
                <c:pt idx="22">
                  <c:v>0.87449999999999994</c:v>
                </c:pt>
                <c:pt idx="23">
                  <c:v>0.88724999999999998</c:v>
                </c:pt>
                <c:pt idx="24">
                  <c:v>0.88724999999999998</c:v>
                </c:pt>
                <c:pt idx="25">
                  <c:v>0.88975000000000015</c:v>
                </c:pt>
                <c:pt idx="26">
                  <c:v>0.89750000000000008</c:v>
                </c:pt>
                <c:pt idx="27">
                  <c:v>0.89224999999999999</c:v>
                </c:pt>
                <c:pt idx="28">
                  <c:v>0.90274999999999994</c:v>
                </c:pt>
                <c:pt idx="29">
                  <c:v>0.90000000000000013</c:v>
                </c:pt>
                <c:pt idx="30">
                  <c:v>0.88474999999999981</c:v>
                </c:pt>
                <c:pt idx="31">
                  <c:v>0.86675000000000002</c:v>
                </c:pt>
                <c:pt idx="32">
                  <c:v>0.84650000000000003</c:v>
                </c:pt>
                <c:pt idx="33">
                  <c:v>0.83100000000000007</c:v>
                </c:pt>
                <c:pt idx="34">
                  <c:v>0.81824999999999992</c:v>
                </c:pt>
                <c:pt idx="35">
                  <c:v>0.79050000000000009</c:v>
                </c:pt>
                <c:pt idx="36">
                  <c:v>0.747</c:v>
                </c:pt>
                <c:pt idx="37">
                  <c:v>0.68824999999999992</c:v>
                </c:pt>
                <c:pt idx="38">
                  <c:v>0.60925000000000007</c:v>
                </c:pt>
                <c:pt idx="39">
                  <c:v>0.56599999999999995</c:v>
                </c:pt>
                <c:pt idx="40">
                  <c:v>0.52500000000000002</c:v>
                </c:pt>
                <c:pt idx="41">
                  <c:v>0.52249999999999996</c:v>
                </c:pt>
                <c:pt idx="42">
                  <c:v>0.53525</c:v>
                </c:pt>
                <c:pt idx="43">
                  <c:v>0.52500000000000002</c:v>
                </c:pt>
                <c:pt idx="44">
                  <c:v>0.48175000000000001</c:v>
                </c:pt>
                <c:pt idx="45">
                  <c:v>0.372</c:v>
                </c:pt>
                <c:pt idx="46">
                  <c:v>0.32074999999999998</c:v>
                </c:pt>
                <c:pt idx="47">
                  <c:v>0.311</c:v>
                </c:pt>
                <c:pt idx="48">
                  <c:v>0.33350000000000002</c:v>
                </c:pt>
                <c:pt idx="49">
                  <c:v>0.37974999999999998</c:v>
                </c:pt>
                <c:pt idx="50">
                  <c:v>0.40250000000000002</c:v>
                </c:pt>
                <c:pt idx="51">
                  <c:v>0.42550000000000004</c:v>
                </c:pt>
                <c:pt idx="52">
                  <c:v>0.39500000000000002</c:v>
                </c:pt>
                <c:pt idx="53">
                  <c:v>0.37474999999999997</c:v>
                </c:pt>
                <c:pt idx="54">
                  <c:v>0.4</c:v>
                </c:pt>
                <c:pt idx="55">
                  <c:v>0.44324999999999998</c:v>
                </c:pt>
                <c:pt idx="56">
                  <c:v>0.42299999999999999</c:v>
                </c:pt>
                <c:pt idx="57">
                  <c:v>0.34150000000000003</c:v>
                </c:pt>
                <c:pt idx="58">
                  <c:v>0.26999999999999996</c:v>
                </c:pt>
                <c:pt idx="59">
                  <c:v>0.25199999999999995</c:v>
                </c:pt>
                <c:pt idx="60">
                  <c:v>0.3135</c:v>
                </c:pt>
                <c:pt idx="61">
                  <c:v>0.38224999999999998</c:v>
                </c:pt>
                <c:pt idx="62">
                  <c:v>0.441</c:v>
                </c:pt>
                <c:pt idx="63">
                  <c:v>0.47175</c:v>
                </c:pt>
                <c:pt idx="64">
                  <c:v>0.46099999999999997</c:v>
                </c:pt>
                <c:pt idx="65">
                  <c:v>0.47674999999999995</c:v>
                </c:pt>
                <c:pt idx="66">
                  <c:v>0.49425000000000002</c:v>
                </c:pt>
                <c:pt idx="67">
                  <c:v>0.46899999999999997</c:v>
                </c:pt>
                <c:pt idx="68">
                  <c:v>0.42025000000000001</c:v>
                </c:pt>
                <c:pt idx="69">
                  <c:v>0.308</c:v>
                </c:pt>
                <c:pt idx="70">
                  <c:v>0.23174999999999998</c:v>
                </c:pt>
                <c:pt idx="71">
                  <c:v>0.20600000000000002</c:v>
                </c:pt>
                <c:pt idx="72">
                  <c:v>0.20100000000000001</c:v>
                </c:pt>
                <c:pt idx="73">
                  <c:v>0.25724999999999998</c:v>
                </c:pt>
                <c:pt idx="74">
                  <c:v>0.2545</c:v>
                </c:pt>
                <c:pt idx="75">
                  <c:v>0.24174999999999999</c:v>
                </c:pt>
                <c:pt idx="76">
                  <c:v>0.224</c:v>
                </c:pt>
                <c:pt idx="77">
                  <c:v>0.21900000000000003</c:v>
                </c:pt>
                <c:pt idx="78">
                  <c:v>0.24700000000000003</c:v>
                </c:pt>
                <c:pt idx="79">
                  <c:v>0.27750000000000002</c:v>
                </c:pt>
                <c:pt idx="80">
                  <c:v>0.27499999999999997</c:v>
                </c:pt>
                <c:pt idx="81">
                  <c:v>0.26224999999999998</c:v>
                </c:pt>
                <c:pt idx="82">
                  <c:v>0.26474999999999999</c:v>
                </c:pt>
                <c:pt idx="83">
                  <c:v>0.23649999999999999</c:v>
                </c:pt>
                <c:pt idx="84">
                  <c:v>0.24174999999999999</c:v>
                </c:pt>
                <c:pt idx="85">
                  <c:v>0.26474999999999999</c:v>
                </c:pt>
                <c:pt idx="86">
                  <c:v>0.26975000000000005</c:v>
                </c:pt>
                <c:pt idx="87">
                  <c:v>0.27250000000000002</c:v>
                </c:pt>
                <c:pt idx="88">
                  <c:v>0.23949999999999999</c:v>
                </c:pt>
                <c:pt idx="89">
                  <c:v>0.23649999999999999</c:v>
                </c:pt>
                <c:pt idx="90">
                  <c:v>0.20600000000000002</c:v>
                </c:pt>
                <c:pt idx="91">
                  <c:v>0.19625000000000001</c:v>
                </c:pt>
                <c:pt idx="92">
                  <c:v>0.18825</c:v>
                </c:pt>
                <c:pt idx="93">
                  <c:v>0.18075000000000002</c:v>
                </c:pt>
                <c:pt idx="94">
                  <c:v>0.17300000000000001</c:v>
                </c:pt>
                <c:pt idx="95">
                  <c:v>0.16800000000000001</c:v>
                </c:pt>
                <c:pt idx="96">
                  <c:v>0.17050000000000001</c:v>
                </c:pt>
                <c:pt idx="97">
                  <c:v>0.18325000000000002</c:v>
                </c:pt>
                <c:pt idx="98">
                  <c:v>0.19849999999999998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DA4-4E1A-B3A1-5081CF367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1"/>
          <c:h val="0.104324146981626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2209338388671005"/>
          <c:h val="0.71877579629476795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'面板-景气指数'!$A$33</c:f>
              <c:strCache>
                <c:ptCount val="1"/>
                <c:pt idx="0">
                  <c:v>全行业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'面板-景气指数'!$F$24:$CZ$24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'面板-景气指数'!$F$33:$CZ$33</c:f>
              <c:numCache>
                <c:formatCode>0.0%</c:formatCode>
                <c:ptCount val="99"/>
                <c:pt idx="0">
                  <c:v>0.3900613424275946</c:v>
                </c:pt>
                <c:pt idx="1">
                  <c:v>0.40661379227060518</c:v>
                </c:pt>
                <c:pt idx="2">
                  <c:v>0.4038603088495209</c:v>
                </c:pt>
                <c:pt idx="3">
                  <c:v>0.40582501688282802</c:v>
                </c:pt>
                <c:pt idx="4">
                  <c:v>0.41156334090383012</c:v>
                </c:pt>
                <c:pt idx="5">
                  <c:v>0.41808652159927945</c:v>
                </c:pt>
                <c:pt idx="6">
                  <c:v>0.40730952818560351</c:v>
                </c:pt>
                <c:pt idx="7">
                  <c:v>0.38550820262515983</c:v>
                </c:pt>
                <c:pt idx="8">
                  <c:v>0.3663169996704681</c:v>
                </c:pt>
                <c:pt idx="9">
                  <c:v>0.35993877160273025</c:v>
                </c:pt>
                <c:pt idx="10">
                  <c:v>0.38263775986009418</c:v>
                </c:pt>
                <c:pt idx="11">
                  <c:v>0.37880677208296037</c:v>
                </c:pt>
                <c:pt idx="12">
                  <c:v>0.37542711497789855</c:v>
                </c:pt>
                <c:pt idx="13">
                  <c:v>0.33361039790688407</c:v>
                </c:pt>
                <c:pt idx="14">
                  <c:v>0.31597993266306351</c:v>
                </c:pt>
                <c:pt idx="15">
                  <c:v>0.30805509857003471</c:v>
                </c:pt>
                <c:pt idx="16">
                  <c:v>0.33339240640343359</c:v>
                </c:pt>
                <c:pt idx="17">
                  <c:v>0.34949684985540497</c:v>
                </c:pt>
                <c:pt idx="18">
                  <c:v>0.3635860329675854</c:v>
                </c:pt>
                <c:pt idx="19">
                  <c:v>0.36482532717477112</c:v>
                </c:pt>
                <c:pt idx="20">
                  <c:v>0.37167259497071053</c:v>
                </c:pt>
                <c:pt idx="21">
                  <c:v>0.36367452205944367</c:v>
                </c:pt>
                <c:pt idx="22">
                  <c:v>0.36761623492043149</c:v>
                </c:pt>
                <c:pt idx="23">
                  <c:v>0.38551918210997665</c:v>
                </c:pt>
                <c:pt idx="24">
                  <c:v>0.42754490353949254</c:v>
                </c:pt>
                <c:pt idx="25">
                  <c:v>0.46996380033390533</c:v>
                </c:pt>
                <c:pt idx="26">
                  <c:v>0.50436990786465452</c:v>
                </c:pt>
                <c:pt idx="27">
                  <c:v>0.51024643055246177</c:v>
                </c:pt>
                <c:pt idx="28">
                  <c:v>0.531694559711402</c:v>
                </c:pt>
                <c:pt idx="29">
                  <c:v>0.54167074859313624</c:v>
                </c:pt>
                <c:pt idx="30">
                  <c:v>0.54935106122302435</c:v>
                </c:pt>
                <c:pt idx="31">
                  <c:v>0.54101810921038795</c:v>
                </c:pt>
                <c:pt idx="32">
                  <c:v>0.54166045020032927</c:v>
                </c:pt>
                <c:pt idx="33">
                  <c:v>0.55623596501399242</c:v>
                </c:pt>
                <c:pt idx="34">
                  <c:v>0.56956450026230077</c:v>
                </c:pt>
                <c:pt idx="35">
                  <c:v>0.57921275737598665</c:v>
                </c:pt>
                <c:pt idx="36">
                  <c:v>0.58475274741903716</c:v>
                </c:pt>
                <c:pt idx="37">
                  <c:v>0.58233321120311121</c:v>
                </c:pt>
                <c:pt idx="38">
                  <c:v>0.56042598203356919</c:v>
                </c:pt>
                <c:pt idx="39">
                  <c:v>0.47668598432839238</c:v>
                </c:pt>
                <c:pt idx="40">
                  <c:v>0.42947288952280765</c:v>
                </c:pt>
                <c:pt idx="41">
                  <c:v>0.39865779188939565</c:v>
                </c:pt>
                <c:pt idx="42">
                  <c:v>0.35782172124418821</c:v>
                </c:pt>
                <c:pt idx="43">
                  <c:v>0.33351690417139646</c:v>
                </c:pt>
                <c:pt idx="44">
                  <c:v>0.32938955902372374</c:v>
                </c:pt>
                <c:pt idx="45">
                  <c:v>0.31691629025020457</c:v>
                </c:pt>
                <c:pt idx="46">
                  <c:v>0.30354267703617288</c:v>
                </c:pt>
                <c:pt idx="47">
                  <c:v>0.27827027587521524</c:v>
                </c:pt>
                <c:pt idx="48">
                  <c:v>0.2413805266101412</c:v>
                </c:pt>
                <c:pt idx="49">
                  <c:v>0.24748073805606779</c:v>
                </c:pt>
                <c:pt idx="50">
                  <c:v>0.29004655279113789</c:v>
                </c:pt>
                <c:pt idx="51">
                  <c:v>0.36189155511928517</c:v>
                </c:pt>
                <c:pt idx="52">
                  <c:v>0.38752153375147302</c:v>
                </c:pt>
                <c:pt idx="53">
                  <c:v>0.37975519777389022</c:v>
                </c:pt>
                <c:pt idx="54">
                  <c:v>0.37038283308677333</c:v>
                </c:pt>
                <c:pt idx="55">
                  <c:v>0.37293261694362956</c:v>
                </c:pt>
                <c:pt idx="56">
                  <c:v>0.37837362692428106</c:v>
                </c:pt>
                <c:pt idx="57">
                  <c:v>0.39030248487738484</c:v>
                </c:pt>
                <c:pt idx="58">
                  <c:v>0.39824409527930427</c:v>
                </c:pt>
                <c:pt idx="59">
                  <c:v>0.40302074825824447</c:v>
                </c:pt>
                <c:pt idx="60">
                  <c:v>0.39233048178797558</c:v>
                </c:pt>
                <c:pt idx="61">
                  <c:v>0.39998651125246526</c:v>
                </c:pt>
                <c:pt idx="62">
                  <c:v>0.40621014171087932</c:v>
                </c:pt>
                <c:pt idx="63">
                  <c:v>0.43214184101514574</c:v>
                </c:pt>
                <c:pt idx="64">
                  <c:v>0.4331496625124871</c:v>
                </c:pt>
                <c:pt idx="65">
                  <c:v>0.45358433857139902</c:v>
                </c:pt>
                <c:pt idx="66">
                  <c:v>0.45323965145327261</c:v>
                </c:pt>
                <c:pt idx="67">
                  <c:v>0.4616053969534768</c:v>
                </c:pt>
                <c:pt idx="68">
                  <c:v>0.47323928052953973</c:v>
                </c:pt>
                <c:pt idx="69">
                  <c:v>0.49559289248065863</c:v>
                </c:pt>
                <c:pt idx="70">
                  <c:v>0.50241066360295961</c:v>
                </c:pt>
                <c:pt idx="71">
                  <c:v>0.50115320044501266</c:v>
                </c:pt>
                <c:pt idx="72">
                  <c:v>0.4914588392383189</c:v>
                </c:pt>
                <c:pt idx="73">
                  <c:v>0.51397733452771011</c:v>
                </c:pt>
                <c:pt idx="74">
                  <c:v>0.52631601400899664</c:v>
                </c:pt>
                <c:pt idx="75">
                  <c:v>0.53978342900652032</c:v>
                </c:pt>
                <c:pt idx="76">
                  <c:v>0.54019252728731748</c:v>
                </c:pt>
                <c:pt idx="77">
                  <c:v>0.54171177972258644</c:v>
                </c:pt>
                <c:pt idx="78">
                  <c:v>0.54667580699296958</c:v>
                </c:pt>
                <c:pt idx="79">
                  <c:v>0.54426525727102404</c:v>
                </c:pt>
                <c:pt idx="80">
                  <c:v>0.5357987380579039</c:v>
                </c:pt>
                <c:pt idx="81">
                  <c:v>0.52680708239488994</c:v>
                </c:pt>
                <c:pt idx="82">
                  <c:v>0.51812153263107485</c:v>
                </c:pt>
                <c:pt idx="83">
                  <c:v>0.50823608196716796</c:v>
                </c:pt>
                <c:pt idx="84">
                  <c:v>0.499531951371112</c:v>
                </c:pt>
                <c:pt idx="85">
                  <c:v>0.47423806448368533</c:v>
                </c:pt>
                <c:pt idx="86">
                  <c:v>0.47706604954945703</c:v>
                </c:pt>
                <c:pt idx="87">
                  <c:v>0.48544780000384707</c:v>
                </c:pt>
                <c:pt idx="88">
                  <c:v>0.48397940958909819</c:v>
                </c:pt>
                <c:pt idx="89">
                  <c:v>0.47026801480927538</c:v>
                </c:pt>
                <c:pt idx="90">
                  <c:v>0.45858137714958658</c:v>
                </c:pt>
                <c:pt idx="91">
                  <c:v>0.43959242952335048</c:v>
                </c:pt>
                <c:pt idx="92">
                  <c:v>0.42255835029326277</c:v>
                </c:pt>
                <c:pt idx="93">
                  <c:v>0.40763968318429217</c:v>
                </c:pt>
                <c:pt idx="94">
                  <c:v>0.42106134982875776</c:v>
                </c:pt>
                <c:pt idx="95">
                  <c:v>0.42833781313965363</c:v>
                </c:pt>
                <c:pt idx="96">
                  <c:v>0.40704056618939805</c:v>
                </c:pt>
                <c:pt idx="97">
                  <c:v>0.38488348536694489</c:v>
                </c:pt>
                <c:pt idx="98">
                  <c:v>0.3590123264512331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D-4A0A-BD84-F61977AFB0D0}"/>
            </c:ext>
          </c:extLst>
        </c:ser>
        <c:ser>
          <c:idx val="1"/>
          <c:order val="1"/>
          <c:tx>
            <c:strRef>
              <c:f>'面板-景气指数'!$A$34</c:f>
              <c:strCache>
                <c:ptCount val="1"/>
                <c:pt idx="0">
                  <c:v>全部非金融行业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'面板-景气指数'!$F$24:$CZ$24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'面板-景气指数'!$F$34:$CZ$34</c:f>
              <c:numCache>
                <c:formatCode>0.0%</c:formatCode>
                <c:ptCount val="99"/>
                <c:pt idx="0">
                  <c:v>0.37684758391557371</c:v>
                </c:pt>
                <c:pt idx="1">
                  <c:v>0.39515702203523917</c:v>
                </c:pt>
                <c:pt idx="2">
                  <c:v>0.39182795034996543</c:v>
                </c:pt>
                <c:pt idx="3">
                  <c:v>0.39461175746008764</c:v>
                </c:pt>
                <c:pt idx="4">
                  <c:v>0.40136636229886657</c:v>
                </c:pt>
                <c:pt idx="5">
                  <c:v>0.40708809178815619</c:v>
                </c:pt>
                <c:pt idx="6">
                  <c:v>0.39358354788229866</c:v>
                </c:pt>
                <c:pt idx="7">
                  <c:v>0.3666076545627755</c:v>
                </c:pt>
                <c:pt idx="8">
                  <c:v>0.3436445717567394</c:v>
                </c:pt>
                <c:pt idx="9">
                  <c:v>0.33527148902623755</c:v>
                </c:pt>
                <c:pt idx="10">
                  <c:v>0.3623299356869501</c:v>
                </c:pt>
                <c:pt idx="11">
                  <c:v>0.35985552826489375</c:v>
                </c:pt>
                <c:pt idx="12">
                  <c:v>0.35752011436366221</c:v>
                </c:pt>
                <c:pt idx="13">
                  <c:v>0.31296358757432652</c:v>
                </c:pt>
                <c:pt idx="14">
                  <c:v>0.29521541597041334</c:v>
                </c:pt>
                <c:pt idx="15">
                  <c:v>0.28475687662732008</c:v>
                </c:pt>
                <c:pt idx="16">
                  <c:v>0.31456341099957119</c:v>
                </c:pt>
                <c:pt idx="17">
                  <c:v>0.33505956268000786</c:v>
                </c:pt>
                <c:pt idx="18">
                  <c:v>0.35363851239515931</c:v>
                </c:pt>
                <c:pt idx="19">
                  <c:v>0.35458109314044195</c:v>
                </c:pt>
                <c:pt idx="20">
                  <c:v>0.3596928845694583</c:v>
                </c:pt>
                <c:pt idx="21">
                  <c:v>0.35452847772221319</c:v>
                </c:pt>
                <c:pt idx="22">
                  <c:v>0.36097893369510625</c:v>
                </c:pt>
                <c:pt idx="23">
                  <c:v>0.38544642463306067</c:v>
                </c:pt>
                <c:pt idx="24">
                  <c:v>0.43212282548836034</c:v>
                </c:pt>
                <c:pt idx="25">
                  <c:v>0.47980675166230202</c:v>
                </c:pt>
                <c:pt idx="26">
                  <c:v>0.51896271111466463</c:v>
                </c:pt>
                <c:pt idx="27">
                  <c:v>0.5237433375246151</c:v>
                </c:pt>
                <c:pt idx="28">
                  <c:v>0.53849307153838755</c:v>
                </c:pt>
                <c:pt idx="29">
                  <c:v>0.55355761700716688</c:v>
                </c:pt>
                <c:pt idx="30">
                  <c:v>0.56380941054095723</c:v>
                </c:pt>
                <c:pt idx="31">
                  <c:v>0.55816107976705742</c:v>
                </c:pt>
                <c:pt idx="32">
                  <c:v>0.5591781608188432</c:v>
                </c:pt>
                <c:pt idx="33">
                  <c:v>0.57436229915703962</c:v>
                </c:pt>
                <c:pt idx="34">
                  <c:v>0.58596912755830777</c:v>
                </c:pt>
                <c:pt idx="35">
                  <c:v>0.59076326355851483</c:v>
                </c:pt>
                <c:pt idx="36">
                  <c:v>0.59581399316669104</c:v>
                </c:pt>
                <c:pt idx="37">
                  <c:v>0.58696123077020068</c:v>
                </c:pt>
                <c:pt idx="38">
                  <c:v>0.56177265223472117</c:v>
                </c:pt>
                <c:pt idx="39">
                  <c:v>0.4669701494499881</c:v>
                </c:pt>
                <c:pt idx="40">
                  <c:v>0.41770448284209954</c:v>
                </c:pt>
                <c:pt idx="41">
                  <c:v>0.38541987801364042</c:v>
                </c:pt>
                <c:pt idx="42">
                  <c:v>0.34050127064079067</c:v>
                </c:pt>
                <c:pt idx="43">
                  <c:v>0.3145811158366118</c:v>
                </c:pt>
                <c:pt idx="44">
                  <c:v>0.30796159757094693</c:v>
                </c:pt>
                <c:pt idx="45">
                  <c:v>0.29771711205631007</c:v>
                </c:pt>
                <c:pt idx="46">
                  <c:v>0.28229148309801649</c:v>
                </c:pt>
                <c:pt idx="47">
                  <c:v>0.25420428957880042</c:v>
                </c:pt>
                <c:pt idx="48">
                  <c:v>0.21153517903826186</c:v>
                </c:pt>
                <c:pt idx="49">
                  <c:v>0.21664914227174037</c:v>
                </c:pt>
                <c:pt idx="50">
                  <c:v>0.25376789361522972</c:v>
                </c:pt>
                <c:pt idx="51">
                  <c:v>0.32778840282009469</c:v>
                </c:pt>
                <c:pt idx="52">
                  <c:v>0.3449590644646498</c:v>
                </c:pt>
                <c:pt idx="53">
                  <c:v>0.3370656221656318</c:v>
                </c:pt>
                <c:pt idx="54">
                  <c:v>0.32425941244871131</c:v>
                </c:pt>
                <c:pt idx="55">
                  <c:v>0.32661958994141987</c:v>
                </c:pt>
                <c:pt idx="56">
                  <c:v>0.33323130624021263</c:v>
                </c:pt>
                <c:pt idx="57">
                  <c:v>0.34712993647244217</c:v>
                </c:pt>
                <c:pt idx="58">
                  <c:v>0.35502621264490231</c:v>
                </c:pt>
                <c:pt idx="59">
                  <c:v>0.36140936601170548</c:v>
                </c:pt>
                <c:pt idx="60">
                  <c:v>0.34628123340188904</c:v>
                </c:pt>
                <c:pt idx="61">
                  <c:v>0.35261203399932439</c:v>
                </c:pt>
                <c:pt idx="62">
                  <c:v>0.36634321312046708</c:v>
                </c:pt>
                <c:pt idx="63">
                  <c:v>0.40712335033742458</c:v>
                </c:pt>
                <c:pt idx="64">
                  <c:v>0.42466835647401807</c:v>
                </c:pt>
                <c:pt idx="65">
                  <c:v>0.44642088330980223</c:v>
                </c:pt>
                <c:pt idx="66">
                  <c:v>0.44967099053758547</c:v>
                </c:pt>
                <c:pt idx="67">
                  <c:v>0.4609765847349831</c:v>
                </c:pt>
                <c:pt idx="68">
                  <c:v>0.48028608400677031</c:v>
                </c:pt>
                <c:pt idx="69">
                  <c:v>0.50657142765123997</c:v>
                </c:pt>
                <c:pt idx="70">
                  <c:v>0.51993747250550126</c:v>
                </c:pt>
                <c:pt idx="71">
                  <c:v>0.51910546833901838</c:v>
                </c:pt>
                <c:pt idx="72">
                  <c:v>0.51124205130933154</c:v>
                </c:pt>
                <c:pt idx="73">
                  <c:v>0.53429314517861815</c:v>
                </c:pt>
                <c:pt idx="74">
                  <c:v>0.54616154882136603</c:v>
                </c:pt>
                <c:pt idx="75">
                  <c:v>0.55083331934087743</c:v>
                </c:pt>
                <c:pt idx="76">
                  <c:v>0.53984771213191318</c:v>
                </c:pt>
                <c:pt idx="77">
                  <c:v>0.54281972025875169</c:v>
                </c:pt>
                <c:pt idx="78">
                  <c:v>0.54911613707838636</c:v>
                </c:pt>
                <c:pt idx="79">
                  <c:v>0.54467719472196918</c:v>
                </c:pt>
                <c:pt idx="80">
                  <c:v>0.53754135589205743</c:v>
                </c:pt>
                <c:pt idx="81">
                  <c:v>0.53200501508040987</c:v>
                </c:pt>
                <c:pt idx="82">
                  <c:v>0.52620839247060991</c:v>
                </c:pt>
                <c:pt idx="83">
                  <c:v>0.51588490358734362</c:v>
                </c:pt>
                <c:pt idx="84">
                  <c:v>0.50557877446338229</c:v>
                </c:pt>
                <c:pt idx="85">
                  <c:v>0.47605231555076111</c:v>
                </c:pt>
                <c:pt idx="86">
                  <c:v>0.48194199682611227</c:v>
                </c:pt>
                <c:pt idx="87">
                  <c:v>0.48682870741560685</c:v>
                </c:pt>
                <c:pt idx="88">
                  <c:v>0.48692977242098096</c:v>
                </c:pt>
                <c:pt idx="89">
                  <c:v>0.46725520837667117</c:v>
                </c:pt>
                <c:pt idx="90">
                  <c:v>0.45067969315949552</c:v>
                </c:pt>
                <c:pt idx="91">
                  <c:v>0.42945053275239065</c:v>
                </c:pt>
                <c:pt idx="92">
                  <c:v>0.41007217394360179</c:v>
                </c:pt>
                <c:pt idx="93">
                  <c:v>0.39423563862068745</c:v>
                </c:pt>
                <c:pt idx="94">
                  <c:v>0.40609346945529012</c:v>
                </c:pt>
                <c:pt idx="95">
                  <c:v>0.41025586418955101</c:v>
                </c:pt>
                <c:pt idx="96">
                  <c:v>0.38726139525448422</c:v>
                </c:pt>
                <c:pt idx="97">
                  <c:v>0.36616205060218432</c:v>
                </c:pt>
                <c:pt idx="98">
                  <c:v>0.33554255885141576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D-4A0A-BD84-F61977AFB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0.7"/>
          <c:min val="0.2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0.80700503137056701"/>
          <c:h val="6.9829259259259299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4307240197780897"/>
          <c:h val="0.71877579629476795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'面板-景气指数'!$A$34</c:f>
              <c:strCache>
                <c:ptCount val="1"/>
                <c:pt idx="0">
                  <c:v>全部非金融行业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'面板-景气指数'!$F$24:$CZ$24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'面板-景气指数'!$F$34:$CZ$34</c:f>
              <c:numCache>
                <c:formatCode>0.0%</c:formatCode>
                <c:ptCount val="99"/>
                <c:pt idx="0">
                  <c:v>0.37684758391557371</c:v>
                </c:pt>
                <c:pt idx="1">
                  <c:v>0.39515702203523917</c:v>
                </c:pt>
                <c:pt idx="2">
                  <c:v>0.39182795034996543</c:v>
                </c:pt>
                <c:pt idx="3">
                  <c:v>0.39461175746008764</c:v>
                </c:pt>
                <c:pt idx="4">
                  <c:v>0.40136636229886657</c:v>
                </c:pt>
                <c:pt idx="5">
                  <c:v>0.40708809178815619</c:v>
                </c:pt>
                <c:pt idx="6">
                  <c:v>0.39358354788229866</c:v>
                </c:pt>
                <c:pt idx="7">
                  <c:v>0.3666076545627755</c:v>
                </c:pt>
                <c:pt idx="8">
                  <c:v>0.3436445717567394</c:v>
                </c:pt>
                <c:pt idx="9">
                  <c:v>0.33527148902623755</c:v>
                </c:pt>
                <c:pt idx="10">
                  <c:v>0.3623299356869501</c:v>
                </c:pt>
                <c:pt idx="11">
                  <c:v>0.35985552826489375</c:v>
                </c:pt>
                <c:pt idx="12">
                  <c:v>0.35752011436366221</c:v>
                </c:pt>
                <c:pt idx="13">
                  <c:v>0.31296358757432652</c:v>
                </c:pt>
                <c:pt idx="14">
                  <c:v>0.29521541597041334</c:v>
                </c:pt>
                <c:pt idx="15">
                  <c:v>0.28475687662732008</c:v>
                </c:pt>
                <c:pt idx="16">
                  <c:v>0.31456341099957119</c:v>
                </c:pt>
                <c:pt idx="17">
                  <c:v>0.33505956268000786</c:v>
                </c:pt>
                <c:pt idx="18">
                  <c:v>0.35363851239515931</c:v>
                </c:pt>
                <c:pt idx="19">
                  <c:v>0.35458109314044195</c:v>
                </c:pt>
                <c:pt idx="20">
                  <c:v>0.3596928845694583</c:v>
                </c:pt>
                <c:pt idx="21">
                  <c:v>0.35452847772221319</c:v>
                </c:pt>
                <c:pt idx="22">
                  <c:v>0.36097893369510625</c:v>
                </c:pt>
                <c:pt idx="23">
                  <c:v>0.38544642463306067</c:v>
                </c:pt>
                <c:pt idx="24">
                  <c:v>0.43212282548836034</c:v>
                </c:pt>
                <c:pt idx="25">
                  <c:v>0.47980675166230202</c:v>
                </c:pt>
                <c:pt idx="26">
                  <c:v>0.51896271111466463</c:v>
                </c:pt>
                <c:pt idx="27">
                  <c:v>0.5237433375246151</c:v>
                </c:pt>
                <c:pt idx="28">
                  <c:v>0.53849307153838755</c:v>
                </c:pt>
                <c:pt idx="29">
                  <c:v>0.55355761700716688</c:v>
                </c:pt>
                <c:pt idx="30">
                  <c:v>0.56380941054095723</c:v>
                </c:pt>
                <c:pt idx="31">
                  <c:v>0.55816107976705742</c:v>
                </c:pt>
                <c:pt idx="32">
                  <c:v>0.5591781608188432</c:v>
                </c:pt>
                <c:pt idx="33">
                  <c:v>0.57436229915703962</c:v>
                </c:pt>
                <c:pt idx="34">
                  <c:v>0.58596912755830777</c:v>
                </c:pt>
                <c:pt idx="35">
                  <c:v>0.59076326355851483</c:v>
                </c:pt>
                <c:pt idx="36">
                  <c:v>0.59581399316669104</c:v>
                </c:pt>
                <c:pt idx="37">
                  <c:v>0.58696123077020068</c:v>
                </c:pt>
                <c:pt idx="38">
                  <c:v>0.56177265223472117</c:v>
                </c:pt>
                <c:pt idx="39">
                  <c:v>0.4669701494499881</c:v>
                </c:pt>
                <c:pt idx="40">
                  <c:v>0.41770448284209954</c:v>
                </c:pt>
                <c:pt idx="41">
                  <c:v>0.38541987801364042</c:v>
                </c:pt>
                <c:pt idx="42">
                  <c:v>0.34050127064079067</c:v>
                </c:pt>
                <c:pt idx="43">
                  <c:v>0.3145811158366118</c:v>
                </c:pt>
                <c:pt idx="44">
                  <c:v>0.30796159757094693</c:v>
                </c:pt>
                <c:pt idx="45">
                  <c:v>0.29771711205631007</c:v>
                </c:pt>
                <c:pt idx="46">
                  <c:v>0.28229148309801649</c:v>
                </c:pt>
                <c:pt idx="47">
                  <c:v>0.25420428957880042</c:v>
                </c:pt>
                <c:pt idx="48">
                  <c:v>0.21153517903826186</c:v>
                </c:pt>
                <c:pt idx="49">
                  <c:v>0.21664914227174037</c:v>
                </c:pt>
                <c:pt idx="50">
                  <c:v>0.25376789361522972</c:v>
                </c:pt>
                <c:pt idx="51">
                  <c:v>0.32778840282009469</c:v>
                </c:pt>
                <c:pt idx="52">
                  <c:v>0.3449590644646498</c:v>
                </c:pt>
                <c:pt idx="53">
                  <c:v>0.3370656221656318</c:v>
                </c:pt>
                <c:pt idx="54">
                  <c:v>0.32425941244871131</c:v>
                </c:pt>
                <c:pt idx="55">
                  <c:v>0.32661958994141987</c:v>
                </c:pt>
                <c:pt idx="56">
                  <c:v>0.33323130624021263</c:v>
                </c:pt>
                <c:pt idx="57">
                  <c:v>0.34712993647244217</c:v>
                </c:pt>
                <c:pt idx="58">
                  <c:v>0.35502621264490231</c:v>
                </c:pt>
                <c:pt idx="59">
                  <c:v>0.36140936601170548</c:v>
                </c:pt>
                <c:pt idx="60">
                  <c:v>0.34628123340188904</c:v>
                </c:pt>
                <c:pt idx="61">
                  <c:v>0.35261203399932439</c:v>
                </c:pt>
                <c:pt idx="62">
                  <c:v>0.36634321312046708</c:v>
                </c:pt>
                <c:pt idx="63">
                  <c:v>0.40712335033742458</c:v>
                </c:pt>
                <c:pt idx="64">
                  <c:v>0.42466835647401807</c:v>
                </c:pt>
                <c:pt idx="65">
                  <c:v>0.44642088330980223</c:v>
                </c:pt>
                <c:pt idx="66">
                  <c:v>0.44967099053758547</c:v>
                </c:pt>
                <c:pt idx="67">
                  <c:v>0.4609765847349831</c:v>
                </c:pt>
                <c:pt idx="68">
                  <c:v>0.48028608400677031</c:v>
                </c:pt>
                <c:pt idx="69">
                  <c:v>0.50657142765123997</c:v>
                </c:pt>
                <c:pt idx="70">
                  <c:v>0.51993747250550126</c:v>
                </c:pt>
                <c:pt idx="71">
                  <c:v>0.51910546833901838</c:v>
                </c:pt>
                <c:pt idx="72">
                  <c:v>0.51124205130933154</c:v>
                </c:pt>
                <c:pt idx="73">
                  <c:v>0.53429314517861815</c:v>
                </c:pt>
                <c:pt idx="74">
                  <c:v>0.54616154882136603</c:v>
                </c:pt>
                <c:pt idx="75">
                  <c:v>0.55083331934087743</c:v>
                </c:pt>
                <c:pt idx="76">
                  <c:v>0.53984771213191318</c:v>
                </c:pt>
                <c:pt idx="77">
                  <c:v>0.54281972025875169</c:v>
                </c:pt>
                <c:pt idx="78">
                  <c:v>0.54911613707838636</c:v>
                </c:pt>
                <c:pt idx="79">
                  <c:v>0.54467719472196918</c:v>
                </c:pt>
                <c:pt idx="80">
                  <c:v>0.53754135589205743</c:v>
                </c:pt>
                <c:pt idx="81">
                  <c:v>0.53200501508040987</c:v>
                </c:pt>
                <c:pt idx="82">
                  <c:v>0.52620839247060991</c:v>
                </c:pt>
                <c:pt idx="83">
                  <c:v>0.51588490358734362</c:v>
                </c:pt>
                <c:pt idx="84">
                  <c:v>0.50557877446338229</c:v>
                </c:pt>
                <c:pt idx="85">
                  <c:v>0.47605231555076111</c:v>
                </c:pt>
                <c:pt idx="86">
                  <c:v>0.48194199682611227</c:v>
                </c:pt>
                <c:pt idx="87">
                  <c:v>0.48682870741560685</c:v>
                </c:pt>
                <c:pt idx="88">
                  <c:v>0.48692977242098096</c:v>
                </c:pt>
                <c:pt idx="89">
                  <c:v>0.46725520837667117</c:v>
                </c:pt>
                <c:pt idx="90">
                  <c:v>0.45067969315949552</c:v>
                </c:pt>
                <c:pt idx="91">
                  <c:v>0.42945053275239065</c:v>
                </c:pt>
                <c:pt idx="92">
                  <c:v>0.41007217394360179</c:v>
                </c:pt>
                <c:pt idx="93">
                  <c:v>0.39423563862068745</c:v>
                </c:pt>
                <c:pt idx="94">
                  <c:v>0.40609346945529012</c:v>
                </c:pt>
                <c:pt idx="95">
                  <c:v>0.41025586418955101</c:v>
                </c:pt>
                <c:pt idx="96">
                  <c:v>0.38726139525448422</c:v>
                </c:pt>
                <c:pt idx="97">
                  <c:v>0.36616205060218432</c:v>
                </c:pt>
                <c:pt idx="98">
                  <c:v>0.33554255885141576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D-45BF-85A9-B1E4DEEB6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0.7"/>
          <c:min val="0.2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0.80958583880718604"/>
          <c:h val="0.1274722951297750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624444444444"/>
          <c:w val="0.89764310495670796"/>
          <c:h val="0.72049259259259202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'面板-景气指数'!$A$67</c:f>
              <c:strCache>
                <c:ptCount val="1"/>
                <c:pt idx="0">
                  <c:v>建筑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'面板-景气指数'!$F$67:$CZ$67</c:f>
              <c:numCache>
                <c:formatCode>0.0%</c:formatCode>
                <c:ptCount val="99"/>
                <c:pt idx="0">
                  <c:v>0.27102500000000007</c:v>
                </c:pt>
                <c:pt idx="1">
                  <c:v>0.28389999999999999</c:v>
                </c:pt>
                <c:pt idx="2">
                  <c:v>0.26722499999999999</c:v>
                </c:pt>
                <c:pt idx="3">
                  <c:v>0.29404999999999998</c:v>
                </c:pt>
                <c:pt idx="4">
                  <c:v>0.27310000000000001</c:v>
                </c:pt>
                <c:pt idx="5">
                  <c:v>0.32470000000000004</c:v>
                </c:pt>
                <c:pt idx="6">
                  <c:v>0.33297500000000008</c:v>
                </c:pt>
                <c:pt idx="7">
                  <c:v>0.30152500000000004</c:v>
                </c:pt>
                <c:pt idx="8">
                  <c:v>0.23867500000000003</c:v>
                </c:pt>
                <c:pt idx="9">
                  <c:v>0.23157499999999998</c:v>
                </c:pt>
                <c:pt idx="10">
                  <c:v>0.35427500000000001</c:v>
                </c:pt>
                <c:pt idx="11">
                  <c:v>0.56710000000000005</c:v>
                </c:pt>
                <c:pt idx="12">
                  <c:v>0.63437500000000002</c:v>
                </c:pt>
                <c:pt idx="13">
                  <c:v>0.489425</c:v>
                </c:pt>
                <c:pt idx="14">
                  <c:v>0.28689999999999999</c:v>
                </c:pt>
                <c:pt idx="15">
                  <c:v>0.226825</c:v>
                </c:pt>
                <c:pt idx="16">
                  <c:v>0.31987499999999996</c:v>
                </c:pt>
                <c:pt idx="17">
                  <c:v>0.38179999999999997</c:v>
                </c:pt>
                <c:pt idx="18">
                  <c:v>0.37445000000000001</c:v>
                </c:pt>
                <c:pt idx="19">
                  <c:v>0.35262500000000002</c:v>
                </c:pt>
                <c:pt idx="20">
                  <c:v>0.32717499999999999</c:v>
                </c:pt>
                <c:pt idx="21">
                  <c:v>0.30009999999999998</c:v>
                </c:pt>
                <c:pt idx="22">
                  <c:v>0.31635000000000002</c:v>
                </c:pt>
                <c:pt idx="23">
                  <c:v>0.32952500000000001</c:v>
                </c:pt>
                <c:pt idx="24">
                  <c:v>0.37887500000000002</c:v>
                </c:pt>
                <c:pt idx="25">
                  <c:v>0.42207500000000003</c:v>
                </c:pt>
                <c:pt idx="26">
                  <c:v>0.40902499999999992</c:v>
                </c:pt>
                <c:pt idx="27">
                  <c:v>0.39622499999999988</c:v>
                </c:pt>
                <c:pt idx="28">
                  <c:v>0.34757499999999997</c:v>
                </c:pt>
                <c:pt idx="29">
                  <c:v>0.34372499999999995</c:v>
                </c:pt>
                <c:pt idx="30">
                  <c:v>0.39982499999999999</c:v>
                </c:pt>
                <c:pt idx="31">
                  <c:v>0.4511</c:v>
                </c:pt>
                <c:pt idx="32">
                  <c:v>0.53542499999999993</c:v>
                </c:pt>
                <c:pt idx="33">
                  <c:v>0.54812499999999997</c:v>
                </c:pt>
                <c:pt idx="34">
                  <c:v>0.60017500000000013</c:v>
                </c:pt>
                <c:pt idx="35">
                  <c:v>0.7379</c:v>
                </c:pt>
                <c:pt idx="36">
                  <c:v>0.696025</c:v>
                </c:pt>
                <c:pt idx="37">
                  <c:v>0.69817499999999988</c:v>
                </c:pt>
                <c:pt idx="38">
                  <c:v>0.62560000000000016</c:v>
                </c:pt>
                <c:pt idx="39">
                  <c:v>0.65915000000000001</c:v>
                </c:pt>
                <c:pt idx="40">
                  <c:v>0.60539999999999994</c:v>
                </c:pt>
                <c:pt idx="41">
                  <c:v>0.58965000000000001</c:v>
                </c:pt>
                <c:pt idx="42">
                  <c:v>0.56157499999999994</c:v>
                </c:pt>
                <c:pt idx="43">
                  <c:v>0.56247500000000006</c:v>
                </c:pt>
                <c:pt idx="44">
                  <c:v>0.52297499999999997</c:v>
                </c:pt>
                <c:pt idx="45">
                  <c:v>0.47510000000000013</c:v>
                </c:pt>
                <c:pt idx="46">
                  <c:v>0.42545000000000011</c:v>
                </c:pt>
                <c:pt idx="47">
                  <c:v>0.32097500000000001</c:v>
                </c:pt>
                <c:pt idx="48">
                  <c:v>0.15395</c:v>
                </c:pt>
                <c:pt idx="49">
                  <c:v>0.15210000000000001</c:v>
                </c:pt>
                <c:pt idx="50">
                  <c:v>0.16614999999999999</c:v>
                </c:pt>
                <c:pt idx="51">
                  <c:v>0.34545000000000003</c:v>
                </c:pt>
                <c:pt idx="52">
                  <c:v>0.41805000000000009</c:v>
                </c:pt>
                <c:pt idx="53">
                  <c:v>0.42407500000000009</c:v>
                </c:pt>
                <c:pt idx="54">
                  <c:v>0.46050000000000013</c:v>
                </c:pt>
                <c:pt idx="55">
                  <c:v>0.38005000000000005</c:v>
                </c:pt>
                <c:pt idx="56">
                  <c:v>0.39042500000000008</c:v>
                </c:pt>
                <c:pt idx="57">
                  <c:v>0.32740000000000002</c:v>
                </c:pt>
                <c:pt idx="58">
                  <c:v>0.36587500000000006</c:v>
                </c:pt>
                <c:pt idx="59">
                  <c:v>0.4507000000000001</c:v>
                </c:pt>
                <c:pt idx="60">
                  <c:v>0.52535000000000009</c:v>
                </c:pt>
                <c:pt idx="61">
                  <c:v>0.62645000000000006</c:v>
                </c:pt>
                <c:pt idx="62">
                  <c:v>0.62627500000000003</c:v>
                </c:pt>
                <c:pt idx="63">
                  <c:v>0.57250000000000012</c:v>
                </c:pt>
                <c:pt idx="64">
                  <c:v>0.54565000000000008</c:v>
                </c:pt>
                <c:pt idx="65">
                  <c:v>0.55027500000000007</c:v>
                </c:pt>
                <c:pt idx="66">
                  <c:v>0.53395000000000004</c:v>
                </c:pt>
                <c:pt idx="67">
                  <c:v>0.46465000000000012</c:v>
                </c:pt>
                <c:pt idx="68">
                  <c:v>0.36982500000000007</c:v>
                </c:pt>
                <c:pt idx="69">
                  <c:v>0.4174750000000001</c:v>
                </c:pt>
                <c:pt idx="70">
                  <c:v>0.58625000000000005</c:v>
                </c:pt>
                <c:pt idx="71">
                  <c:v>0.6437250000000001</c:v>
                </c:pt>
                <c:pt idx="72">
                  <c:v>0.62040000000000006</c:v>
                </c:pt>
                <c:pt idx="73">
                  <c:v>0.68984999999999996</c:v>
                </c:pt>
                <c:pt idx="74">
                  <c:v>0.77315000000000023</c:v>
                </c:pt>
                <c:pt idx="75">
                  <c:v>0.81527500000000008</c:v>
                </c:pt>
                <c:pt idx="76">
                  <c:v>0.71897500000000014</c:v>
                </c:pt>
                <c:pt idx="77">
                  <c:v>0.65875000000000017</c:v>
                </c:pt>
                <c:pt idx="78">
                  <c:v>0.59777500000000006</c:v>
                </c:pt>
                <c:pt idx="79">
                  <c:v>0.71382500000000004</c:v>
                </c:pt>
                <c:pt idx="80">
                  <c:v>0.74095000000000022</c:v>
                </c:pt>
                <c:pt idx="81">
                  <c:v>0.77232500000000015</c:v>
                </c:pt>
                <c:pt idx="82">
                  <c:v>0.73829999999999996</c:v>
                </c:pt>
                <c:pt idx="83">
                  <c:v>0.689025</c:v>
                </c:pt>
                <c:pt idx="84">
                  <c:v>0.70087500000000014</c:v>
                </c:pt>
                <c:pt idx="85">
                  <c:v>0.66982500000000011</c:v>
                </c:pt>
                <c:pt idx="86">
                  <c:v>0.70782500000000015</c:v>
                </c:pt>
                <c:pt idx="87">
                  <c:v>0.71187500000000015</c:v>
                </c:pt>
                <c:pt idx="88">
                  <c:v>0.77544999999999997</c:v>
                </c:pt>
                <c:pt idx="89">
                  <c:v>0.78079999999999994</c:v>
                </c:pt>
                <c:pt idx="90">
                  <c:v>0.72047500000000009</c:v>
                </c:pt>
                <c:pt idx="91">
                  <c:v>0.70607500000000012</c:v>
                </c:pt>
                <c:pt idx="92">
                  <c:v>0.72610000000000008</c:v>
                </c:pt>
                <c:pt idx="93">
                  <c:v>0.79570000000000018</c:v>
                </c:pt>
                <c:pt idx="94">
                  <c:v>0.74540000000000006</c:v>
                </c:pt>
                <c:pt idx="95">
                  <c:v>0.67840000000000011</c:v>
                </c:pt>
                <c:pt idx="96">
                  <c:v>0.55642500000000017</c:v>
                </c:pt>
                <c:pt idx="97">
                  <c:v>0.33962500000000001</c:v>
                </c:pt>
                <c:pt idx="98">
                  <c:v>0.29949999999999999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71-4EF5-8F8E-A4CEEC747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624444444444"/>
          <c:w val="0.89764310495670796"/>
          <c:h val="0.72049259259259202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'面板-景气指数'!$A$66</c:f>
              <c:strCache>
                <c:ptCount val="1"/>
                <c:pt idx="0">
                  <c:v>环保</c:v>
                </c:pt>
              </c:strCache>
            </c:strRef>
          </c:tx>
          <c:spPr>
            <a:ln>
              <a:solidFill>
                <a:srgbClr val="003778"/>
              </a:solidFill>
            </a:ln>
          </c:spPr>
          <c:marker>
            <c:symbol val="none"/>
          </c:marker>
          <c:cat>
            <c:numRef>
              <c:f>'面板-景气指数'!$F$69:$CZ$69</c:f>
              <c:numCache>
                <c:formatCode>[$-409]mmm\-yy;@</c:formatCode>
                <c:ptCount val="99"/>
                <c:pt idx="0">
                  <c:v>45382</c:v>
                </c:pt>
                <c:pt idx="1">
                  <c:v>45351</c:v>
                </c:pt>
                <c:pt idx="2">
                  <c:v>45322</c:v>
                </c:pt>
                <c:pt idx="3">
                  <c:v>45291</c:v>
                </c:pt>
                <c:pt idx="4">
                  <c:v>45260</c:v>
                </c:pt>
                <c:pt idx="5">
                  <c:v>45230</c:v>
                </c:pt>
                <c:pt idx="6">
                  <c:v>45199</c:v>
                </c:pt>
                <c:pt idx="7">
                  <c:v>45169</c:v>
                </c:pt>
                <c:pt idx="8">
                  <c:v>45138</c:v>
                </c:pt>
                <c:pt idx="9">
                  <c:v>45107</c:v>
                </c:pt>
                <c:pt idx="10">
                  <c:v>45077</c:v>
                </c:pt>
                <c:pt idx="11">
                  <c:v>45046</c:v>
                </c:pt>
                <c:pt idx="12">
                  <c:v>45016</c:v>
                </c:pt>
                <c:pt idx="13">
                  <c:v>44985</c:v>
                </c:pt>
                <c:pt idx="14">
                  <c:v>44957</c:v>
                </c:pt>
                <c:pt idx="15">
                  <c:v>44926</c:v>
                </c:pt>
                <c:pt idx="16">
                  <c:v>44895</c:v>
                </c:pt>
                <c:pt idx="17">
                  <c:v>44865</c:v>
                </c:pt>
                <c:pt idx="18">
                  <c:v>44834</c:v>
                </c:pt>
                <c:pt idx="19">
                  <c:v>44804</c:v>
                </c:pt>
                <c:pt idx="20">
                  <c:v>44773</c:v>
                </c:pt>
                <c:pt idx="21">
                  <c:v>44742</c:v>
                </c:pt>
                <c:pt idx="22">
                  <c:v>44712</c:v>
                </c:pt>
                <c:pt idx="23">
                  <c:v>44681</c:v>
                </c:pt>
                <c:pt idx="24">
                  <c:v>44651</c:v>
                </c:pt>
                <c:pt idx="25">
                  <c:v>44620</c:v>
                </c:pt>
                <c:pt idx="26">
                  <c:v>44592</c:v>
                </c:pt>
                <c:pt idx="27">
                  <c:v>44561</c:v>
                </c:pt>
                <c:pt idx="28">
                  <c:v>44530</c:v>
                </c:pt>
                <c:pt idx="29">
                  <c:v>44500</c:v>
                </c:pt>
                <c:pt idx="30">
                  <c:v>44469</c:v>
                </c:pt>
                <c:pt idx="31">
                  <c:v>44439</c:v>
                </c:pt>
                <c:pt idx="32">
                  <c:v>44408</c:v>
                </c:pt>
                <c:pt idx="33">
                  <c:v>44377</c:v>
                </c:pt>
                <c:pt idx="34">
                  <c:v>44347</c:v>
                </c:pt>
                <c:pt idx="35">
                  <c:v>44316</c:v>
                </c:pt>
                <c:pt idx="36">
                  <c:v>44286</c:v>
                </c:pt>
                <c:pt idx="37">
                  <c:v>44255</c:v>
                </c:pt>
                <c:pt idx="38">
                  <c:v>44227</c:v>
                </c:pt>
                <c:pt idx="39">
                  <c:v>44196</c:v>
                </c:pt>
                <c:pt idx="40">
                  <c:v>44165</c:v>
                </c:pt>
                <c:pt idx="41">
                  <c:v>44135</c:v>
                </c:pt>
                <c:pt idx="42">
                  <c:v>44104</c:v>
                </c:pt>
                <c:pt idx="43">
                  <c:v>44074</c:v>
                </c:pt>
                <c:pt idx="44">
                  <c:v>44043</c:v>
                </c:pt>
                <c:pt idx="45">
                  <c:v>44012</c:v>
                </c:pt>
                <c:pt idx="46">
                  <c:v>43982</c:v>
                </c:pt>
                <c:pt idx="47">
                  <c:v>43951</c:v>
                </c:pt>
                <c:pt idx="48">
                  <c:v>43921</c:v>
                </c:pt>
                <c:pt idx="49">
                  <c:v>43890</c:v>
                </c:pt>
                <c:pt idx="50">
                  <c:v>43861</c:v>
                </c:pt>
                <c:pt idx="51">
                  <c:v>43830</c:v>
                </c:pt>
                <c:pt idx="52">
                  <c:v>43799</c:v>
                </c:pt>
                <c:pt idx="53">
                  <c:v>43769</c:v>
                </c:pt>
                <c:pt idx="54">
                  <c:v>43738</c:v>
                </c:pt>
                <c:pt idx="55">
                  <c:v>43708</c:v>
                </c:pt>
                <c:pt idx="56">
                  <c:v>43677</c:v>
                </c:pt>
                <c:pt idx="57">
                  <c:v>43646</c:v>
                </c:pt>
                <c:pt idx="58">
                  <c:v>43616</c:v>
                </c:pt>
                <c:pt idx="59">
                  <c:v>43585</c:v>
                </c:pt>
                <c:pt idx="60">
                  <c:v>43555</c:v>
                </c:pt>
                <c:pt idx="61">
                  <c:v>43524</c:v>
                </c:pt>
                <c:pt idx="62">
                  <c:v>43496</c:v>
                </c:pt>
                <c:pt idx="63">
                  <c:v>43465</c:v>
                </c:pt>
                <c:pt idx="64">
                  <c:v>43434</c:v>
                </c:pt>
                <c:pt idx="65">
                  <c:v>43404</c:v>
                </c:pt>
                <c:pt idx="66">
                  <c:v>43373</c:v>
                </c:pt>
                <c:pt idx="67">
                  <c:v>43343</c:v>
                </c:pt>
                <c:pt idx="68">
                  <c:v>43312</c:v>
                </c:pt>
                <c:pt idx="69">
                  <c:v>43281</c:v>
                </c:pt>
                <c:pt idx="70">
                  <c:v>43251</c:v>
                </c:pt>
                <c:pt idx="71">
                  <c:v>43220</c:v>
                </c:pt>
                <c:pt idx="72">
                  <c:v>43190</c:v>
                </c:pt>
                <c:pt idx="73">
                  <c:v>43159</c:v>
                </c:pt>
                <c:pt idx="74">
                  <c:v>43131</c:v>
                </c:pt>
                <c:pt idx="75">
                  <c:v>43100</c:v>
                </c:pt>
                <c:pt idx="76">
                  <c:v>43069</c:v>
                </c:pt>
                <c:pt idx="77">
                  <c:v>43039</c:v>
                </c:pt>
                <c:pt idx="78">
                  <c:v>43008</c:v>
                </c:pt>
                <c:pt idx="79">
                  <c:v>42978</c:v>
                </c:pt>
                <c:pt idx="80">
                  <c:v>42947</c:v>
                </c:pt>
                <c:pt idx="81">
                  <c:v>42916</c:v>
                </c:pt>
                <c:pt idx="82">
                  <c:v>42886</c:v>
                </c:pt>
                <c:pt idx="83">
                  <c:v>42855</c:v>
                </c:pt>
                <c:pt idx="84">
                  <c:v>42825</c:v>
                </c:pt>
                <c:pt idx="85">
                  <c:v>42794</c:v>
                </c:pt>
                <c:pt idx="86">
                  <c:v>42766</c:v>
                </c:pt>
                <c:pt idx="87">
                  <c:v>42735</c:v>
                </c:pt>
                <c:pt idx="88">
                  <c:v>42704</c:v>
                </c:pt>
                <c:pt idx="89">
                  <c:v>42674</c:v>
                </c:pt>
                <c:pt idx="90">
                  <c:v>42643</c:v>
                </c:pt>
                <c:pt idx="91">
                  <c:v>42613</c:v>
                </c:pt>
                <c:pt idx="92">
                  <c:v>42582</c:v>
                </c:pt>
                <c:pt idx="93">
                  <c:v>42551</c:v>
                </c:pt>
                <c:pt idx="94">
                  <c:v>42521</c:v>
                </c:pt>
                <c:pt idx="95">
                  <c:v>42490</c:v>
                </c:pt>
                <c:pt idx="96">
                  <c:v>42460</c:v>
                </c:pt>
                <c:pt idx="97">
                  <c:v>42429</c:v>
                </c:pt>
                <c:pt idx="98">
                  <c:v>42400</c:v>
                </c:pt>
              </c:numCache>
            </c:numRef>
          </c:cat>
          <c:val>
            <c:numRef>
              <c:f>'面板-景气指数'!$F$66:$CZ$66</c:f>
              <c:numCache>
                <c:formatCode>0.0%</c:formatCode>
                <c:ptCount val="99"/>
                <c:pt idx="0">
                  <c:v>0.27550000000000002</c:v>
                </c:pt>
                <c:pt idx="1">
                  <c:v>0.27550000000000002</c:v>
                </c:pt>
                <c:pt idx="2">
                  <c:v>0.27550000000000002</c:v>
                </c:pt>
                <c:pt idx="3">
                  <c:v>0.25</c:v>
                </c:pt>
                <c:pt idx="4">
                  <c:v>0.2445</c:v>
                </c:pt>
                <c:pt idx="5">
                  <c:v>0.219</c:v>
                </c:pt>
                <c:pt idx="6">
                  <c:v>0.214</c:v>
                </c:pt>
                <c:pt idx="7">
                  <c:v>0.19850000000000001</c:v>
                </c:pt>
                <c:pt idx="8">
                  <c:v>0.17849999999999999</c:v>
                </c:pt>
                <c:pt idx="9">
                  <c:v>0.158</c:v>
                </c:pt>
                <c:pt idx="10">
                  <c:v>0.153</c:v>
                </c:pt>
                <c:pt idx="11">
                  <c:v>0.14749999999999999</c:v>
                </c:pt>
                <c:pt idx="12">
                  <c:v>0.13750000000000001</c:v>
                </c:pt>
                <c:pt idx="13">
                  <c:v>0.11700000000000001</c:v>
                </c:pt>
                <c:pt idx="14">
                  <c:v>0.112</c:v>
                </c:pt>
                <c:pt idx="15">
                  <c:v>0.122</c:v>
                </c:pt>
                <c:pt idx="16">
                  <c:v>0.122</c:v>
                </c:pt>
                <c:pt idx="17">
                  <c:v>0.13250000000000001</c:v>
                </c:pt>
                <c:pt idx="18">
                  <c:v>0.14249999999999999</c:v>
                </c:pt>
                <c:pt idx="19">
                  <c:v>0.16300000000000001</c:v>
                </c:pt>
                <c:pt idx="20">
                  <c:v>0.17299999999999999</c:v>
                </c:pt>
                <c:pt idx="21">
                  <c:v>0.1885</c:v>
                </c:pt>
                <c:pt idx="22">
                  <c:v>0.20399999999999999</c:v>
                </c:pt>
                <c:pt idx="23">
                  <c:v>0.23449999999999999</c:v>
                </c:pt>
                <c:pt idx="24">
                  <c:v>0.32100000000000001</c:v>
                </c:pt>
                <c:pt idx="25">
                  <c:v>5.6000000000000001E-2</c:v>
                </c:pt>
                <c:pt idx="26">
                  <c:v>5.6000000000000001E-2</c:v>
                </c:pt>
                <c:pt idx="27">
                  <c:v>5.6000000000000001E-2</c:v>
                </c:pt>
                <c:pt idx="28">
                  <c:v>5.6000000000000001E-2</c:v>
                </c:pt>
                <c:pt idx="29">
                  <c:v>9.6500000000000002E-2</c:v>
                </c:pt>
                <c:pt idx="30">
                  <c:v>9.1499999999999998E-2</c:v>
                </c:pt>
                <c:pt idx="31">
                  <c:v>8.1500000000000003E-2</c:v>
                </c:pt>
                <c:pt idx="32">
                  <c:v>7.6499999999999999E-2</c:v>
                </c:pt>
                <c:pt idx="33">
                  <c:v>8.6499999999999994E-2</c:v>
                </c:pt>
                <c:pt idx="34">
                  <c:v>0.107</c:v>
                </c:pt>
                <c:pt idx="35">
                  <c:v>0.20399999999999999</c:v>
                </c:pt>
                <c:pt idx="36">
                  <c:v>0.29549999999999998</c:v>
                </c:pt>
                <c:pt idx="37">
                  <c:v>5.0000000000000001E-3</c:v>
                </c:pt>
                <c:pt idx="38">
                  <c:v>5.0000000000000001E-3</c:v>
                </c:pt>
                <c:pt idx="39">
                  <c:v>5.0000000000000001E-3</c:v>
                </c:pt>
                <c:pt idx="40">
                  <c:v>5.0000000000000001E-3</c:v>
                </c:pt>
                <c:pt idx="41">
                  <c:v>0</c:v>
                </c:pt>
                <c:pt idx="42">
                  <c:v>2.5499999999999998E-2</c:v>
                </c:pt>
                <c:pt idx="43">
                  <c:v>3.5499999999999997E-2</c:v>
                </c:pt>
                <c:pt idx="44">
                  <c:v>3.0499999999999999E-2</c:v>
                </c:pt>
                <c:pt idx="45">
                  <c:v>4.0500000000000001E-2</c:v>
                </c:pt>
                <c:pt idx="46">
                  <c:v>4.5499999999999999E-2</c:v>
                </c:pt>
                <c:pt idx="47">
                  <c:v>5.0999999999999997E-2</c:v>
                </c:pt>
                <c:pt idx="48">
                  <c:v>0.10199999999999999</c:v>
                </c:pt>
                <c:pt idx="49">
                  <c:v>0.39750000000000002</c:v>
                </c:pt>
                <c:pt idx="50">
                  <c:v>0.39750000000000002</c:v>
                </c:pt>
                <c:pt idx="51">
                  <c:v>0.39750000000000002</c:v>
                </c:pt>
                <c:pt idx="52">
                  <c:v>0.39750000000000002</c:v>
                </c:pt>
                <c:pt idx="53">
                  <c:v>0.38750000000000001</c:v>
                </c:pt>
                <c:pt idx="54">
                  <c:v>0.38250000000000001</c:v>
                </c:pt>
                <c:pt idx="55">
                  <c:v>0.39250000000000002</c:v>
                </c:pt>
                <c:pt idx="56">
                  <c:v>0.41799999999999998</c:v>
                </c:pt>
                <c:pt idx="57">
                  <c:v>0.4335</c:v>
                </c:pt>
                <c:pt idx="58">
                  <c:v>0.4385</c:v>
                </c:pt>
                <c:pt idx="59">
                  <c:v>0.44850000000000001</c:v>
                </c:pt>
                <c:pt idx="60">
                  <c:v>0.46400000000000002</c:v>
                </c:pt>
                <c:pt idx="61">
                  <c:v>0.34649999999999997</c:v>
                </c:pt>
                <c:pt idx="62">
                  <c:v>0.34649999999999997</c:v>
                </c:pt>
                <c:pt idx="63">
                  <c:v>0.34649999999999997</c:v>
                </c:pt>
                <c:pt idx="64">
                  <c:v>0.34649999999999997</c:v>
                </c:pt>
                <c:pt idx="65">
                  <c:v>0.33150000000000002</c:v>
                </c:pt>
                <c:pt idx="66">
                  <c:v>0.33650000000000002</c:v>
                </c:pt>
                <c:pt idx="67">
                  <c:v>0.34150000000000003</c:v>
                </c:pt>
                <c:pt idx="68">
                  <c:v>0.3775</c:v>
                </c:pt>
                <c:pt idx="69">
                  <c:v>0.36699999999999999</c:v>
                </c:pt>
                <c:pt idx="70">
                  <c:v>0.32650000000000001</c:v>
                </c:pt>
                <c:pt idx="71">
                  <c:v>0.22950000000000001</c:v>
                </c:pt>
                <c:pt idx="72">
                  <c:v>0.372</c:v>
                </c:pt>
                <c:pt idx="73">
                  <c:v>0.19350000000000001</c:v>
                </c:pt>
                <c:pt idx="74">
                  <c:v>0.316</c:v>
                </c:pt>
                <c:pt idx="75">
                  <c:v>0.29049999999999998</c:v>
                </c:pt>
                <c:pt idx="76">
                  <c:v>0.42849999999999999</c:v>
                </c:pt>
                <c:pt idx="77">
                  <c:v>0.44350000000000001</c:v>
                </c:pt>
                <c:pt idx="78">
                  <c:v>0.45900000000000002</c:v>
                </c:pt>
                <c:pt idx="79">
                  <c:v>0.46899999999999997</c:v>
                </c:pt>
                <c:pt idx="80">
                  <c:v>0.47399999999999998</c:v>
                </c:pt>
                <c:pt idx="81">
                  <c:v>0.47949999999999998</c:v>
                </c:pt>
                <c:pt idx="82">
                  <c:v>0.48449999999999999</c:v>
                </c:pt>
                <c:pt idx="83">
                  <c:v>0.5</c:v>
                </c:pt>
                <c:pt idx="84">
                  <c:v>0.48949999999999999</c:v>
                </c:pt>
                <c:pt idx="85">
                  <c:v>0.4945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0.255</c:v>
                </c:pt>
                <c:pt idx="90">
                  <c:v>0.23949999999999999</c:v>
                </c:pt>
                <c:pt idx="91">
                  <c:v>0.30099999999999999</c:v>
                </c:pt>
                <c:pt idx="92">
                  <c:v>0.311</c:v>
                </c:pt>
                <c:pt idx="93">
                  <c:v>0.30599999999999999</c:v>
                </c:pt>
                <c:pt idx="94">
                  <c:v>0.224</c:v>
                </c:pt>
                <c:pt idx="95">
                  <c:v>0.16800000000000001</c:v>
                </c:pt>
                <c:pt idx="96">
                  <c:v>0.1835</c:v>
                </c:pt>
                <c:pt idx="97">
                  <c:v>0.42299999999999999</c:v>
                </c:pt>
                <c:pt idx="98">
                  <c:v>0.45400000000000001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14-474C-9736-3FA191756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31" Type="http://schemas.openxmlformats.org/officeDocument/2006/relationships/chart" Target="../charts/chart34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8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79376</xdr:colOff>
      <xdr:row>0</xdr:row>
      <xdr:rowOff>133350</xdr:rowOff>
    </xdr:from>
    <xdr:to>
      <xdr:col>0</xdr:col>
      <xdr:colOff>7546976</xdr:colOff>
      <xdr:row>30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46ABD68-1A11-44F5-A1ED-C674F0112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0.67772</cdr:x>
      <cdr:y>0.30402</cdr:y>
    </cdr:from>
    <cdr:to>
      <cdr:x>0.95621</cdr:x>
      <cdr:y>0.65665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5060942" y="1439208"/>
          <a:ext cx="2079631" cy="1669324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10000"/>
          </a:srgb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zh-CN" altLang="en-US" sz="800" b="1" u="sng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爬坡位</a:t>
          </a:r>
        </a:p>
      </cdr:txBody>
    </cdr:sp>
  </cdr:relSizeAnchor>
  <cdr:relSizeAnchor xmlns:cdr="http://schemas.openxmlformats.org/drawingml/2006/chartDrawing">
    <cdr:from>
      <cdr:x>0.03277</cdr:x>
      <cdr:y>0.39249</cdr:y>
    </cdr:from>
    <cdr:to>
      <cdr:x>0.07216</cdr:x>
      <cdr:y>0.55976</cdr:y>
    </cdr:to>
    <cdr:sp macro="" textlink="">
      <cdr:nvSpPr>
        <cdr:cNvPr id="4" name="矩形 3"/>
        <cdr:cNvSpPr/>
      </cdr:nvSpPr>
      <cdr:spPr>
        <a:xfrm xmlns:a="http://schemas.openxmlformats.org/drawingml/2006/main">
          <a:off x="244697" y="1894168"/>
          <a:ext cx="294201" cy="807245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0"/>
          </a:srgb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中等景气位</a:t>
          </a:r>
          <a:endParaRPr lang="zh-CN" sz="800" b="1">
            <a:solidFill>
              <a:schemeClr val="tx1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0.03277</cdr:x>
      <cdr:y>0.56914</cdr:y>
    </cdr:from>
    <cdr:to>
      <cdr:x>0.07216</cdr:x>
      <cdr:y>0.73626</cdr:y>
    </cdr:to>
    <cdr:sp macro="" textlink="">
      <cdr:nvSpPr>
        <cdr:cNvPr id="5" name="矩形 4"/>
        <cdr:cNvSpPr/>
      </cdr:nvSpPr>
      <cdr:spPr>
        <a:xfrm xmlns:a="http://schemas.openxmlformats.org/drawingml/2006/main">
          <a:off x="244697" y="2746680"/>
          <a:ext cx="294201" cy="806521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75000"/>
            <a:lumOff val="25000"/>
            <a:alpha val="20000"/>
          </a:scheme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800" b="1">
              <a:solidFill>
                <a:schemeClr val="tx1"/>
              </a:solidFill>
              <a:effectLst/>
              <a:latin typeface="楷体" panose="02010609060101010101" pitchFamily="49" charset="-122"/>
              <a:ea typeface="楷体" panose="02010609060101010101" pitchFamily="49" charset="-122"/>
              <a:cs typeface="+mn-cs"/>
            </a:rPr>
            <a:t>中</a:t>
          </a:r>
          <a:r>
            <a:rPr lang="zh-CN" altLang="en-US" sz="800" b="1">
              <a:solidFill>
                <a:schemeClr val="tx1"/>
              </a:solidFill>
              <a:effectLst/>
              <a:latin typeface="楷体" panose="02010609060101010101" pitchFamily="49" charset="-122"/>
              <a:ea typeface="楷体" panose="02010609060101010101" pitchFamily="49" charset="-122"/>
              <a:cs typeface="+mn-cs"/>
            </a:rPr>
            <a:t>低</a:t>
          </a:r>
          <a:r>
            <a:rPr lang="zh-CN" altLang="zh-CN" sz="800" b="1">
              <a:solidFill>
                <a:schemeClr val="tx1"/>
              </a:solidFill>
              <a:effectLst/>
              <a:latin typeface="楷体" panose="02010609060101010101" pitchFamily="49" charset="-122"/>
              <a:ea typeface="楷体" panose="02010609060101010101" pitchFamily="49" charset="-122"/>
              <a:cs typeface="+mn-cs"/>
            </a:rPr>
            <a:t>景气位</a:t>
          </a:r>
          <a:endParaRPr lang="zh-CN" altLang="zh-CN" sz="800" b="1">
            <a:solidFill>
              <a:schemeClr val="tx1"/>
            </a:solidFill>
            <a:effectLst/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0.03277</cdr:x>
      <cdr:y>0.74535</cdr:y>
    </cdr:from>
    <cdr:to>
      <cdr:x>0.07216</cdr:x>
      <cdr:y>0.91132</cdr:y>
    </cdr:to>
    <cdr:sp macro="" textlink="">
      <cdr:nvSpPr>
        <cdr:cNvPr id="6" name="矩形 5"/>
        <cdr:cNvSpPr/>
      </cdr:nvSpPr>
      <cdr:spPr>
        <a:xfrm xmlns:a="http://schemas.openxmlformats.org/drawingml/2006/main">
          <a:off x="244697" y="3597069"/>
          <a:ext cx="294201" cy="800971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75000"/>
            <a:lumOff val="25000"/>
            <a:alpha val="30000"/>
          </a:scheme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低景气位</a:t>
          </a:r>
          <a:endParaRPr lang="zh-CN" sz="800" b="1">
            <a:solidFill>
              <a:schemeClr val="tx1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0.03277</cdr:x>
      <cdr:y>0.21991</cdr:y>
    </cdr:from>
    <cdr:to>
      <cdr:x>0.07216</cdr:x>
      <cdr:y>0.38137</cdr:y>
    </cdr:to>
    <cdr:sp macro="" textlink="">
      <cdr:nvSpPr>
        <cdr:cNvPr id="7" name="矩形 6"/>
        <cdr:cNvSpPr/>
      </cdr:nvSpPr>
      <cdr:spPr>
        <a:xfrm xmlns:a="http://schemas.openxmlformats.org/drawingml/2006/main">
          <a:off x="244697" y="1061296"/>
          <a:ext cx="294201" cy="779206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20000"/>
          </a:srgb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中高景气位</a:t>
          </a:r>
          <a:endParaRPr lang="zh-CN" sz="800" b="1">
            <a:solidFill>
              <a:schemeClr val="tx1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0.03277</cdr:x>
      <cdr:y>0.0386</cdr:y>
    </cdr:from>
    <cdr:to>
      <cdr:x>0.07216</cdr:x>
      <cdr:y>0.20689</cdr:y>
    </cdr:to>
    <cdr:sp macro="" textlink="">
      <cdr:nvSpPr>
        <cdr:cNvPr id="8" name="矩形 7"/>
        <cdr:cNvSpPr/>
      </cdr:nvSpPr>
      <cdr:spPr>
        <a:xfrm xmlns:a="http://schemas.openxmlformats.org/drawingml/2006/main">
          <a:off x="244697" y="186294"/>
          <a:ext cx="294201" cy="812168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30000"/>
          </a:srgb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高景气位</a:t>
          </a:r>
          <a:endParaRPr lang="zh-CN" sz="800" b="1">
            <a:solidFill>
              <a:schemeClr val="tx1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0.40553</cdr:x>
      <cdr:y>0.65527</cdr:y>
    </cdr:from>
    <cdr:to>
      <cdr:x>0.67815</cdr:x>
      <cdr:y>0.90894</cdr:y>
    </cdr:to>
    <cdr:sp macro="" textlink="">
      <cdr:nvSpPr>
        <cdr:cNvPr id="9" name="矩形 8"/>
        <cdr:cNvSpPr/>
      </cdr:nvSpPr>
      <cdr:spPr>
        <a:xfrm xmlns:a="http://schemas.openxmlformats.org/drawingml/2006/main">
          <a:off x="3028336" y="3101999"/>
          <a:ext cx="2035817" cy="120085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75000"/>
            <a:lumOff val="25000"/>
            <a:alpha val="20000"/>
          </a:scheme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zh-CN" altLang="en-US" sz="800" b="1" u="sng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筑底位</a:t>
          </a:r>
        </a:p>
      </cdr:txBody>
    </cdr:sp>
  </cdr:relSizeAnchor>
  <cdr:relSizeAnchor xmlns:cdr="http://schemas.openxmlformats.org/drawingml/2006/chartDrawing">
    <cdr:from>
      <cdr:x>0.40464</cdr:x>
      <cdr:y>0.02817</cdr:y>
    </cdr:from>
    <cdr:to>
      <cdr:x>0.67784</cdr:x>
      <cdr:y>0.30132</cdr:y>
    </cdr:to>
    <cdr:sp macro="" textlink="">
      <cdr:nvSpPr>
        <cdr:cNvPr id="10" name="矩形 9"/>
        <cdr:cNvSpPr/>
      </cdr:nvSpPr>
      <cdr:spPr>
        <a:xfrm xmlns:a="http://schemas.openxmlformats.org/drawingml/2006/main">
          <a:off x="3021690" y="133350"/>
          <a:ext cx="2040148" cy="1293076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20000"/>
          </a:srgb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zh-CN" altLang="en-US" sz="800" b="1" u="sng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筑顶位</a:t>
          </a:r>
        </a:p>
      </cdr:txBody>
    </cdr:sp>
  </cdr:relSizeAnchor>
  <cdr:relSizeAnchor xmlns:cdr="http://schemas.openxmlformats.org/drawingml/2006/chartDrawing">
    <cdr:from>
      <cdr:x>0.13016</cdr:x>
      <cdr:y>0.29988</cdr:y>
    </cdr:from>
    <cdr:to>
      <cdr:x>0.40519</cdr:x>
      <cdr:y>0.65526</cdr:y>
    </cdr:to>
    <cdr:sp macro="" textlink="">
      <cdr:nvSpPr>
        <cdr:cNvPr id="3" name="矩形 2">
          <a:extLst xmlns:a="http://schemas.openxmlformats.org/drawingml/2006/main">
            <a:ext uri="{FF2B5EF4-FFF2-40B4-BE49-F238E27FC236}">
              <a16:creationId xmlns:a16="http://schemas.microsoft.com/office/drawing/2014/main" id="{33E83B8D-FEF5-2B29-8195-E087E14CF59C}"/>
            </a:ext>
          </a:extLst>
        </cdr:cNvPr>
        <cdr:cNvSpPr/>
      </cdr:nvSpPr>
      <cdr:spPr>
        <a:xfrm xmlns:a="http://schemas.openxmlformats.org/drawingml/2006/main">
          <a:off x="971982" y="1419609"/>
          <a:ext cx="2053791" cy="1682343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75000"/>
            <a:lumOff val="25000"/>
            <a:alpha val="10000"/>
          </a:scheme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zh-CN" altLang="en-US" sz="800" b="1" u="sng" dirty="0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下坡位</a:t>
          </a:r>
        </a:p>
      </cdr:txBody>
    </cdr:sp>
  </cdr:relSizeAnchor>
  <cdr:relSizeAnchor xmlns:cdr="http://schemas.openxmlformats.org/drawingml/2006/chartDrawing">
    <cdr:from>
      <cdr:x>0.26789</cdr:x>
      <cdr:y>0.18026</cdr:y>
    </cdr:from>
    <cdr:to>
      <cdr:x>0.40221</cdr:x>
      <cdr:y>0.29988</cdr:y>
    </cdr:to>
    <cdr:cxnSp macro="">
      <cdr:nvCxnSpPr>
        <cdr:cNvPr id="21" name="直接箭头连接符 20">
          <a:extLst xmlns:a="http://schemas.openxmlformats.org/drawingml/2006/main">
            <a:ext uri="{FF2B5EF4-FFF2-40B4-BE49-F238E27FC236}">
              <a16:creationId xmlns:a16="http://schemas.microsoft.com/office/drawing/2014/main" id="{807BAE1E-082F-9FC9-9788-11AB9425DC55}"/>
            </a:ext>
          </a:extLst>
        </cdr:cNvPr>
        <cdr:cNvCxnSpPr/>
      </cdr:nvCxnSpPr>
      <cdr:spPr>
        <a:xfrm xmlns:a="http://schemas.openxmlformats.org/drawingml/2006/main" flipH="1">
          <a:off x="2000462" y="869950"/>
          <a:ext cx="1003087" cy="577255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0.26767</cdr:x>
      <cdr:y>0.65526</cdr:y>
    </cdr:from>
    <cdr:to>
      <cdr:x>0.40553</cdr:x>
      <cdr:y>0.78211</cdr:y>
    </cdr:to>
    <cdr:cxnSp macro="">
      <cdr:nvCxnSpPr>
        <cdr:cNvPr id="22" name="直接箭头连接符 21">
          <a:extLst xmlns:a="http://schemas.openxmlformats.org/drawingml/2006/main">
            <a:ext uri="{FF2B5EF4-FFF2-40B4-BE49-F238E27FC236}">
              <a16:creationId xmlns:a16="http://schemas.microsoft.com/office/drawing/2014/main" id="{C5F1AAE4-A4D9-BB65-A466-D7907342CF02}"/>
            </a:ext>
          </a:extLst>
        </cdr:cNvPr>
        <cdr:cNvCxnSpPr>
          <a:stCxn xmlns:a="http://schemas.openxmlformats.org/drawingml/2006/main" id="3" idx="2"/>
          <a:endCxn xmlns:a="http://schemas.openxmlformats.org/drawingml/2006/main" id="9" idx="1"/>
        </cdr:cNvCxnSpPr>
      </cdr:nvCxnSpPr>
      <cdr:spPr>
        <a:xfrm xmlns:a="http://schemas.openxmlformats.org/drawingml/2006/main">
          <a:off x="1998878" y="3101952"/>
          <a:ext cx="1029458" cy="600475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0.67815</cdr:x>
      <cdr:y>0.65665</cdr:y>
    </cdr:from>
    <cdr:to>
      <cdr:x>0.81696</cdr:x>
      <cdr:y>0.78211</cdr:y>
    </cdr:to>
    <cdr:cxnSp macro="">
      <cdr:nvCxnSpPr>
        <cdr:cNvPr id="25" name="直接箭头连接符 24">
          <a:extLst xmlns:a="http://schemas.openxmlformats.org/drawingml/2006/main">
            <a:ext uri="{FF2B5EF4-FFF2-40B4-BE49-F238E27FC236}">
              <a16:creationId xmlns:a16="http://schemas.microsoft.com/office/drawing/2014/main" id="{C7D0B697-7BF7-917A-2DAD-D1F3379D1D38}"/>
            </a:ext>
          </a:extLst>
        </cdr:cNvPr>
        <cdr:cNvCxnSpPr>
          <a:stCxn xmlns:a="http://schemas.openxmlformats.org/drawingml/2006/main" id="9" idx="3"/>
          <a:endCxn xmlns:a="http://schemas.openxmlformats.org/drawingml/2006/main" id="2" idx="2"/>
        </cdr:cNvCxnSpPr>
      </cdr:nvCxnSpPr>
      <cdr:spPr>
        <a:xfrm xmlns:a="http://schemas.openxmlformats.org/drawingml/2006/main" flipV="1">
          <a:off x="5064153" y="3108532"/>
          <a:ext cx="1036605" cy="593895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0.67784</cdr:x>
      <cdr:y>0.16475</cdr:y>
    </cdr:from>
    <cdr:to>
      <cdr:x>0.81696</cdr:x>
      <cdr:y>0.30402</cdr:y>
    </cdr:to>
    <cdr:cxnSp macro="">
      <cdr:nvCxnSpPr>
        <cdr:cNvPr id="39" name="直接箭头连接符 38">
          <a:extLst xmlns:a="http://schemas.openxmlformats.org/drawingml/2006/main">
            <a:ext uri="{FF2B5EF4-FFF2-40B4-BE49-F238E27FC236}">
              <a16:creationId xmlns:a16="http://schemas.microsoft.com/office/drawing/2014/main" id="{03D58B48-D0A1-96DB-DC2C-EBB22B9A01E3}"/>
            </a:ext>
          </a:extLst>
        </cdr:cNvPr>
        <cdr:cNvCxnSpPr>
          <a:stCxn xmlns:a="http://schemas.openxmlformats.org/drawingml/2006/main" id="2" idx="0"/>
          <a:endCxn xmlns:a="http://schemas.openxmlformats.org/drawingml/2006/main" id="10" idx="3"/>
        </cdr:cNvCxnSpPr>
      </cdr:nvCxnSpPr>
      <cdr:spPr>
        <a:xfrm xmlns:a="http://schemas.openxmlformats.org/drawingml/2006/main" flipH="1" flipV="1">
          <a:off x="5061838" y="779891"/>
          <a:ext cx="1038920" cy="659317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38100</xdr:rowOff>
    </xdr:from>
    <xdr:to>
      <xdr:col>0</xdr:col>
      <xdr:colOff>7419975</xdr:colOff>
      <xdr:row>23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78590AE-8EEA-42CA-B7ED-81747E2BF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24</xdr:row>
      <xdr:rowOff>95250</xdr:rowOff>
    </xdr:from>
    <xdr:to>
      <xdr:col>0</xdr:col>
      <xdr:colOff>7410450</xdr:colOff>
      <xdr:row>46</xdr:row>
      <xdr:rowOff>130175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CC64C2F-08D5-4416-9C61-4845E1E19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73025</xdr:colOff>
      <xdr:row>0</xdr:row>
      <xdr:rowOff>84667</xdr:rowOff>
    </xdr:from>
    <xdr:to>
      <xdr:col>11</xdr:col>
      <xdr:colOff>70625</xdr:colOff>
      <xdr:row>10</xdr:row>
      <xdr:rowOff>244667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F79334E-F39D-4C60-B449-DA63ACE7B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73025</xdr:colOff>
      <xdr:row>11</xdr:row>
      <xdr:rowOff>148167</xdr:rowOff>
    </xdr:from>
    <xdr:to>
      <xdr:col>11</xdr:col>
      <xdr:colOff>70625</xdr:colOff>
      <xdr:row>22</xdr:row>
      <xdr:rowOff>54167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B08FBCC-52D9-46F7-AFAC-DE6C4FD08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375537</xdr:colOff>
      <xdr:row>0</xdr:row>
      <xdr:rowOff>74562</xdr:rowOff>
    </xdr:from>
    <xdr:to>
      <xdr:col>23</xdr:col>
      <xdr:colOff>373137</xdr:colOff>
      <xdr:row>10</xdr:row>
      <xdr:rowOff>234562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92FF421-5051-48F7-92BC-0ADA96E10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350956</xdr:colOff>
      <xdr:row>11</xdr:row>
      <xdr:rowOff>165100</xdr:rowOff>
    </xdr:from>
    <xdr:to>
      <xdr:col>23</xdr:col>
      <xdr:colOff>348556</xdr:colOff>
      <xdr:row>22</xdr:row>
      <xdr:rowOff>71100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DC8C733-DB77-45F6-85AA-73A716D30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530532</xdr:colOff>
      <xdr:row>0</xdr:row>
      <xdr:rowOff>69919</xdr:rowOff>
    </xdr:from>
    <xdr:to>
      <xdr:col>29</xdr:col>
      <xdr:colOff>528132</xdr:colOff>
      <xdr:row>10</xdr:row>
      <xdr:rowOff>229919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CAA9332-325E-4D71-81B1-ED342EB2E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517832</xdr:colOff>
      <xdr:row>11</xdr:row>
      <xdr:rowOff>147758</xdr:rowOff>
    </xdr:from>
    <xdr:to>
      <xdr:col>29</xdr:col>
      <xdr:colOff>515432</xdr:colOff>
      <xdr:row>22</xdr:row>
      <xdr:rowOff>53758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910CBC1-8E1E-428C-B205-B1A4D341D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45065</xdr:colOff>
      <xdr:row>0</xdr:row>
      <xdr:rowOff>33867</xdr:rowOff>
    </xdr:from>
    <xdr:to>
      <xdr:col>36</xdr:col>
      <xdr:colOff>42665</xdr:colOff>
      <xdr:row>10</xdr:row>
      <xdr:rowOff>193867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D72E5461-DD01-468F-A3DE-E3AA1782D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246624</xdr:colOff>
      <xdr:row>11</xdr:row>
      <xdr:rowOff>110067</xdr:rowOff>
    </xdr:from>
    <xdr:to>
      <xdr:col>42</xdr:col>
      <xdr:colOff>244224</xdr:colOff>
      <xdr:row>22</xdr:row>
      <xdr:rowOff>16067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16120D1E-398E-45B8-96DE-5E6486E9A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42</xdr:col>
      <xdr:colOff>385917</xdr:colOff>
      <xdr:row>0</xdr:row>
      <xdr:rowOff>46158</xdr:rowOff>
    </xdr:from>
    <xdr:to>
      <xdr:col>48</xdr:col>
      <xdr:colOff>383517</xdr:colOff>
      <xdr:row>10</xdr:row>
      <xdr:rowOff>206158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BD6E9655-24A8-4CF5-AFCF-3B95F9D70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42</xdr:col>
      <xdr:colOff>381000</xdr:colOff>
      <xdr:row>11</xdr:row>
      <xdr:rowOff>114301</xdr:rowOff>
    </xdr:from>
    <xdr:to>
      <xdr:col>48</xdr:col>
      <xdr:colOff>381058</xdr:colOff>
      <xdr:row>22</xdr:row>
      <xdr:rowOff>12701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81594CB-CA74-4A71-B550-60CE16AA6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570270</xdr:colOff>
      <xdr:row>11</xdr:row>
      <xdr:rowOff>121539</xdr:rowOff>
    </xdr:from>
    <xdr:to>
      <xdr:col>54</xdr:col>
      <xdr:colOff>567870</xdr:colOff>
      <xdr:row>22</xdr:row>
      <xdr:rowOff>27539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D9A075B0-406B-4F47-9E40-F2FD18113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55</xdr:col>
      <xdr:colOff>36871</xdr:colOff>
      <xdr:row>0</xdr:row>
      <xdr:rowOff>59268</xdr:rowOff>
    </xdr:from>
    <xdr:to>
      <xdr:col>61</xdr:col>
      <xdr:colOff>34471</xdr:colOff>
      <xdr:row>10</xdr:row>
      <xdr:rowOff>219268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1791F0AC-3DAC-4C45-AF25-65C34A3FE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55</xdr:col>
      <xdr:colOff>45065</xdr:colOff>
      <xdr:row>11</xdr:row>
      <xdr:rowOff>121538</xdr:rowOff>
    </xdr:from>
    <xdr:to>
      <xdr:col>61</xdr:col>
      <xdr:colOff>42665</xdr:colOff>
      <xdr:row>22</xdr:row>
      <xdr:rowOff>27538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CF61B115-7D21-4A61-B42E-693956A11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61</xdr:col>
      <xdr:colOff>161412</xdr:colOff>
      <xdr:row>0</xdr:row>
      <xdr:rowOff>74016</xdr:rowOff>
    </xdr:from>
    <xdr:to>
      <xdr:col>67</xdr:col>
      <xdr:colOff>159012</xdr:colOff>
      <xdr:row>10</xdr:row>
      <xdr:rowOff>234016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834E2FB1-1C64-45AB-9D74-A38C6A0BA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61</xdr:col>
      <xdr:colOff>163870</xdr:colOff>
      <xdr:row>11</xdr:row>
      <xdr:rowOff>147758</xdr:rowOff>
    </xdr:from>
    <xdr:to>
      <xdr:col>67</xdr:col>
      <xdr:colOff>161470</xdr:colOff>
      <xdr:row>22</xdr:row>
      <xdr:rowOff>53758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DCEAE7F0-EE8F-4AEF-9256-47DF3B888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67</xdr:col>
      <xdr:colOff>304800</xdr:colOff>
      <xdr:row>0</xdr:row>
      <xdr:rowOff>99416</xdr:rowOff>
    </xdr:from>
    <xdr:to>
      <xdr:col>73</xdr:col>
      <xdr:colOff>302400</xdr:colOff>
      <xdr:row>11</xdr:row>
      <xdr:rowOff>5416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81237E46-029F-45A1-8018-0C988FBA1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73</xdr:col>
      <xdr:colOff>428522</xdr:colOff>
      <xdr:row>0</xdr:row>
      <xdr:rowOff>84668</xdr:rowOff>
    </xdr:from>
    <xdr:to>
      <xdr:col>79</xdr:col>
      <xdr:colOff>426122</xdr:colOff>
      <xdr:row>10</xdr:row>
      <xdr:rowOff>244668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C33F8A35-A4F2-423A-B6E1-5C93BF676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73</xdr:col>
      <xdr:colOff>428523</xdr:colOff>
      <xdr:row>11</xdr:row>
      <xdr:rowOff>160867</xdr:rowOff>
    </xdr:from>
    <xdr:to>
      <xdr:col>79</xdr:col>
      <xdr:colOff>426123</xdr:colOff>
      <xdr:row>22</xdr:row>
      <xdr:rowOff>38100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A1945549-A209-42AF-8511-57E496A20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79</xdr:col>
      <xdr:colOff>562896</xdr:colOff>
      <xdr:row>0</xdr:row>
      <xdr:rowOff>110067</xdr:rowOff>
    </xdr:from>
    <xdr:to>
      <xdr:col>85</xdr:col>
      <xdr:colOff>560496</xdr:colOff>
      <xdr:row>11</xdr:row>
      <xdr:rowOff>16067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AA9C7D79-0F7C-4261-88F7-79D7BE168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79</xdr:col>
      <xdr:colOff>585839</xdr:colOff>
      <xdr:row>11</xdr:row>
      <xdr:rowOff>186267</xdr:rowOff>
    </xdr:from>
    <xdr:to>
      <xdr:col>85</xdr:col>
      <xdr:colOff>583439</xdr:colOff>
      <xdr:row>22</xdr:row>
      <xdr:rowOff>38100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7C8E73FC-8BBA-4564-A549-5E9019434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86</xdr:col>
      <xdr:colOff>39329</xdr:colOff>
      <xdr:row>0</xdr:row>
      <xdr:rowOff>135467</xdr:rowOff>
    </xdr:from>
    <xdr:to>
      <xdr:col>92</xdr:col>
      <xdr:colOff>36929</xdr:colOff>
      <xdr:row>11</xdr:row>
      <xdr:rowOff>41467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88FD9C-EFDB-4297-BAD7-84319EAC5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86</xdr:col>
      <xdr:colOff>65275</xdr:colOff>
      <xdr:row>11</xdr:row>
      <xdr:rowOff>173978</xdr:rowOff>
    </xdr:from>
    <xdr:to>
      <xdr:col>92</xdr:col>
      <xdr:colOff>62875</xdr:colOff>
      <xdr:row>22</xdr:row>
      <xdr:rowOff>79978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7DB95619-F7B0-4C08-B5D9-E9DC3DF04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222248</xdr:colOff>
      <xdr:row>0</xdr:row>
      <xdr:rowOff>84667</xdr:rowOff>
    </xdr:from>
    <xdr:to>
      <xdr:col>17</xdr:col>
      <xdr:colOff>219848</xdr:colOff>
      <xdr:row>10</xdr:row>
      <xdr:rowOff>244667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132509D3-4451-4908-9086-D8296053A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203200</xdr:colOff>
      <xdr:row>11</xdr:row>
      <xdr:rowOff>148167</xdr:rowOff>
    </xdr:from>
    <xdr:to>
      <xdr:col>17</xdr:col>
      <xdr:colOff>200800</xdr:colOff>
      <xdr:row>22</xdr:row>
      <xdr:rowOff>54167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C197A8A2-F909-4844-880E-F360B3F34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36</xdr:col>
      <xdr:colOff>254000</xdr:colOff>
      <xdr:row>0</xdr:row>
      <xdr:rowOff>33868</xdr:rowOff>
    </xdr:from>
    <xdr:to>
      <xdr:col>42</xdr:col>
      <xdr:colOff>251600</xdr:colOff>
      <xdr:row>10</xdr:row>
      <xdr:rowOff>193868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2BD8BEF5-59B6-49B7-84DE-4644E47DF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30</xdr:col>
      <xdr:colOff>50800</xdr:colOff>
      <xdr:row>11</xdr:row>
      <xdr:rowOff>135467</xdr:rowOff>
    </xdr:from>
    <xdr:to>
      <xdr:col>36</xdr:col>
      <xdr:colOff>48400</xdr:colOff>
      <xdr:row>22</xdr:row>
      <xdr:rowOff>41467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55D0BD6-57EB-41AA-BDFF-3588EADA0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48</xdr:col>
      <xdr:colOff>584200</xdr:colOff>
      <xdr:row>0</xdr:row>
      <xdr:rowOff>33867</xdr:rowOff>
    </xdr:from>
    <xdr:to>
      <xdr:col>54</xdr:col>
      <xdr:colOff>581800</xdr:colOff>
      <xdr:row>10</xdr:row>
      <xdr:rowOff>193867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5A22E572-4D00-493D-878E-CBA33C695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67</xdr:col>
      <xdr:colOff>279400</xdr:colOff>
      <xdr:row>11</xdr:row>
      <xdr:rowOff>135467</xdr:rowOff>
    </xdr:from>
    <xdr:to>
      <xdr:col>73</xdr:col>
      <xdr:colOff>277000</xdr:colOff>
      <xdr:row>22</xdr:row>
      <xdr:rowOff>41467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A12E9D65-474A-4156-BA4E-15E9F4965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92</xdr:col>
      <xdr:colOff>228600</xdr:colOff>
      <xdr:row>0</xdr:row>
      <xdr:rowOff>135467</xdr:rowOff>
    </xdr:from>
    <xdr:to>
      <xdr:col>98</xdr:col>
      <xdr:colOff>247651</xdr:colOff>
      <xdr:row>10</xdr:row>
      <xdr:rowOff>237067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7E1F5A41-3CFA-4EDA-96EE-9BD4B7B75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76200</xdr:colOff>
      <xdr:row>0</xdr:row>
      <xdr:rowOff>71966</xdr:rowOff>
    </xdr:from>
    <xdr:to>
      <xdr:col>2</xdr:col>
      <xdr:colOff>626534</xdr:colOff>
      <xdr:row>10</xdr:row>
      <xdr:rowOff>231966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57E45238-A7B7-41B5-BA05-7C2D9DFE6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59266</xdr:colOff>
      <xdr:row>11</xdr:row>
      <xdr:rowOff>156632</xdr:rowOff>
    </xdr:from>
    <xdr:to>
      <xdr:col>2</xdr:col>
      <xdr:colOff>609600</xdr:colOff>
      <xdr:row>22</xdr:row>
      <xdr:rowOff>62632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E04E578-A1AD-4E90-B1FA-AAFD48413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98</xdr:col>
      <xdr:colOff>406400</xdr:colOff>
      <xdr:row>0</xdr:row>
      <xdr:rowOff>127000</xdr:rowOff>
    </xdr:from>
    <xdr:to>
      <xdr:col>104</xdr:col>
      <xdr:colOff>404000</xdr:colOff>
      <xdr:row>11</xdr:row>
      <xdr:rowOff>33000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0C465DF-FA0E-42C3-837C-27BC8A684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92</xdr:col>
      <xdr:colOff>228600</xdr:colOff>
      <xdr:row>11</xdr:row>
      <xdr:rowOff>152400</xdr:rowOff>
    </xdr:from>
    <xdr:to>
      <xdr:col>98</xdr:col>
      <xdr:colOff>226200</xdr:colOff>
      <xdr:row>22</xdr:row>
      <xdr:rowOff>58400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5035D090-DE4A-4CBE-B772-CA1C8D20C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FACTSET DEMO">
    <a:dk1>
      <a:srgbClr val="000000"/>
    </a:dk1>
    <a:lt1>
      <a:srgbClr val="FFFFFF"/>
    </a:lt1>
    <a:dk2>
      <a:srgbClr val="4B4B4B"/>
    </a:dk2>
    <a:lt2>
      <a:srgbClr val="E1E1E1"/>
    </a:lt2>
    <a:accent1>
      <a:srgbClr val="00AEEF"/>
    </a:accent1>
    <a:accent2>
      <a:srgbClr val="004988"/>
    </a:accent2>
    <a:accent3>
      <a:srgbClr val="7CBA0C"/>
    </a:accent3>
    <a:accent4>
      <a:srgbClr val="AFAFAF"/>
    </a:accent4>
    <a:accent5>
      <a:srgbClr val="182A54"/>
    </a:accent5>
    <a:accent6>
      <a:srgbClr val="863484"/>
    </a:accent6>
    <a:hlink>
      <a:srgbClr val="00AEEF"/>
    </a:hlink>
    <a:folHlink>
      <a:srgbClr val="00AEEF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E595-3F11-44A1-81CA-4E9E8C4687AC}">
  <sheetPr>
    <tabColor rgb="FFC00000"/>
  </sheetPr>
  <dimension ref="A1:AX101"/>
  <sheetViews>
    <sheetView showGridLines="0" tabSelected="1" zoomScale="75" zoomScaleNormal="75" workbookViewId="0">
      <selection activeCell="H33" sqref="H33"/>
    </sheetView>
  </sheetViews>
  <sheetFormatPr defaultColWidth="8.625" defaultRowHeight="14.25" x14ac:dyDescent="0.2"/>
  <cols>
    <col min="1" max="1" width="12.25" style="2" customWidth="1"/>
    <col min="2" max="14" width="10.625" style="2" customWidth="1"/>
    <col min="15" max="15" width="4.625" style="2" customWidth="1"/>
    <col min="16" max="16" width="6.625" style="2" customWidth="1"/>
    <col min="17" max="17" width="3.375" style="2" customWidth="1"/>
    <col min="18" max="18" width="18.625" style="2" customWidth="1"/>
    <col min="19" max="28" width="8.625" style="2"/>
    <col min="29" max="31" width="8.75" style="2" customWidth="1"/>
    <col min="32" max="32" width="4.625" style="2" customWidth="1"/>
    <col min="33" max="33" width="6.625" style="2" customWidth="1"/>
    <col min="34" max="34" width="2.625" style="2" customWidth="1"/>
    <col min="35" max="35" width="18.625" style="2" customWidth="1"/>
    <col min="36" max="48" width="8.625" style="2"/>
    <col min="49" max="49" width="4.375" style="2" customWidth="1"/>
    <col min="50" max="50" width="5" style="2" customWidth="1"/>
    <col min="51" max="16384" width="8.625" style="2"/>
  </cols>
  <sheetData>
    <row r="1" spans="1:50" ht="21" customHeight="1" x14ac:dyDescent="0.2">
      <c r="A1" s="1" t="s">
        <v>0</v>
      </c>
      <c r="R1" s="1" t="s">
        <v>1</v>
      </c>
      <c r="AI1" s="1" t="s">
        <v>2</v>
      </c>
    </row>
    <row r="2" spans="1:50" ht="21" customHeight="1" x14ac:dyDescent="0.2">
      <c r="A2" s="3" t="s">
        <v>3</v>
      </c>
      <c r="B2" s="4">
        <v>45016</v>
      </c>
      <c r="C2" s="4">
        <v>45046</v>
      </c>
      <c r="D2" s="4">
        <v>45077</v>
      </c>
      <c r="E2" s="4">
        <v>45107</v>
      </c>
      <c r="F2" s="4">
        <v>45138</v>
      </c>
      <c r="G2" s="4">
        <v>45169</v>
      </c>
      <c r="H2" s="4">
        <v>45199</v>
      </c>
      <c r="I2" s="4">
        <v>45230</v>
      </c>
      <c r="J2" s="4">
        <v>45260</v>
      </c>
      <c r="K2" s="4">
        <v>45291</v>
      </c>
      <c r="L2" s="4">
        <v>45322</v>
      </c>
      <c r="M2" s="4">
        <v>45351</v>
      </c>
      <c r="N2" s="4">
        <v>45382</v>
      </c>
      <c r="O2" s="51" t="s">
        <v>4</v>
      </c>
      <c r="P2" s="51"/>
      <c r="R2" s="3" t="s">
        <v>3</v>
      </c>
      <c r="S2" s="4">
        <v>45016</v>
      </c>
      <c r="T2" s="4">
        <v>45046</v>
      </c>
      <c r="U2" s="4">
        <v>45077</v>
      </c>
      <c r="V2" s="4">
        <v>45107</v>
      </c>
      <c r="W2" s="4">
        <v>45138</v>
      </c>
      <c r="X2" s="4">
        <v>45169</v>
      </c>
      <c r="Y2" s="4">
        <v>45199</v>
      </c>
      <c r="Z2" s="4">
        <v>45230</v>
      </c>
      <c r="AA2" s="4">
        <v>45260</v>
      </c>
      <c r="AB2" s="4">
        <v>45291</v>
      </c>
      <c r="AC2" s="4">
        <v>45322</v>
      </c>
      <c r="AD2" s="4">
        <v>45351</v>
      </c>
      <c r="AE2" s="4">
        <v>45382</v>
      </c>
      <c r="AF2" s="51" t="s">
        <v>4</v>
      </c>
      <c r="AG2" s="51"/>
      <c r="AI2" s="3" t="s">
        <v>3</v>
      </c>
      <c r="AJ2" s="4">
        <v>45016</v>
      </c>
      <c r="AK2" s="4">
        <v>45046</v>
      </c>
      <c r="AL2" s="4">
        <v>45077</v>
      </c>
      <c r="AM2" s="4">
        <v>45107</v>
      </c>
      <c r="AN2" s="4">
        <v>45138</v>
      </c>
      <c r="AO2" s="4">
        <v>45169</v>
      </c>
      <c r="AP2" s="4">
        <v>45199</v>
      </c>
      <c r="AQ2" s="4">
        <v>45230</v>
      </c>
      <c r="AR2" s="4">
        <v>45260</v>
      </c>
      <c r="AS2" s="4">
        <v>45291</v>
      </c>
      <c r="AT2" s="4">
        <v>45322</v>
      </c>
      <c r="AU2" s="4">
        <v>45351</v>
      </c>
      <c r="AV2" s="4">
        <v>45382</v>
      </c>
      <c r="AW2" s="51" t="s">
        <v>4</v>
      </c>
      <c r="AX2" s="51"/>
    </row>
    <row r="3" spans="1:50" ht="21" customHeight="1" x14ac:dyDescent="0.2">
      <c r="A3" s="5" t="s">
        <v>5</v>
      </c>
      <c r="B3" s="6">
        <f>INDEX('面板-景气指数'!$37:$242,MATCH('面板-总览'!$A3,'面板-景气指数'!$A$37:$A$242,0),MATCH('面板-总览'!B$2,'面板-景气指数'!$36:$36,0))</f>
        <v>0.7742</v>
      </c>
      <c r="C3" s="6">
        <f>INDEX('面板-景气指数'!$37:$242,MATCH('面板-总览'!$A3,'面板-景气指数'!$A$37:$A$242,0),MATCH('面板-总览'!C$2,'面板-景气指数'!$36:$36,0))</f>
        <v>0.76705000000000001</v>
      </c>
      <c r="D3" s="6">
        <f>INDEX('面板-景气指数'!$37:$242,MATCH('面板-总览'!$A3,'面板-景气指数'!$A$37:$A$242,0),MATCH('面板-总览'!D$2,'面板-景气指数'!$36:$36,0))</f>
        <v>0.73924999999999996</v>
      </c>
      <c r="E3" s="6">
        <f>INDEX('面板-景气指数'!$37:$242,MATCH('面板-总览'!$A3,'面板-景气指数'!$A$37:$A$242,0),MATCH('面板-总览'!E$2,'面板-景气指数'!$36:$36,0))</f>
        <v>0.59604999999999997</v>
      </c>
      <c r="F3" s="6">
        <f>INDEX('面板-景气指数'!$37:$242,MATCH('面板-总览'!$A3,'面板-景气指数'!$A$37:$A$242,0),MATCH('面板-总览'!F$2,'面板-景气指数'!$36:$36,0))</f>
        <v>0.64515000000000011</v>
      </c>
      <c r="G3" s="6">
        <f>INDEX('面板-景气指数'!$37:$242,MATCH('面板-总览'!$A3,'面板-景气指数'!$A$37:$A$242,0),MATCH('面板-总览'!G$2,'面板-景气指数'!$36:$36,0))</f>
        <v>0.75119999999999998</v>
      </c>
      <c r="H3" s="6">
        <f>INDEX('面板-景气指数'!$37:$242,MATCH('面板-总览'!$A3,'面板-景气指数'!$A$37:$A$242,0),MATCH('面板-总览'!H$2,'面板-景气指数'!$36:$36,0))</f>
        <v>0.80289999999999995</v>
      </c>
      <c r="I3" s="6">
        <f>INDEX('面板-景气指数'!$37:$242,MATCH('面板-总览'!$A3,'面板-景气指数'!$A$37:$A$242,0),MATCH('面板-总览'!I$2,'面板-景气指数'!$36:$36,0))</f>
        <v>0.72839999999999994</v>
      </c>
      <c r="J3" s="6">
        <f>INDEX('面板-景气指数'!$37:$242,MATCH('面板-总览'!$A3,'面板-景气指数'!$A$37:$A$242,0),MATCH('面板-总览'!J$2,'面板-景气指数'!$36:$36,0))</f>
        <v>0.57094999999999996</v>
      </c>
      <c r="K3" s="6">
        <f>INDEX('面板-景气指数'!$37:$242,MATCH('面板-总览'!$A3,'面板-景气指数'!$A$37:$A$242,0),MATCH('面板-总览'!K$2,'面板-景气指数'!$36:$36,0))</f>
        <v>0.44264999999999993</v>
      </c>
      <c r="L3" s="6">
        <f>INDEX('面板-景气指数'!$37:$242,MATCH('面板-总览'!$A3,'面板-景气指数'!$A$37:$A$242,0),MATCH('面板-总览'!L$2,'面板-景气指数'!$36:$36,0))</f>
        <v>0.47809999999999997</v>
      </c>
      <c r="M3" s="6">
        <f>INDEX('面板-景气指数'!$37:$242,MATCH('面板-总览'!$A3,'面板-景气指数'!$A$37:$A$242,0),MATCH('面板-总览'!M$2,'面板-景气指数'!$36:$36,0))</f>
        <v>0.59319999999999995</v>
      </c>
      <c r="N3" s="6">
        <f>INDEX('面板-景气指数'!$37:$242,MATCH('面板-总览'!$A3,'面板-景气指数'!$A$37:$A$242,0),MATCH('面板-总览'!N$2,'面板-景气指数'!$36:$36,0))</f>
        <v>0.63639999999999997</v>
      </c>
      <c r="O3" s="7"/>
      <c r="P3" s="8">
        <f>N3-K3</f>
        <v>0.19375000000000003</v>
      </c>
      <c r="Q3" s="9"/>
      <c r="R3" s="5" t="s">
        <v>6</v>
      </c>
      <c r="S3" s="6">
        <f>INDEX('面板-景气指数'!$37:$242,MATCH('面板-总览'!$R3,'面板-景气指数'!$A$37:$A$242,0),MATCH('面板-总览'!S$2,'面板-景气指数'!$36:$36,0))</f>
        <v>0.66392307692307673</v>
      </c>
      <c r="T3" s="6">
        <f>INDEX('面板-景气指数'!$37:$242,MATCH('面板-总览'!$R3,'面板-景气指数'!$A$37:$A$242,0),MATCH('面板-总览'!T$2,'面板-景气指数'!$36:$36,0))</f>
        <v>0.64161538461538448</v>
      </c>
      <c r="U3" s="6">
        <f>INDEX('面板-景气指数'!$37:$242,MATCH('面板-总览'!$R3,'面板-景气指数'!$A$37:$A$242,0),MATCH('面板-总览'!U$2,'面板-景气指数'!$36:$36,0))</f>
        <v>0.60476923076923061</v>
      </c>
      <c r="V3" s="6">
        <f>INDEX('面板-景气指数'!$37:$242,MATCH('面板-总览'!$R3,'面板-景气指数'!$A$37:$A$242,0),MATCH('面板-总览'!V$2,'面板-景气指数'!$36:$36,0))</f>
        <v>0.64776923076923065</v>
      </c>
      <c r="W3" s="6">
        <f>INDEX('面板-景气指数'!$37:$242,MATCH('面板-总览'!$R3,'面板-景气指数'!$A$37:$A$242,0),MATCH('面板-总览'!W$2,'面板-景气指数'!$36:$36,0))</f>
        <v>0.69853846153846144</v>
      </c>
      <c r="X3" s="6">
        <f>INDEX('面板-景气指数'!$37:$242,MATCH('面板-总览'!$R3,'面板-景气指数'!$A$37:$A$242,0),MATCH('面板-总览'!X$2,'面板-景气指数'!$36:$36,0))</f>
        <v>0.75615384615384595</v>
      </c>
      <c r="Y3" s="6">
        <f>INDEX('面板-景气指数'!$37:$242,MATCH('面板-总览'!$R3,'面板-景气指数'!$A$37:$A$242,0),MATCH('面板-总览'!Y$2,'面板-景气指数'!$36:$36,0))</f>
        <v>0.75815384615384596</v>
      </c>
      <c r="Z3" s="6">
        <f>INDEX('面板-景气指数'!$37:$242,MATCH('面板-总览'!$R3,'面板-景气指数'!$A$37:$A$242,0),MATCH('面板-总览'!Z$2,'面板-景气指数'!$36:$36,0))</f>
        <v>0.71569230769230752</v>
      </c>
      <c r="AA3" s="6">
        <f>INDEX('面板-景气指数'!$37:$242,MATCH('面板-总览'!$R3,'面板-景气指数'!$A$37:$A$242,0),MATCH('面板-总览'!AA$2,'面板-景气指数'!$36:$36,0))</f>
        <v>0.6786153846153844</v>
      </c>
      <c r="AB3" s="6">
        <f>INDEX('面板-景气指数'!$37:$242,MATCH('面板-总览'!$R3,'面板-景气指数'!$A$37:$A$242,0),MATCH('面板-总览'!AB$2,'面板-景气指数'!$36:$36,0))</f>
        <v>0.65353846153846129</v>
      </c>
      <c r="AC3" s="6">
        <f>INDEX('面板-景气指数'!$37:$242,MATCH('面板-总览'!$R3,'面板-景气指数'!$A$37:$A$242,0),MATCH('面板-总览'!AC$2,'面板-景气指数'!$36:$36,0))</f>
        <v>0.65799999999999981</v>
      </c>
      <c r="AD3" s="6">
        <f>INDEX('面板-景气指数'!$37:$242,MATCH('面板-总览'!$R3,'面板-景气指数'!$A$37:$A$242,0),MATCH('面板-总览'!AD$2,'面板-景气指数'!$36:$36,0))</f>
        <v>0.6740769230769228</v>
      </c>
      <c r="AE3" s="6">
        <f>INDEX('面板-景气指数'!$37:$242,MATCH('面板-总览'!$R3,'面板-景气指数'!$A$37:$A$242,0),MATCH('面板-总览'!AE$2,'面板-景气指数'!$36:$36,0))</f>
        <v>0.70715384615384591</v>
      </c>
      <c r="AF3" s="10"/>
      <c r="AG3" s="11">
        <f>AE3-AB3</f>
        <v>5.361538461538462E-2</v>
      </c>
      <c r="AI3" s="5" t="s">
        <v>7</v>
      </c>
      <c r="AJ3" s="6">
        <f>INDEX('面板-景气指数'!$37:$242,MATCH('面板-总览'!$AI3,'面板-景气指数'!$A$37:$A$242,0),MATCH('面板-总览'!AJ$2,'面板-景气指数'!$36:$36,0))</f>
        <v>0.28499999999999998</v>
      </c>
      <c r="AK3" s="6">
        <f>INDEX('面板-景气指数'!$37:$242,MATCH('面板-总览'!$AI3,'面板-景气指数'!$A$37:$A$242,0),MATCH('面板-总览'!AK$2,'面板-景气指数'!$36:$36,0))</f>
        <v>0.193</v>
      </c>
      <c r="AL3" s="6">
        <f>INDEX('面板-景气指数'!$37:$242,MATCH('面板-总览'!$AI3,'面板-景气指数'!$A$37:$A$242,0),MATCH('面板-总览'!AL$2,'面板-景气指数'!$36:$36,0))</f>
        <v>0.26500000000000001</v>
      </c>
      <c r="AM3" s="6">
        <f>INDEX('面板-景气指数'!$37:$242,MATCH('面板-总览'!$AI3,'面板-景气指数'!$A$37:$A$242,0),MATCH('面板-总览'!AM$2,'面板-景气指数'!$36:$36,0))</f>
        <v>0.48899999999999993</v>
      </c>
      <c r="AN3" s="6">
        <f>INDEX('面板-景气指数'!$37:$242,MATCH('面板-总览'!$AI3,'面板-景气指数'!$A$37:$A$242,0),MATCH('面板-总览'!AN$2,'面板-景气指数'!$36:$36,0))</f>
        <v>0.58099999999999996</v>
      </c>
      <c r="AO3" s="6">
        <f>INDEX('面板-景气指数'!$37:$242,MATCH('面板-总览'!$AI3,'面板-景气指数'!$A$37:$A$242,0),MATCH('面板-总览'!AO$2,'面板-景气指数'!$36:$36,0))</f>
        <v>0.68300000000000005</v>
      </c>
      <c r="AP3" s="6">
        <f>INDEX('面板-景气指数'!$37:$242,MATCH('面板-总览'!$AI3,'面板-景气指数'!$A$37:$A$242,0),MATCH('面板-总览'!AP$2,'面板-景气指数'!$36:$36,0))</f>
        <v>0.57099999999999995</v>
      </c>
      <c r="AQ3" s="6">
        <f>INDEX('面板-景气指数'!$37:$242,MATCH('面板-总览'!$AI3,'面板-景气指数'!$A$37:$A$242,0),MATCH('面板-总览'!AQ$2,'面板-景气指数'!$36:$36,0))</f>
        <v>0.55100000000000005</v>
      </c>
      <c r="AR3" s="6">
        <f>INDEX('面板-景气指数'!$37:$242,MATCH('面板-总览'!$AI3,'面板-景气指数'!$A$37:$A$242,0),MATCH('面板-总览'!AR$2,'面板-景气指数'!$36:$36,0))</f>
        <v>0.52</v>
      </c>
      <c r="AS3" s="6">
        <f>INDEX('面板-景气指数'!$37:$242,MATCH('面板-总览'!$AI3,'面板-景气指数'!$A$37:$A$242,0),MATCH('面板-总览'!AS$2,'面板-景气指数'!$36:$36,0))</f>
        <v>0.5</v>
      </c>
      <c r="AT3" s="6">
        <f>INDEX('面板-景气指数'!$37:$242,MATCH('面板-总览'!$AI3,'面板-景气指数'!$A$37:$A$242,0),MATCH('面板-总览'!AT$2,'面板-景气指数'!$36:$36,0))</f>
        <v>0.46899999999999997</v>
      </c>
      <c r="AU3" s="6">
        <f>INDEX('面板-景气指数'!$37:$242,MATCH('面板-总览'!$AI3,'面板-景气指数'!$A$37:$A$242,0),MATCH('面板-总览'!AU$2,'面板-景气指数'!$36:$36,0))</f>
        <v>0.44800000000000001</v>
      </c>
      <c r="AV3" s="6">
        <f>INDEX('面板-景气指数'!$37:$242,MATCH('面板-总览'!$AI3,'面板-景气指数'!$A$37:$A$242,0),MATCH('面板-总览'!AV$2,'面板-景气指数'!$36:$36,0))</f>
        <v>0.45900000000000002</v>
      </c>
      <c r="AW3" s="10"/>
      <c r="AX3" s="11">
        <f>AV3-AS3</f>
        <v>-4.0999999999999981E-2</v>
      </c>
    </row>
    <row r="4" spans="1:50" ht="21" customHeight="1" x14ac:dyDescent="0.2">
      <c r="A4" s="5" t="s">
        <v>8</v>
      </c>
      <c r="B4" s="6">
        <f>INDEX('面板-景气指数'!$37:$242,MATCH('面板-总览'!$A4,'面板-景气指数'!$A$37:$A$242,0),MATCH('面板-总览'!B$2,'面板-景气指数'!$36:$36,0))</f>
        <v>0.85050000000000092</v>
      </c>
      <c r="C4" s="6">
        <f>INDEX('面板-景气指数'!$37:$242,MATCH('面板-总览'!$A4,'面板-景气指数'!$A$37:$A$242,0),MATCH('面板-总览'!C$2,'面板-景气指数'!$36:$36,0))</f>
        <v>0.83283333333333409</v>
      </c>
      <c r="D4" s="6">
        <f>INDEX('面板-景气指数'!$37:$242,MATCH('面板-总览'!$A4,'面板-景气指数'!$A$37:$A$242,0),MATCH('面板-总览'!D$2,'面板-景气指数'!$36:$36,0))</f>
        <v>0.77450000000000063</v>
      </c>
      <c r="E4" s="6">
        <f>INDEX('面板-景气指数'!$37:$242,MATCH('面板-总览'!$A4,'面板-景气指数'!$A$37:$A$242,0),MATCH('面板-总览'!E$2,'面板-景气指数'!$36:$36,0))</f>
        <v>0.67583333333333406</v>
      </c>
      <c r="F4" s="6">
        <f>INDEX('面板-景气指数'!$37:$242,MATCH('面板-总览'!$A4,'面板-景气指数'!$A$37:$A$242,0),MATCH('面板-总览'!F$2,'面板-景气指数'!$36:$36,0))</f>
        <v>0.63483333333333392</v>
      </c>
      <c r="G4" s="6">
        <f>INDEX('面板-景气指数'!$37:$242,MATCH('面板-总览'!$A4,'面板-景气指数'!$A$37:$A$242,0),MATCH('面板-总览'!G$2,'面板-景气指数'!$36:$36,0))</f>
        <v>0.62400000000000055</v>
      </c>
      <c r="H4" s="6">
        <f>INDEX('面板-景气指数'!$37:$242,MATCH('面板-总览'!$A4,'面板-景气指数'!$A$37:$A$242,0),MATCH('面板-总览'!H$2,'面板-景气指数'!$36:$36,0))</f>
        <v>0.63600000000000056</v>
      </c>
      <c r="I4" s="6">
        <f>INDEX('面板-景气指数'!$37:$242,MATCH('面板-总览'!$A4,'面板-景气指数'!$A$37:$A$242,0),MATCH('面板-总览'!I$2,'面板-景气指数'!$36:$36,0))</f>
        <v>0.66250000000000064</v>
      </c>
      <c r="J4" s="6">
        <f>INDEX('面板-景气指数'!$37:$242,MATCH('面板-总览'!$A4,'面板-景气指数'!$A$37:$A$242,0),MATCH('面板-总览'!J$2,'面板-景气指数'!$36:$36,0))</f>
        <v>0.69533333333333402</v>
      </c>
      <c r="K4" s="6">
        <f>INDEX('面板-景气指数'!$37:$242,MATCH('面板-总览'!$A4,'面板-景气指数'!$A$37:$A$242,0),MATCH('面板-总览'!K$2,'面板-景气指数'!$36:$36,0))</f>
        <v>0.71800000000000064</v>
      </c>
      <c r="L4" s="6">
        <f>INDEX('面板-景气指数'!$37:$242,MATCH('面板-总览'!$A4,'面板-景气指数'!$A$37:$A$242,0),MATCH('面板-总览'!L$2,'面板-景气指数'!$36:$36,0))</f>
        <v>0.67366666666666741</v>
      </c>
      <c r="M4" s="6">
        <f>INDEX('面板-景气指数'!$37:$242,MATCH('面板-总览'!$A4,'面板-景气指数'!$A$37:$A$242,0),MATCH('面板-总览'!M$2,'面板-景气指数'!$36:$36,0))</f>
        <v>0.6620000000000007</v>
      </c>
      <c r="N4" s="6">
        <f>INDEX('面板-景气指数'!$37:$242,MATCH('面板-总览'!$A4,'面板-景气指数'!$A$37:$A$242,0),MATCH('面板-总览'!N$2,'面板-景气指数'!$36:$36,0))</f>
        <v>0.64833333333333398</v>
      </c>
      <c r="O4" s="7"/>
      <c r="P4" s="8">
        <f t="shared" ref="P4:P31" si="0">N4-K4</f>
        <v>-6.9666666666666655E-2</v>
      </c>
      <c r="R4" s="5" t="s">
        <v>9</v>
      </c>
      <c r="S4" s="6">
        <f>INDEX('面板-景气指数'!$37:$242,MATCH('面板-总览'!$R4,'面板-景气指数'!$A$37:$A$242,0),MATCH('面板-总览'!S$2,'面板-景气指数'!$36:$36,0))</f>
        <v>0.97899999999999998</v>
      </c>
      <c r="T4" s="6">
        <f>INDEX('面板-景气指数'!$37:$242,MATCH('面板-总览'!$R4,'面板-景气指数'!$A$37:$A$242,0),MATCH('面板-总览'!T$2,'面板-景气指数'!$36:$36,0))</f>
        <v>1</v>
      </c>
      <c r="U4" s="6">
        <f>INDEX('面板-景气指数'!$37:$242,MATCH('面板-总览'!$R4,'面板-景气指数'!$A$37:$A$242,0),MATCH('面板-总览'!U$2,'面板-景气指数'!$36:$36,0))</f>
        <v>0.98899999999999999</v>
      </c>
      <c r="V4" s="6">
        <f>INDEX('面板-景气指数'!$37:$242,MATCH('面板-总览'!$R4,'面板-景气指数'!$A$37:$A$242,0),MATCH('面板-总览'!V$2,'面板-景气指数'!$36:$36,0))</f>
        <v>0.5</v>
      </c>
      <c r="W4" s="6">
        <f>INDEX('面板-景气指数'!$37:$242,MATCH('面板-总览'!$R4,'面板-景气指数'!$A$37:$A$242,0),MATCH('面板-总览'!W$2,'面板-景气指数'!$36:$36,0))</f>
        <v>0.54600000000000004</v>
      </c>
      <c r="X4" s="6">
        <f>INDEX('面板-景气指数'!$37:$242,MATCH('面板-总览'!$R4,'面板-景气指数'!$A$37:$A$242,0),MATCH('面板-总览'!X$2,'面板-景气指数'!$36:$36,0))</f>
        <v>0.74199999999999999</v>
      </c>
      <c r="Y4" s="6">
        <f>INDEX('面板-景气指数'!$37:$242,MATCH('面板-总览'!$R4,'面板-景气指数'!$A$37:$A$242,0),MATCH('面板-总览'!Y$2,'面板-景气指数'!$36:$36,0))</f>
        <v>0.88600000000000001</v>
      </c>
      <c r="Z4" s="6">
        <f>INDEX('面板-景气指数'!$37:$242,MATCH('面板-总览'!$R4,'面板-景气指数'!$A$37:$A$242,0),MATCH('面板-总览'!Z$2,'面板-景气指数'!$36:$36,0))</f>
        <v>0.752</v>
      </c>
      <c r="AA4" s="6">
        <f>INDEX('面板-景气指数'!$37:$242,MATCH('面板-总览'!$R4,'面板-景气指数'!$A$37:$A$242,0),MATCH('面板-总览'!AA$2,'面板-景气指数'!$36:$36,0))</f>
        <v>0.371</v>
      </c>
      <c r="AB4" s="6">
        <f>INDEX('面板-景气指数'!$37:$242,MATCH('面板-总览'!$R4,'面板-景气指数'!$A$37:$A$242,0),MATCH('面板-总览'!AB$2,'面板-景气指数'!$36:$36,0))</f>
        <v>5.0999999999999997E-2</v>
      </c>
      <c r="AC4" s="6">
        <f>INDEX('面板-景气指数'!$37:$242,MATCH('面板-总览'!$R4,'面板-景气指数'!$A$37:$A$242,0),MATCH('面板-总览'!AC$2,'面板-景气指数'!$36:$36,0))</f>
        <v>0.14399999999999999</v>
      </c>
      <c r="AD4" s="6">
        <f>INDEX('面板-景气指数'!$37:$242,MATCH('面板-总览'!$R4,'面板-景气指数'!$A$37:$A$242,0),MATCH('面板-总览'!AD$2,'面板-景气指数'!$36:$36,0))</f>
        <v>0.443</v>
      </c>
      <c r="AE4" s="6">
        <f>INDEX('面板-景气指数'!$37:$242,MATCH('面板-总览'!$R4,'面板-景气指数'!$A$37:$A$242,0),MATCH('面板-总览'!AE$2,'面板-景气指数'!$36:$36,0))</f>
        <v>0.505</v>
      </c>
      <c r="AF4" s="10"/>
      <c r="AG4" s="11">
        <f t="shared" ref="AG4:AG50" si="1">AE4-AB4</f>
        <v>0.45400000000000001</v>
      </c>
      <c r="AI4" s="5" t="s">
        <v>10</v>
      </c>
      <c r="AJ4" s="6">
        <f>INDEX('面板-景气指数'!$37:$242,MATCH('面板-总览'!$AI4,'面板-景气指数'!$A$37:$A$242,0),MATCH('面板-总览'!AJ$2,'面板-景气指数'!$36:$36,0))</f>
        <v>0.02</v>
      </c>
      <c r="AK4" s="6">
        <f>INDEX('面板-景气指数'!$37:$242,MATCH('面板-总览'!$AI4,'面板-景气指数'!$A$37:$A$242,0),MATCH('面板-总览'!AK$2,'面板-景气指数'!$36:$36,0))</f>
        <v>5.0999999999999997E-2</v>
      </c>
      <c r="AL4" s="6">
        <f>INDEX('面板-景气指数'!$37:$242,MATCH('面板-总览'!$AI4,'面板-景气指数'!$A$37:$A$242,0),MATCH('面板-总览'!AL$2,'面板-景气指数'!$36:$36,0))</f>
        <v>0.12200000000000001</v>
      </c>
      <c r="AM4" s="6">
        <f>INDEX('面板-景气指数'!$37:$242,MATCH('面板-总览'!$AI4,'面板-景气指数'!$A$37:$A$242,0),MATCH('面板-总览'!AM$2,'面板-景气指数'!$36:$36,0))</f>
        <v>0.23400000000000004</v>
      </c>
      <c r="AN4" s="6">
        <f>INDEX('面板-景气指数'!$37:$242,MATCH('面板-总览'!$AI4,'面板-景气指数'!$A$37:$A$242,0),MATCH('面板-总览'!AN$2,'面板-景气指数'!$36:$36,0))</f>
        <v>0.34599999999999997</v>
      </c>
      <c r="AO4" s="6">
        <f>INDEX('面板-景气指数'!$37:$242,MATCH('面板-总览'!$AI4,'面板-景气指数'!$A$37:$A$242,0),MATCH('面板-总览'!AO$2,'面板-景气指数'!$36:$36,0))</f>
        <v>0.44800000000000001</v>
      </c>
      <c r="AP4" s="6">
        <f>INDEX('面板-景气指数'!$37:$242,MATCH('面板-总览'!$AI4,'面板-景气指数'!$A$37:$A$242,0),MATCH('面板-总览'!AP$2,'面板-景气指数'!$36:$36,0))</f>
        <v>0.52</v>
      </c>
      <c r="AQ4" s="6">
        <f>INDEX('面板-景气指数'!$37:$242,MATCH('面板-总览'!$AI4,'面板-景气指数'!$A$37:$A$242,0),MATCH('面板-总览'!AQ$2,'面板-景气指数'!$36:$36,0))</f>
        <v>0.53</v>
      </c>
      <c r="AR4" s="6">
        <f>INDEX('面板-景气指数'!$37:$242,MATCH('面板-总览'!$AI4,'面板-景气指数'!$A$37:$A$242,0),MATCH('面板-总览'!AR$2,'面板-景气指数'!$36:$36,0))</f>
        <v>0.40799999999999997</v>
      </c>
      <c r="AS4" s="6">
        <f>INDEX('面板-景气指数'!$37:$242,MATCH('面板-总览'!$AI4,'面板-景气指数'!$A$37:$A$242,0),MATCH('面板-总览'!AS$2,'面板-景气指数'!$36:$36,0))</f>
        <v>0.42799999999999999</v>
      </c>
      <c r="AT4" s="6">
        <f>INDEX('面板-景气指数'!$37:$242,MATCH('面板-总览'!$AI4,'面板-景气指数'!$A$37:$A$242,0),MATCH('面板-总览'!AT$2,'面板-景气指数'!$36:$36,0))</f>
        <v>0.41799999999999993</v>
      </c>
      <c r="AU4" s="6">
        <f>INDEX('面板-景气指数'!$37:$242,MATCH('面板-总览'!$AI4,'面板-景气指数'!$A$37:$A$242,0),MATCH('面板-总览'!AU$2,'面板-景气指数'!$36:$36,0))</f>
        <v>0.51</v>
      </c>
      <c r="AV4" s="6">
        <f>INDEX('面板-景气指数'!$37:$242,MATCH('面板-总览'!$AI4,'面板-景气指数'!$A$37:$A$242,0),MATCH('面板-总览'!AV$2,'面板-景气指数'!$36:$36,0))</f>
        <v>0.46900000000000003</v>
      </c>
      <c r="AX4" s="11">
        <f t="shared" ref="AX4:AX67" si="2">AV4-AS4</f>
        <v>4.1000000000000036E-2</v>
      </c>
    </row>
    <row r="5" spans="1:50" ht="21" customHeight="1" x14ac:dyDescent="0.2">
      <c r="A5" s="5" t="s">
        <v>11</v>
      </c>
      <c r="B5" s="6">
        <f>INDEX('面板-景气指数'!$37:$242,MATCH('面板-总览'!$A5,'面板-景气指数'!$A$37:$A$242,0),MATCH('面板-总览'!B$2,'面板-景气指数'!$36:$36,0))</f>
        <v>0.30173882322550977</v>
      </c>
      <c r="C5" s="6">
        <f>INDEX('面板-景气指数'!$37:$242,MATCH('面板-总览'!$A5,'面板-景气指数'!$A$37:$A$242,0),MATCH('面板-总览'!C$2,'面板-景气指数'!$36:$36,0))</f>
        <v>0.27038533955469118</v>
      </c>
      <c r="D5" s="6">
        <f>INDEX('面板-景气指数'!$37:$242,MATCH('面板-总览'!$A5,'面板-景气指数'!$A$37:$A$242,0),MATCH('面板-总览'!D$2,'面板-景气指数'!$36:$36,0))</f>
        <v>0.31641398926050146</v>
      </c>
      <c r="E5" s="6">
        <f>INDEX('面板-景气指数'!$37:$242,MATCH('面板-总览'!$A5,'面板-景气指数'!$A$37:$A$242,0),MATCH('面板-总览'!E$2,'面板-景气指数'!$36:$36,0))</f>
        <v>0.43724983668370249</v>
      </c>
      <c r="F5" s="6">
        <f>INDEX('面板-景气指数'!$37:$242,MATCH('面板-总览'!$A5,'面板-景气指数'!$A$37:$A$242,0),MATCH('面板-总览'!F$2,'面板-景气指数'!$36:$36,0))</f>
        <v>0.50920195591289663</v>
      </c>
      <c r="G5" s="6">
        <f>INDEX('面板-景气指数'!$37:$242,MATCH('面板-总览'!$A5,'面板-景气指数'!$A$37:$A$242,0),MATCH('面板-总览'!G$2,'面板-景气指数'!$36:$36,0))</f>
        <v>0.5962911063716354</v>
      </c>
      <c r="H5" s="6">
        <f>INDEX('面板-景气指数'!$37:$242,MATCH('面板-总览'!$A5,'面板-景气指数'!$A$37:$A$242,0),MATCH('面板-总览'!H$2,'面板-景气指数'!$36:$36,0))</f>
        <v>0.56774032021439569</v>
      </c>
      <c r="I5" s="6">
        <f>INDEX('面板-景气指数'!$37:$242,MATCH('面板-总览'!$A5,'面板-景气指数'!$A$37:$A$242,0),MATCH('面板-总览'!I$2,'面板-景气指数'!$36:$36,0))</f>
        <v>0.56871033742653276</v>
      </c>
      <c r="J5" s="6">
        <f>INDEX('面板-景气指数'!$37:$242,MATCH('面板-总览'!$A5,'面板-景气指数'!$A$37:$A$242,0),MATCH('面板-总览'!J$2,'面板-景气指数'!$36:$36,0))</f>
        <v>0.50230915589848257</v>
      </c>
      <c r="K5" s="6">
        <f>INDEX('面板-景气指数'!$37:$242,MATCH('面板-总览'!$A5,'面板-景气指数'!$A$37:$A$242,0),MATCH('面板-总览'!K$2,'面板-景气指数'!$36:$36,0))</f>
        <v>0.47687224952462381</v>
      </c>
      <c r="L5" s="6">
        <f>INDEX('面板-景气指数'!$37:$242,MATCH('面板-总览'!$A5,'面板-景气指数'!$A$37:$A$242,0),MATCH('面板-总览'!L$2,'面板-景气指数'!$36:$36,0))</f>
        <v>0.4400086720730248</v>
      </c>
      <c r="M5" s="6">
        <f>INDEX('面板-景气指数'!$37:$242,MATCH('面板-总览'!$A5,'面板-景气指数'!$A$37:$A$242,0),MATCH('面板-总览'!M$2,'面板-景气指数'!$36:$36,0))</f>
        <v>0.47494962029326071</v>
      </c>
      <c r="N5" s="6">
        <f>INDEX('面板-景气指数'!$37:$242,MATCH('面板-总览'!$A5,'面板-景气指数'!$A$37:$A$242,0),MATCH('面板-总览'!N$2,'面板-景气指数'!$36:$36,0))</f>
        <v>0.48655130732944357</v>
      </c>
      <c r="O5" s="7"/>
      <c r="P5" s="8">
        <f t="shared" si="0"/>
        <v>9.6790578048197573E-3</v>
      </c>
      <c r="R5" s="5" t="s">
        <v>12</v>
      </c>
      <c r="S5" s="6">
        <f>INDEX('面板-景气指数'!$37:$242,MATCH('面板-总览'!$R5,'面板-景气指数'!$A$37:$A$242,0),MATCH('面板-总览'!S$2,'面板-景气指数'!$36:$36,0))</f>
        <v>0.86699999999999999</v>
      </c>
      <c r="T5" s="6">
        <f>INDEX('面板-景气指数'!$37:$242,MATCH('面板-总览'!$R5,'面板-景气指数'!$A$37:$A$242,0),MATCH('面板-总览'!T$2,'面板-景气指数'!$36:$36,0))</f>
        <v>0.84599999999999997</v>
      </c>
      <c r="U5" s="6">
        <f>INDEX('面板-景气指数'!$37:$242,MATCH('面板-总览'!$R5,'面板-景气指数'!$A$37:$A$242,0),MATCH('面板-总览'!U$2,'面板-景气指数'!$36:$36,0))</f>
        <v>0.78500000000000003</v>
      </c>
      <c r="V5" s="6">
        <f>INDEX('面板-景气指数'!$37:$242,MATCH('面板-总览'!$R5,'面板-景气指数'!$A$37:$A$242,0),MATCH('面板-总览'!V$2,'面板-景气指数'!$36:$36,0))</f>
        <v>0.64200000000000002</v>
      </c>
      <c r="W5" s="6">
        <f>INDEX('面板-景气指数'!$37:$242,MATCH('面板-总览'!$R5,'面板-景气指数'!$A$37:$A$242,0),MATCH('面板-总览'!W$2,'面板-景气指数'!$36:$36,0))</f>
        <v>0.60199999999999998</v>
      </c>
      <c r="X5" s="6">
        <f>INDEX('面板-景气指数'!$37:$242,MATCH('面板-总览'!$R5,'面板-景气指数'!$A$37:$A$242,0),MATCH('面板-总览'!X$2,'面板-景气指数'!$36:$36,0))</f>
        <v>0.61199999999999999</v>
      </c>
      <c r="Y5" s="6">
        <f>INDEX('面板-景气指数'!$37:$242,MATCH('面板-总览'!$R5,'面板-景气指数'!$A$37:$A$242,0),MATCH('面板-总览'!Y$2,'面板-景气指数'!$36:$36,0))</f>
        <v>0.65300000000000002</v>
      </c>
      <c r="Z5" s="6">
        <f>INDEX('面板-景气指数'!$37:$242,MATCH('面板-总览'!$R5,'面板-景气指数'!$A$37:$A$242,0),MATCH('面板-总览'!Z$2,'面板-景气指数'!$36:$36,0))</f>
        <v>0.68300000000000005</v>
      </c>
      <c r="AA5" s="6">
        <f>INDEX('面板-景气指数'!$37:$242,MATCH('面板-总览'!$R5,'面板-景气指数'!$A$37:$A$242,0),MATCH('面板-总览'!AA$2,'面板-景气指数'!$36:$36,0))</f>
        <v>0.72399999999999998</v>
      </c>
      <c r="AB5" s="6">
        <f>INDEX('面板-景气指数'!$37:$242,MATCH('面板-总览'!$R5,'面板-景气指数'!$A$37:$A$242,0),MATCH('面板-总览'!AB$2,'面板-景气指数'!$36:$36,0))</f>
        <v>0.70399999999999996</v>
      </c>
      <c r="AC5" s="6">
        <f>INDEX('面板-景气指数'!$37:$242,MATCH('面板-总览'!$R5,'面板-景气指数'!$A$37:$A$242,0),MATCH('面板-总览'!AC$2,'面板-景气指数'!$36:$36,0))</f>
        <v>0.68300000000000005</v>
      </c>
      <c r="AD5" s="6">
        <f>INDEX('面板-景气指数'!$37:$242,MATCH('面板-总览'!$R5,'面板-景气指数'!$A$37:$A$242,0),MATCH('面板-总览'!AD$2,'面板-景气指数'!$36:$36,0))</f>
        <v>0.67300000000000004</v>
      </c>
      <c r="AE5" s="6">
        <f>INDEX('面板-景气指数'!$37:$242,MATCH('面板-总览'!$R5,'面板-景气指数'!$A$37:$A$242,0),MATCH('面板-总览'!AE$2,'面板-景气指数'!$36:$36,0))</f>
        <v>0.66300000000000003</v>
      </c>
      <c r="AF5" s="10"/>
      <c r="AG5" s="11">
        <f t="shared" si="1"/>
        <v>-4.0999999999999925E-2</v>
      </c>
      <c r="AI5" s="5" t="s">
        <v>13</v>
      </c>
      <c r="AJ5" s="6">
        <f>INDEX('面板-景气指数'!$37:$242,MATCH('面板-总览'!$AI5,'面板-景气指数'!$A$37:$A$242,0),MATCH('面板-总览'!AJ$2,'面板-景气指数'!$36:$36,0))</f>
        <v>0.30049999999999999</v>
      </c>
      <c r="AK5" s="6">
        <f>INDEX('面板-景气指数'!$37:$242,MATCH('面板-总览'!$AI5,'面板-景气指数'!$A$37:$A$242,0),MATCH('面板-总览'!AK$2,'面板-景气指数'!$36:$36,0))</f>
        <v>0.21899999999999997</v>
      </c>
      <c r="AL5" s="6">
        <f>INDEX('面板-景气指数'!$37:$242,MATCH('面板-总览'!$AI5,'面板-景气指数'!$A$37:$A$242,0),MATCH('面板-总览'!AL$2,'面板-景气指数'!$36:$36,0))</f>
        <v>0.22399999999999995</v>
      </c>
      <c r="AM5" s="6">
        <f>INDEX('面板-景气指数'!$37:$242,MATCH('面板-总览'!$AI5,'面板-景气指数'!$A$37:$A$242,0),MATCH('面板-总览'!AM$2,'面板-景气指数'!$36:$36,0))</f>
        <v>0.311</v>
      </c>
      <c r="AN5" s="6">
        <f>INDEX('面板-景气指数'!$37:$242,MATCH('面板-总览'!$AI5,'面板-景气指数'!$A$37:$A$242,0),MATCH('面板-总览'!AN$2,'面板-景气指数'!$36:$36,0))</f>
        <v>0.35649999999999998</v>
      </c>
      <c r="AO5" s="6">
        <f>INDEX('面板-景气指数'!$37:$242,MATCH('面板-总览'!$AI5,'面板-景气指数'!$A$37:$A$242,0),MATCH('面板-总览'!AO$2,'面板-景气指数'!$36:$36,0))</f>
        <v>0.48400000000000004</v>
      </c>
      <c r="AP5" s="6">
        <f>INDEX('面板-景气指数'!$37:$242,MATCH('面板-总览'!$AI5,'面板-景气指数'!$A$37:$A$242,0),MATCH('面板-总览'!AP$2,'面板-景气指数'!$36:$36,0))</f>
        <v>0.48400000000000004</v>
      </c>
      <c r="AQ5" s="6">
        <f>INDEX('面板-景气指数'!$37:$242,MATCH('面板-总览'!$AI5,'面板-景气指数'!$A$37:$A$242,0),MATCH('面板-总览'!AQ$2,'面板-景气指数'!$36:$36,0))</f>
        <v>0.53550000000000009</v>
      </c>
      <c r="AR5" s="6">
        <f>INDEX('面板-景气指数'!$37:$242,MATCH('面板-总览'!$AI5,'面板-景气指数'!$A$37:$A$242,0),MATCH('面板-总览'!AR$2,'面板-景气指数'!$36:$36,0))</f>
        <v>0.45850000000000002</v>
      </c>
      <c r="AS5" s="6">
        <f>INDEX('面板-景气指数'!$37:$242,MATCH('面板-总览'!$AI5,'面板-景气指数'!$A$37:$A$242,0),MATCH('面板-总览'!AS$2,'面板-景气指数'!$36:$36,0))</f>
        <v>0.46899999999999992</v>
      </c>
      <c r="AT5" s="6">
        <f>INDEX('面板-景气指数'!$37:$242,MATCH('面板-总览'!$AI5,'面板-景气指数'!$A$37:$A$242,0),MATCH('面板-总览'!AT$2,'面板-景气指数'!$36:$36,0))</f>
        <v>0.45349999999999996</v>
      </c>
      <c r="AU5" s="6">
        <f>INDEX('面板-景气指数'!$37:$242,MATCH('面板-总览'!$AI5,'面板-景气指数'!$A$37:$A$242,0),MATCH('面板-总览'!AU$2,'面板-景气指数'!$36:$36,0))</f>
        <v>0.55049999999999999</v>
      </c>
      <c r="AV5" s="6">
        <f>INDEX('面板-景气指数'!$37:$242,MATCH('面板-总览'!$AI5,'面板-景气指数'!$A$37:$A$242,0),MATCH('面板-总览'!AV$2,'面板-景气指数'!$36:$36,0))</f>
        <v>0.5605</v>
      </c>
      <c r="AX5" s="11">
        <f t="shared" si="2"/>
        <v>9.1500000000000081E-2</v>
      </c>
    </row>
    <row r="6" spans="1:50" ht="21" customHeight="1" x14ac:dyDescent="0.2">
      <c r="A6" s="5" t="s">
        <v>14</v>
      </c>
      <c r="B6" s="6">
        <f>INDEX('面板-景气指数'!$37:$242,MATCH('面板-总览'!$A6,'面板-景气指数'!$A$37:$A$242,0),MATCH('面板-总览'!B$2,'面板-景气指数'!$36:$36,0))</f>
        <v>0.28766882099395741</v>
      </c>
      <c r="C6" s="6">
        <f>INDEX('面板-景气指数'!$37:$242,MATCH('面板-总览'!$A6,'面板-景气指数'!$A$37:$A$242,0),MATCH('面板-总览'!C$2,'面板-景气指数'!$36:$36,0))</f>
        <v>0.20050758766776597</v>
      </c>
      <c r="D6" s="6">
        <f>INDEX('面板-景气指数'!$37:$242,MATCH('面板-总览'!$A6,'面板-景气指数'!$A$37:$A$242,0),MATCH('面板-总览'!D$2,'面板-景气指数'!$36:$36,0))</f>
        <v>0.19729741112389071</v>
      </c>
      <c r="E6" s="6">
        <f>INDEX('面板-景气指数'!$37:$242,MATCH('面板-总览'!$A6,'面板-景气指数'!$A$37:$A$242,0),MATCH('面板-总览'!E$2,'面板-景气指数'!$36:$36,0))</f>
        <v>0.2364582482586895</v>
      </c>
      <c r="F6" s="6">
        <f>INDEX('面板-景气指数'!$37:$242,MATCH('面板-总览'!$A6,'面板-景气指数'!$A$37:$A$242,0),MATCH('面板-总览'!F$2,'面板-景气指数'!$36:$36,0))</f>
        <v>0.30313350538199046</v>
      </c>
      <c r="G6" s="6">
        <f>INDEX('面板-景气指数'!$37:$242,MATCH('面板-总览'!$A6,'面板-景气指数'!$A$37:$A$242,0),MATCH('面板-总览'!G$2,'面板-景气指数'!$36:$36,0))</f>
        <v>0.36400093138478962</v>
      </c>
      <c r="H6" s="6">
        <f>INDEX('面板-景气指数'!$37:$242,MATCH('面板-总览'!$A6,'面板-景气指数'!$A$37:$A$242,0),MATCH('面板-总览'!H$2,'面板-景气指数'!$36:$36,0))</f>
        <v>0.37019438433423735</v>
      </c>
      <c r="I6" s="6">
        <f>INDEX('面板-景气指数'!$37:$242,MATCH('面板-总览'!$A6,'面板-景气指数'!$A$37:$A$242,0),MATCH('面板-总览'!I$2,'面板-景气指数'!$36:$36,0))</f>
        <v>0.36500388397696398</v>
      </c>
      <c r="J6" s="6">
        <f>INDEX('面板-景气指数'!$37:$242,MATCH('面板-总览'!$A6,'面板-景气指数'!$A$37:$A$242,0),MATCH('面板-总览'!J$2,'面板-景气指数'!$36:$36,0))</f>
        <v>0.36605606242466954</v>
      </c>
      <c r="K6" s="6">
        <f>INDEX('面板-景气指数'!$37:$242,MATCH('面板-总览'!$A6,'面板-景气指数'!$A$37:$A$242,0),MATCH('面板-总览'!K$2,'面板-景气指数'!$36:$36,0))</f>
        <v>0.33879320674265012</v>
      </c>
      <c r="L6" s="6">
        <f>INDEX('面板-景气指数'!$37:$242,MATCH('面板-总览'!$A6,'面板-景气指数'!$A$37:$A$242,0),MATCH('面板-总览'!L$2,'面板-景气指数'!$36:$36,0))</f>
        <v>0.31644587349847986</v>
      </c>
      <c r="M6" s="6">
        <f>INDEX('面板-景气指数'!$37:$242,MATCH('面板-总览'!$A6,'面板-景气指数'!$A$37:$A$242,0),MATCH('面板-总览'!M$2,'面板-景气指数'!$36:$36,0))</f>
        <v>0.28263184263568425</v>
      </c>
      <c r="N6" s="6">
        <f>INDEX('面板-景气指数'!$37:$242,MATCH('面板-总览'!$A6,'面板-景气指数'!$A$37:$A$242,0),MATCH('面板-总览'!N$2,'面板-景气指数'!$36:$36,0))</f>
        <v>0.29217727371569763</v>
      </c>
      <c r="O6" s="7"/>
      <c r="P6" s="8">
        <f t="shared" si="0"/>
        <v>-4.6615933026952494E-2</v>
      </c>
      <c r="R6" s="5" t="s">
        <v>15</v>
      </c>
      <c r="S6" s="6">
        <f>INDEX('面板-景气指数'!$37:$242,MATCH('面板-总览'!$R6,'面板-景气指数'!$A$37:$A$242,0),MATCH('面板-总览'!S$2,'面板-景气指数'!$36:$36,0))</f>
        <v>0.79500000000000004</v>
      </c>
      <c r="T6" s="6">
        <f>INDEX('面板-景气指数'!$37:$242,MATCH('面板-总览'!$R6,'面板-景气指数'!$A$37:$A$242,0),MATCH('面板-总览'!T$2,'面板-景气指数'!$36:$36,0))</f>
        <v>0.755</v>
      </c>
      <c r="U6" s="6">
        <f>INDEX('面板-景气指数'!$37:$242,MATCH('面板-总览'!$R6,'面板-景气指数'!$A$37:$A$242,0),MATCH('面板-总览'!U$2,'面板-景气指数'!$36:$36,0))</f>
        <v>0.70399999999999996</v>
      </c>
      <c r="V6" s="6">
        <f>INDEX('面板-景气指数'!$37:$242,MATCH('面板-总览'!$R6,'面板-景气指数'!$A$37:$A$242,0),MATCH('面板-总览'!V$2,'面板-景气指数'!$36:$36,0))</f>
        <v>0.65300000000000002</v>
      </c>
      <c r="W6" s="6">
        <f>INDEX('面板-景气指数'!$37:$242,MATCH('面板-总览'!$R6,'面板-景气指数'!$A$37:$A$242,0),MATCH('面板-总览'!W$2,'面板-景气指数'!$36:$36,0))</f>
        <v>0.622</v>
      </c>
      <c r="X6" s="6">
        <f>INDEX('面板-景气指数'!$37:$242,MATCH('面板-总览'!$R6,'面板-景气指数'!$A$37:$A$242,0),MATCH('面板-总览'!X$2,'面板-景气指数'!$36:$36,0))</f>
        <v>0.59099999999999997</v>
      </c>
      <c r="Y6" s="6">
        <f>INDEX('面板-景气指数'!$37:$242,MATCH('面板-总览'!$R6,'面板-景气指数'!$A$37:$A$242,0),MATCH('面板-总览'!Y$2,'面板-景气指数'!$36:$36,0))</f>
        <v>0.68300000000000005</v>
      </c>
      <c r="Z6" s="6">
        <f>INDEX('面板-景气指数'!$37:$242,MATCH('面板-总览'!$R6,'面板-景气指数'!$A$37:$A$242,0),MATCH('面板-总览'!Z$2,'面板-景气指数'!$36:$36,0))</f>
        <v>0.71399999999999997</v>
      </c>
      <c r="AA6" s="6">
        <f>INDEX('面板-景气指数'!$37:$242,MATCH('面板-总览'!$R6,'面板-景气指数'!$A$37:$A$242,0),MATCH('面板-总览'!AA$2,'面板-景气指数'!$36:$36,0))</f>
        <v>0.74399999999999999</v>
      </c>
      <c r="AB6" s="6">
        <f>INDEX('面板-景气指数'!$37:$242,MATCH('面板-总览'!$R6,'面板-景气指数'!$A$37:$A$242,0),MATCH('面板-总览'!AB$2,'面板-景气指数'!$36:$36,0))</f>
        <v>0.77500000000000002</v>
      </c>
      <c r="AC6" s="6">
        <f>INDEX('面板-景气指数'!$37:$242,MATCH('面板-总览'!$R6,'面板-景气指数'!$A$37:$A$242,0),MATCH('面板-总览'!AC$2,'面板-景气指数'!$36:$36,0))</f>
        <v>0.78499999999999992</v>
      </c>
      <c r="AD6" s="6">
        <f>INDEX('面板-景气指数'!$37:$242,MATCH('面板-总览'!$R6,'面板-景气指数'!$A$37:$A$242,0),MATCH('面板-总览'!AD$2,'面板-景气指数'!$36:$36,0))</f>
        <v>0.76500000000000001</v>
      </c>
      <c r="AE6" s="6">
        <f>INDEX('面板-景气指数'!$37:$242,MATCH('面板-总览'!$R6,'面板-景气指数'!$A$37:$A$242,0),MATCH('面板-总览'!AE$2,'面板-景气指数'!$36:$36,0))</f>
        <v>0.73399999999999999</v>
      </c>
      <c r="AF6" s="10"/>
      <c r="AG6" s="11">
        <f t="shared" si="1"/>
        <v>-4.1000000000000036E-2</v>
      </c>
      <c r="AI6" s="5" t="s">
        <v>16</v>
      </c>
      <c r="AJ6" s="6">
        <f>INDEX('面板-景气指数'!$37:$242,MATCH('面板-总览'!$AI6,'面板-景气指数'!$A$37:$A$242,0),MATCH('面板-总览'!AJ$2,'面板-景气指数'!$36:$36,0))</f>
        <v>0.33600000000000002</v>
      </c>
      <c r="AK6" s="6">
        <f>INDEX('面板-景气指数'!$37:$242,MATCH('面板-总览'!$AI6,'面板-景气指数'!$A$37:$A$242,0),MATCH('面板-总览'!AK$2,'面板-景气指数'!$36:$36,0))</f>
        <v>0.438</v>
      </c>
      <c r="AL6" s="6">
        <f>INDEX('面板-景气指数'!$37:$242,MATCH('面板-总览'!$AI6,'面板-景气指数'!$A$37:$A$242,0),MATCH('面板-总览'!AL$2,'面板-景气指数'!$36:$36,0))</f>
        <v>0.53</v>
      </c>
      <c r="AM6" s="6">
        <f>INDEX('面板-景气指数'!$37:$242,MATCH('面板-总览'!$AI6,'面板-景气指数'!$A$37:$A$242,0),MATCH('面板-总览'!AM$2,'面板-景气指数'!$36:$36,0))</f>
        <v>0.622</v>
      </c>
      <c r="AN6" s="6">
        <f>INDEX('面板-景气指数'!$37:$242,MATCH('面板-总览'!$AI6,'面板-景气指数'!$A$37:$A$242,0),MATCH('面板-总览'!AN$2,'面板-景气指数'!$36:$36,0))</f>
        <v>0.63200000000000001</v>
      </c>
      <c r="AO6" s="6">
        <f>INDEX('面板-景气指数'!$37:$242,MATCH('面板-总览'!$AI6,'面板-景气指数'!$A$37:$A$242,0),MATCH('面板-总览'!AO$2,'面板-景气指数'!$36:$36,0))</f>
        <v>0.72399999999999998</v>
      </c>
      <c r="AP6" s="6">
        <f>INDEX('面板-景气指数'!$37:$242,MATCH('面板-总览'!$AI6,'面板-景气指数'!$A$37:$A$242,0),MATCH('面板-总览'!AP$2,'面板-景气指数'!$36:$36,0))</f>
        <v>0.73399999999999999</v>
      </c>
      <c r="AQ6" s="6">
        <f>INDEX('面板-景气指数'!$37:$242,MATCH('面板-总览'!$AI6,'面板-景气指数'!$A$37:$A$242,0),MATCH('面板-总览'!AQ$2,'面板-景气指数'!$36:$36,0))</f>
        <v>0.77500000000000002</v>
      </c>
      <c r="AR6" s="6">
        <f>INDEX('面板-景气指数'!$37:$242,MATCH('面板-总览'!$AI6,'面板-景气指数'!$A$37:$A$242,0),MATCH('面板-总览'!AR$2,'面板-景气指数'!$36:$36,0))</f>
        <v>0.7649999999999999</v>
      </c>
      <c r="AS6" s="6">
        <f>INDEX('面板-景气指数'!$37:$242,MATCH('面板-总览'!$AI6,'面板-景气指数'!$A$37:$A$242,0),MATCH('面板-总览'!AS$2,'面板-景气指数'!$36:$36,0))</f>
        <v>0.71399999999999997</v>
      </c>
      <c r="AT6" s="6">
        <f>INDEX('面板-景气指数'!$37:$242,MATCH('面板-总览'!$AI6,'面板-景气指数'!$A$37:$A$242,0),MATCH('面板-总览'!AT$2,'面板-景气指数'!$36:$36,0))</f>
        <v>0.64200000000000002</v>
      </c>
      <c r="AU6" s="6">
        <f>INDEX('面板-景气指数'!$37:$242,MATCH('面板-总览'!$AI6,'面板-景气指数'!$A$37:$A$242,0),MATCH('面板-总览'!AU$2,'面板-景气指数'!$36:$36,0))</f>
        <v>0.65300000000000002</v>
      </c>
      <c r="AV6" s="6">
        <f>INDEX('面板-景气指数'!$37:$242,MATCH('面板-总览'!$AI6,'面板-景气指数'!$A$37:$A$242,0),MATCH('面板-总览'!AV$2,'面板-景气指数'!$36:$36,0))</f>
        <v>0.70399999999999996</v>
      </c>
      <c r="AX6" s="11">
        <f t="shared" si="2"/>
        <v>-1.0000000000000009E-2</v>
      </c>
    </row>
    <row r="7" spans="1:50" ht="21" customHeight="1" x14ac:dyDescent="0.2">
      <c r="A7" s="5" t="s">
        <v>17</v>
      </c>
      <c r="B7" s="6">
        <f>INDEX('面板-景气指数'!$37:$242,MATCH('面板-总览'!$A7,'面板-景气指数'!$A$37:$A$242,0),MATCH('面板-总览'!B$2,'面板-景气指数'!$36:$36,0))</f>
        <v>0.21410131913379118</v>
      </c>
      <c r="C7" s="6">
        <f>INDEX('面板-景气指数'!$37:$242,MATCH('面板-总览'!$A7,'面板-景气指数'!$A$37:$A$242,0),MATCH('面板-总览'!C$2,'面板-景气指数'!$36:$36,0))</f>
        <v>0.15995321047729733</v>
      </c>
      <c r="D7" s="6">
        <f>INDEX('面板-景气指数'!$37:$242,MATCH('面板-总览'!$A7,'面板-景气指数'!$A$37:$A$242,0),MATCH('面板-总览'!D$2,'面板-景气指数'!$36:$36,0))</f>
        <v>0.16319650714644515</v>
      </c>
      <c r="E7" s="6">
        <f>INDEX('面板-景气指数'!$37:$242,MATCH('面板-总览'!$A7,'面板-景气指数'!$A$37:$A$242,0),MATCH('面板-总览'!E$2,'面板-景气指数'!$36:$36,0))</f>
        <v>0.22800261595831633</v>
      </c>
      <c r="F7" s="6">
        <f>INDEX('面板-景气指数'!$37:$242,MATCH('面板-总览'!$A7,'面板-景气指数'!$A$37:$A$242,0),MATCH('面板-总览'!F$2,'面板-景气指数'!$36:$36,0))</f>
        <v>0.30860179477390931</v>
      </c>
      <c r="G7" s="6">
        <f>INDEX('面板-景气指数'!$37:$242,MATCH('面板-总览'!$A7,'面板-景气指数'!$A$37:$A$242,0),MATCH('面板-总览'!G$2,'面板-景气指数'!$36:$36,0))</f>
        <v>0.35986888009582929</v>
      </c>
      <c r="H7" s="6">
        <f>INDEX('面板-景气指数'!$37:$242,MATCH('面板-总览'!$A7,'面板-景气指数'!$A$37:$A$242,0),MATCH('面板-总览'!H$2,'面板-景气指数'!$36:$36,0))</f>
        <v>0.35121995025492841</v>
      </c>
      <c r="I7" s="6">
        <f>INDEX('面板-景气指数'!$37:$242,MATCH('面板-总览'!$A7,'面板-景气指数'!$A$37:$A$242,0),MATCH('面板-总览'!I$2,'面板-景气指数'!$36:$36,0))</f>
        <v>0.35451645740137355</v>
      </c>
      <c r="J7" s="6">
        <f>INDEX('面板-景气指数'!$37:$242,MATCH('面板-总览'!$A7,'面板-景气指数'!$A$37:$A$242,0),MATCH('面板-总览'!J$2,'面板-景气指数'!$36:$36,0))</f>
        <v>0.36832560573594747</v>
      </c>
      <c r="K7" s="6">
        <f>INDEX('面板-景气指数'!$37:$242,MATCH('面板-总览'!$A7,'面板-景气指数'!$A$37:$A$242,0),MATCH('面板-总览'!K$2,'面板-景气指数'!$36:$36,0))</f>
        <v>0.35036851224227444</v>
      </c>
      <c r="L7" s="6">
        <f>INDEX('面板-景气指数'!$37:$242,MATCH('面板-总览'!$A7,'面板-景气指数'!$A$37:$A$242,0),MATCH('面板-总览'!L$2,'面板-景气指数'!$36:$36,0))</f>
        <v>0.30124616160215623</v>
      </c>
      <c r="M7" s="6">
        <f>INDEX('面板-景气指数'!$37:$242,MATCH('面板-总览'!$A7,'面板-景气指数'!$A$37:$A$242,0),MATCH('面板-总览'!M$2,'面板-景气指数'!$36:$36,0))</f>
        <v>0.24664027945571113</v>
      </c>
      <c r="N7" s="6">
        <f>INDEX('面板-景气指数'!$37:$242,MATCH('面板-总览'!$A7,'面板-景气指数'!$A$37:$A$242,0),MATCH('面板-总览'!N$2,'面板-景气指数'!$36:$36,0))</f>
        <v>0.23806671746836505</v>
      </c>
      <c r="O7" s="7"/>
      <c r="P7" s="8">
        <f t="shared" si="0"/>
        <v>-0.11230179477390939</v>
      </c>
      <c r="R7" s="5" t="s">
        <v>18</v>
      </c>
      <c r="S7" s="6">
        <f>INDEX('面板-景气指数'!$37:$242,MATCH('面板-总览'!$R7,'面板-景气指数'!$A$37:$A$242,0),MATCH('面板-总览'!S$2,'面板-景气指数'!$36:$36,0))</f>
        <v>0.877</v>
      </c>
      <c r="T7" s="6">
        <f>INDEX('面板-景气指数'!$37:$242,MATCH('面板-总览'!$R7,'面板-景气指数'!$A$37:$A$242,0),MATCH('面板-总览'!T$2,'面板-景气指数'!$36:$36,0))</f>
        <v>0.80600000000000005</v>
      </c>
      <c r="U7" s="6">
        <f>INDEX('面板-景气指数'!$37:$242,MATCH('面板-总览'!$R7,'面板-景气指数'!$A$37:$A$242,0),MATCH('面板-总览'!U$2,'面板-景气指数'!$36:$36,0))</f>
        <v>0.77500000000000002</v>
      </c>
      <c r="V7" s="6">
        <f>INDEX('面板-景气指数'!$37:$242,MATCH('面板-总览'!$R7,'面板-景气指数'!$A$37:$A$242,0),MATCH('面板-总览'!V$2,'面板-景气指数'!$36:$36,0))</f>
        <v>0.71399999999999997</v>
      </c>
      <c r="W7" s="6">
        <f>INDEX('面板-景气指数'!$37:$242,MATCH('面板-总览'!$R7,'面板-景气指数'!$A$37:$A$242,0),MATCH('面板-总览'!W$2,'面板-景气指数'!$36:$36,0))</f>
        <v>0.70399999999999996</v>
      </c>
      <c r="X7" s="6">
        <f>INDEX('面板-景气指数'!$37:$242,MATCH('面板-总览'!$R7,'面板-景气指数'!$A$37:$A$242,0),MATCH('面板-总览'!X$2,'面板-景气指数'!$36:$36,0))</f>
        <v>0.72399999999999998</v>
      </c>
      <c r="Y7" s="6">
        <f>INDEX('面板-景气指数'!$37:$242,MATCH('面板-总览'!$R7,'面板-景气指数'!$A$37:$A$242,0),MATCH('面板-总览'!Y$2,'面板-景气指数'!$36:$36,0))</f>
        <v>0.73399999999999999</v>
      </c>
      <c r="Z7" s="6">
        <f>INDEX('面板-景气指数'!$37:$242,MATCH('面板-总览'!$R7,'面板-景气指数'!$A$37:$A$242,0),MATCH('面板-总览'!Z$2,'面板-景气指数'!$36:$36,0))</f>
        <v>0.755</v>
      </c>
      <c r="AA7" s="6">
        <f>INDEX('面板-景气指数'!$37:$242,MATCH('面板-总览'!$R7,'面板-景气指数'!$A$37:$A$242,0),MATCH('面板-总览'!AA$2,'面板-景气指数'!$36:$36,0))</f>
        <v>0.76500000000000001</v>
      </c>
      <c r="AB7" s="6">
        <f>INDEX('面板-景气指数'!$37:$242,MATCH('面板-总览'!$R7,'面板-景气指数'!$A$37:$A$242,0),MATCH('面板-总览'!AB$2,'面板-景气指数'!$36:$36,0))</f>
        <v>0.69299999999999995</v>
      </c>
      <c r="AC7" s="6">
        <f>INDEX('面板-景气指数'!$37:$242,MATCH('面板-总览'!$R7,'面板-景气指数'!$A$37:$A$242,0),MATCH('面板-总览'!AC$2,'面板-景气指数'!$36:$36,0))</f>
        <v>0.68300000000000005</v>
      </c>
      <c r="AD7" s="6">
        <f>INDEX('面板-景气指数'!$37:$242,MATCH('面板-总览'!$R7,'面板-景气指数'!$A$37:$A$242,0),MATCH('面板-总览'!AD$2,'面板-景气指数'!$36:$36,0))</f>
        <v>0.66300000000000003</v>
      </c>
      <c r="AE7" s="6">
        <f>INDEX('面板-景气指数'!$37:$242,MATCH('面板-总览'!$R7,'面板-景气指数'!$A$37:$A$242,0),MATCH('面板-总览'!AE$2,'面板-景气指数'!$36:$36,0))</f>
        <v>0.64200000000000002</v>
      </c>
      <c r="AF7" s="10"/>
      <c r="AG7" s="11">
        <f t="shared" si="1"/>
        <v>-5.0999999999999934E-2</v>
      </c>
      <c r="AI7" s="5" t="s">
        <v>19</v>
      </c>
      <c r="AJ7" s="6">
        <f>INDEX('面板-景气指数'!$37:$242,MATCH('面板-总览'!$AI7,'面板-景气指数'!$A$37:$A$242,0),MATCH('面板-总览'!AJ$2,'面板-景气指数'!$36:$36,0))</f>
        <v>0.316</v>
      </c>
      <c r="AK7" s="6">
        <f>INDEX('面板-景气指数'!$37:$242,MATCH('面板-总览'!$AI7,'面板-景气指数'!$A$37:$A$242,0),MATCH('面板-总览'!AK$2,'面板-景气指数'!$36:$36,0))</f>
        <v>0.5</v>
      </c>
      <c r="AL7" s="6">
        <f>INDEX('面板-景气指数'!$37:$242,MATCH('面板-总览'!$AI7,'面板-景气指数'!$A$37:$A$242,0),MATCH('面板-总览'!AL$2,'面板-景气指数'!$36:$36,0))</f>
        <v>0.61199999999999999</v>
      </c>
      <c r="AM7" s="6">
        <f>INDEX('面板-景气指数'!$37:$242,MATCH('面板-总览'!$AI7,'面板-景气指数'!$A$37:$A$242,0),MATCH('面板-总览'!AM$2,'面板-景气指数'!$36:$36,0))</f>
        <v>0.71399999999999997</v>
      </c>
      <c r="AN7" s="6">
        <f>INDEX('面板-景气指数'!$37:$242,MATCH('面板-总览'!$AI7,'面板-景气指数'!$A$37:$A$242,0),MATCH('面板-总览'!AN$2,'面板-景气指数'!$36:$36,0))</f>
        <v>0.7649999999999999</v>
      </c>
      <c r="AO7" s="6">
        <f>INDEX('面板-景气指数'!$37:$242,MATCH('面板-总览'!$AI7,'面板-景气指数'!$A$37:$A$242,0),MATCH('面板-总览'!AO$2,'面板-景气指数'!$36:$36,0))</f>
        <v>0.84599999999999997</v>
      </c>
      <c r="AP7" s="6">
        <f>INDEX('面板-景气指数'!$37:$242,MATCH('面板-总览'!$AI7,'面板-景气指数'!$A$37:$A$242,0),MATCH('面板-总览'!AP$2,'面板-景气指数'!$36:$36,0))</f>
        <v>0.78500000000000014</v>
      </c>
      <c r="AQ7" s="6">
        <f>INDEX('面板-景气指数'!$37:$242,MATCH('面板-总览'!$AI7,'面板-景气指数'!$A$37:$A$242,0),MATCH('面板-总览'!AQ$2,'面板-景气指数'!$36:$36,0))</f>
        <v>0.72399999999999998</v>
      </c>
      <c r="AR7" s="6">
        <f>INDEX('面板-景气指数'!$37:$242,MATCH('面板-总览'!$AI7,'面板-景气指数'!$A$37:$A$242,0),MATCH('面板-总览'!AR$2,'面板-景气指数'!$36:$36,0))</f>
        <v>0.63200000000000001</v>
      </c>
      <c r="AS7" s="6">
        <f>INDEX('面板-景气指数'!$37:$242,MATCH('面板-总览'!$AI7,'面板-景气指数'!$A$37:$A$242,0),MATCH('面板-总览'!AS$2,'面板-景气指数'!$36:$36,0))</f>
        <v>0.55100000000000005</v>
      </c>
      <c r="AT7" s="6">
        <f>INDEX('面板-景气指数'!$37:$242,MATCH('面板-总览'!$AI7,'面板-景气指数'!$A$37:$A$242,0),MATCH('面板-总览'!AT$2,'面板-景气指数'!$36:$36,0))</f>
        <v>0.51</v>
      </c>
      <c r="AU7" s="6">
        <f>INDEX('面板-景气指数'!$37:$242,MATCH('面板-总览'!$AI7,'面板-景气指数'!$A$37:$A$242,0),MATCH('面板-总览'!AU$2,'面板-景气指数'!$36:$36,0))</f>
        <v>0.56100000000000005</v>
      </c>
      <c r="AV7" s="6">
        <f>INDEX('面板-景气指数'!$37:$242,MATCH('面板-总览'!$AI7,'面板-景气指数'!$A$37:$A$242,0),MATCH('面板-总览'!AV$2,'面板-景气指数'!$36:$36,0))</f>
        <v>0.59099999999999997</v>
      </c>
      <c r="AX7" s="11">
        <f t="shared" si="2"/>
        <v>3.9999999999999925E-2</v>
      </c>
    </row>
    <row r="8" spans="1:50" ht="21" customHeight="1" x14ac:dyDescent="0.2">
      <c r="A8" s="5" t="s">
        <v>20</v>
      </c>
      <c r="B8" s="6">
        <f>INDEX('面板-景气指数'!$37:$242,MATCH('面板-总览'!$A8,'面板-景气指数'!$A$37:$A$242,0),MATCH('面板-总览'!B$2,'面板-景气指数'!$36:$36,0))</f>
        <v>0.2604630542157661</v>
      </c>
      <c r="C8" s="6">
        <f>INDEX('面板-景气指数'!$37:$242,MATCH('面板-总览'!$A8,'面板-景气指数'!$A$37:$A$242,0),MATCH('面板-总览'!C$2,'面板-景气指数'!$36:$36,0))</f>
        <v>0.27320400113946447</v>
      </c>
      <c r="D8" s="6">
        <f>INDEX('面板-景气指数'!$37:$242,MATCH('面板-总览'!$A8,'面板-景气指数'!$A$37:$A$242,0),MATCH('面板-总览'!D$2,'面板-景气指数'!$36:$36,0))</f>
        <v>0.24858189508289841</v>
      </c>
      <c r="E8" s="6">
        <f>INDEX('面板-景气指数'!$37:$242,MATCH('面板-总览'!$A8,'面板-景气指数'!$A$37:$A$242,0),MATCH('面板-总览'!E$2,'面板-景气指数'!$36:$36,0))</f>
        <v>0.25206014737968591</v>
      </c>
      <c r="F8" s="6">
        <f>INDEX('面板-景气指数'!$37:$242,MATCH('面板-总览'!$A8,'面板-景气指数'!$A$37:$A$242,0),MATCH('面板-总览'!F$2,'面板-景气指数'!$36:$36,0))</f>
        <v>0.25376029520313509</v>
      </c>
      <c r="G8" s="6">
        <f>INDEX('面板-景气指数'!$37:$242,MATCH('面板-总览'!$A8,'面板-景气指数'!$A$37:$A$242,0),MATCH('面板-总览'!G$2,'面板-景气指数'!$36:$36,0))</f>
        <v>0.25760360714089697</v>
      </c>
      <c r="H8" s="6">
        <f>INDEX('面板-景气指数'!$37:$242,MATCH('面板-总览'!$A8,'面板-景气指数'!$A$37:$A$242,0),MATCH('面板-总览'!H$2,'面板-景气指数'!$36:$36,0))</f>
        <v>0.25369445724967793</v>
      </c>
      <c r="I8" s="6">
        <f>INDEX('面板-景气指数'!$37:$242,MATCH('面板-总览'!$A8,'面板-景气指数'!$A$37:$A$242,0),MATCH('面板-总览'!I$2,'面板-景气指数'!$36:$36,0))</f>
        <v>0.26119797631611236</v>
      </c>
      <c r="J8" s="6">
        <f>INDEX('面板-景气指数'!$37:$242,MATCH('面板-总览'!$A8,'面板-景气指数'!$A$37:$A$242,0),MATCH('面板-总览'!J$2,'面板-景气指数'!$36:$36,0))</f>
        <v>0.30185508620885537</v>
      </c>
      <c r="K8" s="6">
        <f>INDEX('面板-景气指数'!$37:$242,MATCH('面板-总览'!$A8,'面板-景气指数'!$A$37:$A$242,0),MATCH('面板-总览'!K$2,'面板-景气指数'!$36:$36,0))</f>
        <v>0.33005736260165353</v>
      </c>
      <c r="L8" s="6">
        <f>INDEX('面板-景气指数'!$37:$242,MATCH('面板-总览'!$A8,'面板-景气指数'!$A$37:$A$242,0),MATCH('面板-总览'!L$2,'面板-景气指数'!$36:$36,0))</f>
        <v>0.32432891574785283</v>
      </c>
      <c r="M8" s="6">
        <f>INDEX('面板-景气指数'!$37:$242,MATCH('面板-总览'!$A8,'面板-景气指数'!$A$37:$A$242,0),MATCH('面板-总览'!M$2,'面板-景气指数'!$36:$36,0))</f>
        <v>0.2991988140862773</v>
      </c>
      <c r="N8" s="6">
        <f>INDEX('面板-景气指数'!$37:$242,MATCH('面板-总览'!$A8,'面板-景气指数'!$A$37:$A$242,0),MATCH('面板-总览'!N$2,'面板-景气指数'!$36:$36,0))</f>
        <v>0.26686984816800052</v>
      </c>
      <c r="O8" s="7"/>
      <c r="P8" s="8">
        <f t="shared" si="0"/>
        <v>-6.3187514433653003E-2</v>
      </c>
      <c r="R8" s="5" t="s">
        <v>21</v>
      </c>
      <c r="S8" s="6">
        <f>INDEX('面板-景气指数'!$37:$242,MATCH('面板-总览'!$R8,'面板-景气指数'!$A$37:$A$242,0),MATCH('面板-总览'!S$2,'面板-景气指数'!$36:$36,0))</f>
        <v>0.25756408454534935</v>
      </c>
      <c r="T8" s="6">
        <f>INDEX('面板-景气指数'!$37:$242,MATCH('面板-总览'!$R8,'面板-景气指数'!$A$37:$A$242,0),MATCH('面板-总览'!T$2,'面板-景气指数'!$36:$36,0))</f>
        <v>0.18713326396991062</v>
      </c>
      <c r="U8" s="6">
        <f>INDEX('面板-景气指数'!$37:$242,MATCH('面板-总览'!$R8,'面板-景气指数'!$A$37:$A$242,0),MATCH('面板-总览'!U$2,'面板-景气指数'!$36:$36,0))</f>
        <v>0.22554746725106573</v>
      </c>
      <c r="V8" s="6">
        <f>INDEX('面板-景气指数'!$37:$242,MATCH('面板-总览'!$R8,'面板-景气指数'!$A$37:$A$242,0),MATCH('面板-总览'!V$2,'面板-景气指数'!$36:$36,0))</f>
        <v>0.36627700878698255</v>
      </c>
      <c r="W8" s="6">
        <f>INDEX('面板-景气指数'!$37:$242,MATCH('面板-总览'!$R8,'面板-景气指数'!$A$37:$A$242,0),MATCH('面板-总览'!W$2,'面板-景气指数'!$36:$36,0))</f>
        <v>0.43771430732628924</v>
      </c>
      <c r="X8" s="6">
        <f>INDEX('面板-景气指数'!$37:$242,MATCH('面板-总览'!$R8,'面板-景气指数'!$A$37:$A$242,0),MATCH('面板-总览'!X$2,'面板-景气指数'!$36:$36,0))</f>
        <v>0.5524464423525125</v>
      </c>
      <c r="Y8" s="6">
        <f>INDEX('面板-景气指数'!$37:$242,MATCH('面板-总览'!$R8,'面板-景气指数'!$A$37:$A$242,0),MATCH('面板-总览'!Y$2,'面板-景气指数'!$36:$36,0))</f>
        <v>0.52079141193983269</v>
      </c>
      <c r="Z8" s="6">
        <f>INDEX('面板-景气指数'!$37:$242,MATCH('面板-总览'!$R8,'面板-景气指数'!$A$37:$A$242,0),MATCH('面板-总览'!Z$2,'面板-景气指数'!$36:$36,0))</f>
        <v>0.54047340180581394</v>
      </c>
      <c r="AA8" s="6">
        <f>INDEX('面板-景气指数'!$37:$242,MATCH('面板-总览'!$R8,'面板-景气指数'!$A$37:$A$242,0),MATCH('面板-总览'!AA$2,'面板-景气指数'!$36:$36,0))</f>
        <v>0.47442664720179367</v>
      </c>
      <c r="AB8" s="6">
        <f>INDEX('面板-景气指数'!$37:$242,MATCH('面板-总览'!$R8,'面板-景气指数'!$A$37:$A$242,0),MATCH('面板-总览'!AB$2,'面板-景气指数'!$36:$36,0))</f>
        <v>0.47496472176035098</v>
      </c>
      <c r="AC8" s="6">
        <f>INDEX('面板-景气指数'!$37:$242,MATCH('面板-总览'!$R8,'面板-景气指数'!$A$37:$A$242,0),MATCH('面板-总览'!AC$2,'面板-景气指数'!$36:$36,0))</f>
        <v>0.45449131995453718</v>
      </c>
      <c r="AD8" s="6">
        <f>INDEX('面板-景气指数'!$37:$242,MATCH('面板-总览'!$R8,'面板-景气指数'!$A$37:$A$242,0),MATCH('面板-总览'!AD$2,'面板-景气指数'!$36:$36,0))</f>
        <v>0.50740782563726128</v>
      </c>
      <c r="AE8" s="6">
        <f>INDEX('面板-景气指数'!$37:$242,MATCH('面板-总览'!$R8,'面板-景气指数'!$A$37:$A$242,0),MATCH('面板-总览'!AE$2,'面板-景气指数'!$36:$36,0))</f>
        <v>0.51100625101558872</v>
      </c>
      <c r="AF8" s="10"/>
      <c r="AG8" s="11">
        <f t="shared" si="1"/>
        <v>3.6041529255237736E-2</v>
      </c>
      <c r="AI8" s="5" t="s">
        <v>22</v>
      </c>
      <c r="AJ8" s="6">
        <f>INDEX('面板-景气指数'!$37:$242,MATCH('面板-总览'!$AI8,'面板-景气指数'!$A$37:$A$242,0),MATCH('面板-总览'!AJ$2,'面板-景气指数'!$36:$36,0))</f>
        <v>0.81599999999999995</v>
      </c>
      <c r="AK8" s="6">
        <f>INDEX('面板-景气指数'!$37:$242,MATCH('面板-总览'!$AI8,'面板-景气指数'!$A$37:$A$242,0),MATCH('面板-总览'!AK$2,'面板-景气指数'!$36:$36,0))</f>
        <v>0.70399999999999996</v>
      </c>
      <c r="AL8" s="6">
        <f>INDEX('面板-景气指数'!$37:$242,MATCH('面板-总览'!$AI8,'面板-景气指数'!$A$37:$A$242,0),MATCH('面板-总览'!AL$2,'面板-景气指数'!$36:$36,0))</f>
        <v>0.68300000000000005</v>
      </c>
      <c r="AM8" s="6">
        <f>INDEX('面板-景气指数'!$37:$242,MATCH('面板-总览'!$AI8,'面板-景气指数'!$A$37:$A$242,0),MATCH('面板-总览'!AM$2,'面板-景气指数'!$36:$36,0))</f>
        <v>0.66300000000000003</v>
      </c>
      <c r="AN8" s="6">
        <f>INDEX('面板-景气指数'!$37:$242,MATCH('面板-总览'!$AI8,'面板-景气指数'!$A$37:$A$242,0),MATCH('面板-总览'!AN$2,'面板-景气指数'!$36:$36,0))</f>
        <v>0.67300000000000004</v>
      </c>
      <c r="AO8" s="6">
        <f>INDEX('面板-景气指数'!$37:$242,MATCH('面板-总览'!$AI8,'面板-景气指数'!$A$37:$A$242,0),MATCH('面板-总览'!AO$2,'面板-景气指数'!$36:$36,0))</f>
        <v>0.69299999999999995</v>
      </c>
      <c r="AP8" s="6">
        <f>INDEX('面板-景气指数'!$37:$242,MATCH('面板-总览'!$AI8,'面板-景气指数'!$A$37:$A$242,0),MATCH('面板-总览'!AP$2,'面板-景气指数'!$36:$36,0))</f>
        <v>0.73399999999999999</v>
      </c>
      <c r="AQ8" s="6">
        <f>INDEX('面板-景气指数'!$37:$242,MATCH('面板-总览'!$AI8,'面板-景气指数'!$A$37:$A$242,0),MATCH('面板-总览'!AQ$2,'面板-景气指数'!$36:$36,0))</f>
        <v>0.755</v>
      </c>
      <c r="AR8" s="6">
        <f>INDEX('面板-景气指数'!$37:$242,MATCH('面板-总览'!$AI8,'面板-景气指数'!$A$37:$A$242,0),MATCH('面板-总览'!AR$2,'面板-景气指数'!$36:$36,0))</f>
        <v>0.72399999999999998</v>
      </c>
      <c r="AS8" s="6">
        <f>INDEX('面板-景气指数'!$37:$242,MATCH('面板-总览'!$AI8,'面板-景气指数'!$A$37:$A$242,0),MATCH('面板-总览'!AS$2,'面板-景气指数'!$36:$36,0))</f>
        <v>0.65300000000000002</v>
      </c>
      <c r="AT8" s="6">
        <f>INDEX('面板-景气指数'!$37:$242,MATCH('面板-总览'!$AI8,'面板-景气指数'!$A$37:$A$242,0),MATCH('面板-总览'!AT$2,'面板-景气指数'!$36:$36,0))</f>
        <v>0.63200000000000001</v>
      </c>
      <c r="AU8" s="6">
        <f>INDEX('面板-景气指数'!$37:$242,MATCH('面板-总览'!$AI8,'面板-景气指数'!$A$37:$A$242,0),MATCH('面板-总览'!AU$2,'面板-景气指数'!$36:$36,0))</f>
        <v>0.59099999999999997</v>
      </c>
      <c r="AV8" s="6">
        <f>INDEX('面板-景气指数'!$37:$242,MATCH('面板-总览'!$AI8,'面板-景气指数'!$A$37:$A$242,0),MATCH('面板-总览'!AV$2,'面板-景气指数'!$36:$36,0))</f>
        <v>0.56100000000000005</v>
      </c>
      <c r="AX8" s="11">
        <f t="shared" si="2"/>
        <v>-9.1999999999999971E-2</v>
      </c>
    </row>
    <row r="9" spans="1:50" ht="21" customHeight="1" x14ac:dyDescent="0.2">
      <c r="A9" s="5" t="s">
        <v>23</v>
      </c>
      <c r="B9" s="6">
        <f>INDEX('面板-景气指数'!$37:$242,MATCH('面板-总览'!$A9,'面板-景气指数'!$A$37:$A$242,0),MATCH('面板-总览'!B$2,'面板-景气指数'!$36:$36,0))</f>
        <v>0.36539701607343938</v>
      </c>
      <c r="C9" s="6">
        <f>INDEX('面板-景气指数'!$37:$242,MATCH('面板-总览'!$A9,'面板-景气指数'!$A$37:$A$242,0),MATCH('面板-总览'!C$2,'面板-景气指数'!$36:$36,0))</f>
        <v>0.30310760604230946</v>
      </c>
      <c r="D9" s="6">
        <f>INDEX('面板-景气指数'!$37:$242,MATCH('面板-总览'!$A9,'面板-景气指数'!$A$37:$A$242,0),MATCH('面板-总览'!D$2,'面板-景气指数'!$36:$36,0))</f>
        <v>0.26956094722756929</v>
      </c>
      <c r="E9" s="6">
        <f>INDEX('面板-景气指数'!$37:$242,MATCH('面板-总览'!$A9,'面板-景气指数'!$A$37:$A$242,0),MATCH('面板-总览'!E$2,'面板-景气指数'!$36:$36,0))</f>
        <v>0.21891264739218239</v>
      </c>
      <c r="F9" s="6">
        <f>INDEX('面板-景气指数'!$37:$242,MATCH('面板-总览'!$A9,'面板-景气指数'!$A$37:$A$242,0),MATCH('面板-总览'!F$2,'面板-景气指数'!$36:$36,0))</f>
        <v>0.26957783723114737</v>
      </c>
      <c r="G9" s="6">
        <f>INDEX('面板-景气指数'!$37:$242,MATCH('面板-总览'!$A9,'面板-景气指数'!$A$37:$A$242,0),MATCH('面板-总览'!G$2,'面板-景气指数'!$36:$36,0))</f>
        <v>0.29601371530871184</v>
      </c>
      <c r="H9" s="6">
        <f>INDEX('面板-景气指数'!$37:$242,MATCH('面板-总览'!$A9,'面板-景气指数'!$A$37:$A$242,0),MATCH('面板-总览'!H$2,'面板-景气指数'!$36:$36,0))</f>
        <v>0.35192771424217395</v>
      </c>
      <c r="I9" s="6">
        <f>INDEX('面板-景气指数'!$37:$242,MATCH('面板-总览'!$A9,'面板-景气指数'!$A$37:$A$242,0),MATCH('面板-总览'!I$2,'面板-景气指数'!$36:$36,0))</f>
        <v>0.42514267400738498</v>
      </c>
      <c r="J9" s="6">
        <f>INDEX('面板-景气指数'!$37:$242,MATCH('面板-总览'!$A9,'面板-景气指数'!$A$37:$A$242,0),MATCH('面板-总览'!J$2,'面板-景气指数'!$36:$36,0))</f>
        <v>0.49422051315553384</v>
      </c>
      <c r="K9" s="6">
        <f>INDEX('面板-景气指数'!$37:$242,MATCH('面板-总览'!$A9,'面板-景气指数'!$A$37:$A$242,0),MATCH('面板-总览'!K$2,'面板-景气指数'!$36:$36,0))</f>
        <v>0.5400431985887536</v>
      </c>
      <c r="L9" s="6">
        <f>INDEX('面板-景气指数'!$37:$242,MATCH('面板-总览'!$A9,'面板-景气指数'!$A$37:$A$242,0),MATCH('面板-总览'!L$2,'面板-景气指数'!$36:$36,0))</f>
        <v>0.54828112232808401</v>
      </c>
      <c r="M9" s="6">
        <f>INDEX('面板-景气指数'!$37:$242,MATCH('面板-总览'!$A9,'面板-景气指数'!$A$37:$A$242,0),MATCH('面板-总览'!M$2,'面板-景气指数'!$36:$36,0))</f>
        <v>0.51855580461091433</v>
      </c>
      <c r="N9" s="6">
        <f>INDEX('面板-景气指数'!$37:$242,MATCH('面板-总览'!$A9,'面板-景气指数'!$A$37:$A$242,0),MATCH('面板-总览'!N$2,'面板-景气指数'!$36:$36,0))</f>
        <v>0.51855580461091433</v>
      </c>
      <c r="O9" s="7"/>
      <c r="P9" s="8">
        <f t="shared" si="0"/>
        <v>-2.1487393977839275E-2</v>
      </c>
      <c r="R9" s="5" t="s">
        <v>24</v>
      </c>
      <c r="S9" s="6">
        <f>INDEX('面板-景气指数'!$37:$242,MATCH('面板-总览'!$R9,'面板-景气指数'!$A$37:$A$242,0),MATCH('面板-总览'!S$2,'面板-景气指数'!$36:$36,0))</f>
        <v>0.32600000000000001</v>
      </c>
      <c r="T9" s="6">
        <f>INDEX('面板-景气指数'!$37:$242,MATCH('面板-总览'!$R9,'面板-景气指数'!$A$37:$A$242,0),MATCH('面板-总览'!T$2,'面板-景气指数'!$36:$36,0))</f>
        <v>0.46900000000000003</v>
      </c>
      <c r="U9" s="6">
        <f>INDEX('面板-景气指数'!$37:$242,MATCH('面板-总览'!$R9,'面板-景气指数'!$A$37:$A$242,0),MATCH('面板-总览'!U$2,'面板-景气指数'!$36:$36,0))</f>
        <v>0.57099999999999995</v>
      </c>
      <c r="V9" s="6">
        <f>INDEX('面板-景气指数'!$37:$242,MATCH('面板-总览'!$R9,'面板-景气指数'!$A$37:$A$242,0),MATCH('面板-总览'!V$2,'面板-景气指数'!$36:$36,0))</f>
        <v>0.66799999999999993</v>
      </c>
      <c r="W9" s="6">
        <f>INDEX('面板-景气指数'!$37:$242,MATCH('面板-总览'!$R9,'面板-景气指数'!$A$37:$A$242,0),MATCH('面板-总览'!W$2,'面板-景气指数'!$36:$36,0))</f>
        <v>0.69850000000000001</v>
      </c>
      <c r="X9" s="6">
        <f>INDEX('面板-景气指数'!$37:$242,MATCH('面板-总览'!$R9,'面板-景气指数'!$A$37:$A$242,0),MATCH('面板-总览'!X$2,'面板-景气指数'!$36:$36,0))</f>
        <v>0.78499999999999992</v>
      </c>
      <c r="Y9" s="6">
        <f>INDEX('面板-景气指数'!$37:$242,MATCH('面板-总览'!$R9,'面板-景气指数'!$A$37:$A$242,0),MATCH('面板-总览'!Y$2,'面板-景气指数'!$36:$36,0))</f>
        <v>0.75950000000000017</v>
      </c>
      <c r="Z9" s="6">
        <f>INDEX('面板-景气指数'!$37:$242,MATCH('面板-总览'!$R9,'面板-景气指数'!$A$37:$A$242,0),MATCH('面板-总览'!Z$2,'面板-景气指数'!$36:$36,0))</f>
        <v>0.74950000000000006</v>
      </c>
      <c r="AA9" s="6">
        <f>INDEX('面板-景气指数'!$37:$242,MATCH('面板-总览'!$R9,'面板-景气指数'!$A$37:$A$242,0),MATCH('面板-总览'!AA$2,'面板-景气指数'!$36:$36,0))</f>
        <v>0.69850000000000001</v>
      </c>
      <c r="AB9" s="6">
        <f>INDEX('面板-景气指数'!$37:$242,MATCH('面板-总览'!$R9,'面板-景气指数'!$A$37:$A$242,0),MATCH('面板-总览'!AB$2,'面板-景气指数'!$36:$36,0))</f>
        <v>0.63249999999999995</v>
      </c>
      <c r="AC9" s="6">
        <f>INDEX('面板-景气指数'!$37:$242,MATCH('面板-总览'!$R9,'面板-景气指数'!$A$37:$A$242,0),MATCH('面板-总览'!AC$2,'面板-景气指数'!$36:$36,0))</f>
        <v>0.57599999999999996</v>
      </c>
      <c r="AD9" s="6">
        <f>INDEX('面板-景气指数'!$37:$242,MATCH('面板-总览'!$R9,'面板-景气指数'!$A$37:$A$242,0),MATCH('面板-总览'!AD$2,'面板-景气指数'!$36:$36,0))</f>
        <v>0.60699999999999998</v>
      </c>
      <c r="AE9" s="6">
        <f>INDEX('面板-景气指数'!$37:$242,MATCH('面板-总览'!$R9,'面板-景气指数'!$A$37:$A$242,0),MATCH('面板-总览'!AE$2,'面板-景气指数'!$36:$36,0))</f>
        <v>0.64749999999999996</v>
      </c>
      <c r="AF9" s="10"/>
      <c r="AG9" s="11">
        <f t="shared" si="1"/>
        <v>1.5000000000000013E-2</v>
      </c>
      <c r="AI9" s="5" t="s">
        <v>25</v>
      </c>
      <c r="AJ9" s="6">
        <f>INDEX('面板-景气指数'!$37:$242,MATCH('面板-总览'!$AI9,'面板-景气指数'!$A$37:$A$242,0),MATCH('面板-总览'!AJ$2,'面板-景气指数'!$36:$36,0))</f>
        <v>0.33600000000000002</v>
      </c>
      <c r="AK9" s="6">
        <f>INDEX('面板-景气指数'!$37:$242,MATCH('面板-总览'!$AI9,'面板-景气指数'!$A$37:$A$242,0),MATCH('面板-总览'!AK$2,'面板-景气指数'!$36:$36,0))</f>
        <v>0.36699999999999999</v>
      </c>
      <c r="AL9" s="6">
        <f>INDEX('面板-景气指数'!$37:$242,MATCH('面板-总览'!$AI9,'面板-景气指数'!$A$37:$A$242,0),MATCH('面板-总览'!AL$2,'面板-景气指数'!$36:$36,0))</f>
        <v>0.46899999999999997</v>
      </c>
      <c r="AM9" s="6">
        <f>INDEX('面板-景气指数'!$37:$242,MATCH('面板-总览'!$AI9,'面板-景气指数'!$A$37:$A$242,0),MATCH('面板-总览'!AM$2,'面板-景气指数'!$36:$36,0))</f>
        <v>0.59099999999999997</v>
      </c>
      <c r="AN9" s="6">
        <f>INDEX('面板-景气指数'!$37:$242,MATCH('面板-总览'!$AI9,'面板-景气指数'!$A$37:$A$242,0),MATCH('面板-总览'!AN$2,'面板-景气指数'!$36:$36,0))</f>
        <v>0.58099999999999996</v>
      </c>
      <c r="AO9" s="6">
        <f>INDEX('面板-景气指数'!$37:$242,MATCH('面板-总览'!$AI9,'面板-景气指数'!$A$37:$A$242,0),MATCH('面板-总览'!AO$2,'面板-景气指数'!$36:$36,0))</f>
        <v>0.51</v>
      </c>
      <c r="AP9" s="6">
        <f>INDEX('面板-景气指数'!$37:$242,MATCH('面板-总览'!$AI9,'面板-景气指数'!$A$37:$A$242,0),MATCH('面板-总览'!AP$2,'面板-景气指数'!$36:$36,0))</f>
        <v>0.52</v>
      </c>
      <c r="AQ9" s="6">
        <f>INDEX('面板-景气指数'!$37:$242,MATCH('面板-总览'!$AI9,'面板-景气指数'!$A$37:$A$242,0),MATCH('面板-总览'!AQ$2,'面板-景气指数'!$36:$36,0))</f>
        <v>0.56100000000000005</v>
      </c>
      <c r="AR9" s="6">
        <f>INDEX('面板-景气指数'!$37:$242,MATCH('面板-总览'!$AI9,'面板-景气指数'!$A$37:$A$242,0),MATCH('面板-总览'!AR$2,'面板-景气指数'!$36:$36,0))</f>
        <v>0.61199999999999999</v>
      </c>
      <c r="AS9" s="6">
        <f>INDEX('面板-景气指数'!$37:$242,MATCH('面板-总览'!$AI9,'面板-景气指数'!$A$37:$A$242,0),MATCH('面板-总览'!AS$2,'面板-景气指数'!$36:$36,0))</f>
        <v>0.57099999999999995</v>
      </c>
      <c r="AT9" s="6">
        <f>INDEX('面板-景气指数'!$37:$242,MATCH('面板-总览'!$AI9,'面板-景气指数'!$A$37:$A$242,0),MATCH('面板-总览'!AT$2,'面板-景气指数'!$36:$36,0))</f>
        <v>0.48899999999999999</v>
      </c>
      <c r="AU9" s="6">
        <f>INDEX('面板-景气指数'!$37:$242,MATCH('面板-总览'!$AI9,'面板-景气指数'!$A$37:$A$242,0),MATCH('面板-总览'!AU$2,'面板-景气指数'!$36:$36,0))</f>
        <v>0.45900000000000002</v>
      </c>
      <c r="AV9" s="6">
        <f>INDEX('面板-景气指数'!$37:$242,MATCH('面板-总览'!$AI9,'面板-景气指数'!$A$37:$A$242,0),MATCH('面板-总览'!AV$2,'面板-景气指数'!$36:$36,0))</f>
        <v>0.47899999999999998</v>
      </c>
      <c r="AX9" s="11">
        <f t="shared" si="2"/>
        <v>-9.1999999999999971E-2</v>
      </c>
    </row>
    <row r="10" spans="1:50" ht="21" customHeight="1" x14ac:dyDescent="0.2">
      <c r="A10" s="5" t="s">
        <v>26</v>
      </c>
      <c r="B10" s="6">
        <f>INDEX('面板-景气指数'!$37:$242,MATCH('面板-总览'!$A10,'面板-景气指数'!$A$37:$A$242,0),MATCH('面板-总览'!B$2,'面板-景气指数'!$36:$36,0))</f>
        <v>0.47734997836174442</v>
      </c>
      <c r="C10" s="6">
        <f>INDEX('面板-景气指数'!$37:$242,MATCH('面板-总览'!$A10,'面板-景气指数'!$A$37:$A$242,0),MATCH('面板-总览'!C$2,'面板-景气指数'!$36:$36,0))</f>
        <v>0.50168186454978281</v>
      </c>
      <c r="D10" s="6">
        <f>INDEX('面板-景气指数'!$37:$242,MATCH('面板-总览'!$A10,'面板-景气指数'!$A$37:$A$242,0),MATCH('面板-总览'!D$2,'面板-景气指数'!$36:$36,0))</f>
        <v>0.50472554141985648</v>
      </c>
      <c r="E10" s="6">
        <f>INDEX('面板-景气指数'!$37:$242,MATCH('面板-总览'!$A10,'面板-景气指数'!$A$37:$A$242,0),MATCH('面板-总览'!E$2,'面板-景气指数'!$36:$36,0))</f>
        <v>0.4764490110586137</v>
      </c>
      <c r="F10" s="6">
        <f>INDEX('面板-景气指数'!$37:$242,MATCH('面板-总览'!$A10,'面板-景气指数'!$A$37:$A$242,0),MATCH('面板-总览'!F$2,'面板-景气指数'!$36:$36,0))</f>
        <v>0.44502906432507183</v>
      </c>
      <c r="G10" s="6">
        <f>INDEX('面板-景气指数'!$37:$242,MATCH('面板-总览'!$A10,'面板-景气指数'!$A$37:$A$242,0),MATCH('面板-总览'!G$2,'面板-景气指数'!$36:$36,0))</f>
        <v>0.41705812905059247</v>
      </c>
      <c r="H10" s="6">
        <f>INDEX('面板-景气指数'!$37:$242,MATCH('面板-总览'!$A10,'面板-景气指数'!$A$37:$A$242,0),MATCH('面板-总览'!H$2,'面板-景气指数'!$36:$36,0))</f>
        <v>0.40768674035565855</v>
      </c>
      <c r="I10" s="6">
        <f>INDEX('面板-景气指数'!$37:$242,MATCH('面板-总览'!$A10,'面板-景气指数'!$A$37:$A$242,0),MATCH('面板-总览'!I$2,'面板-景气指数'!$36:$36,0))</f>
        <v>0.42271090142868517</v>
      </c>
      <c r="J10" s="6">
        <f>INDEX('面板-景气指数'!$37:$242,MATCH('面板-总览'!$A10,'面板-景气指数'!$A$37:$A$242,0),MATCH('面板-总览'!J$2,'面板-景气指数'!$36:$36,0))</f>
        <v>0.45681005444792339</v>
      </c>
      <c r="K10" s="6">
        <f>INDEX('面板-景气指数'!$37:$242,MATCH('面板-总览'!$A10,'面板-景气指数'!$A$37:$A$242,0),MATCH('面板-总览'!K$2,'面板-景气指数'!$36:$36,0))</f>
        <v>0.47312014395334967</v>
      </c>
      <c r="L10" s="6">
        <f>INDEX('面板-景气指数'!$37:$242,MATCH('面板-总览'!$A10,'面板-景气指数'!$A$37:$A$242,0),MATCH('面板-总览'!L$2,'面板-景气指数'!$36:$36,0))</f>
        <v>0.46000405013152945</v>
      </c>
      <c r="M10" s="6">
        <f>INDEX('面板-景气指数'!$37:$242,MATCH('面板-总览'!$A10,'面板-景气指数'!$A$37:$A$242,0),MATCH('面板-总览'!M$2,'面板-景气指数'!$36:$36,0))</f>
        <v>0.45183098553168816</v>
      </c>
      <c r="N10" s="6">
        <f>INDEX('面板-景气指数'!$37:$242,MATCH('面板-总览'!$A10,'面板-景气指数'!$A$37:$A$242,0),MATCH('面板-总览'!N$2,'面板-景气指数'!$36:$36,0))</f>
        <v>0.45549044215383189</v>
      </c>
      <c r="O10" s="7"/>
      <c r="P10" s="8">
        <f t="shared" si="0"/>
        <v>-1.7629701799517783E-2</v>
      </c>
      <c r="R10" s="5" t="s">
        <v>27</v>
      </c>
      <c r="S10" s="6">
        <f>INDEX('面板-景气指数'!$37:$242,MATCH('面板-总览'!$R10,'面板-景气指数'!$A$37:$A$242,0),MATCH('面板-总览'!S$2,'面板-景气指数'!$36:$36,0))</f>
        <v>0.52249999999999996</v>
      </c>
      <c r="T10" s="6">
        <f>INDEX('面板-景气指数'!$37:$242,MATCH('面板-总览'!$R10,'面板-景气指数'!$A$37:$A$242,0),MATCH('面板-总览'!T$2,'面板-景气指数'!$36:$36,0))</f>
        <v>0.43575000000000003</v>
      </c>
      <c r="U10" s="6">
        <f>INDEX('面板-景气指数'!$37:$242,MATCH('面板-总览'!$R10,'面板-景气指数'!$A$37:$A$242,0),MATCH('面板-总览'!U$2,'面板-景气指数'!$36:$36,0))</f>
        <v>0.45349999999999996</v>
      </c>
      <c r="V10" s="6">
        <f>INDEX('面板-景气指数'!$37:$242,MATCH('面板-总览'!$R10,'面板-景气指数'!$A$37:$A$242,0),MATCH('面板-总览'!V$2,'面板-景气指数'!$36:$36,0))</f>
        <v>0.55325000000000002</v>
      </c>
      <c r="W10" s="6">
        <f>INDEX('面板-景气指数'!$37:$242,MATCH('面板-总览'!$R10,'面板-景气指数'!$A$37:$A$242,0),MATCH('面板-总览'!W$2,'面板-景气指数'!$36:$36,0))</f>
        <v>0.69850000000000001</v>
      </c>
      <c r="X10" s="6">
        <f>INDEX('面板-景气指数'!$37:$242,MATCH('面板-总览'!$R10,'面板-景气指数'!$A$37:$A$242,0),MATCH('面板-总览'!X$2,'面板-景气指数'!$36:$36,0))</f>
        <v>0.71125000000000005</v>
      </c>
      <c r="Y10" s="6">
        <f>INDEX('面板-景气指数'!$37:$242,MATCH('面板-总览'!$R10,'面板-景气指数'!$A$37:$A$242,0),MATCH('面板-总览'!Y$2,'面板-景气指数'!$36:$36,0))</f>
        <v>0.67799999999999994</v>
      </c>
      <c r="Z10" s="6">
        <f>INDEX('面板-景气指数'!$37:$242,MATCH('面板-总览'!$R10,'面板-景气指数'!$A$37:$A$242,0),MATCH('面板-总览'!Z$2,'面板-景气指数'!$36:$36,0))</f>
        <v>0.64275000000000004</v>
      </c>
      <c r="AA10" s="6">
        <f>INDEX('面板-景气指数'!$37:$242,MATCH('面板-总览'!$R10,'面板-景气指数'!$A$37:$A$242,0),MATCH('面板-总览'!AA$2,'面板-景气指数'!$36:$36,0))</f>
        <v>0.55325000000000002</v>
      </c>
      <c r="AB10" s="6">
        <f>INDEX('面板-景气指数'!$37:$242,MATCH('面板-总览'!$R10,'面板-景气指数'!$A$37:$A$242,0),MATCH('面板-总览'!AB$2,'面板-景气指数'!$36:$36,0))</f>
        <v>0.47924999999999995</v>
      </c>
      <c r="AC10" s="6">
        <f>INDEX('面板-景气指数'!$37:$242,MATCH('面板-总览'!$R10,'面板-景气指数'!$A$37:$A$242,0),MATCH('面板-总览'!AC$2,'面板-景气指数'!$36:$36,0))</f>
        <v>0.39750000000000002</v>
      </c>
      <c r="AD10" s="6">
        <f>INDEX('面板-景气指数'!$37:$242,MATCH('面板-总览'!$R10,'面板-景气指数'!$A$37:$A$242,0),MATCH('面板-总览'!AD$2,'面板-景气指数'!$36:$36,0))</f>
        <v>0.39224999999999999</v>
      </c>
      <c r="AE10" s="6">
        <f>INDEX('面板-景气指数'!$37:$242,MATCH('面板-总览'!$R10,'面板-景气指数'!$A$37:$A$242,0),MATCH('面板-总览'!AE$2,'面板-景气指数'!$36:$36,0))</f>
        <v>0.40250000000000002</v>
      </c>
      <c r="AF10" s="10"/>
      <c r="AG10" s="11">
        <f t="shared" si="1"/>
        <v>-7.6749999999999929E-2</v>
      </c>
      <c r="AI10" s="5" t="s">
        <v>28</v>
      </c>
      <c r="AJ10" s="6">
        <f>INDEX('面板-景气指数'!$37:$242,MATCH('面板-总览'!$AI10,'面板-景气指数'!$A$37:$A$242,0),MATCH('面板-总览'!AJ$2,'面板-景气指数'!$36:$36,0))</f>
        <v>0.93799999999999994</v>
      </c>
      <c r="AK10" s="6">
        <f>INDEX('面板-景气指数'!$37:$242,MATCH('面板-总览'!$AI10,'面板-景气指数'!$A$37:$A$242,0),MATCH('面板-总览'!AK$2,'面板-景气指数'!$36:$36,0))</f>
        <v>0.64200000000000002</v>
      </c>
      <c r="AL10" s="6">
        <f>INDEX('面板-景气指数'!$37:$242,MATCH('面板-总览'!$AI10,'面板-景气指数'!$A$37:$A$242,0),MATCH('面板-总览'!AL$2,'面板-景气指数'!$36:$36,0))</f>
        <v>0.57099999999999995</v>
      </c>
      <c r="AM10" s="6">
        <f>INDEX('面板-景气指数'!$37:$242,MATCH('面板-总览'!$AI10,'面板-景气指数'!$A$37:$A$242,0),MATCH('面板-总览'!AM$2,'面板-景气指数'!$36:$36,0))</f>
        <v>0.70399999999999996</v>
      </c>
      <c r="AN10" s="6">
        <f>INDEX('面板-景气指数'!$37:$242,MATCH('面板-总览'!$AI10,'面板-景气指数'!$A$37:$A$242,0),MATCH('面板-总览'!AN$2,'面板-景气指数'!$36:$36,0))</f>
        <v>0.90800000000000003</v>
      </c>
      <c r="AO10" s="6">
        <f>INDEX('面板-景气指数'!$37:$242,MATCH('面板-总览'!$AI10,'面板-景气指数'!$A$37:$A$242,0),MATCH('面板-总览'!AO$2,'面板-景气指数'!$36:$36,0))</f>
        <v>0.92800000000000005</v>
      </c>
      <c r="AP10" s="6">
        <f>INDEX('面板-景气指数'!$37:$242,MATCH('面板-总览'!$AI10,'面板-景气指数'!$A$37:$A$242,0),MATCH('面板-总览'!AP$2,'面板-景气指数'!$36:$36,0))</f>
        <v>0.7649999999999999</v>
      </c>
      <c r="AQ10" s="6">
        <f>INDEX('面板-景气指数'!$37:$242,MATCH('面板-总览'!$AI10,'面板-景气指数'!$A$37:$A$242,0),MATCH('面板-总览'!AQ$2,'面板-景气指数'!$36:$36,0))</f>
        <v>0.55100000000000005</v>
      </c>
      <c r="AR10" s="6">
        <f>INDEX('面板-景气指数'!$37:$242,MATCH('面板-总览'!$AI10,'面板-景气指数'!$A$37:$A$242,0),MATCH('面板-总览'!AR$2,'面板-景气指数'!$36:$36,0))</f>
        <v>0.21400000000000002</v>
      </c>
      <c r="AS10" s="6">
        <f>INDEX('面板-景气指数'!$37:$242,MATCH('面板-总览'!$AI10,'面板-景气指数'!$A$37:$A$242,0),MATCH('面板-总览'!AS$2,'面板-景气指数'!$36:$36,0))</f>
        <v>0.11199999999999999</v>
      </c>
      <c r="AT10" s="6">
        <f>INDEX('面板-景气指数'!$37:$242,MATCH('面板-总览'!$AI10,'面板-景气指数'!$A$37:$A$242,0),MATCH('面板-总览'!AT$2,'面板-景气指数'!$36:$36,0))</f>
        <v>5.0999999999999997E-2</v>
      </c>
      <c r="AU10" s="6">
        <f>INDEX('面板-景气指数'!$37:$242,MATCH('面板-总览'!$AI10,'面板-景气指数'!$A$37:$A$242,0),MATCH('面板-总览'!AU$2,'面板-景气指数'!$36:$36,0))</f>
        <v>0.04</v>
      </c>
      <c r="AV10" s="6">
        <f>INDEX('面板-景气指数'!$37:$242,MATCH('面板-总览'!$AI10,'面板-景气指数'!$A$37:$A$242,0),MATCH('面板-总览'!AV$2,'面板-景气指数'!$36:$36,0))</f>
        <v>0.03</v>
      </c>
      <c r="AX10" s="11">
        <f t="shared" si="2"/>
        <v>-8.199999999999999E-2</v>
      </c>
    </row>
    <row r="11" spans="1:50" ht="21" customHeight="1" x14ac:dyDescent="0.2">
      <c r="A11" s="5" t="s">
        <v>29</v>
      </c>
      <c r="B11" s="6">
        <f>INDEX('面板-景气指数'!$37:$242,MATCH('面板-总览'!$A11,'面板-景气指数'!$A$37:$A$242,0),MATCH('面板-总览'!B$2,'面板-景气指数'!$36:$36,0))</f>
        <v>0.3534501855696866</v>
      </c>
      <c r="C11" s="6">
        <f>INDEX('面板-景气指数'!$37:$242,MATCH('面板-总览'!$A11,'面板-景气指数'!$A$37:$A$242,0),MATCH('面板-总览'!C$2,'面板-景气指数'!$36:$36,0))</f>
        <v>0.32051330485620921</v>
      </c>
      <c r="D11" s="6">
        <f>INDEX('面板-景气指数'!$37:$242,MATCH('面板-总览'!$A11,'面板-景气指数'!$A$37:$A$242,0),MATCH('面板-总览'!D$2,'面板-景气指数'!$36:$36,0))</f>
        <v>0.31676426789384093</v>
      </c>
      <c r="E11" s="6">
        <f>INDEX('面板-景气指数'!$37:$242,MATCH('面板-总览'!$A11,'面板-景气指数'!$A$37:$A$242,0),MATCH('面板-总览'!E$2,'面板-景气指数'!$36:$36,0))</f>
        <v>0.29040136614356787</v>
      </c>
      <c r="F11" s="6">
        <f>INDEX('面板-景气指数'!$37:$242,MATCH('面板-总览'!$A11,'面板-景气指数'!$A$37:$A$242,0),MATCH('面板-总览'!F$2,'面板-景气指数'!$36:$36,0))</f>
        <v>0.28238222933253632</v>
      </c>
      <c r="G11" s="6">
        <f>INDEX('面板-景气指数'!$37:$242,MATCH('面板-总览'!$A11,'面板-景气指数'!$A$37:$A$242,0),MATCH('面板-总览'!G$2,'面板-景气指数'!$36:$36,0))</f>
        <v>0.28142788651765016</v>
      </c>
      <c r="H11" s="6">
        <f>INDEX('面板-景气指数'!$37:$242,MATCH('面板-总览'!$A11,'面板-景气指数'!$A$37:$A$242,0),MATCH('面板-总览'!H$2,'面板-景气指数'!$36:$36,0))</f>
        <v>0.28988789302483309</v>
      </c>
      <c r="I11" s="6">
        <f>INDEX('面板-景气指数'!$37:$242,MATCH('面板-总览'!$A11,'面板-景气指数'!$A$37:$A$242,0),MATCH('面板-总览'!I$2,'面板-景气指数'!$36:$36,0))</f>
        <v>0.28903729574261555</v>
      </c>
      <c r="J11" s="6">
        <f>INDEX('面板-景气指数'!$37:$242,MATCH('面板-总览'!$A11,'面板-景气指数'!$A$37:$A$242,0),MATCH('面板-总览'!J$2,'面板-景气指数'!$36:$36,0))</f>
        <v>0.29858332783697877</v>
      </c>
      <c r="K11" s="6">
        <f>INDEX('面板-景气指数'!$37:$242,MATCH('面板-总览'!$A11,'面板-景气指数'!$A$37:$A$242,0),MATCH('面板-总览'!K$2,'面板-景气指数'!$36:$36,0))</f>
        <v>0.32029966387294145</v>
      </c>
      <c r="L11" s="6">
        <f>INDEX('面板-景气指数'!$37:$242,MATCH('面板-总览'!$A11,'面板-景气指数'!$A$37:$A$242,0),MATCH('面板-总览'!L$2,'面板-景气指数'!$36:$36,0))</f>
        <v>0.319960048340652</v>
      </c>
      <c r="M11" s="6">
        <f>INDEX('面板-景气指数'!$37:$242,MATCH('面板-总览'!$A11,'面板-景气指数'!$A$37:$A$242,0),MATCH('面板-总览'!M$2,'面板-景气指数'!$36:$36,0))</f>
        <v>0.34816785508063858</v>
      </c>
      <c r="N11" s="6">
        <f>INDEX('面板-景气指数'!$37:$242,MATCH('面板-总览'!$A11,'面板-景气指数'!$A$37:$A$242,0),MATCH('面板-总览'!N$2,'面板-景气指数'!$36:$36,0))</f>
        <v>0.30929650990134328</v>
      </c>
      <c r="O11" s="7"/>
      <c r="P11" s="8">
        <f t="shared" si="0"/>
        <v>-1.1003153971598179E-2</v>
      </c>
      <c r="R11" s="5" t="s">
        <v>30</v>
      </c>
      <c r="S11" s="6">
        <f>INDEX('面板-景气指数'!$37:$242,MATCH('面板-总览'!$R11,'面板-景气指数'!$A$37:$A$242,0),MATCH('面板-总览'!S$2,'面板-景气指数'!$36:$36,0))</f>
        <v>0.248</v>
      </c>
      <c r="T11" s="6">
        <f>INDEX('面板-景气指数'!$37:$242,MATCH('面板-总览'!$R11,'面板-景气指数'!$A$37:$A$242,0),MATCH('面板-总览'!T$2,'面板-景气指数'!$36:$36,0))</f>
        <v>0.11966666666666667</v>
      </c>
      <c r="U11" s="6">
        <f>INDEX('面板-景气指数'!$37:$242,MATCH('面板-总览'!$R11,'面板-景气指数'!$A$37:$A$242,0),MATCH('面板-总览'!U$2,'面板-景气指数'!$36:$36,0))</f>
        <v>0.14833333333333332</v>
      </c>
      <c r="V11" s="6">
        <f>INDEX('面板-景气指数'!$37:$242,MATCH('面板-总览'!$R11,'面板-景气指数'!$A$37:$A$242,0),MATCH('面板-总览'!V$2,'面板-景气指数'!$36:$36,0))</f>
        <v>0.2203333333333333</v>
      </c>
      <c r="W11" s="6">
        <f>INDEX('面板-景气指数'!$37:$242,MATCH('面板-总览'!$R11,'面板-景气指数'!$A$37:$A$242,0),MATCH('面板-总览'!W$2,'面板-景气指数'!$36:$36,0))</f>
        <v>0.23166666666666666</v>
      </c>
      <c r="X11" s="6">
        <f>INDEX('面板-景气指数'!$37:$242,MATCH('面板-总览'!$R11,'面板-景气指数'!$A$37:$A$242,0),MATCH('面板-总览'!X$2,'面板-景气指数'!$36:$36,0))</f>
        <v>0.20833333333333337</v>
      </c>
      <c r="Y11" s="6">
        <f>INDEX('面板-景气指数'!$37:$242,MATCH('面板-总览'!$R11,'面板-景气指数'!$A$37:$A$242,0),MATCH('面板-总览'!Y$2,'面板-景气指数'!$36:$36,0))</f>
        <v>0.17466666666666666</v>
      </c>
      <c r="Z11" s="6">
        <f>INDEX('面板-景气指数'!$37:$242,MATCH('面板-总览'!$R11,'面板-景气指数'!$A$37:$A$242,0),MATCH('面板-总览'!Z$2,'面板-景气指数'!$36:$36,0))</f>
        <v>0.14800000000000002</v>
      </c>
      <c r="AA11" s="6">
        <f>INDEX('面板-景气指数'!$37:$242,MATCH('面板-总览'!$R11,'面板-景气指数'!$A$37:$A$242,0),MATCH('面板-总览'!AA$2,'面板-景气指数'!$36:$36,0))</f>
        <v>0.11766666666666667</v>
      </c>
      <c r="AB11" s="6">
        <f>INDEX('面板-景气指数'!$37:$242,MATCH('面板-总览'!$R11,'面板-景气指数'!$A$37:$A$242,0),MATCH('面板-总览'!AB$2,'面板-景气指数'!$36:$36,0))</f>
        <v>0.11900000000000001</v>
      </c>
      <c r="AC11" s="6">
        <f>INDEX('面板-景气指数'!$37:$242,MATCH('面板-总览'!$R11,'面板-景气指数'!$A$37:$A$242,0),MATCH('面板-总览'!AC$2,'面板-景气指数'!$36:$36,0))</f>
        <v>0.14066666666666666</v>
      </c>
      <c r="AD11" s="6">
        <f>INDEX('面板-景气指数'!$37:$242,MATCH('面板-总览'!$R11,'面板-景气指数'!$A$37:$A$242,0),MATCH('面板-总览'!AD$2,'面板-景气指数'!$36:$36,0))</f>
        <v>0.15266666666666667</v>
      </c>
      <c r="AE11" s="6">
        <f>INDEX('面板-景气指数'!$37:$242,MATCH('面板-总览'!$R11,'面板-景气指数'!$A$37:$A$242,0),MATCH('面板-总览'!AE$2,'面板-景气指数'!$36:$36,0))</f>
        <v>0.17233333333333334</v>
      </c>
      <c r="AF11" s="10"/>
      <c r="AG11" s="11">
        <f t="shared" si="1"/>
        <v>5.333333333333333E-2</v>
      </c>
      <c r="AI11" s="5" t="s">
        <v>31</v>
      </c>
      <c r="AJ11" s="6">
        <f>INDEX('面板-景气指数'!$37:$242,MATCH('面板-总览'!$AI11,'面板-景气指数'!$A$37:$A$242,0),MATCH('面板-总览'!AJ$2,'面板-景气指数'!$36:$36,0))</f>
        <v>0</v>
      </c>
      <c r="AK11" s="6">
        <f>INDEX('面板-景气指数'!$37:$242,MATCH('面板-总览'!$AI11,'面板-景气指数'!$A$37:$A$242,0),MATCH('面板-总览'!AK$2,'面板-景气指数'!$36:$36,0))</f>
        <v>0.03</v>
      </c>
      <c r="AL11" s="6">
        <f>INDEX('面板-景气指数'!$37:$242,MATCH('面板-总览'!$AI11,'面板-景气指数'!$A$37:$A$242,0),MATCH('面板-总览'!AL$2,'面板-景气指数'!$36:$36,0))</f>
        <v>9.0999999999999998E-2</v>
      </c>
      <c r="AM11" s="6">
        <f>INDEX('面板-景气指数'!$37:$242,MATCH('面板-总览'!$AI11,'面板-景气指数'!$A$37:$A$242,0),MATCH('面板-总览'!AM$2,'面板-景气指数'!$36:$36,0))</f>
        <v>0.255</v>
      </c>
      <c r="AN11" s="6">
        <f>INDEX('面板-景气指数'!$37:$242,MATCH('面板-总览'!$AI11,'面板-景气指数'!$A$37:$A$242,0),MATCH('面板-总览'!AN$2,'面板-景气指数'!$36:$36,0))</f>
        <v>0.63200000000000001</v>
      </c>
      <c r="AO11" s="6">
        <f>INDEX('面板-景气指数'!$37:$242,MATCH('面板-总览'!$AI11,'面板-景气指数'!$A$37:$A$242,0),MATCH('面板-总览'!AO$2,'面板-景气指数'!$36:$36,0))</f>
        <v>0.71399999999999997</v>
      </c>
      <c r="AP11" s="6">
        <f>INDEX('面板-景气指数'!$37:$242,MATCH('面板-总览'!$AI11,'面板-景气指数'!$A$37:$A$242,0),MATCH('面板-总览'!AP$2,'面板-景气指数'!$36:$36,0))</f>
        <v>0.69299999999999995</v>
      </c>
      <c r="AQ11" s="6">
        <f>INDEX('面板-景气指数'!$37:$242,MATCH('面板-总览'!$AI11,'面板-景气指数'!$A$37:$A$242,0),MATCH('面板-总览'!AQ$2,'面板-景气指数'!$36:$36,0))</f>
        <v>0.70399999999999996</v>
      </c>
      <c r="AR11" s="6">
        <f>INDEX('面板-景气指数'!$37:$242,MATCH('面板-总览'!$AI11,'面板-景气指数'!$A$37:$A$242,0),MATCH('面板-总览'!AR$2,'面板-景气指数'!$36:$36,0))</f>
        <v>0.66300000000000003</v>
      </c>
      <c r="AS11" s="6">
        <f>INDEX('面板-景气指数'!$37:$242,MATCH('面板-总览'!$AI11,'面板-景气指数'!$A$37:$A$242,0),MATCH('面板-总览'!AS$2,'面板-景气指数'!$36:$36,0))</f>
        <v>0.58099999999999996</v>
      </c>
      <c r="AT11" s="6">
        <f>INDEX('面板-景气指数'!$37:$242,MATCH('面板-总览'!$AI11,'面板-景气指数'!$A$37:$A$242,0),MATCH('面板-总览'!AT$2,'面板-景气指数'!$36:$36,0))</f>
        <v>0.41799999999999998</v>
      </c>
      <c r="AU11" s="6">
        <f>INDEX('面板-景气指数'!$37:$242,MATCH('面板-总览'!$AI11,'面板-景气指数'!$A$37:$A$242,0),MATCH('面板-总览'!AU$2,'面板-景气指数'!$36:$36,0))</f>
        <v>0.47899999999999998</v>
      </c>
      <c r="AV11" s="6">
        <f>INDEX('面板-景气指数'!$37:$242,MATCH('面板-总览'!$AI11,'面板-景气指数'!$A$37:$A$242,0),MATCH('面板-总览'!AV$2,'面板-景气指数'!$36:$36,0))</f>
        <v>0.54</v>
      </c>
      <c r="AX11" s="11">
        <f t="shared" si="2"/>
        <v>-4.0999999999999925E-2</v>
      </c>
    </row>
    <row r="12" spans="1:50" ht="21" customHeight="1" x14ac:dyDescent="0.2">
      <c r="A12" s="5" t="s">
        <v>32</v>
      </c>
      <c r="B12" s="6">
        <f>INDEX('面板-景气指数'!$37:$242,MATCH('面板-总览'!$A12,'面板-景气指数'!$A$37:$A$242,0),MATCH('面板-总览'!B$2,'面板-景气指数'!$36:$36,0))</f>
        <v>0.30418053348478669</v>
      </c>
      <c r="C12" s="6">
        <f>INDEX('面板-景气指数'!$37:$242,MATCH('面板-总览'!$A12,'面板-景气指数'!$A$37:$A$242,0),MATCH('面板-总览'!C$2,'面板-景气指数'!$36:$36,0))</f>
        <v>0.22292740859148027</v>
      </c>
      <c r="D12" s="6">
        <f>INDEX('面板-景气指数'!$37:$242,MATCH('面板-总览'!$A12,'面板-景气指数'!$A$37:$A$242,0),MATCH('面板-总览'!D$2,'面板-景气指数'!$36:$36,0))</f>
        <v>0.18332427949845151</v>
      </c>
      <c r="E12" s="6">
        <f>INDEX('面板-景气指数'!$37:$242,MATCH('面板-总览'!$A12,'面板-景气指数'!$A$37:$A$242,0),MATCH('面板-总览'!E$2,'面板-景气指数'!$36:$36,0))</f>
        <v>0.1810700742510718</v>
      </c>
      <c r="F12" s="6">
        <f>INDEX('面板-景气指数'!$37:$242,MATCH('面板-总览'!$A12,'面板-景气指数'!$A$37:$A$242,0),MATCH('面板-总览'!F$2,'面板-景气指数'!$36:$36,0))</f>
        <v>0.22442498514640183</v>
      </c>
      <c r="G12" s="6">
        <f>INDEX('面板-景气指数'!$37:$242,MATCH('面板-总览'!$A12,'面板-景气指数'!$A$37:$A$242,0),MATCH('面板-总览'!G$2,'面板-景气指数'!$36:$36,0))</f>
        <v>0.24071517188293856</v>
      </c>
      <c r="H12" s="6">
        <f>INDEX('面板-景气指数'!$37:$242,MATCH('面板-总览'!$A12,'面板-景气指数'!$A$37:$A$242,0),MATCH('面板-总览'!H$2,'面板-景气指数'!$36:$36,0))</f>
        <v>0.20650992172386543</v>
      </c>
      <c r="I12" s="6">
        <f>INDEX('面板-景气指数'!$37:$242,MATCH('面板-总览'!$A12,'面板-景气指数'!$A$37:$A$242,0),MATCH('面板-总览'!I$2,'面板-景气指数'!$36:$36,0))</f>
        <v>0.15384665214059129</v>
      </c>
      <c r="J12" s="6">
        <f>INDEX('面板-景气指数'!$37:$242,MATCH('面板-总览'!$A12,'面板-景气指数'!$A$37:$A$242,0),MATCH('面板-总览'!J$2,'面板-景气指数'!$36:$36,0))</f>
        <v>0.14109128004914034</v>
      </c>
      <c r="K12" s="6">
        <f>INDEX('面板-景气指数'!$37:$242,MATCH('面板-总览'!$A12,'面板-景气指数'!$A$37:$A$242,0),MATCH('面板-总览'!K$2,'面板-景气指数'!$36:$36,0))</f>
        <v>0.13588737774105034</v>
      </c>
      <c r="L12" s="6">
        <f>INDEX('面板-景气指数'!$37:$242,MATCH('面板-总览'!$A12,'面板-景气指数'!$A$37:$A$242,0),MATCH('面板-总览'!L$2,'面板-景气指数'!$36:$36,0))</f>
        <v>0.11216941377658929</v>
      </c>
      <c r="M12" s="6">
        <f>INDEX('面板-景气指数'!$37:$242,MATCH('面板-总览'!$A12,'面板-景气指数'!$A$37:$A$242,0),MATCH('面板-总览'!M$2,'面板-景气指数'!$36:$36,0))</f>
        <v>0.11327180254921257</v>
      </c>
      <c r="N12" s="6">
        <f>INDEX('面板-景气指数'!$37:$242,MATCH('面板-总览'!$A12,'面板-景气指数'!$A$37:$A$242,0),MATCH('面板-总览'!N$2,'面板-景气指数'!$36:$36,0))</f>
        <v>0.11322437831309613</v>
      </c>
      <c r="O12" s="7"/>
      <c r="P12" s="8">
        <f t="shared" si="0"/>
        <v>-2.2662999427954203E-2</v>
      </c>
      <c r="R12" s="5" t="s">
        <v>33</v>
      </c>
      <c r="S12" s="6">
        <f>INDEX('面板-景气指数'!$37:$242,MATCH('面板-总览'!$R12,'面板-景气指数'!$A$37:$A$242,0),MATCH('面板-总览'!S$2,'面板-景气指数'!$36:$36,0))</f>
        <v>0.03</v>
      </c>
      <c r="T12" s="6">
        <f>INDEX('面板-景气指数'!$37:$242,MATCH('面板-总览'!$R12,'面板-景气指数'!$A$37:$A$242,0),MATCH('面板-总览'!T$2,'面板-景气指数'!$36:$36,0))</f>
        <v>5.1000000000000004E-2</v>
      </c>
      <c r="U12" s="6">
        <f>INDEX('面板-景气指数'!$37:$242,MATCH('面板-总览'!$R12,'面板-景气指数'!$A$37:$A$242,0),MATCH('面板-总览'!U$2,'面板-景气指数'!$36:$36,0))</f>
        <v>9.1000000000000011E-2</v>
      </c>
      <c r="V12" s="6">
        <f>INDEX('面板-景气指数'!$37:$242,MATCH('面板-总览'!$R12,'面板-景气指数'!$A$37:$A$242,0),MATCH('面板-总览'!V$2,'面板-景气指数'!$36:$36,0))</f>
        <v>0.14199999999999999</v>
      </c>
      <c r="W12" s="6">
        <f>INDEX('面板-景气指数'!$37:$242,MATCH('面板-总览'!$R12,'面板-景气指数'!$A$37:$A$242,0),MATCH('面板-总览'!W$2,'面板-景气指数'!$36:$36,0))</f>
        <v>0.13200000000000001</v>
      </c>
      <c r="X12" s="6">
        <f>INDEX('面板-景气指数'!$37:$242,MATCH('面板-总览'!$R12,'面板-景气指数'!$A$37:$A$242,0),MATCH('面板-总览'!X$2,'面板-景气指数'!$36:$36,0))</f>
        <v>0.16300000000000001</v>
      </c>
      <c r="Y12" s="6">
        <f>INDEX('面板-景气指数'!$37:$242,MATCH('面板-总览'!$R12,'面板-景气指数'!$A$37:$A$242,0),MATCH('面板-总览'!Y$2,'面板-景气指数'!$36:$36,0))</f>
        <v>0.17299999999999999</v>
      </c>
      <c r="Z12" s="6">
        <f>INDEX('面板-景气指数'!$37:$242,MATCH('面板-总览'!$R12,'面板-景气指数'!$A$37:$A$242,0),MATCH('面板-总览'!Z$2,'面板-景气指数'!$36:$36,0))</f>
        <v>0.122</v>
      </c>
      <c r="AA12" s="6">
        <f>INDEX('面板-景气指数'!$37:$242,MATCH('面板-总览'!$R12,'面板-景气指数'!$A$37:$A$242,0),MATCH('面板-总览'!AA$2,'面板-景气指数'!$36:$36,0))</f>
        <v>7.0999999999999994E-2</v>
      </c>
      <c r="AB12" s="6">
        <f>INDEX('面板-景气指数'!$37:$242,MATCH('面板-总览'!$R12,'面板-景气指数'!$A$37:$A$242,0),MATCH('面板-总览'!AB$2,'面板-景气指数'!$36:$36,0))</f>
        <v>4.0000000000000008E-2</v>
      </c>
      <c r="AC12" s="6">
        <f>INDEX('面板-景气指数'!$37:$242,MATCH('面板-总览'!$R12,'面板-景气指数'!$A$37:$A$242,0),MATCH('面板-总览'!AC$2,'面板-景气指数'!$36:$36,0))</f>
        <v>2.0000000000000004E-2</v>
      </c>
      <c r="AD12" s="6">
        <f>INDEX('面板-景气指数'!$37:$242,MATCH('面板-总览'!$R12,'面板-景气指数'!$A$37:$A$242,0),MATCH('面板-总览'!AD$2,'面板-景气指数'!$36:$36,0))</f>
        <v>0</v>
      </c>
      <c r="AE12" s="6">
        <f>INDEX('面板-景气指数'!$37:$242,MATCH('面板-总览'!$R12,'面板-景气指数'!$A$37:$A$242,0),MATCH('面板-总览'!AE$2,'面板-景气指数'!$36:$36,0))</f>
        <v>1.0000000000000002E-2</v>
      </c>
      <c r="AF12" s="10"/>
      <c r="AG12" s="11">
        <f t="shared" si="1"/>
        <v>-3.0000000000000006E-2</v>
      </c>
      <c r="AI12" s="5" t="s">
        <v>34</v>
      </c>
      <c r="AJ12" s="6">
        <f>INDEX('面板-景气指数'!$37:$242,MATCH('面板-总览'!$AI12,'面板-景气指数'!$A$37:$A$242,0),MATCH('面板-总览'!AJ$2,'面板-景气指数'!$36:$36,0))</f>
        <v>0.46600000000000003</v>
      </c>
      <c r="AK12" s="6">
        <f>INDEX('面板-景气指数'!$37:$242,MATCH('面板-总览'!$AI12,'面板-景气指数'!$A$37:$A$242,0),MATCH('面板-总览'!AK$2,'面板-景气指数'!$36:$36,0))</f>
        <v>0.186</v>
      </c>
      <c r="AL12" s="6">
        <f>INDEX('面板-景气指数'!$37:$242,MATCH('面板-总览'!$AI12,'面板-景气指数'!$A$37:$A$242,0),MATCH('面板-总览'!AL$2,'面板-景气指数'!$36:$36,0))</f>
        <v>0.21299999999999999</v>
      </c>
      <c r="AM12" s="6">
        <f>INDEX('面板-景气指数'!$37:$242,MATCH('面板-总览'!$AI12,'面板-景气指数'!$A$37:$A$242,0),MATCH('面板-总览'!AM$2,'面板-景气指数'!$36:$36,0))</f>
        <v>0.373</v>
      </c>
      <c r="AN12" s="6">
        <f>INDEX('面板-景气指数'!$37:$242,MATCH('面板-总览'!$AI12,'面板-景气指数'!$A$37:$A$242,0),MATCH('面板-总览'!AN$2,'面板-景气指数'!$36:$36,0))</f>
        <v>0.33300000000000002</v>
      </c>
      <c r="AO12" s="6">
        <f>INDEX('面板-景气指数'!$37:$242,MATCH('面板-总览'!$AI12,'面板-景气指数'!$A$37:$A$242,0),MATCH('面板-总览'!AO$2,'面板-景气指数'!$36:$36,0))</f>
        <v>0.16</v>
      </c>
      <c r="AP12" s="6">
        <f>INDEX('面板-景气指数'!$37:$242,MATCH('面板-总览'!$AI12,'面板-景气指数'!$A$37:$A$242,0),MATCH('面板-总览'!AP$2,'面板-景气指数'!$36:$36,0))</f>
        <v>0.08</v>
      </c>
      <c r="AQ12" s="6">
        <f>INDEX('面板-景气指数'!$37:$242,MATCH('面板-总览'!$AI12,'面板-景气指数'!$A$37:$A$242,0),MATCH('面板-总览'!AQ$2,'面板-景气指数'!$36:$36,0))</f>
        <v>6.6000000000000003E-2</v>
      </c>
      <c r="AR12" s="6">
        <f>INDEX('面板-景气指数'!$37:$242,MATCH('面板-总览'!$AI12,'面板-景气指数'!$A$37:$A$242,0),MATCH('面板-总览'!AR$2,'面板-景气指数'!$36:$36,0))</f>
        <v>0.04</v>
      </c>
      <c r="AS12" s="6">
        <f>INDEX('面板-景气指数'!$37:$242,MATCH('面板-总览'!$AI12,'面板-景气指数'!$A$37:$A$242,0),MATCH('面板-总览'!AS$2,'面板-景气指数'!$36:$36,0))</f>
        <v>1.2999999999999999E-2</v>
      </c>
      <c r="AT12" s="6">
        <f>INDEX('面板-景气指数'!$37:$242,MATCH('面板-总览'!$AI12,'面板-景气指数'!$A$37:$A$242,0),MATCH('面板-总览'!AT$2,'面板-景气指数'!$36:$36,0))</f>
        <v>0</v>
      </c>
      <c r="AU12" s="6">
        <f>INDEX('面板-景气指数'!$37:$242,MATCH('面板-总览'!$AI12,'面板-景气指数'!$A$37:$A$242,0),MATCH('面板-总览'!AU$2,'面板-景气指数'!$36:$36,0))</f>
        <v>2.5999999999999999E-2</v>
      </c>
      <c r="AV12" s="6">
        <f>INDEX('面板-景气指数'!$37:$242,MATCH('面板-总览'!$AI12,'面板-景气指数'!$A$37:$A$242,0),MATCH('面板-总览'!AV$2,'面板-景气指数'!$36:$36,0))</f>
        <v>5.2999999999999999E-2</v>
      </c>
      <c r="AX12" s="11">
        <f t="shared" si="2"/>
        <v>0.04</v>
      </c>
    </row>
    <row r="13" spans="1:50" ht="21" customHeight="1" x14ac:dyDescent="0.2">
      <c r="A13" s="5" t="s">
        <v>35</v>
      </c>
      <c r="B13" s="6">
        <f>INDEX('面板-景气指数'!$37:$242,MATCH('面板-总览'!$A13,'面板-景气指数'!$A$37:$A$242,0),MATCH('面板-总览'!B$2,'面板-景气指数'!$36:$36,0))</f>
        <v>0.34366576097435703</v>
      </c>
      <c r="C13" s="6">
        <f>INDEX('面板-景气指数'!$37:$242,MATCH('面板-总览'!$A13,'面板-景气指数'!$A$37:$A$242,0),MATCH('面板-总览'!C$2,'面板-景气指数'!$36:$36,0))</f>
        <v>0.33289853020083165</v>
      </c>
      <c r="D13" s="6">
        <f>INDEX('面板-景气指数'!$37:$242,MATCH('面板-总览'!$A13,'面板-景气指数'!$A$37:$A$242,0),MATCH('面板-总览'!D$2,'面板-景气指数'!$36:$36,0))</f>
        <v>0.32309401096437956</v>
      </c>
      <c r="E13" s="6">
        <f>INDEX('面板-景气指数'!$37:$242,MATCH('面板-总览'!$A13,'面板-景气指数'!$A$37:$A$242,0),MATCH('面板-总览'!E$2,'面板-景气指数'!$36:$36,0))</f>
        <v>0.30963971306686155</v>
      </c>
      <c r="F13" s="6">
        <f>INDEX('面板-景气指数'!$37:$242,MATCH('面板-总览'!$A13,'面板-景气指数'!$A$37:$A$242,0),MATCH('面板-总览'!F$2,'面板-景气指数'!$36:$36,0))</f>
        <v>0.25662554957908212</v>
      </c>
      <c r="G13" s="6">
        <f>INDEX('面板-景气指数'!$37:$242,MATCH('面板-总览'!$A13,'面板-景气指数'!$A$37:$A$242,0),MATCH('面板-总览'!G$2,'面板-景气指数'!$36:$36,0))</f>
        <v>0.25973160676715634</v>
      </c>
      <c r="H13" s="6">
        <f>INDEX('面板-景气指数'!$37:$242,MATCH('面板-总览'!$A13,'面板-景气指数'!$A$37:$A$242,0),MATCH('面板-总览'!H$2,'面板-景气指数'!$36:$36,0))</f>
        <v>0.27113134760948815</v>
      </c>
      <c r="I13" s="6">
        <f>INDEX('面板-景气指数'!$37:$242,MATCH('面板-总览'!$A13,'面板-景气指数'!$A$37:$A$242,0),MATCH('面板-总览'!I$2,'面板-景气指数'!$36:$36,0))</f>
        <v>0.31715786789683087</v>
      </c>
      <c r="J13" s="6">
        <f>INDEX('面板-景气指数'!$37:$242,MATCH('面板-总览'!$A13,'面板-景气指数'!$A$37:$A$242,0),MATCH('面板-总览'!J$2,'面板-景气指数'!$36:$36,0))</f>
        <v>0.34679669982502837</v>
      </c>
      <c r="K13" s="6">
        <f>INDEX('面板-景气指数'!$37:$242,MATCH('面板-总览'!$A13,'面板-景气指数'!$A$37:$A$242,0),MATCH('面板-总览'!K$2,'面板-景气指数'!$36:$36,0))</f>
        <v>0.35662998692329717</v>
      </c>
      <c r="L13" s="6">
        <f>INDEX('面板-景气指数'!$37:$242,MATCH('面板-总览'!$A13,'面板-景气指数'!$A$37:$A$242,0),MATCH('面板-总览'!L$2,'面板-景气指数'!$36:$36,0))</f>
        <v>0.36367116307286645</v>
      </c>
      <c r="M13" s="6">
        <f>INDEX('面板-景气指数'!$37:$242,MATCH('面板-总览'!$A13,'面板-景气指数'!$A$37:$A$242,0),MATCH('面板-总览'!M$2,'面板-景气指数'!$36:$36,0))</f>
        <v>0.36630916323238599</v>
      </c>
      <c r="N13" s="6">
        <f>INDEX('面板-景气指数'!$37:$242,MATCH('面板-总览'!$A13,'面板-景气指数'!$A$37:$A$242,0),MATCH('面板-总览'!N$2,'面板-景气指数'!$36:$36,0))</f>
        <v>0.36871466261115937</v>
      </c>
      <c r="O13" s="7"/>
      <c r="P13" s="8">
        <f t="shared" si="0"/>
        <v>1.2084675687862201E-2</v>
      </c>
      <c r="R13" s="5" t="s">
        <v>36</v>
      </c>
      <c r="S13" s="6">
        <f>INDEX('面板-景气指数'!$37:$242,MATCH('面板-总览'!$R13,'面板-景气指数'!$A$37:$A$242,0),MATCH('面板-总览'!S$2,'面板-景气指数'!$36:$36,0))</f>
        <v>0.25952883667281634</v>
      </c>
      <c r="T13" s="6">
        <f>INDEX('面板-景气指数'!$37:$242,MATCH('面板-总览'!$R13,'面板-景气指数'!$A$37:$A$242,0),MATCH('面板-总览'!T$2,'面板-景气指数'!$36:$36,0))</f>
        <v>0.21636421707638812</v>
      </c>
      <c r="U13" s="6">
        <f>INDEX('面板-景气指数'!$37:$242,MATCH('面板-总览'!$R13,'面板-景气指数'!$A$37:$A$242,0),MATCH('面板-总览'!U$2,'面板-景气指数'!$36:$36,0))</f>
        <v>0.1795942656375073</v>
      </c>
      <c r="V13" s="6">
        <f>INDEX('面板-景气指数'!$37:$242,MATCH('面板-总览'!$R13,'面板-景气指数'!$A$37:$A$242,0),MATCH('面板-总览'!V$2,'面板-景气指数'!$36:$36,0))</f>
        <v>0.20179675144464346</v>
      </c>
      <c r="W13" s="6">
        <f>INDEX('面板-景气指数'!$37:$242,MATCH('面板-总览'!$R13,'面板-景气指数'!$A$37:$A$242,0),MATCH('面板-总览'!W$2,'面板-景气指数'!$36:$36,0))</f>
        <v>0.25872218764138893</v>
      </c>
      <c r="X13" s="6">
        <f>INDEX('面板-景气指数'!$37:$242,MATCH('面板-总览'!$R13,'面板-景气指数'!$A$37:$A$242,0),MATCH('面板-总览'!X$2,'面板-景气指数'!$36:$36,0))</f>
        <v>0.36939494016203972</v>
      </c>
      <c r="Y13" s="6">
        <f>INDEX('面板-景气指数'!$37:$242,MATCH('面板-总览'!$R13,'面板-景气指数'!$A$37:$A$242,0),MATCH('面板-总览'!Y$2,'面板-景气指数'!$36:$36,0))</f>
        <v>0.42447936192968727</v>
      </c>
      <c r="Z13" s="6">
        <f>INDEX('面板-景气指数'!$37:$242,MATCH('面板-总览'!$R13,'面板-景气指数'!$A$37:$A$242,0),MATCH('面板-总览'!Z$2,'面板-景气指数'!$36:$36,0))</f>
        <v>0.43610154278148094</v>
      </c>
      <c r="AA13" s="6">
        <f>INDEX('面板-景气指数'!$37:$242,MATCH('面板-总览'!$R13,'面板-景气指数'!$A$37:$A$242,0),MATCH('面板-总览'!AA$2,'面板-景气指数'!$36:$36,0))</f>
        <v>0.40331709477070393</v>
      </c>
      <c r="AB13" s="6">
        <f>INDEX('面板-景气指数'!$37:$242,MATCH('面板-总览'!$R13,'面板-景气指数'!$A$37:$A$242,0),MATCH('面板-总览'!AB$2,'面板-景气指数'!$36:$36,0))</f>
        <v>0.32015215855141621</v>
      </c>
      <c r="AC13" s="6">
        <f>INDEX('面板-景气指数'!$37:$242,MATCH('面板-总览'!$R13,'面板-景气指数'!$A$37:$A$242,0),MATCH('面板-总览'!AC$2,'面板-景气指数'!$36:$36,0))</f>
        <v>0.28890281887237679</v>
      </c>
      <c r="AD13" s="6">
        <f>INDEX('面板-景气指数'!$37:$242,MATCH('面板-总览'!$R13,'面板-景气指数'!$A$37:$A$242,0),MATCH('面板-总览'!AD$2,'面板-景气指数'!$36:$36,0))</f>
        <v>0.2369370586111923</v>
      </c>
      <c r="AE13" s="6">
        <f>INDEX('面板-景气指数'!$37:$242,MATCH('面板-总览'!$R13,'面板-景气指数'!$A$37:$A$242,0),MATCH('面板-总览'!AE$2,'面板-景气指数'!$36:$36,0))</f>
        <v>0.24918725927695651</v>
      </c>
      <c r="AF13" s="10"/>
      <c r="AG13" s="11">
        <f t="shared" si="1"/>
        <v>-7.0964899274459703E-2</v>
      </c>
      <c r="AI13" s="5" t="s">
        <v>37</v>
      </c>
      <c r="AJ13" s="6">
        <f>INDEX('面板-景气指数'!$37:$242,MATCH('面板-总览'!$AI13,'面板-景气指数'!$A$37:$A$242,0),MATCH('面板-总览'!AJ$2,'面板-景气指数'!$36:$36,0))</f>
        <v>1.2999999999999999E-2</v>
      </c>
      <c r="AK13" s="6">
        <f>INDEX('面板-景气指数'!$37:$242,MATCH('面板-总览'!$AI13,'面板-景气指数'!$A$37:$A$242,0),MATCH('面板-总览'!AK$2,'面板-景气指数'!$36:$36,0))</f>
        <v>0</v>
      </c>
      <c r="AL13" s="6">
        <f>INDEX('面板-景气指数'!$37:$242,MATCH('面板-总览'!$AI13,'面板-景气指数'!$A$37:$A$242,0),MATCH('面板-总览'!AL$2,'面板-景气指数'!$36:$36,0))</f>
        <v>6.9000000000000006E-2</v>
      </c>
      <c r="AM13" s="6">
        <f>INDEX('面板-景气指数'!$37:$242,MATCH('面板-总览'!$AI13,'面板-景气指数'!$A$37:$A$242,0),MATCH('面板-总览'!AM$2,'面板-景气指数'!$36:$36,0))</f>
        <v>0.16600000000000001</v>
      </c>
      <c r="AN13" s="6">
        <f>INDEX('面板-景气指数'!$37:$242,MATCH('面板-总览'!$AI13,'面板-景气指数'!$A$37:$A$242,0),MATCH('面板-总览'!AN$2,'面板-景气指数'!$36:$36,0))</f>
        <v>0.25</v>
      </c>
      <c r="AO13" s="6">
        <f>INDEX('面板-景气指数'!$37:$242,MATCH('面板-总览'!$AI13,'面板-景气指数'!$A$37:$A$242,0),MATCH('面板-总览'!AO$2,'面板-景气指数'!$36:$36,0))</f>
        <v>0.33300000000000002</v>
      </c>
      <c r="AP13" s="6">
        <f>INDEX('面板-景气指数'!$37:$242,MATCH('面板-总览'!$AI13,'面板-景气指数'!$A$37:$A$242,0),MATCH('面板-总览'!AP$2,'面板-景气指数'!$36:$36,0))</f>
        <v>0.29099999999999998</v>
      </c>
      <c r="AQ13" s="6">
        <f>INDEX('面板-景气指数'!$37:$242,MATCH('面板-总览'!$AI13,'面板-景气指数'!$A$37:$A$242,0),MATCH('面板-总览'!AQ$2,'面板-景气指数'!$36:$36,0))</f>
        <v>0.23599999999999999</v>
      </c>
      <c r="AR13" s="6">
        <f>INDEX('面板-景气指数'!$37:$242,MATCH('面板-总览'!$AI13,'面板-景气指数'!$A$37:$A$242,0),MATCH('面板-总览'!AR$2,'面板-景气指数'!$36:$36,0))</f>
        <v>0.222</v>
      </c>
      <c r="AS13" s="6">
        <f>INDEX('面板-景气指数'!$37:$242,MATCH('面板-总览'!$AI13,'面板-景气指数'!$A$37:$A$242,0),MATCH('面板-总览'!AS$2,'面板-景气指数'!$36:$36,0))</f>
        <v>0.26300000000000001</v>
      </c>
      <c r="AT13" s="6">
        <f>INDEX('面板-景气指数'!$37:$242,MATCH('面板-总览'!$AI13,'面板-景气指数'!$A$37:$A$242,0),MATCH('面板-总览'!AT$2,'面板-景气指数'!$36:$36,0))</f>
        <v>0.36099999999999999</v>
      </c>
      <c r="AU13" s="6">
        <f>INDEX('面板-景气指数'!$37:$242,MATCH('面板-总览'!$AI13,'面板-景气指数'!$A$37:$A$242,0),MATCH('面板-总览'!AU$2,'面板-景气指数'!$36:$36,0))</f>
        <v>0.40200000000000002</v>
      </c>
      <c r="AV13" s="6">
        <f>INDEX('面板-景气指数'!$37:$242,MATCH('面板-总览'!$AI13,'面板-景气指数'!$A$37:$A$242,0),MATCH('面板-总览'!AV$2,'面板-景气指数'!$36:$36,0))</f>
        <v>0.44400000000000001</v>
      </c>
      <c r="AX13" s="11">
        <f t="shared" si="2"/>
        <v>0.18099999999999999</v>
      </c>
    </row>
    <row r="14" spans="1:50" ht="21" customHeight="1" x14ac:dyDescent="0.2">
      <c r="A14" s="5" t="s">
        <v>38</v>
      </c>
      <c r="B14" s="6">
        <f>INDEX('面板-景气指数'!$37:$242,MATCH('面板-总览'!$A14,'面板-景气指数'!$A$37:$A$242,0),MATCH('面板-总览'!B$2,'面板-景气指数'!$36:$36,0))</f>
        <v>0.36205902805438328</v>
      </c>
      <c r="C14" s="6">
        <f>INDEX('面板-景气指数'!$37:$242,MATCH('面板-总览'!$A14,'面板-景气指数'!$A$37:$A$242,0),MATCH('面板-总览'!C$2,'面板-景气指数'!$36:$36,0))</f>
        <v>0.25237577879967349</v>
      </c>
      <c r="D14" s="6">
        <f>INDEX('面板-景气指数'!$37:$242,MATCH('面板-总览'!$A14,'面板-景气指数'!$A$37:$A$242,0),MATCH('面板-总览'!D$2,'面板-景气指数'!$36:$36,0))</f>
        <v>0.2413696389360877</v>
      </c>
      <c r="E14" s="6">
        <f>INDEX('面板-景气指数'!$37:$242,MATCH('面板-总览'!$A14,'面板-景气指数'!$A$37:$A$242,0),MATCH('面板-总览'!E$2,'面板-景气指数'!$36:$36,0))</f>
        <v>0.25172912536899844</v>
      </c>
      <c r="F14" s="6">
        <f>INDEX('面板-景气指数'!$37:$242,MATCH('面板-总览'!$A14,'面板-景气指数'!$A$37:$A$242,0),MATCH('面板-总览'!F$2,'面板-景气指数'!$36:$36,0))</f>
        <v>0.25585745437849272</v>
      </c>
      <c r="G14" s="6">
        <f>INDEX('面板-景气指数'!$37:$242,MATCH('面板-总览'!$A14,'面板-景气指数'!$A$37:$A$242,0),MATCH('面板-总览'!G$2,'面板-景气指数'!$36:$36,0))</f>
        <v>0.23669934530964831</v>
      </c>
      <c r="H14" s="6">
        <f>INDEX('面板-景气指数'!$37:$242,MATCH('面板-总览'!$A14,'面板-景气指数'!$A$37:$A$242,0),MATCH('面板-总览'!H$2,'面板-景气指数'!$36:$36,0))</f>
        <v>0.22866364878167794</v>
      </c>
      <c r="I14" s="6">
        <f>INDEX('面板-景气指数'!$37:$242,MATCH('面板-总览'!$A14,'面板-景气指数'!$A$37:$A$242,0),MATCH('面板-总览'!I$2,'面板-景气指数'!$36:$36,0))</f>
        <v>0.25212104618515729</v>
      </c>
      <c r="J14" s="6">
        <f>INDEX('面板-景气指数'!$37:$242,MATCH('面板-总览'!$A14,'面板-景气指数'!$A$37:$A$242,0),MATCH('面板-总览'!J$2,'面板-景气指数'!$36:$36,0))</f>
        <v>0.23517997850737152</v>
      </c>
      <c r="K14" s="6">
        <f>INDEX('面板-景气指数'!$37:$242,MATCH('面板-总览'!$A14,'面板-景气指数'!$A$37:$A$242,0),MATCH('面板-总览'!K$2,'面板-景气指数'!$36:$36,0))</f>
        <v>0.24211498988164976</v>
      </c>
      <c r="L14" s="6">
        <f>INDEX('面板-景气指数'!$37:$242,MATCH('面板-总览'!$A14,'面板-景气指数'!$A$37:$A$242,0),MATCH('面板-总览'!L$2,'面板-景气指数'!$36:$36,0))</f>
        <v>0.26221393407749444</v>
      </c>
      <c r="M14" s="6">
        <f>INDEX('面板-景气指数'!$37:$242,MATCH('面板-总览'!$A14,'面板-景气指数'!$A$37:$A$242,0),MATCH('面板-总览'!M$2,'面板-景气指数'!$36:$36,0))</f>
        <v>0.23044223647763726</v>
      </c>
      <c r="N14" s="6">
        <f>INDEX('面板-景气指数'!$37:$242,MATCH('面板-总览'!$A14,'面板-景气指数'!$A$37:$A$242,0),MATCH('面板-总览'!N$2,'面板-景气指数'!$36:$36,0))</f>
        <v>0.22473957654466237</v>
      </c>
      <c r="O14" s="7"/>
      <c r="P14" s="8">
        <f t="shared" si="0"/>
        <v>-1.7375413336987389E-2</v>
      </c>
      <c r="R14" s="5" t="s">
        <v>39</v>
      </c>
      <c r="S14" s="6">
        <f>INDEX('面板-景气指数'!$37:$242,MATCH('面板-总览'!$R14,'面板-景气指数'!$A$37:$A$242,0),MATCH('面板-总览'!S$2,'面板-景气指数'!$36:$36,0))</f>
        <v>0.2336767451368929</v>
      </c>
      <c r="T14" s="6">
        <f>INDEX('面板-景气指数'!$37:$242,MATCH('面板-总览'!$R14,'面板-景气指数'!$A$37:$A$242,0),MATCH('面板-总览'!T$2,'面板-景气指数'!$36:$36,0))</f>
        <v>0.18558362405310472</v>
      </c>
      <c r="U14" s="6">
        <f>INDEX('面板-景气指数'!$37:$242,MATCH('面板-总览'!$R14,'面板-景气指数'!$A$37:$A$242,0),MATCH('面板-总览'!U$2,'面板-景气指数'!$36:$36,0))</f>
        <v>0.18543822602032053</v>
      </c>
      <c r="V14" s="6">
        <f>INDEX('面板-景气指数'!$37:$242,MATCH('面板-总览'!$R14,'面板-景气指数'!$A$37:$A$242,0),MATCH('面板-总览'!V$2,'面板-景气指数'!$36:$36,0))</f>
        <v>0.24248097048719547</v>
      </c>
      <c r="W14" s="6">
        <f>INDEX('面板-景气指数'!$37:$242,MATCH('面板-总览'!$R14,'面板-景气指数'!$A$37:$A$242,0),MATCH('面板-总览'!W$2,'面板-景气指数'!$36:$36,0))</f>
        <v>0.33991038478293056</v>
      </c>
      <c r="X14" s="6">
        <f>INDEX('面板-景气指数'!$37:$242,MATCH('面板-总览'!$R14,'面板-景气指数'!$A$37:$A$242,0),MATCH('面板-总览'!X$2,'面板-景气指数'!$36:$36,0))</f>
        <v>0.48679030667652035</v>
      </c>
      <c r="Y14" s="6">
        <f>INDEX('面板-景气指数'!$37:$242,MATCH('面板-总览'!$R14,'面板-景气指数'!$A$37:$A$242,0),MATCH('面板-总览'!Y$2,'面板-景气指数'!$36:$36,0))</f>
        <v>0.47078157858950598</v>
      </c>
      <c r="Z14" s="6">
        <f>INDEX('面板-景气指数'!$37:$242,MATCH('面板-总览'!$R14,'面板-景气指数'!$A$37:$A$242,0),MATCH('面板-总览'!Z$2,'面板-景气指数'!$36:$36,0))</f>
        <v>0.4698748086503341</v>
      </c>
      <c r="AA14" s="6">
        <f>INDEX('面板-景气指数'!$37:$242,MATCH('面板-总览'!$R14,'面板-景气指数'!$A$37:$A$242,0),MATCH('面板-总览'!AA$2,'面板-景气指数'!$36:$36,0))</f>
        <v>0.46313569196582743</v>
      </c>
      <c r="AB14" s="6">
        <f>INDEX('面板-景气指数'!$37:$242,MATCH('面板-总览'!$R14,'面板-景气指数'!$A$37:$A$242,0),MATCH('面板-总览'!AB$2,'面板-景气指数'!$36:$36,0))</f>
        <v>0.45502587951860091</v>
      </c>
      <c r="AC14" s="6">
        <f>INDEX('面板-景气指数'!$37:$242,MATCH('面板-总览'!$R14,'面板-景气指数'!$A$37:$A$242,0),MATCH('面板-总览'!AC$2,'面板-景气指数'!$36:$36,0))</f>
        <v>0.43100398145984808</v>
      </c>
      <c r="AD14" s="6">
        <f>INDEX('面板-景气指数'!$37:$242,MATCH('面板-总览'!$R14,'面板-景气指数'!$A$37:$A$242,0),MATCH('面板-总览'!AD$2,'面板-景气指数'!$36:$36,0))</f>
        <v>0.4151559578385301</v>
      </c>
      <c r="AE14" s="6">
        <f>INDEX('面板-景气指数'!$37:$242,MATCH('面板-总览'!$R14,'面板-景气指数'!$A$37:$A$242,0),MATCH('面板-总览'!AE$2,'面板-景气指数'!$36:$36,0))</f>
        <v>0.41705215744218005</v>
      </c>
      <c r="AF14" s="10"/>
      <c r="AG14" s="11">
        <f t="shared" si="1"/>
        <v>-3.7973722076420857E-2</v>
      </c>
      <c r="AI14" s="5" t="s">
        <v>40</v>
      </c>
      <c r="AJ14" s="6">
        <f>INDEX('面板-景气指数'!$37:$242,MATCH('面板-总览'!$AI14,'面板-景气指数'!$A$37:$A$242,0),MATCH('面板-总览'!AJ$2,'面板-景气指数'!$36:$36,0))</f>
        <v>0.26500000000000001</v>
      </c>
      <c r="AK14" s="6">
        <f>INDEX('面板-景气指数'!$37:$242,MATCH('面板-总览'!$AI14,'面板-景气指数'!$A$37:$A$242,0),MATCH('面板-总览'!AK$2,'面板-景气指数'!$36:$36,0))</f>
        <v>0.17299999999999999</v>
      </c>
      <c r="AL14" s="6">
        <f>INDEX('面板-景气指数'!$37:$242,MATCH('面板-总览'!$AI14,'面板-景气指数'!$A$37:$A$242,0),MATCH('面板-总览'!AL$2,'面板-景气指数'!$36:$36,0))</f>
        <v>0.16300000000000001</v>
      </c>
      <c r="AM14" s="6">
        <f>INDEX('面板-景气指数'!$37:$242,MATCH('面板-总览'!$AI14,'面板-景气指数'!$A$37:$A$242,0),MATCH('面板-总览'!AM$2,'面板-景气指数'!$36:$36,0))</f>
        <v>0.12199999999999998</v>
      </c>
      <c r="AN14" s="6">
        <f>INDEX('面板-景气指数'!$37:$242,MATCH('面板-总览'!$AI14,'面板-景气指数'!$A$37:$A$242,0),MATCH('面板-总览'!AN$2,'面板-景气指数'!$36:$36,0))</f>
        <v>0.112</v>
      </c>
      <c r="AO14" s="6">
        <f>INDEX('面板-景气指数'!$37:$242,MATCH('面板-总览'!$AI14,'面板-景气指数'!$A$37:$A$242,0),MATCH('面板-总览'!AO$2,'面板-景气指数'!$36:$36,0))</f>
        <v>0.13200000000000001</v>
      </c>
      <c r="AP14" s="6">
        <f>INDEX('面板-景气指数'!$37:$242,MATCH('面板-总览'!$AI14,'面板-景气指数'!$A$37:$A$242,0),MATCH('面板-总览'!AP$2,'面板-景气指数'!$36:$36,0))</f>
        <v>0.153</v>
      </c>
      <c r="AQ14" s="6">
        <f>INDEX('面板-景气指数'!$37:$242,MATCH('面板-总览'!$AI14,'面板-景气指数'!$A$37:$A$242,0),MATCH('面板-总览'!AQ$2,'面板-景气指数'!$36:$36,0))</f>
        <v>0.14199999999999999</v>
      </c>
      <c r="AR14" s="6">
        <f>INDEX('面板-景气指数'!$37:$242,MATCH('面板-总览'!$AI14,'面板-景气指数'!$A$37:$A$242,0),MATCH('面板-总览'!AR$2,'面板-景气指数'!$36:$36,0))</f>
        <v>9.0999999999999998E-2</v>
      </c>
      <c r="AS14" s="6">
        <f>INDEX('面板-景气指数'!$37:$242,MATCH('面板-总览'!$AI14,'面板-景气指数'!$A$37:$A$242,0),MATCH('面板-总览'!AS$2,'面板-景气指数'!$36:$36,0))</f>
        <v>8.1000000000000003E-2</v>
      </c>
      <c r="AT14" s="6">
        <f>INDEX('面板-景气指数'!$37:$242,MATCH('面板-总览'!$AI14,'面板-景气指数'!$A$37:$A$242,0),MATCH('面板-总览'!AT$2,'面板-景气指数'!$36:$36,0))</f>
        <v>6.0999999999999992E-2</v>
      </c>
      <c r="AU14" s="6">
        <f>INDEX('面板-景气指数'!$37:$242,MATCH('面板-总览'!$AI14,'面板-景气指数'!$A$37:$A$242,0),MATCH('面板-总览'!AU$2,'面板-景气指数'!$36:$36,0))</f>
        <v>0.03</v>
      </c>
      <c r="AV14" s="6">
        <f>INDEX('面板-景气指数'!$37:$242,MATCH('面板-总览'!$AI14,'面板-景气指数'!$A$37:$A$242,0),MATCH('面板-总览'!AV$2,'面板-景气指数'!$36:$36,0))</f>
        <v>0.02</v>
      </c>
      <c r="AX14" s="11">
        <f t="shared" si="2"/>
        <v>-6.0999999999999999E-2</v>
      </c>
    </row>
    <row r="15" spans="1:50" ht="21" customHeight="1" x14ac:dyDescent="0.2">
      <c r="A15" s="5" t="s">
        <v>41</v>
      </c>
      <c r="B15" s="6">
        <f>INDEX('面板-景气指数'!$37:$242,MATCH('面板-总览'!$A15,'面板-景气指数'!$A$37:$A$242,0),MATCH('面板-总览'!B$2,'面板-景气指数'!$36:$36,0))</f>
        <v>0.58261115919977069</v>
      </c>
      <c r="C15" s="6">
        <f>INDEX('面板-景气指数'!$37:$242,MATCH('面板-总览'!$A15,'面板-景气指数'!$A$37:$A$242,0),MATCH('面板-总览'!C$2,'面板-景气指数'!$36:$36,0))</f>
        <v>0.5995840093612741</v>
      </c>
      <c r="D15" s="6">
        <f>INDEX('面板-景气指数'!$37:$242,MATCH('面板-总览'!$A15,'面板-景气指数'!$A$37:$A$242,0),MATCH('面板-总览'!D$2,'面板-景气指数'!$36:$36,0))</f>
        <v>0.55244087366252914</v>
      </c>
      <c r="E15" s="6">
        <f>INDEX('面板-景气指数'!$37:$242,MATCH('面板-总览'!$A15,'面板-景气指数'!$A$37:$A$242,0),MATCH('面板-总览'!E$2,'面板-景气指数'!$36:$36,0))</f>
        <v>0.46378891132353572</v>
      </c>
      <c r="F15" s="6">
        <f>INDEX('面板-景气指数'!$37:$242,MATCH('面板-总览'!$A15,'面板-景气指数'!$A$37:$A$242,0),MATCH('面板-总览'!F$2,'面板-景气指数'!$36:$36,0))</f>
        <v>0.4018185768332192</v>
      </c>
      <c r="G15" s="6">
        <f>INDEX('面板-景气指数'!$37:$242,MATCH('面板-总览'!$A15,'面板-景气指数'!$A$37:$A$242,0),MATCH('面板-总览'!G$2,'面板-景气指数'!$36:$36,0))</f>
        <v>0.4312374700614976</v>
      </c>
      <c r="H15" s="6">
        <f>INDEX('面板-景气指数'!$37:$242,MATCH('面板-总览'!$A15,'面板-景气指数'!$A$37:$A$242,0),MATCH('面板-总览'!H$2,'面板-景气指数'!$36:$36,0))</f>
        <v>0.52507040382674464</v>
      </c>
      <c r="I15" s="6">
        <f>INDEX('面板-景气指数'!$37:$242,MATCH('面板-总览'!$A15,'面板-景气指数'!$A$37:$A$242,0),MATCH('面板-总览'!I$2,'面板-景气指数'!$36:$36,0))</f>
        <v>0.56797350149995629</v>
      </c>
      <c r="J15" s="6">
        <f>INDEX('面板-景气指数'!$37:$242,MATCH('面板-总览'!$A15,'面板-景气指数'!$A$37:$A$242,0),MATCH('面板-总览'!J$2,'面板-景气指数'!$36:$36,0))</f>
        <v>0.63491412763323196</v>
      </c>
      <c r="K15" s="6">
        <f>INDEX('面板-景气指数'!$37:$242,MATCH('面板-总览'!$A15,'面板-景气指数'!$A$37:$A$242,0),MATCH('面板-总览'!K$2,'面板-景气指数'!$36:$36,0))</f>
        <v>0.66528822473994143</v>
      </c>
      <c r="L15" s="6">
        <f>INDEX('面板-景气指数'!$37:$242,MATCH('面板-总览'!$A15,'面板-景气指数'!$A$37:$A$242,0),MATCH('面板-总览'!L$2,'面板-景气指数'!$36:$36,0))</f>
        <v>0.73656893607873131</v>
      </c>
      <c r="M15" s="6">
        <f>INDEX('面板-景气指数'!$37:$242,MATCH('面板-总览'!$A15,'面板-景气指数'!$A$37:$A$242,0),MATCH('面板-总览'!M$2,'面板-景气指数'!$36:$36,0))</f>
        <v>0.73106102315765653</v>
      </c>
      <c r="N15" s="6">
        <f>INDEX('面板-景气指数'!$37:$242,MATCH('面板-总览'!$A15,'面板-景气指数'!$A$37:$A$242,0),MATCH('面板-总览'!N$2,'面板-景气指数'!$36:$36,0))</f>
        <v>0.76413109973610982</v>
      </c>
      <c r="O15" s="12"/>
      <c r="P15" s="8">
        <f t="shared" si="0"/>
        <v>9.8842874996168395E-2</v>
      </c>
      <c r="R15" s="5" t="s">
        <v>42</v>
      </c>
      <c r="S15" s="6">
        <f>INDEX('面板-景气指数'!$37:$242,MATCH('面板-总览'!$R15,'面板-景气指数'!$A$37:$A$242,0),MATCH('面板-总览'!S$2,'面板-景气指数'!$36:$36,0))</f>
        <v>0.27152628855639738</v>
      </c>
      <c r="T15" s="6">
        <f>INDEX('面板-景气指数'!$37:$242,MATCH('面板-总览'!$R15,'面板-景气指数'!$A$37:$A$242,0),MATCH('面板-总览'!T$2,'面板-景气指数'!$36:$36,0))</f>
        <v>0.27180202972369155</v>
      </c>
      <c r="U15" s="6">
        <f>INDEX('面板-景气指数'!$37:$242,MATCH('面板-总览'!$R15,'面板-景气指数'!$A$37:$A$242,0),MATCH('面板-总览'!U$2,'面板-景气指数'!$36:$36,0))</f>
        <v>0.26573697902767923</v>
      </c>
      <c r="V15" s="6">
        <f>INDEX('面板-景气指数'!$37:$242,MATCH('面板-总览'!$R15,'面板-景气指数'!$A$37:$A$242,0),MATCH('面板-总览'!V$2,'面板-景气指数'!$36:$36,0))</f>
        <v>0.27512965872015505</v>
      </c>
      <c r="W15" s="6">
        <f>INDEX('面板-景气指数'!$37:$242,MATCH('面板-总览'!$R15,'面板-景气指数'!$A$37:$A$242,0),MATCH('面板-总览'!W$2,'面板-景气指数'!$36:$36,0))</f>
        <v>0.31699943904768862</v>
      </c>
      <c r="X15" s="6">
        <f>INDEX('面板-景气指数'!$37:$242,MATCH('面板-总览'!$R15,'面板-景气指数'!$A$37:$A$242,0),MATCH('面板-总览'!X$2,'面板-景气指数'!$36:$36,0))</f>
        <v>0.33930889223698874</v>
      </c>
      <c r="Y15" s="6">
        <f>INDEX('面板-景气指数'!$37:$242,MATCH('面板-总览'!$R15,'面板-景气指数'!$A$37:$A$242,0),MATCH('面板-总览'!Y$2,'面板-景气指数'!$36:$36,0))</f>
        <v>0.32840464393779151</v>
      </c>
      <c r="Z15" s="6">
        <f>INDEX('面板-景气指数'!$37:$242,MATCH('面板-总览'!$R15,'面板-景气指数'!$A$37:$A$242,0),MATCH('面板-总览'!Z$2,'面板-景气指数'!$36:$36,0))</f>
        <v>0.34794621296007922</v>
      </c>
      <c r="AA15" s="6">
        <f>INDEX('面板-景气指数'!$37:$242,MATCH('面板-总览'!$R15,'面板-景气指数'!$A$37:$A$242,0),MATCH('面板-总览'!AA$2,'面板-景气指数'!$36:$36,0))</f>
        <v>0.41229810185756383</v>
      </c>
      <c r="AB15" s="6">
        <f>INDEX('面板-景气指数'!$37:$242,MATCH('面板-总览'!$R15,'面板-景气指数'!$A$37:$A$242,0),MATCH('面板-总览'!AB$2,'面板-景气指数'!$36:$36,0))</f>
        <v>0.44988738720937355</v>
      </c>
      <c r="AC15" s="6">
        <f>INDEX('面板-景气指数'!$37:$242,MATCH('面板-总览'!$R15,'面板-景气指数'!$A$37:$A$242,0),MATCH('面板-总览'!AC$2,'面板-景气指数'!$36:$36,0))</f>
        <v>0.43294850004699209</v>
      </c>
      <c r="AD15" s="6">
        <f>INDEX('面板-景气指数'!$37:$242,MATCH('面板-总览'!$R15,'面板-景气指数'!$A$37:$A$242,0),MATCH('面板-总览'!AD$2,'面板-景气指数'!$36:$36,0))</f>
        <v>0.35032429214388594</v>
      </c>
      <c r="AE15" s="6">
        <f>INDEX('面板-景气指数'!$37:$242,MATCH('面板-总览'!$R15,'面板-景气指数'!$A$37:$A$242,0),MATCH('面板-总览'!AE$2,'面板-景气指数'!$36:$36,0))</f>
        <v>0.35373444098748702</v>
      </c>
      <c r="AF15" s="13"/>
      <c r="AG15" s="11">
        <f t="shared" si="1"/>
        <v>-9.6152946221886526E-2</v>
      </c>
      <c r="AI15" s="5" t="s">
        <v>43</v>
      </c>
      <c r="AJ15" s="6">
        <f>INDEX('面板-景气指数'!$37:$242,MATCH('面板-总览'!$AI15,'面板-景气指数'!$A$37:$A$242,0),MATCH('面板-总览'!AJ$2,'面板-景气指数'!$36:$36,0))</f>
        <v>0.03</v>
      </c>
      <c r="AK15" s="6">
        <f>INDEX('面板-景气指数'!$37:$242,MATCH('面板-总览'!$AI15,'面板-景气指数'!$A$37:$A$242,0),MATCH('面板-总览'!AK$2,'面板-景气指数'!$36:$36,0))</f>
        <v>5.1000000000000004E-2</v>
      </c>
      <c r="AL15" s="6">
        <f>INDEX('面板-景气指数'!$37:$242,MATCH('面板-总览'!$AI15,'面板-景气指数'!$A$37:$A$242,0),MATCH('面板-总览'!AL$2,'面板-景气指数'!$36:$36,0))</f>
        <v>9.1000000000000011E-2</v>
      </c>
      <c r="AM15" s="6">
        <f>INDEX('面板-景气指数'!$37:$242,MATCH('面板-总览'!$AI15,'面板-景气指数'!$A$37:$A$242,0),MATCH('面板-总览'!AM$2,'面板-景气指数'!$36:$36,0))</f>
        <v>0.14199999999999999</v>
      </c>
      <c r="AN15" s="6">
        <f>INDEX('面板-景气指数'!$37:$242,MATCH('面板-总览'!$AI15,'面板-景气指数'!$A$37:$A$242,0),MATCH('面板-总览'!AN$2,'面板-景气指数'!$36:$36,0))</f>
        <v>0.13200000000000001</v>
      </c>
      <c r="AO15" s="6">
        <f>INDEX('面板-景气指数'!$37:$242,MATCH('面板-总览'!$AI15,'面板-景气指数'!$A$37:$A$242,0),MATCH('面板-总览'!AO$2,'面板-景气指数'!$36:$36,0))</f>
        <v>0.16300000000000001</v>
      </c>
      <c r="AP15" s="6">
        <f>INDEX('面板-景气指数'!$37:$242,MATCH('面板-总览'!$AI15,'面板-景气指数'!$A$37:$A$242,0),MATCH('面板-总览'!AP$2,'面板-景气指数'!$36:$36,0))</f>
        <v>0.17299999999999999</v>
      </c>
      <c r="AQ15" s="6">
        <f>INDEX('面板-景气指数'!$37:$242,MATCH('面板-总览'!$AI15,'面板-景气指数'!$A$37:$A$242,0),MATCH('面板-总览'!AQ$2,'面板-景气指数'!$36:$36,0))</f>
        <v>0.122</v>
      </c>
      <c r="AR15" s="6">
        <f>INDEX('面板-景气指数'!$37:$242,MATCH('面板-总览'!$AI15,'面板-景气指数'!$A$37:$A$242,0),MATCH('面板-总览'!AR$2,'面板-景气指数'!$36:$36,0))</f>
        <v>7.0999999999999994E-2</v>
      </c>
      <c r="AS15" s="6">
        <f>INDEX('面板-景气指数'!$37:$242,MATCH('面板-总览'!$AI15,'面板-景气指数'!$A$37:$A$242,0),MATCH('面板-总览'!AS$2,'面板-景气指数'!$36:$36,0))</f>
        <v>4.0000000000000008E-2</v>
      </c>
      <c r="AT15" s="6">
        <f>INDEX('面板-景气指数'!$37:$242,MATCH('面板-总览'!$AI15,'面板-景气指数'!$A$37:$A$242,0),MATCH('面板-总览'!AT$2,'面板-景气指数'!$36:$36,0))</f>
        <v>2.0000000000000004E-2</v>
      </c>
      <c r="AU15" s="6">
        <f>INDEX('面板-景气指数'!$37:$242,MATCH('面板-总览'!$AI15,'面板-景气指数'!$A$37:$A$242,0),MATCH('面板-总览'!AU$2,'面板-景气指数'!$36:$36,0))</f>
        <v>0</v>
      </c>
      <c r="AV15" s="6">
        <f>INDEX('面板-景气指数'!$37:$242,MATCH('面板-总览'!$AI15,'面板-景气指数'!$A$37:$A$242,0),MATCH('面板-总览'!AV$2,'面板-景气指数'!$36:$36,0))</f>
        <v>1.0000000000000002E-2</v>
      </c>
      <c r="AX15" s="11">
        <f t="shared" si="2"/>
        <v>-3.0000000000000006E-2</v>
      </c>
    </row>
    <row r="16" spans="1:50" ht="21" customHeight="1" x14ac:dyDescent="0.2">
      <c r="A16" s="5" t="s">
        <v>44</v>
      </c>
      <c r="B16" s="6">
        <f>INDEX('面板-景气指数'!$37:$242,MATCH('面板-总览'!$A16,'面板-景气指数'!$A$37:$A$242,0),MATCH('面板-总览'!B$2,'面板-景气指数'!$36:$36,0))</f>
        <v>0.38464999999999999</v>
      </c>
      <c r="C16" s="6">
        <f>INDEX('面板-景气指数'!$37:$242,MATCH('面板-总览'!$A16,'面板-景气指数'!$A$37:$A$242,0),MATCH('面板-总览'!C$2,'面板-景气指数'!$36:$36,0))</f>
        <v>0.53320000000000012</v>
      </c>
      <c r="D16" s="6">
        <f>INDEX('面板-景气指数'!$37:$242,MATCH('面板-总览'!$A16,'面板-景气指数'!$A$37:$A$242,0),MATCH('面板-总览'!D$2,'面板-景气指数'!$36:$36,0))</f>
        <v>0.70120000000000005</v>
      </c>
      <c r="E16" s="6">
        <f>INDEX('面板-景气指数'!$37:$242,MATCH('面板-总览'!$A16,'面板-景气指数'!$A$37:$A$242,0),MATCH('面板-总览'!E$2,'面板-景气指数'!$36:$36,0))</f>
        <v>0.56710000000000005</v>
      </c>
      <c r="F16" s="6">
        <f>INDEX('面板-景气指数'!$37:$242,MATCH('面板-总览'!$A16,'面板-景气指数'!$A$37:$A$242,0),MATCH('面板-总览'!F$2,'面板-景气指数'!$36:$36,0))</f>
        <v>0.50120000000000009</v>
      </c>
      <c r="G16" s="6">
        <f>INDEX('面板-景气指数'!$37:$242,MATCH('面板-总览'!$A16,'面板-景气指数'!$A$37:$A$242,0),MATCH('面板-总览'!G$2,'面板-景气指数'!$36:$36,0))</f>
        <v>0.46945000000000003</v>
      </c>
      <c r="H16" s="6">
        <f>INDEX('面板-景气指数'!$37:$242,MATCH('面板-总览'!$A16,'面板-景气指数'!$A$37:$A$242,0),MATCH('面板-总览'!H$2,'面板-景气指数'!$36:$36,0))</f>
        <v>0.65225</v>
      </c>
      <c r="I16" s="6">
        <f>INDEX('面板-景气指数'!$37:$242,MATCH('面板-总览'!$A16,'面板-景气指数'!$A$37:$A$242,0),MATCH('面板-总览'!I$2,'面板-景气指数'!$36:$36,0))</f>
        <v>0.77675000000000005</v>
      </c>
      <c r="J16" s="6">
        <f>INDEX('面板-景气指数'!$37:$242,MATCH('面板-总览'!$A16,'面板-景气指数'!$A$37:$A$242,0),MATCH('面板-总览'!J$2,'面板-景气指数'!$36:$36,0))</f>
        <v>0.84755000000000003</v>
      </c>
      <c r="K16" s="6">
        <f>INDEX('面板-景气指数'!$37:$242,MATCH('面板-总览'!$A16,'面板-景气指数'!$A$37:$A$242,0),MATCH('面板-总览'!K$2,'面板-景气指数'!$36:$36,0))</f>
        <v>0.88745000000000007</v>
      </c>
      <c r="L16" s="6">
        <f>INDEX('面板-景气指数'!$37:$242,MATCH('面板-总览'!$A16,'面板-景气指数'!$A$37:$A$242,0),MATCH('面板-总览'!L$2,'面板-景气指数'!$36:$36,0))</f>
        <v>0.85845000000000005</v>
      </c>
      <c r="M16" s="6">
        <f>INDEX('面板-景气指数'!$37:$242,MATCH('面板-总览'!$A16,'面板-景气指数'!$A$37:$A$242,0),MATCH('面板-总览'!M$2,'面板-景气指数'!$36:$36,0))</f>
        <v>0.80459999999999987</v>
      </c>
      <c r="N16" s="6">
        <f>INDEX('面板-景气指数'!$37:$242,MATCH('面板-总览'!$A16,'面板-景气指数'!$A$37:$A$242,0),MATCH('面板-总览'!N$2,'面板-景气指数'!$36:$36,0))</f>
        <v>0.36739999999999995</v>
      </c>
      <c r="O16" s="12"/>
      <c r="P16" s="8">
        <f t="shared" si="0"/>
        <v>-0.52005000000000012</v>
      </c>
      <c r="R16" s="5" t="s">
        <v>45</v>
      </c>
      <c r="S16" s="6">
        <f>INDEX('面板-景气指数'!$37:$242,MATCH('面板-总览'!$R16,'面板-景气指数'!$A$37:$A$242,0),MATCH('面板-总览'!S$2,'面板-景气指数'!$36:$36,0))</f>
        <v>0.22599999999999998</v>
      </c>
      <c r="T16" s="6">
        <f>INDEX('面板-景气指数'!$37:$242,MATCH('面板-总览'!$R16,'面板-景气指数'!$A$37:$A$242,0),MATCH('面板-总览'!T$2,'面板-景气指数'!$36:$36,0))</f>
        <v>0.22883333333333333</v>
      </c>
      <c r="U16" s="6">
        <f>INDEX('面板-景气指数'!$37:$242,MATCH('面板-总览'!$R16,'面板-景气指数'!$A$37:$A$242,0),MATCH('面板-总览'!U$2,'面板-景气指数'!$36:$36,0))</f>
        <v>0.23416666666666661</v>
      </c>
      <c r="V16" s="6">
        <f>INDEX('面板-景气指数'!$37:$242,MATCH('面板-总览'!$R16,'面板-景气指数'!$A$37:$A$242,0),MATCH('面板-总览'!V$2,'面板-景气指数'!$36:$36,0))</f>
        <v>0.27849999999999997</v>
      </c>
      <c r="W16" s="6">
        <f>INDEX('面板-景气指数'!$37:$242,MATCH('面板-总览'!$R16,'面板-景气指数'!$A$37:$A$242,0),MATCH('面板-总览'!W$2,'面板-景气指数'!$36:$36,0))</f>
        <v>0.34616666666666657</v>
      </c>
      <c r="X16" s="6">
        <f>INDEX('面板-景气指数'!$37:$242,MATCH('面板-总览'!$R16,'面板-景气指数'!$A$37:$A$242,0),MATCH('面板-总览'!X$2,'面板-景气指数'!$36:$36,0))</f>
        <v>0.3836666666666666</v>
      </c>
      <c r="Y16" s="6">
        <f>INDEX('面板-景气指数'!$37:$242,MATCH('面板-总览'!$R16,'面板-景气指数'!$A$37:$A$242,0),MATCH('面板-总览'!Y$2,'面板-景气指数'!$36:$36,0))</f>
        <v>0.4365</v>
      </c>
      <c r="Z16" s="6">
        <f>INDEX('面板-景气指数'!$37:$242,MATCH('面板-总览'!$R16,'面板-景气指数'!$A$37:$A$242,0),MATCH('面板-总览'!Z$2,'面板-景气指数'!$36:$36,0))</f>
        <v>0.45516666666666666</v>
      </c>
      <c r="AA16" s="6">
        <f>INDEX('面板-景气指数'!$37:$242,MATCH('面板-总览'!$R16,'面板-景气指数'!$A$37:$A$242,0),MATCH('面板-总览'!AA$2,'面板-景气指数'!$36:$36,0))</f>
        <v>0.49099999999999988</v>
      </c>
      <c r="AB16" s="6">
        <f>INDEX('面板-景气指数'!$37:$242,MATCH('面板-总览'!$R16,'面板-景气指数'!$A$37:$A$242,0),MATCH('面板-总览'!AB$2,'面板-景气指数'!$36:$36,0))</f>
        <v>0.52849999999999997</v>
      </c>
      <c r="AC16" s="6">
        <f>INDEX('面板-景气指数'!$37:$242,MATCH('面板-总览'!$R16,'面板-景气指数'!$A$37:$A$242,0),MATCH('面板-总览'!AC$2,'面板-景气指数'!$36:$36,0))</f>
        <v>0.53549999999999998</v>
      </c>
      <c r="AD16" s="6">
        <f>INDEX('面板-景气指数'!$37:$242,MATCH('面板-总览'!$R16,'面板-景气指数'!$A$37:$A$242,0),MATCH('面板-总览'!AD$2,'面板-景气指数'!$36:$36,0))</f>
        <v>0.53849999999999998</v>
      </c>
      <c r="AE16" s="6">
        <f>INDEX('面板-景气指数'!$37:$242,MATCH('面板-总览'!$R16,'面板-景气指数'!$A$37:$A$242,0),MATCH('面板-总览'!AE$2,'面板-景气指数'!$36:$36,0))</f>
        <v>0.54916666666666658</v>
      </c>
      <c r="AF16" s="13"/>
      <c r="AG16" s="11">
        <f t="shared" si="1"/>
        <v>2.0666666666666611E-2</v>
      </c>
      <c r="AI16" s="5" t="s">
        <v>46</v>
      </c>
      <c r="AJ16" s="6">
        <f>INDEX('面板-景气指数'!$37:$242,MATCH('面板-总览'!$AI16,'面板-景气指数'!$A$37:$A$242,0),MATCH('面板-总览'!AJ$2,'面板-景气指数'!$36:$36,0))</f>
        <v>0.79049999999999998</v>
      </c>
      <c r="AK16" s="6">
        <f>INDEX('面板-景气指数'!$37:$242,MATCH('面板-总览'!$AI16,'面板-景气指数'!$A$37:$A$242,0),MATCH('面板-总览'!AK$2,'面板-景气指数'!$36:$36,0))</f>
        <v>0.69850000000000001</v>
      </c>
      <c r="AL16" s="6">
        <f>INDEX('面板-景气指数'!$37:$242,MATCH('面板-总览'!$AI16,'面板-景气指数'!$A$37:$A$242,0),MATCH('面板-总览'!AL$2,'面板-景气指数'!$36:$36,0))</f>
        <v>0.4840000000000001</v>
      </c>
      <c r="AM16" s="6">
        <f>INDEX('面板-景气指数'!$37:$242,MATCH('面板-总览'!$AI16,'面板-景气指数'!$A$37:$A$242,0),MATCH('面板-总览'!AM$2,'面板-景气指数'!$36:$36,0))</f>
        <v>0.32100000000000001</v>
      </c>
      <c r="AN16" s="6">
        <f>INDEX('面板-景气指数'!$37:$242,MATCH('面板-总览'!$AI16,'面板-景气指数'!$A$37:$A$242,0),MATCH('面板-总览'!AN$2,'面板-景气指数'!$36:$36,0))</f>
        <v>0.38200000000000001</v>
      </c>
      <c r="AO16" s="6">
        <f>INDEX('面板-景气指数'!$37:$242,MATCH('面板-总览'!$AI16,'面板-景气指数'!$A$37:$A$242,0),MATCH('面板-总览'!AO$2,'面板-景气指数'!$36:$36,0))</f>
        <v>0.58599999999999997</v>
      </c>
      <c r="AP16" s="6">
        <f>INDEX('面板-景气指数'!$37:$242,MATCH('面板-总览'!$AI16,'面板-景气指数'!$A$37:$A$242,0),MATCH('面板-总览'!AP$2,'面板-景气指数'!$36:$36,0))</f>
        <v>0.72399999999999998</v>
      </c>
      <c r="AQ16" s="6">
        <f>INDEX('面板-景气指数'!$37:$242,MATCH('面板-总览'!$AI16,'面板-景气指数'!$A$37:$A$242,0),MATCH('面板-总览'!AQ$2,'面板-景气指数'!$36:$36,0))</f>
        <v>0.6885</v>
      </c>
      <c r="AR16" s="6">
        <f>INDEX('面板-景气指数'!$37:$242,MATCH('面板-总览'!$AI16,'面板-景气指数'!$A$37:$A$242,0),MATCH('面板-总览'!AR$2,'面板-景气指数'!$36:$36,0))</f>
        <v>0.63200000000000012</v>
      </c>
      <c r="AS16" s="6">
        <f>INDEX('面板-景气指数'!$37:$242,MATCH('面板-总览'!$AI16,'面板-景气指数'!$A$37:$A$242,0),MATCH('面板-总览'!AS$2,'面板-景气指数'!$36:$36,0))</f>
        <v>0.55049999999999999</v>
      </c>
      <c r="AT16" s="6">
        <f>INDEX('面板-景气指数'!$37:$242,MATCH('面板-总览'!$AI16,'面板-景气指数'!$A$37:$A$242,0),MATCH('面板-总览'!AT$2,'面板-景气指数'!$36:$36,0))</f>
        <v>0.48399999999999999</v>
      </c>
      <c r="AU16" s="6">
        <f>INDEX('面板-景气指数'!$37:$242,MATCH('面板-总览'!$AI16,'面板-景气指数'!$A$37:$A$242,0),MATCH('面板-总览'!AU$2,'面板-景气指数'!$36:$36,0))</f>
        <v>0.27500000000000002</v>
      </c>
      <c r="AV16" s="6">
        <f>INDEX('面板-景气指数'!$37:$242,MATCH('面板-总览'!$AI16,'面板-景气指数'!$A$37:$A$242,0),MATCH('面板-总览'!AV$2,'面板-景气指数'!$36:$36,0))</f>
        <v>0.224</v>
      </c>
      <c r="AX16" s="11">
        <f t="shared" si="2"/>
        <v>-0.32650000000000001</v>
      </c>
    </row>
    <row r="17" spans="1:50" ht="21" customHeight="1" x14ac:dyDescent="0.2">
      <c r="A17" s="5" t="s">
        <v>47</v>
      </c>
      <c r="B17" s="6">
        <f>INDEX('面板-景气指数'!$37:$242,MATCH('面板-总览'!$A17,'面板-景气指数'!$A$37:$A$242,0),MATCH('面板-总览'!B$2,'面板-景气指数'!$36:$36,0))</f>
        <v>0.60353061158136145</v>
      </c>
      <c r="C17" s="6">
        <f>INDEX('面板-景气指数'!$37:$242,MATCH('面板-总览'!$A17,'面板-景气指数'!$A$37:$A$242,0),MATCH('面板-总览'!C$2,'面板-景气指数'!$36:$36,0))</f>
        <v>0.55898990899698553</v>
      </c>
      <c r="D17" s="6">
        <f>INDEX('面板-景气指数'!$37:$242,MATCH('面板-总览'!$A17,'面板-景气指数'!$A$37:$A$242,0),MATCH('面板-总览'!D$2,'面板-景气指数'!$36:$36,0))</f>
        <v>0.64545005815923462</v>
      </c>
      <c r="E17" s="6">
        <f>INDEX('面板-景气指数'!$37:$242,MATCH('面板-总览'!$A17,'面板-景气指数'!$A$37:$A$242,0),MATCH('面板-总览'!E$2,'面板-景气指数'!$36:$36,0))</f>
        <v>0.63388414869292475</v>
      </c>
      <c r="F17" s="6">
        <f>INDEX('面板-景气指数'!$37:$242,MATCH('面板-总览'!$A17,'面板-景气指数'!$A$37:$A$242,0),MATCH('面板-总览'!F$2,'面板-景气指数'!$36:$36,0))</f>
        <v>0.6453848754190763</v>
      </c>
      <c r="G17" s="6">
        <f>INDEX('面板-景气指数'!$37:$242,MATCH('面板-总览'!$A17,'面板-景气指数'!$A$37:$A$242,0),MATCH('面板-总览'!G$2,'面板-景气指数'!$36:$36,0))</f>
        <v>0.59681861190615715</v>
      </c>
      <c r="H17" s="6">
        <f>INDEX('面板-景气指数'!$37:$242,MATCH('面板-总览'!$A17,'面板-景气指数'!$A$37:$A$242,0),MATCH('面板-总览'!H$2,'面板-景气指数'!$36:$36,0))</f>
        <v>0.61450847608708614</v>
      </c>
      <c r="I17" s="6">
        <f>INDEX('面板-景气指数'!$37:$242,MATCH('面板-总览'!$A17,'面板-景气指数'!$A$37:$A$242,0),MATCH('面板-总览'!I$2,'面板-景气指数'!$36:$36,0))</f>
        <v>0.65659317153918628</v>
      </c>
      <c r="J17" s="6">
        <f>INDEX('面板-景气指数'!$37:$242,MATCH('面板-总览'!$A17,'面板-景气指数'!$A$37:$A$242,0),MATCH('面板-总览'!J$2,'面板-景气指数'!$36:$36,0))</f>
        <v>0.73484701361016702</v>
      </c>
      <c r="K17" s="6">
        <f>INDEX('面板-景气指数'!$37:$242,MATCH('面板-总览'!$A17,'面板-景气指数'!$A$37:$A$242,0),MATCH('面板-总览'!K$2,'面板-景气指数'!$36:$36,0))</f>
        <v>0.74646722125509812</v>
      </c>
      <c r="L17" s="6">
        <f>INDEX('面板-景气指数'!$37:$242,MATCH('面板-总览'!$A17,'面板-景气指数'!$A$37:$A$242,0),MATCH('面板-总览'!L$2,'面板-景气指数'!$36:$36,0))</f>
        <v>0.72803858037283109</v>
      </c>
      <c r="M17" s="6">
        <f>INDEX('面板-景气指数'!$37:$242,MATCH('面板-总览'!$A17,'面板-景气指数'!$A$37:$A$242,0),MATCH('面板-总览'!M$2,'面板-景气指数'!$36:$36,0))</f>
        <v>0.69497447789524913</v>
      </c>
      <c r="N17" s="6">
        <f>INDEX('面板-景气指数'!$37:$242,MATCH('面板-总览'!$A17,'面板-景气指数'!$A$37:$A$242,0),MATCH('面板-总览'!N$2,'面板-景气指数'!$36:$36,0))</f>
        <v>0.69497447789524913</v>
      </c>
      <c r="O17" s="12"/>
      <c r="P17" s="8">
        <f t="shared" si="0"/>
        <v>-5.1492743359848991E-2</v>
      </c>
      <c r="R17" s="5" t="s">
        <v>48</v>
      </c>
      <c r="S17" s="6">
        <f>INDEX('面板-景气指数'!$37:$242,MATCH('面板-总览'!$R17,'面板-景气指数'!$A$37:$A$242,0),MATCH('面板-总览'!S$2,'面板-景气指数'!$36:$36,0))</f>
        <v>0.63808428350240731</v>
      </c>
      <c r="T17" s="6">
        <f>INDEX('面板-景气指数'!$37:$242,MATCH('面板-总览'!$R17,'面板-景气指数'!$A$37:$A$242,0),MATCH('面板-总览'!T$2,'面板-景气指数'!$36:$36,0))</f>
        <v>0.63374943161274522</v>
      </c>
      <c r="U17" s="6">
        <f>INDEX('面板-景气指数'!$37:$242,MATCH('面板-总览'!$R17,'面板-景气指数'!$A$37:$A$242,0),MATCH('面板-总览'!U$2,'面板-景气指数'!$36:$36,0))</f>
        <v>0.66037813305258974</v>
      </c>
      <c r="V17" s="6">
        <f>INDEX('面板-景气指数'!$37:$242,MATCH('面板-总览'!$R17,'面板-景气指数'!$A$37:$A$242,0),MATCH('面板-总览'!V$2,'面板-景气指数'!$36:$36,0))</f>
        <v>0.6002072898615417</v>
      </c>
      <c r="W17" s="6">
        <f>INDEX('面板-景气指数'!$37:$242,MATCH('面板-总览'!$R17,'面板-景气指数'!$A$37:$A$242,0),MATCH('面板-总览'!W$2,'面板-景气指数'!$36:$36,0))</f>
        <v>0.67295899831982431</v>
      </c>
      <c r="X17" s="6">
        <f>INDEX('面板-景气指数'!$37:$242,MATCH('面板-总览'!$R17,'面板-景气指数'!$A$37:$A$242,0),MATCH('面板-总览'!X$2,'面板-景气指数'!$36:$36,0))</f>
        <v>0.7590455586677689</v>
      </c>
      <c r="Y17" s="6">
        <f>INDEX('面板-景气指数'!$37:$242,MATCH('面板-总览'!$R17,'面板-景气指数'!$A$37:$A$242,0),MATCH('面板-总览'!Y$2,'面板-景气指数'!$36:$36,0))</f>
        <v>0.85803872483463828</v>
      </c>
      <c r="Z17" s="6">
        <f>INDEX('面板-景气指数'!$37:$242,MATCH('面板-总览'!$R17,'面板-景气指数'!$A$37:$A$242,0),MATCH('面板-总览'!Z$2,'面板-景气指数'!$36:$36,0))</f>
        <v>0.86108428284310345</v>
      </c>
      <c r="AA17" s="6">
        <f>INDEX('面板-景气指数'!$37:$242,MATCH('面板-总览'!$R17,'面板-景气指数'!$A$37:$A$242,0),MATCH('面板-总览'!AA$2,'面板-景气指数'!$36:$36,0))</f>
        <v>0.82366742627448286</v>
      </c>
      <c r="AB17" s="6">
        <f>INDEX('面板-景气指数'!$37:$242,MATCH('面板-总览'!$R17,'面板-景气指数'!$A$37:$A$242,0),MATCH('面板-总览'!AB$2,'面板-景气指数'!$36:$36,0))</f>
        <v>0.75216628752206227</v>
      </c>
      <c r="AC17" s="6">
        <f>INDEX('面板-景气指数'!$37:$242,MATCH('面板-总览'!$R17,'面板-景气指数'!$A$37:$A$242,0),MATCH('面板-总览'!AC$2,'面板-景气指数'!$36:$36,0))</f>
        <v>0.74908428284310347</v>
      </c>
      <c r="AD17" s="6">
        <f>INDEX('面板-景气指数'!$37:$242,MATCH('面板-总览'!$R17,'面板-景气指数'!$A$37:$A$242,0),MATCH('面板-总览'!AD$2,'面板-景气指数'!$36:$36,0))</f>
        <v>0.79700227816414471</v>
      </c>
      <c r="AE17" s="6">
        <f>INDEX('面板-景气指数'!$37:$242,MATCH('面板-总览'!$R17,'面板-景气指数'!$A$37:$A$242,0),MATCH('面板-总览'!AE$2,'面板-景气指数'!$36:$36,0))</f>
        <v>0.80166514811033796</v>
      </c>
      <c r="AF17" s="13"/>
      <c r="AG17" s="11">
        <f t="shared" si="1"/>
        <v>4.9498860588275684E-2</v>
      </c>
      <c r="AI17" s="5" t="s">
        <v>49</v>
      </c>
      <c r="AJ17" s="6">
        <f>INDEX('面板-景气指数'!$37:$242,MATCH('面板-总览'!$AI17,'面板-景气指数'!$A$37:$A$242,0),MATCH('面板-总览'!AJ$2,'面板-景气指数'!$36:$36,0))</f>
        <v>0.10149999999999999</v>
      </c>
      <c r="AK17" s="6">
        <f>INDEX('面板-景气指数'!$37:$242,MATCH('面板-总览'!$AI17,'面板-景气指数'!$A$37:$A$242,0),MATCH('面板-总览'!AK$2,'面板-景气指数'!$36:$36,0))</f>
        <v>7.5999999999999998E-2</v>
      </c>
      <c r="AL17" s="6">
        <f>INDEX('面板-景气指数'!$37:$242,MATCH('面板-总览'!$AI17,'面板-景气指数'!$A$37:$A$242,0),MATCH('面板-总览'!AL$2,'面板-景气指数'!$36:$36,0))</f>
        <v>9.1500000000000012E-2</v>
      </c>
      <c r="AM17" s="6">
        <f>INDEX('面板-景气指数'!$37:$242,MATCH('面板-总览'!$AI17,'面板-景气指数'!$A$37:$A$242,0),MATCH('面板-总览'!AM$2,'面板-景气指数'!$36:$36,0))</f>
        <v>0.16300000000000001</v>
      </c>
      <c r="AN17" s="6">
        <f>INDEX('面板-景气指数'!$37:$242,MATCH('面板-总览'!$AI17,'面板-景气指数'!$A$37:$A$242,0),MATCH('面板-总览'!AN$2,'面板-景气指数'!$36:$36,0))</f>
        <v>0.20900000000000002</v>
      </c>
      <c r="AO17" s="6">
        <f>INDEX('面板-景气指数'!$37:$242,MATCH('面板-总览'!$AI17,'面板-景气指数'!$A$37:$A$242,0),MATCH('面板-总览'!AO$2,'面板-景气指数'!$36:$36,0))</f>
        <v>0.26000000000000006</v>
      </c>
      <c r="AP17" s="6">
        <f>INDEX('面板-景气指数'!$37:$242,MATCH('面板-总览'!$AI17,'面板-景气指数'!$A$37:$A$242,0),MATCH('面板-总览'!AP$2,'面板-景气指数'!$36:$36,0))</f>
        <v>0.3105</v>
      </c>
      <c r="AQ17" s="6">
        <f>INDEX('面板-景气指数'!$37:$242,MATCH('面板-总览'!$AI17,'面板-景气指数'!$A$37:$A$242,0),MATCH('面板-总览'!AQ$2,'面板-景气指数'!$36:$36,0))</f>
        <v>0.34650000000000003</v>
      </c>
      <c r="AR17" s="6">
        <f>INDEX('面板-景气指数'!$37:$242,MATCH('面板-总览'!$AI17,'面板-景气指数'!$A$37:$A$242,0),MATCH('面板-总览'!AR$2,'面板-景气指数'!$36:$36,0))</f>
        <v>0.3155</v>
      </c>
      <c r="AS17" s="6">
        <f>INDEX('面板-景气指数'!$37:$242,MATCH('面板-总览'!$AI17,'面板-景气指数'!$A$37:$A$242,0),MATCH('面板-总览'!AS$2,'面板-景气指数'!$36:$36,0))</f>
        <v>0.21350000000000002</v>
      </c>
      <c r="AT17" s="6">
        <f>INDEX('面板-景气指数'!$37:$242,MATCH('面板-总览'!$AI17,'面板-景气指数'!$A$37:$A$242,0),MATCH('面板-总览'!AT$2,'面板-景气指数'!$36:$36,0))</f>
        <v>0.19300000000000003</v>
      </c>
      <c r="AU17" s="6">
        <f>INDEX('面板-景气指数'!$37:$242,MATCH('面板-总览'!$AI17,'面板-景气指数'!$A$37:$A$242,0),MATCH('面板-总览'!AU$2,'面板-景气指数'!$36:$36,0))</f>
        <v>0.17299999999999999</v>
      </c>
      <c r="AV17" s="6">
        <f>INDEX('面板-景气指数'!$37:$242,MATCH('面板-总览'!$AI17,'面板-景气指数'!$A$37:$A$242,0),MATCH('面板-总览'!AV$2,'面板-景气指数'!$36:$36,0))</f>
        <v>0.19350000000000001</v>
      </c>
      <c r="AX17" s="11">
        <f t="shared" si="2"/>
        <v>-2.0000000000000018E-2</v>
      </c>
    </row>
    <row r="18" spans="1:50" ht="21" customHeight="1" x14ac:dyDescent="0.2">
      <c r="A18" s="5" t="s">
        <v>50</v>
      </c>
      <c r="B18" s="6">
        <f>INDEX('面板-景气指数'!$37:$242,MATCH('面板-总览'!$A18,'面板-景气指数'!$A$37:$A$242,0),MATCH('面板-总览'!B$2,'面板-景气指数'!$36:$36,0))</f>
        <v>0.44080664029042782</v>
      </c>
      <c r="C18" s="6">
        <f>INDEX('面板-景气指数'!$37:$242,MATCH('面板-总览'!$A18,'面板-景气指数'!$A$37:$A$242,0),MATCH('面板-总览'!C$2,'面板-景气指数'!$36:$36,0))</f>
        <v>0.40924730802325915</v>
      </c>
      <c r="D18" s="6">
        <f>INDEX('面板-景气指数'!$37:$242,MATCH('面板-总览'!$A18,'面板-景气指数'!$A$37:$A$242,0),MATCH('面板-总览'!D$2,'面板-景气指数'!$36:$36,0))</f>
        <v>0.37327012612848742</v>
      </c>
      <c r="E18" s="6">
        <f>INDEX('面板-景气指数'!$37:$242,MATCH('面板-总览'!$A18,'面板-景气指数'!$A$37:$A$242,0),MATCH('面板-总览'!E$2,'面板-景气指数'!$36:$36,0))</f>
        <v>0.34313921292672633</v>
      </c>
      <c r="F18" s="6">
        <f>INDEX('面板-景气指数'!$37:$242,MATCH('面板-总览'!$A18,'面板-景气指数'!$A$37:$A$242,0),MATCH('面板-总览'!F$2,'面板-景气指数'!$36:$36,0))</f>
        <v>0.34060399392170354</v>
      </c>
      <c r="G18" s="6">
        <f>INDEX('面板-景气指数'!$37:$242,MATCH('面板-总览'!$A18,'面板-景气指数'!$A$37:$A$242,0),MATCH('面板-总览'!G$2,'面板-景气指数'!$36:$36,0))</f>
        <v>0.3478878900919643</v>
      </c>
      <c r="H18" s="6">
        <f>INDEX('面板-景气指数'!$37:$242,MATCH('面板-总览'!$A18,'面板-景气指数'!$A$37:$A$242,0),MATCH('面板-总览'!H$2,'面板-景气指数'!$36:$36,0))</f>
        <v>0.36602609428591193</v>
      </c>
      <c r="I18" s="6">
        <f>INDEX('面板-景气指数'!$37:$242,MATCH('面板-总览'!$A18,'面板-景气指数'!$A$37:$A$242,0),MATCH('面板-总览'!I$2,'面板-景气指数'!$36:$36,0))</f>
        <v>0.35443230529113906</v>
      </c>
      <c r="J18" s="6">
        <f>INDEX('面板-景气指数'!$37:$242,MATCH('面板-总览'!$A18,'面板-景气指数'!$A$37:$A$242,0),MATCH('面板-总览'!J$2,'面板-景气指数'!$36:$36,0))</f>
        <v>0.36435387143773368</v>
      </c>
      <c r="K18" s="6">
        <f>INDEX('面板-景气指数'!$37:$242,MATCH('面板-总览'!$A18,'面板-景气指数'!$A$37:$A$242,0),MATCH('面板-总览'!K$2,'面板-景气指数'!$36:$36,0))</f>
        <v>0.3563996310815174</v>
      </c>
      <c r="L18" s="6">
        <f>INDEX('面板-景气指数'!$37:$242,MATCH('面板-总览'!$A18,'面板-景气指数'!$A$37:$A$242,0),MATCH('面板-总览'!L$2,'面板-景气指数'!$36:$36,0))</f>
        <v>0.33079007221435636</v>
      </c>
      <c r="M18" s="6">
        <f>INDEX('面板-景气指数'!$37:$242,MATCH('面板-总览'!$A18,'面板-景气指数'!$A$37:$A$242,0),MATCH('面板-总览'!M$2,'面板-景气指数'!$36:$36,0))</f>
        <v>0.24042024272869675</v>
      </c>
      <c r="N18" s="6">
        <f>INDEX('面板-景气指数'!$37:$242,MATCH('面板-总览'!$A18,'面板-景气指数'!$A$37:$A$242,0),MATCH('面板-总览'!N$2,'面板-景气指数'!$36:$36,0))</f>
        <v>0.20139872167346587</v>
      </c>
      <c r="P18" s="8">
        <f t="shared" si="0"/>
        <v>-0.15500090940805153</v>
      </c>
      <c r="R18" s="5" t="s">
        <v>51</v>
      </c>
      <c r="S18" s="6">
        <f>INDEX('面板-景气指数'!$37:$242,MATCH('面板-总览'!$R18,'面板-景气指数'!$A$37:$A$242,0),MATCH('面板-总览'!S$2,'面板-景气指数'!$36:$36,0))</f>
        <v>0.35278571428571426</v>
      </c>
      <c r="T18" s="6">
        <f>INDEX('面板-景气指数'!$37:$242,MATCH('面板-总览'!$R18,'面板-景气指数'!$A$37:$A$242,0),MATCH('面板-总览'!T$2,'面板-景气指数'!$36:$36,0))</f>
        <v>0.11271428571428573</v>
      </c>
      <c r="U18" s="6">
        <f>INDEX('面板-景气指数'!$37:$242,MATCH('面板-总览'!$R18,'面板-景气指数'!$A$37:$A$242,0),MATCH('面板-总览'!U$2,'面板-景气指数'!$36:$36,0))</f>
        <v>5.0928571428571434E-2</v>
      </c>
      <c r="V18" s="6">
        <f>INDEX('面板-景气指数'!$37:$242,MATCH('面板-总览'!$R18,'面板-景气指数'!$A$37:$A$242,0),MATCH('面板-总览'!V$2,'面板-景气指数'!$36:$36,0))</f>
        <v>0.11485714285714287</v>
      </c>
      <c r="W18" s="6">
        <f>INDEX('面板-景气指数'!$37:$242,MATCH('面板-总览'!$R18,'面板-景气指数'!$A$37:$A$242,0),MATCH('面板-总览'!W$2,'面板-景气指数'!$36:$36,0))</f>
        <v>0.28950000000000004</v>
      </c>
      <c r="X18" s="6">
        <f>INDEX('面板-景气指数'!$37:$242,MATCH('面板-总览'!$R18,'面板-景气指数'!$A$37:$A$242,0),MATCH('面板-总览'!X$2,'面板-景气指数'!$36:$36,0))</f>
        <v>0.38414285714285723</v>
      </c>
      <c r="Y18" s="6">
        <f>INDEX('面板-景气指数'!$37:$242,MATCH('面板-总览'!$R18,'面板-景气指数'!$A$37:$A$242,0),MATCH('面板-总览'!Y$2,'面板-景气指数'!$36:$36,0))</f>
        <v>0.41928571428571437</v>
      </c>
      <c r="Z18" s="6">
        <f>INDEX('面板-景气指数'!$37:$242,MATCH('面板-总览'!$R18,'面板-景气指数'!$A$37:$A$242,0),MATCH('面板-总览'!Z$2,'面板-景气指数'!$36:$36,0))</f>
        <v>0.36549999999999999</v>
      </c>
      <c r="AA18" s="6">
        <f>INDEX('面板-景气指数'!$37:$242,MATCH('面板-总览'!$R18,'面板-景气指数'!$A$37:$A$242,0),MATCH('面板-总览'!AA$2,'面板-景气指数'!$36:$36,0))</f>
        <v>0.35728571428571426</v>
      </c>
      <c r="AB18" s="6">
        <f>INDEX('面板-景气指数'!$37:$242,MATCH('面板-总览'!$R18,'面板-景气指数'!$A$37:$A$242,0),MATCH('面板-总览'!AB$2,'面板-景气指数'!$36:$36,0))</f>
        <v>0.26914285714285713</v>
      </c>
      <c r="AC18" s="6">
        <f>INDEX('面板-景气指数'!$37:$242,MATCH('面板-总览'!$R18,'面板-景气指数'!$A$37:$A$242,0),MATCH('面板-总览'!AC$2,'面板-景气指数'!$36:$36,0))</f>
        <v>0.21807142857142855</v>
      </c>
      <c r="AD18" s="6">
        <f>INDEX('面板-景气指数'!$37:$242,MATCH('面板-总览'!$R18,'面板-景气指数'!$A$37:$A$242,0),MATCH('面板-总览'!AD$2,'面板-景气指数'!$36:$36,0))</f>
        <v>0.13814285714285712</v>
      </c>
      <c r="AE18" s="6">
        <f>INDEX('面板-景气指数'!$37:$242,MATCH('面板-总览'!$R18,'面板-景气指数'!$A$37:$A$242,0),MATCH('面板-总览'!AE$2,'面板-景气指数'!$36:$36,0))</f>
        <v>0.15321428571428572</v>
      </c>
      <c r="AF18" s="14"/>
      <c r="AG18" s="11">
        <f t="shared" si="1"/>
        <v>-0.11592857142857141</v>
      </c>
      <c r="AI18" s="5" t="s">
        <v>52</v>
      </c>
      <c r="AJ18" s="6">
        <f>INDEX('面板-景气指数'!$37:$242,MATCH('面板-总览'!$AI18,'面板-景气指数'!$A$37:$A$242,0),MATCH('面板-总览'!AJ$2,'面板-景气指数'!$36:$36,0))</f>
        <v>0.47899999999999998</v>
      </c>
      <c r="AK18" s="6">
        <f>INDEX('面板-景气指数'!$37:$242,MATCH('面板-总览'!$AI18,'面板-景气指数'!$A$37:$A$242,0),MATCH('面板-总览'!AK$2,'面板-景气指数'!$36:$36,0))</f>
        <v>0.438</v>
      </c>
      <c r="AL18" s="6">
        <f>INDEX('面板-景气指数'!$37:$242,MATCH('面板-总览'!$AI18,'面板-景气指数'!$A$37:$A$242,0),MATCH('面板-总览'!AL$2,'面板-景气指数'!$36:$36,0))</f>
        <v>0.30599999999999999</v>
      </c>
      <c r="AM18" s="6">
        <f>INDEX('面板-景气指数'!$37:$242,MATCH('面板-总览'!$AI18,'面板-景气指数'!$A$37:$A$242,0),MATCH('面板-总览'!AM$2,'面板-景气指数'!$36:$36,0))</f>
        <v>0.28499999999999998</v>
      </c>
      <c r="AN18" s="6">
        <f>INDEX('面板-景气指数'!$37:$242,MATCH('面板-总览'!$AI18,'面板-景气指数'!$A$37:$A$242,0),MATCH('面板-总览'!AN$2,'面板-景气指数'!$36:$36,0))</f>
        <v>0.33600000000000002</v>
      </c>
      <c r="AO18" s="6">
        <f>INDEX('面板-景气指数'!$37:$242,MATCH('面板-总览'!$AI18,'面板-景气指数'!$A$37:$A$242,0),MATCH('面板-总览'!AO$2,'面板-景气指数'!$36:$36,0))</f>
        <v>0.64200000000000002</v>
      </c>
      <c r="AP18" s="6">
        <f>INDEX('面板-景气指数'!$37:$242,MATCH('面板-总览'!$AI18,'面板-景气指数'!$A$37:$A$242,0),MATCH('面板-总览'!AP$2,'面板-景气指数'!$36:$36,0))</f>
        <v>0.622</v>
      </c>
      <c r="AQ18" s="6">
        <f>INDEX('面板-景气指数'!$37:$242,MATCH('面板-总览'!$AI18,'面板-景气指数'!$A$37:$A$242,0),MATCH('面板-总览'!AQ$2,'面板-景气指数'!$36:$36,0))</f>
        <v>0.58099999999999996</v>
      </c>
      <c r="AR18" s="6">
        <f>INDEX('面板-景气指数'!$37:$242,MATCH('面板-总览'!$AI18,'面板-景气指数'!$A$37:$A$242,0),MATCH('面板-总览'!AR$2,'面板-景气指数'!$36:$36,0))</f>
        <v>0.55100000000000005</v>
      </c>
      <c r="AS18" s="6">
        <f>INDEX('面板-景气指数'!$37:$242,MATCH('面板-总览'!$AI18,'面板-景气指数'!$A$37:$A$242,0),MATCH('面板-总览'!AS$2,'面板-景气指数'!$36:$36,0))</f>
        <v>0.52</v>
      </c>
      <c r="AT18" s="6">
        <f>INDEX('面板-景气指数'!$37:$242,MATCH('面板-总览'!$AI18,'面板-景气指数'!$A$37:$A$242,0),MATCH('面板-总览'!AT$2,'面板-景气指数'!$36:$36,0))</f>
        <v>0.44800000000000001</v>
      </c>
      <c r="AU18" s="6">
        <f>INDEX('面板-景气指数'!$37:$242,MATCH('面板-总览'!$AI18,'面板-景气指数'!$A$37:$A$242,0),MATCH('面板-总览'!AU$2,'面板-景气指数'!$36:$36,0))</f>
        <v>0.35699999999999998</v>
      </c>
      <c r="AV18" s="6">
        <f>INDEX('面板-景气指数'!$37:$242,MATCH('面板-总览'!$AI18,'面板-景气指数'!$A$37:$A$242,0),MATCH('面板-总览'!AV$2,'面板-景气指数'!$36:$36,0))</f>
        <v>0.36700000000000005</v>
      </c>
      <c r="AX18" s="11">
        <f t="shared" si="2"/>
        <v>-0.15299999999999997</v>
      </c>
    </row>
    <row r="19" spans="1:50" ht="21" customHeight="1" x14ac:dyDescent="0.2">
      <c r="A19" s="5" t="s">
        <v>53</v>
      </c>
      <c r="B19" s="6">
        <f>INDEX('面板-景气指数'!$37:$242,MATCH('面板-总览'!$A19,'面板-景气指数'!$A$37:$A$242,0),MATCH('面板-总览'!B$2,'面板-景气指数'!$36:$36,0))</f>
        <v>0.36116315452437864</v>
      </c>
      <c r="C19" s="6">
        <f>INDEX('面板-景气指数'!$37:$242,MATCH('面板-总览'!$A19,'面板-景气指数'!$A$37:$A$242,0),MATCH('面板-总览'!C$2,'面板-景气指数'!$36:$36,0))</f>
        <v>0.46313846140808879</v>
      </c>
      <c r="D19" s="6">
        <f>INDEX('面板-景气指数'!$37:$242,MATCH('面板-总览'!$A19,'面板-景气指数'!$A$37:$A$242,0),MATCH('面板-总览'!D$2,'面板-景气指数'!$36:$36,0))</f>
        <v>0.49303834346333214</v>
      </c>
      <c r="E19" s="6">
        <f>INDEX('面板-景气指数'!$37:$242,MATCH('面板-总览'!$A19,'面板-景气指数'!$A$37:$A$242,0),MATCH('面板-总览'!E$2,'面板-景气指数'!$36:$36,0))</f>
        <v>0.47996786046277956</v>
      </c>
      <c r="F19" s="6">
        <f>INDEX('面板-景气指数'!$37:$242,MATCH('面板-总览'!$A19,'面板-景气指数'!$A$37:$A$242,0),MATCH('面板-总览'!F$2,'面板-景气指数'!$36:$36,0))</f>
        <v>0.44398742893825743</v>
      </c>
      <c r="G19" s="6">
        <f>INDEX('面板-景气指数'!$37:$242,MATCH('面板-总览'!$A19,'面板-景气指数'!$A$37:$A$242,0),MATCH('面板-总览'!G$2,'面板-景气指数'!$36:$36,0))</f>
        <v>0.47404564937215632</v>
      </c>
      <c r="H19" s="6">
        <f>INDEX('面板-景气指数'!$37:$242,MATCH('面板-总览'!$A19,'面板-景气指数'!$A$37:$A$242,0),MATCH('面板-总览'!H$2,'面板-景气指数'!$36:$36,0))</f>
        <v>0.50149622112371806</v>
      </c>
      <c r="I19" s="6">
        <f>INDEX('面板-景气指数'!$37:$242,MATCH('面板-总览'!$A19,'面板-景气指数'!$A$37:$A$242,0),MATCH('面板-总览'!I$2,'面板-景气指数'!$36:$36,0))</f>
        <v>0.51684624102476706</v>
      </c>
      <c r="J19" s="6">
        <f>INDEX('面板-景气指数'!$37:$242,MATCH('面板-总览'!$A19,'面板-景气指数'!$A$37:$A$242,0),MATCH('面板-总览'!J$2,'面板-景气指数'!$36:$36,0))</f>
        <v>0.51908354671114254</v>
      </c>
      <c r="K19" s="6">
        <f>INDEX('面板-景气指数'!$37:$242,MATCH('面板-总览'!$A19,'面板-景气指数'!$A$37:$A$242,0),MATCH('面板-总览'!K$2,'面板-景气指数'!$36:$36,0))</f>
        <v>0.53038591131968127</v>
      </c>
      <c r="L19" s="6">
        <f>INDEX('面板-景气指数'!$37:$242,MATCH('面板-总览'!$A19,'面板-景气指数'!$A$37:$A$242,0),MATCH('面板-总览'!L$2,'面板-景气指数'!$36:$36,0))</f>
        <v>0.46773348517973229</v>
      </c>
      <c r="M19" s="6">
        <f>INDEX('面板-景气指数'!$37:$242,MATCH('面板-总览'!$A19,'面板-景气指数'!$A$37:$A$242,0),MATCH('面板-总览'!M$2,'面板-景气指数'!$36:$36,0))</f>
        <v>0.42590038076813158</v>
      </c>
      <c r="N19" s="6">
        <f>INDEX('面板-景气指数'!$37:$242,MATCH('面板-总览'!$A19,'面板-景气指数'!$A$37:$A$242,0),MATCH('面板-总览'!N$2,'面板-景气指数'!$36:$36,0))</f>
        <v>0.44206455468493067</v>
      </c>
      <c r="P19" s="8">
        <f t="shared" si="0"/>
        <v>-8.8321356634750603E-2</v>
      </c>
      <c r="R19" s="5" t="s">
        <v>54</v>
      </c>
      <c r="S19" s="6">
        <f>INDEX('面板-景气指数'!$37:$242,MATCH('面板-总览'!$R19,'面板-景气指数'!$A$37:$A$242,0),MATCH('面板-总览'!S$2,'面板-景气指数'!$36:$36,0))</f>
        <v>0.04</v>
      </c>
      <c r="T19" s="6">
        <f>INDEX('面板-景气指数'!$37:$242,MATCH('面板-总览'!$R19,'面板-景气指数'!$A$37:$A$242,0),MATCH('面板-总览'!T$2,'面板-景气指数'!$36:$36,0))</f>
        <v>0.01</v>
      </c>
      <c r="U19" s="6">
        <f>INDEX('面板-景气指数'!$37:$242,MATCH('面板-总览'!$R19,'面板-景气指数'!$A$37:$A$242,0),MATCH('面板-总览'!U$2,'面板-景气指数'!$36:$36,0))</f>
        <v>0.02</v>
      </c>
      <c r="V19" s="6">
        <f>INDEX('面板-景气指数'!$37:$242,MATCH('面板-总览'!$R19,'面板-景气指数'!$A$37:$A$242,0),MATCH('面板-总览'!V$2,'面板-景气指数'!$36:$36,0))</f>
        <v>0.03</v>
      </c>
      <c r="W19" s="6">
        <f>INDEX('面板-景气指数'!$37:$242,MATCH('面板-总览'!$R19,'面板-景气指数'!$A$37:$A$242,0),MATCH('面板-总览'!W$2,'面板-景气指数'!$36:$36,0))</f>
        <v>0</v>
      </c>
      <c r="X19" s="6">
        <f>INDEX('面板-景气指数'!$37:$242,MATCH('面板-总览'!$R19,'面板-景气指数'!$A$37:$A$242,0),MATCH('面板-总览'!X$2,'面板-景气指数'!$36:$36,0))</f>
        <v>5.0999999999999997E-2</v>
      </c>
      <c r="Y19" s="6">
        <f>INDEX('面板-景气指数'!$37:$242,MATCH('面板-总览'!$R19,'面板-景气指数'!$A$37:$A$242,0),MATCH('面板-总览'!Y$2,'面板-景气指数'!$36:$36,0))</f>
        <v>6.0999999999999999E-2</v>
      </c>
      <c r="Z19" s="6">
        <f>INDEX('面板-景气指数'!$37:$242,MATCH('面板-总览'!$R19,'面板-景气指数'!$A$37:$A$242,0),MATCH('面板-总览'!Z$2,'面板-景气指数'!$36:$36,0))</f>
        <v>0.193</v>
      </c>
      <c r="AA19" s="6">
        <f>INDEX('面板-景气指数'!$37:$242,MATCH('面板-总览'!$R19,'面板-景气指数'!$A$37:$A$242,0),MATCH('面板-总览'!AA$2,'面板-景气指数'!$36:$36,0))</f>
        <v>0.17299999999999999</v>
      </c>
      <c r="AB19" s="6">
        <f>INDEX('面板-景气指数'!$37:$242,MATCH('面板-总览'!$R19,'面板-景气指数'!$A$37:$A$242,0),MATCH('面板-总览'!AB$2,'面板-景气指数'!$36:$36,0))</f>
        <v>0.10199999999999999</v>
      </c>
      <c r="AC19" s="6">
        <f>INDEX('面板-景气指数'!$37:$242,MATCH('面板-总览'!$R19,'面板-景气指数'!$A$37:$A$242,0),MATCH('面板-总览'!AC$2,'面板-景气指数'!$36:$36,0))</f>
        <v>8.1000000000000003E-2</v>
      </c>
      <c r="AD19" s="6">
        <f>INDEX('面板-景气指数'!$37:$242,MATCH('面板-总览'!$R19,'面板-景气指数'!$A$37:$A$242,0),MATCH('面板-总览'!AD$2,'面板-景气指数'!$36:$36,0))</f>
        <v>0.112</v>
      </c>
      <c r="AE19" s="6">
        <f>INDEX('面板-景气指数'!$37:$242,MATCH('面板-总览'!$R19,'面板-景气指数'!$A$37:$A$242,0),MATCH('面板-总览'!AE$2,'面板-景气指数'!$36:$36,0))</f>
        <v>0.13200000000000001</v>
      </c>
      <c r="AF19" s="14"/>
      <c r="AG19" s="11">
        <f t="shared" si="1"/>
        <v>3.0000000000000013E-2</v>
      </c>
      <c r="AI19" s="5" t="s">
        <v>55</v>
      </c>
      <c r="AJ19" s="6">
        <f>INDEX('面板-景气指数'!$37:$242,MATCH('面板-总览'!$AI19,'面板-景气指数'!$A$37:$A$242,0),MATCH('面板-总览'!AJ$2,'面板-景气指数'!$36:$36,0))</f>
        <v>0.34099999999999997</v>
      </c>
      <c r="AK19" s="6">
        <f>INDEX('面板-景气指数'!$37:$242,MATCH('面板-总览'!$AI19,'面板-景气指数'!$A$37:$A$242,0),MATCH('面板-总览'!AK$2,'面板-景气指数'!$36:$36,0))</f>
        <v>0.158</v>
      </c>
      <c r="AL19" s="6">
        <f>INDEX('面板-景气指数'!$37:$242,MATCH('面板-总览'!$AI19,'面板-景气指数'!$A$37:$A$242,0),MATCH('面板-总览'!AL$2,'面板-景气指数'!$36:$36,0))</f>
        <v>0.12199999999999998</v>
      </c>
      <c r="AM19" s="6">
        <f>INDEX('面板-景气指数'!$37:$242,MATCH('面板-总览'!$AI19,'面板-景气指数'!$A$37:$A$242,0),MATCH('面板-总览'!AM$2,'面板-景气指数'!$36:$36,0))</f>
        <v>0.17799999999999999</v>
      </c>
      <c r="AN19" s="6">
        <f>INDEX('面板-景气指数'!$37:$242,MATCH('面板-总览'!$AI19,'面板-景气指数'!$A$37:$A$242,0),MATCH('面板-总览'!AN$2,'面板-景气指数'!$36:$36,0))</f>
        <v>0.372</v>
      </c>
      <c r="AO19" s="6">
        <f>INDEX('面板-景气指数'!$37:$242,MATCH('面板-总览'!$AI19,'面板-景气指数'!$A$37:$A$242,0),MATCH('面板-总览'!AO$2,'面板-景气指数'!$36:$36,0))</f>
        <v>0.44850000000000001</v>
      </c>
      <c r="AP19" s="6">
        <f>INDEX('面板-景气指数'!$37:$242,MATCH('面板-总览'!$AI19,'面板-景气指数'!$A$37:$A$242,0),MATCH('面板-总览'!AP$2,'面板-景气指数'!$36:$36,0))</f>
        <v>0.438</v>
      </c>
      <c r="AQ19" s="6">
        <f>INDEX('面板-景气指数'!$37:$242,MATCH('面板-总览'!$AI19,'面板-景气指数'!$A$37:$A$242,0),MATCH('面板-总览'!AQ$2,'面板-景气指数'!$36:$36,0))</f>
        <v>0.34650000000000003</v>
      </c>
      <c r="AR19" s="6">
        <f>INDEX('面板-景气指数'!$37:$242,MATCH('面板-总览'!$AI19,'面板-景气指数'!$A$37:$A$242,0),MATCH('面板-总览'!AR$2,'面板-景气指数'!$36:$36,0))</f>
        <v>0.33600000000000002</v>
      </c>
      <c r="AS19" s="6">
        <f>INDEX('面板-景气指数'!$37:$242,MATCH('面板-总览'!$AI19,'面板-景气指数'!$A$37:$A$242,0),MATCH('面板-总览'!AS$2,'面板-景气指数'!$36:$36,0))</f>
        <v>0.30549999999999999</v>
      </c>
      <c r="AT19" s="6">
        <f>INDEX('面板-景气指数'!$37:$242,MATCH('面板-总览'!$AI19,'面板-景气指数'!$A$37:$A$242,0),MATCH('面板-总览'!AT$2,'面板-景气指数'!$36:$36,0))</f>
        <v>0.29549999999999998</v>
      </c>
      <c r="AU19" s="6">
        <f>INDEX('面板-景气指数'!$37:$242,MATCH('面板-总览'!$AI19,'面板-景气指数'!$A$37:$A$242,0),MATCH('面板-总览'!AU$2,'面板-景气指数'!$36:$36,0))</f>
        <v>0.27499999999999997</v>
      </c>
      <c r="AV19" s="6">
        <f>INDEX('面板-景气指数'!$37:$242,MATCH('面板-总览'!$AI19,'面板-景气指数'!$A$37:$A$242,0),MATCH('面板-总览'!AV$2,'面板-景气指数'!$36:$36,0))</f>
        <v>0.3155</v>
      </c>
      <c r="AX19" s="11">
        <f t="shared" si="2"/>
        <v>1.0000000000000009E-2</v>
      </c>
    </row>
    <row r="20" spans="1:50" ht="21" customHeight="1" x14ac:dyDescent="0.2">
      <c r="A20" s="5" t="s">
        <v>56</v>
      </c>
      <c r="B20" s="6">
        <f>INDEX('面板-景气指数'!$37:$242,MATCH('面板-总览'!$A20,'面板-景气指数'!$A$37:$A$242,0),MATCH('面板-总览'!B$2,'面板-景气指数'!$36:$36,0))</f>
        <v>0.84997608454633977</v>
      </c>
      <c r="C20" s="6">
        <f>INDEX('面板-景气指数'!$37:$242,MATCH('面板-总览'!$A20,'面板-景气指数'!$A$37:$A$242,0),MATCH('面板-总览'!C$2,'面板-景气指数'!$36:$36,0))</f>
        <v>0.90353992079661583</v>
      </c>
      <c r="D20" s="6">
        <f>INDEX('面板-景气指数'!$37:$242,MATCH('面板-总览'!$A20,'面板-景气指数'!$A$37:$A$242,0),MATCH('面板-总览'!D$2,'面板-景气指数'!$36:$36,0))</f>
        <v>0.90140918202868658</v>
      </c>
      <c r="E20" s="6">
        <f>INDEX('面板-景气指数'!$37:$242,MATCH('面板-总览'!$A20,'面板-景气指数'!$A$37:$A$242,0),MATCH('面板-总览'!E$2,'面板-景气指数'!$36:$36,0))</f>
        <v>0.81107092916697354</v>
      </c>
      <c r="F20" s="6">
        <f>INDEX('面板-景气指数'!$37:$242,MATCH('面板-总览'!$A20,'面板-景气指数'!$A$37:$A$242,0),MATCH('面板-总览'!F$2,'面板-景气指数'!$36:$36,0))</f>
        <v>0.80072405025487448</v>
      </c>
      <c r="G20" s="6">
        <f>INDEX('面板-景气指数'!$37:$242,MATCH('面板-总览'!$A20,'面板-景气指数'!$A$37:$A$242,0),MATCH('面板-总览'!G$2,'面板-景气指数'!$36:$36,0))</f>
        <v>0.8174981804904391</v>
      </c>
      <c r="H20" s="6">
        <f>INDEX('面板-景气指数'!$37:$242,MATCH('面板-总览'!$A20,'面板-景气指数'!$A$37:$A$242,0),MATCH('面板-总览'!H$2,'面板-景气指数'!$36:$36,0))</f>
        <v>0.8465151462153383</v>
      </c>
      <c r="I20" s="6">
        <f>INDEX('面板-景气指数'!$37:$242,MATCH('面板-总览'!$A20,'面板-景气指数'!$A$37:$A$242,0),MATCH('面板-总览'!I$2,'面板-景气指数'!$36:$36,0))</f>
        <v>0.86441584538157534</v>
      </c>
      <c r="J20" s="6">
        <f>INDEX('面板-景气指数'!$37:$242,MATCH('面板-总览'!$A20,'面板-景气指数'!$A$37:$A$242,0),MATCH('面板-总览'!J$2,'面板-景气指数'!$36:$36,0))</f>
        <v>0.86150541659507263</v>
      </c>
      <c r="K20" s="6">
        <f>INDEX('面板-景气指数'!$37:$242,MATCH('面板-总览'!$A20,'面板-景气指数'!$A$37:$A$242,0),MATCH('面板-总览'!K$2,'面板-景气指数'!$36:$36,0))</f>
        <v>0.84892600456564971</v>
      </c>
      <c r="L20" s="6">
        <f>INDEX('面板-景气指数'!$37:$242,MATCH('面板-总览'!$A20,'面板-景气指数'!$A$37:$A$242,0),MATCH('面板-总览'!L$2,'面板-景气指数'!$36:$36,0))</f>
        <v>0.81453685452923907</v>
      </c>
      <c r="M20" s="6">
        <f>INDEX('面板-景气指数'!$37:$242,MATCH('面板-总览'!$A20,'面板-景气指数'!$A$37:$A$242,0),MATCH('面板-总览'!M$2,'面板-景气指数'!$36:$36,0))</f>
        <v>0.78328261309801428</v>
      </c>
      <c r="N20" s="6">
        <f>INDEX('面板-景气指数'!$37:$242,MATCH('面板-总览'!$A20,'面板-景气指数'!$A$37:$A$242,0),MATCH('面板-总览'!N$2,'面板-景气指数'!$36:$36,0))</f>
        <v>0.79312489260904795</v>
      </c>
      <c r="P20" s="8">
        <f t="shared" si="0"/>
        <v>-5.5801111956601757E-2</v>
      </c>
      <c r="R20" s="5" t="s">
        <v>57</v>
      </c>
      <c r="S20" s="6">
        <f>INDEX('面板-景气指数'!$37:$242,MATCH('面板-总览'!$R20,'面板-景气指数'!$A$37:$A$242,0),MATCH('面板-总览'!S$2,'面板-景气指数'!$36:$36,0))</f>
        <v>0.39950000000000002</v>
      </c>
      <c r="T20" s="6">
        <f>INDEX('面板-景气指数'!$37:$242,MATCH('面板-总览'!$R20,'面板-景气指数'!$A$37:$A$242,0),MATCH('面板-总览'!T$2,'面板-景气指数'!$36:$36,0))</f>
        <v>0.22950000000000001</v>
      </c>
      <c r="U20" s="6">
        <f>INDEX('面板-景气指数'!$37:$242,MATCH('面板-总览'!$R20,'面板-景气指数'!$A$37:$A$242,0),MATCH('面板-总览'!U$2,'面板-景气指数'!$36:$36,0))</f>
        <v>0.32249999999999995</v>
      </c>
      <c r="V20" s="6">
        <f>INDEX('面板-景气指数'!$37:$242,MATCH('面板-总览'!$R20,'面板-景气指数'!$A$37:$A$242,0),MATCH('面板-总览'!V$2,'面板-景气指数'!$36:$36,0))</f>
        <v>0.35099999999999998</v>
      </c>
      <c r="W20" s="6">
        <f>INDEX('面板-景气指数'!$37:$242,MATCH('面板-总览'!$R20,'面板-景气指数'!$A$37:$A$242,0),MATCH('面板-总览'!W$2,'面板-景气指数'!$36:$36,0))</f>
        <v>0.26350000000000001</v>
      </c>
      <c r="X20" s="6">
        <f>INDEX('面板-景气指数'!$37:$242,MATCH('面板-总览'!$R20,'面板-景气指数'!$A$37:$A$242,0),MATCH('面板-总览'!X$2,'面板-景气指数'!$36:$36,0))</f>
        <v>8.2000000000000003E-2</v>
      </c>
      <c r="Y20" s="6">
        <f>INDEX('面板-景气指数'!$37:$242,MATCH('面板-总览'!$R20,'面板-景气指数'!$A$37:$A$242,0),MATCH('面板-总览'!Y$2,'面板-景气指数'!$36:$36,0))</f>
        <v>5.8500000000000003E-2</v>
      </c>
      <c r="Z20" s="6">
        <f>INDEX('面板-景气指数'!$37:$242,MATCH('面板-总览'!$R20,'面板-景气指数'!$A$37:$A$242,0),MATCH('面板-总览'!Z$2,'面板-景气指数'!$36:$36,0))</f>
        <v>3.5000000000000003E-2</v>
      </c>
      <c r="AA20" s="6">
        <f>INDEX('面板-景气指数'!$37:$242,MATCH('面板-总览'!$R20,'面板-景气指数'!$A$37:$A$242,0),MATCH('面板-总览'!AA$2,'面板-景气指数'!$36:$36,0))</f>
        <v>2.3E-2</v>
      </c>
      <c r="AB20" s="6">
        <f>INDEX('面板-景气指数'!$37:$242,MATCH('面板-总览'!$R20,'面板-景气指数'!$A$37:$A$242,0),MATCH('面板-总览'!AB$2,'面板-景气指数'!$36:$36,0))</f>
        <v>0</v>
      </c>
      <c r="AC20" s="6">
        <f>INDEX('面板-景气指数'!$37:$242,MATCH('面板-总览'!$R20,'面板-景气指数'!$A$37:$A$242,0),MATCH('面板-总览'!AC$2,'面板-景气指数'!$36:$36,0))</f>
        <v>1.15E-2</v>
      </c>
      <c r="AD20" s="6">
        <f>INDEX('面板-景气指数'!$37:$242,MATCH('面板-总览'!$R20,'面板-景气指数'!$A$37:$A$242,0),MATCH('面板-总览'!AD$2,'面板-景气指数'!$36:$36,0))</f>
        <v>4.65E-2</v>
      </c>
      <c r="AE20" s="6">
        <f>INDEX('面板-景气指数'!$37:$242,MATCH('面板-总览'!$R20,'面板-景气指数'!$A$37:$A$242,0),MATCH('面板-总览'!AE$2,'面板-景气指数'!$36:$36,0))</f>
        <v>7.0499999999999993E-2</v>
      </c>
      <c r="AF20" s="14"/>
      <c r="AG20" s="11">
        <f t="shared" si="1"/>
        <v>7.0499999999999993E-2</v>
      </c>
      <c r="AI20" s="5" t="s">
        <v>58</v>
      </c>
      <c r="AJ20" s="6">
        <f>INDEX('面板-景气指数'!$37:$242,MATCH('面板-总览'!$AI20,'面板-景气指数'!$A$37:$A$242,0),MATCH('面板-总览'!AJ$2,'面板-景气指数'!$36:$36,0))</f>
        <v>0.14249999999999999</v>
      </c>
      <c r="AK20" s="6">
        <f>INDEX('面板-景气指数'!$37:$242,MATCH('面板-总览'!$AI20,'面板-景气指数'!$A$37:$A$242,0),MATCH('面板-总览'!AK$2,'面板-景气指数'!$36:$36,0))</f>
        <v>0.17799999999999999</v>
      </c>
      <c r="AL20" s="6">
        <f>INDEX('面板-景气指数'!$37:$242,MATCH('面板-总览'!$AI20,'面板-景气指数'!$A$37:$A$242,0),MATCH('面板-总览'!AL$2,'面板-景气指数'!$36:$36,0))</f>
        <v>0.193</v>
      </c>
      <c r="AM20" s="6">
        <f>INDEX('面板-景气指数'!$37:$242,MATCH('面板-总览'!$AI20,'面板-景气指数'!$A$37:$A$242,0),MATCH('面板-总览'!AM$2,'面板-景气指数'!$36:$36,0))</f>
        <v>0.19350000000000001</v>
      </c>
      <c r="AN20" s="6">
        <f>INDEX('面板-景气指数'!$37:$242,MATCH('面板-总览'!$AI20,'面板-景气指数'!$A$37:$A$242,0),MATCH('面板-总览'!AN$2,'面板-景气指数'!$36:$36,0))</f>
        <v>0.214</v>
      </c>
      <c r="AO20" s="6">
        <f>INDEX('面板-景气指数'!$37:$242,MATCH('面板-总览'!$AI20,'面板-景气指数'!$A$37:$A$242,0),MATCH('面板-总览'!AO$2,'面板-景气指数'!$36:$36,0))</f>
        <v>0.39250000000000002</v>
      </c>
      <c r="AP20" s="6">
        <f>INDEX('面板-景气指数'!$37:$242,MATCH('面板-总览'!$AI20,'面板-景气指数'!$A$37:$A$242,0),MATCH('面板-总览'!AP$2,'面板-景气指数'!$36:$36,0))</f>
        <v>0.4995</v>
      </c>
      <c r="AQ20" s="6">
        <f>INDEX('面板-景气指数'!$37:$242,MATCH('面板-总览'!$AI20,'面板-景气指数'!$A$37:$A$242,0),MATCH('面板-总览'!AQ$2,'面板-景气指数'!$36:$36,0))</f>
        <v>0.57599999999999996</v>
      </c>
      <c r="AR20" s="6">
        <f>INDEX('面板-景气指数'!$37:$242,MATCH('面板-总览'!$AI20,'面板-景气指数'!$A$37:$A$242,0),MATCH('面板-总览'!AR$2,'面板-景气指数'!$36:$36,0))</f>
        <v>0.55049999999999999</v>
      </c>
      <c r="AS20" s="6">
        <f>INDEX('面板-景气指数'!$37:$242,MATCH('面板-总览'!$AI20,'面板-景气指数'!$A$37:$A$242,0),MATCH('面板-总览'!AS$2,'面板-景气指数'!$36:$36,0))</f>
        <v>0.4995</v>
      </c>
      <c r="AT20" s="6">
        <f>INDEX('面板-景气指数'!$37:$242,MATCH('面板-总览'!$AI20,'面板-景气指数'!$A$37:$A$242,0),MATCH('面板-总览'!AT$2,'面板-景气指数'!$36:$36,0))</f>
        <v>0.48899999999999999</v>
      </c>
      <c r="AU20" s="6">
        <f>INDEX('面板-景气指数'!$37:$242,MATCH('面板-总览'!$AI20,'面板-景气指数'!$A$37:$A$242,0),MATCH('面板-总览'!AU$2,'面板-景气指数'!$36:$36,0))</f>
        <v>0.50950000000000006</v>
      </c>
      <c r="AV20" s="6">
        <f>INDEX('面板-景气指数'!$37:$242,MATCH('面板-总览'!$AI20,'面板-景气指数'!$A$37:$A$242,0),MATCH('面板-总览'!AV$2,'面板-景气指数'!$36:$36,0))</f>
        <v>0.55599999999999994</v>
      </c>
      <c r="AX20" s="11">
        <f t="shared" si="2"/>
        <v>5.6499999999999939E-2</v>
      </c>
    </row>
    <row r="21" spans="1:50" ht="21" customHeight="1" x14ac:dyDescent="0.2">
      <c r="A21" s="5" t="s">
        <v>59</v>
      </c>
      <c r="B21" s="6">
        <f>INDEX('面板-景气指数'!$37:$242,MATCH('面板-总览'!$A21,'面板-景气指数'!$A$37:$A$242,0),MATCH('面板-总览'!B$2,'面板-景气指数'!$36:$36,0))</f>
        <v>0.56546887254448064</v>
      </c>
      <c r="C21" s="6">
        <f>INDEX('面板-景气指数'!$37:$242,MATCH('面板-总览'!$A21,'面板-景气指数'!$A$37:$A$242,0),MATCH('面板-总览'!C$2,'面板-景气指数'!$36:$36,0))</f>
        <v>0.60285114090661374</v>
      </c>
      <c r="D21" s="6">
        <f>INDEX('面板-景气指数'!$37:$242,MATCH('面板-总览'!$A21,'面板-景气指数'!$A$37:$A$242,0),MATCH('面板-总览'!D$2,'面板-景气指数'!$36:$36,0))</f>
        <v>0.49898514539626881</v>
      </c>
      <c r="E21" s="6">
        <f>INDEX('面板-景气指数'!$37:$242,MATCH('面板-总览'!$A21,'面板-景气指数'!$A$37:$A$242,0),MATCH('面板-总览'!E$2,'面板-景气指数'!$36:$36,0))</f>
        <v>0.22695517535909818</v>
      </c>
      <c r="F21" s="6">
        <f>INDEX('面板-景气指数'!$37:$242,MATCH('面板-总览'!$A21,'面板-景气指数'!$A$37:$A$242,0),MATCH('面板-总览'!F$2,'面板-景气指数'!$36:$36,0))</f>
        <v>0.19299796002075748</v>
      </c>
      <c r="G21" s="6">
        <f>INDEX('面板-景气指数'!$37:$242,MATCH('面板-总览'!$A21,'面板-景气指数'!$A$37:$A$242,0),MATCH('面板-总览'!G$2,'面板-景气指数'!$36:$36,0))</f>
        <v>0.16974498308534641</v>
      </c>
      <c r="H21" s="6">
        <f>INDEX('面板-景气指数'!$37:$242,MATCH('面板-总览'!$A21,'面板-景气指数'!$A$37:$A$242,0),MATCH('面板-总览'!H$2,'面板-景气指数'!$36:$36,0))</f>
        <v>0.22639151644355845</v>
      </c>
      <c r="I21" s="6">
        <f>INDEX('面板-景气指数'!$37:$242,MATCH('面板-总览'!$A21,'面板-景气指数'!$A$37:$A$242,0),MATCH('面板-总览'!I$2,'面板-景气指数'!$36:$36,0))</f>
        <v>0.16576603648430538</v>
      </c>
      <c r="J21" s="6">
        <f>INDEX('面板-景气指数'!$37:$242,MATCH('面板-总览'!$A21,'面板-景气指数'!$A$37:$A$242,0),MATCH('面板-总览'!J$2,'面板-景气指数'!$36:$36,0))</f>
        <v>0.17561793739249607</v>
      </c>
      <c r="K21" s="6">
        <f>INDEX('面板-景气指数'!$37:$242,MATCH('面板-总览'!$A21,'面板-景气指数'!$A$37:$A$242,0),MATCH('面板-总览'!K$2,'面板-景气指数'!$36:$36,0))</f>
        <v>0.1864559082763384</v>
      </c>
      <c r="L21" s="6">
        <f>INDEX('面板-景气指数'!$37:$242,MATCH('面板-总览'!$A21,'面板-景气指数'!$A$37:$A$242,0),MATCH('面板-总览'!L$2,'面板-景气指数'!$36:$36,0))</f>
        <v>0.25042415110461119</v>
      </c>
      <c r="M21" s="6">
        <f>INDEX('面板-景气指数'!$37:$242,MATCH('面板-总览'!$A21,'面板-景气指数'!$A$37:$A$242,0),MATCH('面板-总览'!M$2,'面板-景气指数'!$36:$36,0))</f>
        <v>0.18930514326577857</v>
      </c>
      <c r="N21" s="6">
        <f>INDEX('面板-景气指数'!$37:$242,MATCH('面板-总览'!$A21,'面板-景气指数'!$A$37:$A$242,0),MATCH('面板-总览'!N$2,'面板-景气指数'!$36:$36,0))</f>
        <v>0.18454490187981673</v>
      </c>
      <c r="P21" s="8">
        <f t="shared" si="0"/>
        <v>-1.9110063965216695E-3</v>
      </c>
      <c r="R21" s="5" t="s">
        <v>60</v>
      </c>
      <c r="S21" s="6">
        <f>INDEX('面板-景气指数'!$37:$242,MATCH('面板-总览'!$R21,'面板-景气指数'!$A$37:$A$242,0),MATCH('面板-总览'!S$2,'面板-景气指数'!$36:$36,0))</f>
        <v>0.26500000000000001</v>
      </c>
      <c r="T21" s="6">
        <f>INDEX('面板-景气指数'!$37:$242,MATCH('面板-总览'!$R21,'面板-景气指数'!$A$37:$A$242,0),MATCH('面板-总览'!T$2,'面板-景气指数'!$36:$36,0))</f>
        <v>0.183</v>
      </c>
      <c r="U21" s="6">
        <f>INDEX('面板-景气指数'!$37:$242,MATCH('面板-总览'!$R21,'面板-景气指数'!$A$37:$A$242,0),MATCH('面板-总览'!U$2,'面板-景气指数'!$36:$36,0))</f>
        <v>0.16300000000000003</v>
      </c>
      <c r="V21" s="6">
        <f>INDEX('面板-景气指数'!$37:$242,MATCH('面板-总览'!$R21,'面板-景气指数'!$A$37:$A$242,0),MATCH('面板-总览'!V$2,'面板-景气指数'!$36:$36,0))</f>
        <v>0.33600000000000002</v>
      </c>
      <c r="W21" s="6">
        <f>INDEX('面板-景气指数'!$37:$242,MATCH('面板-总览'!$R21,'面板-景气指数'!$A$37:$A$242,0),MATCH('面板-总览'!W$2,'面板-景气指数'!$36:$36,0))</f>
        <v>0.47899999999999998</v>
      </c>
      <c r="X21" s="6">
        <f>INDEX('面板-景气指数'!$37:$242,MATCH('面板-总览'!$R21,'面板-景气指数'!$A$37:$A$242,0),MATCH('面板-总览'!X$2,'面板-景气指数'!$36:$36,0))</f>
        <v>0.57099999999999995</v>
      </c>
      <c r="Y21" s="6">
        <f>INDEX('面板-景气指数'!$37:$242,MATCH('面板-总览'!$R21,'面板-景气指数'!$A$37:$A$242,0),MATCH('面板-总览'!Y$2,'面板-景气指数'!$36:$36,0))</f>
        <v>0.63200000000000001</v>
      </c>
      <c r="Z21" s="6">
        <f>INDEX('面板-景气指数'!$37:$242,MATCH('面板-总览'!$R21,'面板-景气指数'!$A$37:$A$242,0),MATCH('面板-总览'!Z$2,'面板-景气指数'!$36:$36,0))</f>
        <v>0.79499999999999993</v>
      </c>
      <c r="AA21" s="6">
        <f>INDEX('面板-景气指数'!$37:$242,MATCH('面板-总览'!$R21,'面板-景气指数'!$A$37:$A$242,0),MATCH('面板-总览'!AA$2,'面板-景气指数'!$36:$36,0))</f>
        <v>0.78500000000000003</v>
      </c>
      <c r="AB21" s="6">
        <f>INDEX('面板-景气指数'!$37:$242,MATCH('面板-总览'!$R21,'面板-景气指数'!$A$37:$A$242,0),MATCH('面板-总览'!AB$2,'面板-景气指数'!$36:$36,0))</f>
        <v>0.73399999999999987</v>
      </c>
      <c r="AC21" s="6">
        <f>INDEX('面板-景气指数'!$37:$242,MATCH('面板-总览'!$R21,'面板-景气指数'!$A$37:$A$242,0),MATCH('面板-总览'!AC$2,'面板-景气指数'!$36:$36,0))</f>
        <v>0.52</v>
      </c>
      <c r="AD21" s="6">
        <f>INDEX('面板-景气指数'!$37:$242,MATCH('面板-总览'!$R21,'面板-景气指数'!$A$37:$A$242,0),MATCH('面板-总览'!AD$2,'面板-景气指数'!$36:$36,0))</f>
        <v>0.35699999999999998</v>
      </c>
      <c r="AE21" s="6">
        <f>INDEX('面板-景气指数'!$37:$242,MATCH('面板-总览'!$R21,'面板-景气指数'!$A$37:$A$242,0),MATCH('面板-总览'!AE$2,'面板-景气指数'!$36:$36,0))</f>
        <v>0.255</v>
      </c>
      <c r="AF21" s="14"/>
      <c r="AG21" s="11">
        <f t="shared" si="1"/>
        <v>-0.47899999999999987</v>
      </c>
      <c r="AI21" s="5" t="s">
        <v>61</v>
      </c>
      <c r="AJ21" s="6">
        <f>INDEX('面板-景气指数'!$37:$242,MATCH('面板-总览'!$AI21,'面板-景气指数'!$A$37:$A$242,0),MATCH('面板-总览'!AJ$2,'面板-景气指数'!$36:$36,0))</f>
        <v>0.11700000000000001</v>
      </c>
      <c r="AK21" s="6">
        <f>INDEX('面板-景气指数'!$37:$242,MATCH('面板-总览'!$AI21,'面板-景气指数'!$A$37:$A$242,0),MATCH('面板-总览'!AK$2,'面板-景气指数'!$36:$36,0))</f>
        <v>3.9E-2</v>
      </c>
      <c r="AL21" s="6">
        <f>INDEX('面板-景气指数'!$37:$242,MATCH('面板-总览'!$AI21,'面板-景气指数'!$A$37:$A$242,0),MATCH('面板-总览'!AL$2,'面板-景气指数'!$36:$36,0))</f>
        <v>0</v>
      </c>
      <c r="AM21" s="6">
        <f>INDEX('面板-景气指数'!$37:$242,MATCH('面板-总览'!$AI21,'面板-景气指数'!$A$37:$A$242,0),MATCH('面板-总览'!AM$2,'面板-景气指数'!$36:$36,0))</f>
        <v>9.8000000000000004E-2</v>
      </c>
      <c r="AN21" s="6">
        <f>INDEX('面板-景气指数'!$37:$242,MATCH('面板-总览'!$AI21,'面板-景气指数'!$A$37:$A$242,0),MATCH('面板-总览'!AN$2,'面板-景气指数'!$36:$36,0))</f>
        <v>0.215</v>
      </c>
      <c r="AO21" s="6">
        <f>INDEX('面板-景气指数'!$37:$242,MATCH('面板-总览'!$AI21,'面板-景气指数'!$A$37:$A$242,0),MATCH('面板-总览'!AO$2,'面板-景气指数'!$36:$36,0))</f>
        <v>0.254</v>
      </c>
      <c r="AP21" s="6">
        <f>INDEX('面板-景气指数'!$37:$242,MATCH('面板-总览'!$AI21,'面板-景气指数'!$A$37:$A$242,0),MATCH('面板-总览'!AP$2,'面板-景气指数'!$36:$36,0))</f>
        <v>0.27400000000000002</v>
      </c>
      <c r="AQ21" s="6">
        <f>INDEX('面板-景气指数'!$37:$242,MATCH('面板-总览'!$AI21,'面板-景气指数'!$A$37:$A$242,0),MATCH('面板-总览'!AQ$2,'面板-景气指数'!$36:$36,0))</f>
        <v>0.23499999999999999</v>
      </c>
      <c r="AR21" s="6">
        <f>INDEX('面板-景气指数'!$37:$242,MATCH('面板-总览'!$AI21,'面板-景气指数'!$A$37:$A$242,0),MATCH('面板-总览'!AR$2,'面板-景气指数'!$36:$36,0))</f>
        <v>0.372</v>
      </c>
      <c r="AS21" s="6">
        <f>INDEX('面板-景气指数'!$37:$242,MATCH('面板-总览'!$AI21,'面板-景气指数'!$A$37:$A$242,0),MATCH('面板-总览'!AS$2,'面板-景气指数'!$36:$36,0))</f>
        <v>0.43099999999999999</v>
      </c>
      <c r="AT21" s="6">
        <f>INDEX('面板-景气指数'!$37:$242,MATCH('面板-总览'!$AI21,'面板-景气指数'!$A$37:$A$242,0),MATCH('面板-总览'!AT$2,'面板-景气指数'!$36:$36,0))</f>
        <v>0.47</v>
      </c>
      <c r="AU21" s="6">
        <f>INDEX('面板-景气指数'!$37:$242,MATCH('面板-总览'!$AI21,'面板-景气指数'!$A$37:$A$242,0),MATCH('面板-总览'!AU$2,'面板-景气指数'!$36:$36,0))</f>
        <v>0.35199999999999998</v>
      </c>
      <c r="AV21" s="6">
        <f>INDEX('面板-景气指数'!$37:$242,MATCH('面板-总览'!$AI21,'面板-景气指数'!$A$37:$A$242,0),MATCH('面板-总览'!AV$2,'面板-景气指数'!$36:$36,0))</f>
        <v>0.29399999999999998</v>
      </c>
      <c r="AX21" s="11">
        <f t="shared" si="2"/>
        <v>-0.13700000000000001</v>
      </c>
    </row>
    <row r="22" spans="1:50" ht="21" customHeight="1" x14ac:dyDescent="0.2">
      <c r="A22" s="5" t="s">
        <v>62</v>
      </c>
      <c r="B22" s="6">
        <f>INDEX('面板-景气指数'!$37:$242,MATCH('面板-总览'!$A22,'面板-景气指数'!$A$37:$A$242,0),MATCH('面板-总览'!B$2,'面板-景气指数'!$36:$36,0))</f>
        <v>0.12996177744169929</v>
      </c>
      <c r="C22" s="6">
        <f>INDEX('面板-景气指数'!$37:$242,MATCH('面板-总览'!$A22,'面板-景气指数'!$A$37:$A$242,0),MATCH('面板-总览'!C$2,'面板-景气指数'!$36:$36,0))</f>
        <v>0.16363395353340698</v>
      </c>
      <c r="D22" s="6">
        <f>INDEX('面板-景气指数'!$37:$242,MATCH('面板-总览'!$A22,'面板-景气指数'!$A$37:$A$242,0),MATCH('面板-总览'!D$2,'面板-景气指数'!$36:$36,0))</f>
        <v>0.1871320746237515</v>
      </c>
      <c r="E22" s="6">
        <f>INDEX('面板-景气指数'!$37:$242,MATCH('面板-总览'!$A22,'面板-景气指数'!$A$37:$A$242,0),MATCH('面板-总览'!E$2,'面板-景气指数'!$36:$36,0))</f>
        <v>0.19699693477630914</v>
      </c>
      <c r="F22" s="6">
        <f>INDEX('面板-景气指数'!$37:$242,MATCH('面板-总览'!$A22,'面板-景气指数'!$A$37:$A$242,0),MATCH('面板-总览'!F$2,'面板-景气指数'!$36:$36,0))</f>
        <v>0.25169333754389062</v>
      </c>
      <c r="G22" s="6">
        <f>INDEX('面板-景气指数'!$37:$242,MATCH('面板-总览'!$A22,'面板-景气指数'!$A$37:$A$242,0),MATCH('面板-总览'!G$2,'面板-景气指数'!$36:$36,0))</f>
        <v>0.3198222677330318</v>
      </c>
      <c r="H22" s="6">
        <f>INDEX('面板-景气指数'!$37:$242,MATCH('面板-总览'!$A22,'面板-景气指数'!$A$37:$A$242,0),MATCH('面板-总览'!H$2,'面板-景气指数'!$36:$36,0))</f>
        <v>0.41985326579805582</v>
      </c>
      <c r="I22" s="6">
        <f>INDEX('面板-景气指数'!$37:$242,MATCH('面板-总览'!$A22,'面板-景气指数'!$A$37:$A$242,0),MATCH('面板-总览'!I$2,'面板-景气指数'!$36:$36,0))</f>
        <v>0.4619006458075729</v>
      </c>
      <c r="J22" s="6">
        <f>INDEX('面板-景气指数'!$37:$242,MATCH('面板-总览'!$A22,'面板-景气指数'!$A$37:$A$242,0),MATCH('面板-总览'!J$2,'面板-景气指数'!$36:$36,0))</f>
        <v>0.52664181047104452</v>
      </c>
      <c r="K22" s="6">
        <f>INDEX('面板-景气指数'!$37:$242,MATCH('面板-总览'!$A22,'面板-景气指数'!$A$37:$A$242,0),MATCH('面板-总览'!K$2,'面板-景气指数'!$36:$36,0))</f>
        <v>0.57572104303006211</v>
      </c>
      <c r="L22" s="6">
        <f>INDEX('面板-景气指数'!$37:$242,MATCH('面板-总览'!$A22,'面板-景气指数'!$A$37:$A$242,0),MATCH('面板-总览'!L$2,'面板-景气指数'!$36:$36,0))</f>
        <v>0.57472747400635715</v>
      </c>
      <c r="M22" s="6">
        <f>INDEX('面板-景气指数'!$37:$242,MATCH('面板-总览'!$A22,'面板-景气指数'!$A$37:$A$242,0),MATCH('面板-总览'!M$2,'面板-景气指数'!$36:$36,0))</f>
        <v>0.53719821631802389</v>
      </c>
      <c r="N22" s="6">
        <f>INDEX('面板-景气指数'!$37:$242,MATCH('面板-总览'!$A22,'面板-景气指数'!$A$37:$A$242,0),MATCH('面板-总览'!N$2,'面板-景气指数'!$36:$36,0))</f>
        <v>0.53801433709008439</v>
      </c>
      <c r="P22" s="8">
        <f t="shared" si="0"/>
        <v>-3.7706705939977714E-2</v>
      </c>
      <c r="R22" s="5" t="s">
        <v>63</v>
      </c>
      <c r="S22" s="6">
        <f>INDEX('面板-景气指数'!$37:$242,MATCH('面板-总览'!$R22,'面板-景气指数'!$A$37:$A$242,0),MATCH('面板-总览'!S$2,'面板-景气指数'!$36:$36,0))</f>
        <v>0.21287499999999995</v>
      </c>
      <c r="T22" s="6">
        <f>INDEX('面板-景气指数'!$37:$242,MATCH('面板-总览'!$R22,'面板-景气指数'!$A$37:$A$242,0),MATCH('面板-总览'!T$2,'面板-景气指数'!$36:$36,0))</f>
        <v>0.15941666666666665</v>
      </c>
      <c r="U22" s="6">
        <f>INDEX('面板-景气指数'!$37:$242,MATCH('面板-总览'!$R22,'面板-景气指数'!$A$37:$A$242,0),MATCH('面板-总览'!U$2,'面板-景气指数'!$36:$36,0))</f>
        <v>0.16325000000000001</v>
      </c>
      <c r="V22" s="6">
        <f>INDEX('面板-景气指数'!$37:$242,MATCH('面板-总览'!$R22,'面板-景气指数'!$A$37:$A$242,0),MATCH('面板-总览'!V$2,'面板-景气指数'!$36:$36,0))</f>
        <v>0.22533333333333327</v>
      </c>
      <c r="W22" s="6">
        <f>INDEX('面板-景气指数'!$37:$242,MATCH('面板-总览'!$R22,'面板-景气指数'!$A$37:$A$242,0),MATCH('面板-总览'!W$2,'面板-景气指数'!$36:$36,0))</f>
        <v>0.3043749999999999</v>
      </c>
      <c r="X22" s="6">
        <f>INDEX('面板-景气指数'!$37:$242,MATCH('面板-总览'!$R22,'面板-景气指数'!$A$37:$A$242,0),MATCH('面板-总览'!X$2,'面板-景气指数'!$36:$36,0))</f>
        <v>0.35462499999999997</v>
      </c>
      <c r="Y22" s="6">
        <f>INDEX('面板-景气指数'!$37:$242,MATCH('面板-总览'!$R22,'面板-景气指数'!$A$37:$A$242,0),MATCH('面板-总览'!Y$2,'面板-景气指数'!$36:$36,0))</f>
        <v>0.34420833333333328</v>
      </c>
      <c r="Z22" s="6">
        <f>INDEX('面板-景气指数'!$37:$242,MATCH('面板-总览'!$R22,'面板-景气指数'!$A$37:$A$242,0),MATCH('面板-总览'!Z$2,'面板-景气指数'!$36:$36,0))</f>
        <v>0.34345833333333331</v>
      </c>
      <c r="AA22" s="6">
        <f>INDEX('面板-景气指数'!$37:$242,MATCH('面板-总览'!$R22,'面板-景气指数'!$A$37:$A$242,0),MATCH('面板-总览'!AA$2,'面板-景气指数'!$36:$36,0))</f>
        <v>0.35787499999999994</v>
      </c>
      <c r="AB22" s="6">
        <f>INDEX('面板-景气指数'!$37:$242,MATCH('面板-总览'!$R22,'面板-景气指数'!$A$37:$A$242,0),MATCH('面板-总览'!AB$2,'面板-景气指数'!$36:$36,0))</f>
        <v>0.34074999999999994</v>
      </c>
      <c r="AC22" s="6">
        <f>INDEX('面板-景气指数'!$37:$242,MATCH('面板-总览'!$R22,'面板-景气指数'!$A$37:$A$242,0),MATCH('面板-总览'!AC$2,'面板-景气指数'!$36:$36,0))</f>
        <v>0.29579166666666656</v>
      </c>
      <c r="AD22" s="6">
        <f>INDEX('面板-景气指数'!$37:$242,MATCH('面板-总览'!$R22,'面板-景气指数'!$A$37:$A$242,0),MATCH('面板-总览'!AD$2,'面板-景气指数'!$36:$36,0))</f>
        <v>0.24391666666666662</v>
      </c>
      <c r="AE22" s="6">
        <f>INDEX('面板-景气指数'!$37:$242,MATCH('面板-总览'!$R22,'面板-景气指数'!$A$37:$A$242,0),MATCH('面板-总览'!AE$2,'面板-景气指数'!$36:$36,0))</f>
        <v>0.23770833333333327</v>
      </c>
      <c r="AF22" s="14"/>
      <c r="AG22" s="11">
        <f t="shared" si="1"/>
        <v>-0.10304166666666667</v>
      </c>
      <c r="AI22" s="5" t="s">
        <v>64</v>
      </c>
      <c r="AJ22" s="6">
        <f>INDEX('面板-景气指数'!$37:$242,MATCH('面板-总览'!$AI22,'面板-景气指数'!$A$37:$A$242,0),MATCH('面板-总览'!AJ$2,'面板-景气指数'!$36:$36,0))</f>
        <v>0.52</v>
      </c>
      <c r="AK22" s="6">
        <f>INDEX('面板-景气指数'!$37:$242,MATCH('面板-总览'!$AI22,'面板-景气指数'!$A$37:$A$242,0),MATCH('面板-总览'!AK$2,'面板-景气指数'!$36:$36,0))</f>
        <v>0.316</v>
      </c>
      <c r="AL22" s="6">
        <f>INDEX('面板-景气指数'!$37:$242,MATCH('面板-总览'!$AI22,'面板-景气指数'!$A$37:$A$242,0),MATCH('面板-总览'!AL$2,'面板-景气指数'!$36:$36,0))</f>
        <v>0.214</v>
      </c>
      <c r="AM22" s="6">
        <f>INDEX('面板-景气指数'!$37:$242,MATCH('面板-总览'!$AI22,'面板-景气指数'!$A$37:$A$242,0),MATCH('面板-总览'!AM$2,'面板-景气指数'!$36:$36,0))</f>
        <v>0.24399999999999999</v>
      </c>
      <c r="AN22" s="6">
        <f>INDEX('面板-景气指数'!$37:$242,MATCH('面板-总览'!$AI22,'面板-景气指数'!$A$37:$A$242,0),MATCH('面板-总览'!AN$2,'面板-景气指数'!$36:$36,0))</f>
        <v>0.30599999999999999</v>
      </c>
      <c r="AO22" s="6">
        <f>INDEX('面板-景气指数'!$37:$242,MATCH('面板-总览'!$AI22,'面板-景气指数'!$A$37:$A$242,0),MATCH('面板-总览'!AO$2,'面板-景气指数'!$36:$36,0))</f>
        <v>0.54</v>
      </c>
      <c r="AP22" s="6">
        <f>INDEX('面板-景气指数'!$37:$242,MATCH('面板-总览'!$AI22,'面板-景气指数'!$A$37:$A$242,0),MATCH('面板-总览'!AP$2,'面板-景气指数'!$36:$36,0))</f>
        <v>0.42799999999999999</v>
      </c>
      <c r="AQ22" s="6">
        <f>INDEX('面板-景气指数'!$37:$242,MATCH('面板-总览'!$AI22,'面板-景气指数'!$A$37:$A$242,0),MATCH('面板-总览'!AQ$2,'面板-景气指数'!$36:$36,0))</f>
        <v>0.39700000000000002</v>
      </c>
      <c r="AR22" s="6">
        <f>INDEX('面板-景气指数'!$37:$242,MATCH('面板-总览'!$AI22,'面板-景气指数'!$A$37:$A$242,0),MATCH('面板-总览'!AR$2,'面板-景气指数'!$36:$36,0))</f>
        <v>0.438</v>
      </c>
      <c r="AS22" s="6">
        <f>INDEX('面板-景气指数'!$37:$242,MATCH('面板-总览'!$AI22,'面板-景气指数'!$A$37:$A$242,0),MATCH('面板-总览'!AS$2,'面板-景气指数'!$36:$36,0))</f>
        <v>0.53</v>
      </c>
      <c r="AT22" s="6">
        <f>INDEX('面板-景气指数'!$37:$242,MATCH('面板-总览'!$AI22,'面板-景气指数'!$A$37:$A$242,0),MATCH('面板-总览'!AT$2,'面板-景气指数'!$36:$36,0))</f>
        <v>0.55100000000000005</v>
      </c>
      <c r="AU22" s="6">
        <f>INDEX('面板-景气指数'!$37:$242,MATCH('面板-总览'!$AI22,'面板-景气指数'!$A$37:$A$242,0),MATCH('面板-总览'!AU$2,'面板-景气指数'!$36:$36,0))</f>
        <v>0.45900000000000007</v>
      </c>
      <c r="AV22" s="6">
        <f>INDEX('面板-景气指数'!$37:$242,MATCH('面板-总览'!$AI22,'面板-景气指数'!$A$37:$A$242,0),MATCH('面板-总览'!AV$2,'面板-景气指数'!$36:$36,0))</f>
        <v>0.5</v>
      </c>
      <c r="AX22" s="11">
        <f t="shared" si="2"/>
        <v>-3.0000000000000027E-2</v>
      </c>
    </row>
    <row r="23" spans="1:50" ht="21" customHeight="1" x14ac:dyDescent="0.2">
      <c r="A23" s="5" t="s">
        <v>65</v>
      </c>
      <c r="B23" s="6">
        <f>INDEX('面板-景气指数'!$37:$242,MATCH('面板-总览'!$A23,'面板-景气指数'!$A$37:$A$242,0),MATCH('面板-总览'!B$2,'面板-景气指数'!$36:$36,0))</f>
        <v>0.20760557312056094</v>
      </c>
      <c r="C23" s="6">
        <f>INDEX('面板-景气指数'!$37:$242,MATCH('面板-总览'!$A23,'面板-景气指数'!$A$37:$A$242,0),MATCH('面板-总览'!C$2,'面板-景气指数'!$36:$36,0))</f>
        <v>0.20783501201062182</v>
      </c>
      <c r="D23" s="6">
        <f>INDEX('面板-景气指数'!$37:$242,MATCH('面板-总览'!$A23,'面板-景气指数'!$A$37:$A$242,0),MATCH('面板-总览'!D$2,'面板-景气指数'!$36:$36,0))</f>
        <v>0.21562347002613688</v>
      </c>
      <c r="E23" s="6">
        <f>INDEX('面板-景气指数'!$37:$242,MATCH('面板-总览'!$A23,'面板-景气指数'!$A$37:$A$242,0),MATCH('面板-总览'!E$2,'面板-景气指数'!$36:$36,0))</f>
        <v>0.23425295346690278</v>
      </c>
      <c r="F23" s="6">
        <f>INDEX('面板-景气指数'!$37:$242,MATCH('面板-总览'!$A23,'面板-景气指数'!$A$37:$A$242,0),MATCH('面板-总览'!F$2,'面板-景气指数'!$36:$36,0))</f>
        <v>0.23570778897383349</v>
      </c>
      <c r="G23" s="6">
        <f>INDEX('面板-景气指数'!$37:$242,MATCH('面板-总览'!$A23,'面板-景气指数'!$A$37:$A$242,0),MATCH('面板-总览'!G$2,'面板-景气指数'!$36:$36,0))</f>
        <v>0.2233799812506588</v>
      </c>
      <c r="H23" s="6">
        <f>INDEX('面板-景气指数'!$37:$242,MATCH('面板-总览'!$A23,'面板-景气指数'!$A$37:$A$242,0),MATCH('面板-总览'!H$2,'面板-景气指数'!$36:$36,0))</f>
        <v>0.22651221655507062</v>
      </c>
      <c r="I23" s="6">
        <f>INDEX('面板-景气指数'!$37:$242,MATCH('面板-总览'!$A23,'面板-景气指数'!$A$37:$A$242,0),MATCH('面板-总览'!I$2,'面板-景气指数'!$36:$36,0))</f>
        <v>0.24438809586942145</v>
      </c>
      <c r="J23" s="6">
        <f>INDEX('面板-景气指数'!$37:$242,MATCH('面板-总览'!$A23,'面板-景气指数'!$A$37:$A$242,0),MATCH('面板-总览'!J$2,'面板-景气指数'!$36:$36,0))</f>
        <v>0.25474649188916448</v>
      </c>
      <c r="K23" s="6">
        <f>INDEX('面板-景气指数'!$37:$242,MATCH('面板-总览'!$A23,'面板-景气指数'!$A$37:$A$242,0),MATCH('面板-总览'!K$2,'面板-景气指数'!$36:$36,0))</f>
        <v>0.27748092876118208</v>
      </c>
      <c r="L23" s="6">
        <f>INDEX('面板-景气指数'!$37:$242,MATCH('面板-总览'!$A23,'面板-景气指数'!$A$37:$A$242,0),MATCH('面板-总览'!L$2,'面板-景气指数'!$36:$36,0))</f>
        <v>0.33371798840679134</v>
      </c>
      <c r="M23" s="6">
        <f>INDEX('面板-景气指数'!$37:$242,MATCH('面板-总览'!$A23,'面板-景气指数'!$A$37:$A$242,0),MATCH('面板-总览'!M$2,'面板-景气指数'!$36:$36,0))</f>
        <v>0.39375236466362618</v>
      </c>
      <c r="N23" s="6">
        <f>INDEX('面板-景气指数'!$37:$242,MATCH('面板-总览'!$A23,'面板-景气指数'!$A$37:$A$242,0),MATCH('面板-总览'!N$2,'面板-景气指数'!$36:$36,0))</f>
        <v>0.39883642522078722</v>
      </c>
      <c r="P23" s="8">
        <f t="shared" si="0"/>
        <v>0.12135549645960514</v>
      </c>
      <c r="R23" s="5" t="s">
        <v>66</v>
      </c>
      <c r="S23" s="6">
        <f>INDEX('面板-景气指数'!$37:$242,MATCH('面板-总览'!$R23,'面板-景气指数'!$A$37:$A$242,0),MATCH('面板-总览'!S$2,'面板-景气指数'!$36:$36,0))</f>
        <v>0.17299999999999999</v>
      </c>
      <c r="T23" s="6">
        <f>INDEX('面板-景气指数'!$37:$242,MATCH('面板-总览'!$R23,'面板-景气指数'!$A$37:$A$242,0),MATCH('面板-总览'!T$2,'面板-景气指数'!$36:$36,0))</f>
        <v>0.17699999999999999</v>
      </c>
      <c r="U23" s="6">
        <f>INDEX('面板-景气指数'!$37:$242,MATCH('面板-总览'!$R23,'面板-景气指数'!$A$37:$A$242,0),MATCH('面板-总览'!U$2,'面板-景气指数'!$36:$36,0))</f>
        <v>0.11999999999999998</v>
      </c>
      <c r="V23" s="6">
        <f>INDEX('面板-景气指数'!$37:$242,MATCH('面板-总览'!$R23,'面板-景气指数'!$A$37:$A$242,0),MATCH('面板-总览'!V$2,'面板-景气指数'!$36:$36,0))</f>
        <v>0.10000000000000002</v>
      </c>
      <c r="W23" s="6">
        <f>INDEX('面板-景气指数'!$37:$242,MATCH('面板-总览'!$R23,'面板-景气指数'!$A$37:$A$242,0),MATCH('面板-总览'!W$2,'面板-景气指数'!$36:$36,0))</f>
        <v>9.2999999999999999E-2</v>
      </c>
      <c r="X23" s="6">
        <f>INDEX('面板-景气指数'!$37:$242,MATCH('面板-总览'!$R23,'面板-景气指数'!$A$37:$A$242,0),MATCH('面板-总览'!X$2,'面板-景气指数'!$36:$36,0))</f>
        <v>7.6499999999999999E-2</v>
      </c>
      <c r="Y23" s="6">
        <f>INDEX('面板-景气指数'!$37:$242,MATCH('面板-总览'!$R23,'面板-景气指数'!$A$37:$A$242,0),MATCH('面板-总览'!Y$2,'面板-景气指数'!$36:$36,0))</f>
        <v>5.3000000000000005E-2</v>
      </c>
      <c r="Z23" s="6">
        <f>INDEX('面板-景气指数'!$37:$242,MATCH('面板-总览'!$R23,'面板-景气指数'!$A$37:$A$242,0),MATCH('面板-总览'!Z$2,'面板-景气指数'!$36:$36,0))</f>
        <v>6.0000000000000026E-2</v>
      </c>
      <c r="AA23" s="6">
        <f>INDEX('面板-景气指数'!$37:$242,MATCH('面板-总览'!$R23,'面板-景气指数'!$A$37:$A$242,0),MATCH('面板-总览'!AA$2,'面板-景气指数'!$36:$36,0))</f>
        <v>0.12700000000000003</v>
      </c>
      <c r="AB23" s="6">
        <f>INDEX('面板-景气指数'!$37:$242,MATCH('面板-总览'!$R23,'面板-景气指数'!$A$37:$A$242,0),MATCH('面板-总览'!AB$2,'面板-景气指数'!$36:$36,0))</f>
        <v>0.20049999999999998</v>
      </c>
      <c r="AC23" s="6">
        <f>INDEX('面板-景气指数'!$37:$242,MATCH('面板-总览'!$R23,'面板-景气指数'!$A$37:$A$242,0),MATCH('面板-总览'!AC$2,'面板-景气指数'!$36:$36,0))</f>
        <v>0.2455</v>
      </c>
      <c r="AD23" s="6">
        <f>INDEX('面板-景气指数'!$37:$242,MATCH('面板-总览'!$R23,'面板-景气指数'!$A$37:$A$242,0),MATCH('面板-总览'!AD$2,'面板-景气指数'!$36:$36,0))</f>
        <v>0.27699999999999997</v>
      </c>
      <c r="AE23" s="6">
        <f>INDEX('面板-景气指数'!$37:$242,MATCH('面板-总览'!$R23,'面板-景气指数'!$A$37:$A$242,0),MATCH('面板-总览'!AE$2,'面板-景气指数'!$36:$36,0))</f>
        <v>0.29649999999999999</v>
      </c>
      <c r="AF23" s="14"/>
      <c r="AG23" s="11">
        <f t="shared" si="1"/>
        <v>9.6000000000000002E-2</v>
      </c>
      <c r="AI23" s="5" t="s">
        <v>67</v>
      </c>
      <c r="AJ23" s="6">
        <f>INDEX('面板-景气指数'!$37:$242,MATCH('面板-总览'!$AI23,'面板-景气指数'!$A$37:$A$242,0),MATCH('面板-总览'!AJ$2,'面板-景气指数'!$36:$36,0))</f>
        <v>0.17800000000000002</v>
      </c>
      <c r="AK23" s="6">
        <f>INDEX('面板-景气指数'!$37:$242,MATCH('面板-总览'!$AI23,'面板-景气指数'!$A$37:$A$242,0),MATCH('面板-总览'!AK$2,'面板-景气指数'!$36:$36,0))</f>
        <v>0.107</v>
      </c>
      <c r="AL23" s="6">
        <f>INDEX('面板-景气指数'!$37:$242,MATCH('面板-总览'!$AI23,'面板-景气指数'!$A$37:$A$242,0),MATCH('面板-总览'!AL$2,'面板-景气指数'!$36:$36,0))</f>
        <v>9.6500000000000002E-2</v>
      </c>
      <c r="AM23" s="6">
        <f>INDEX('面板-景气指数'!$37:$242,MATCH('面板-总览'!$AI23,'面板-景气指数'!$A$37:$A$242,0),MATCH('面板-总览'!AM$2,'面板-景气指数'!$36:$36,0))</f>
        <v>0.14749999999999999</v>
      </c>
      <c r="AN23" s="6">
        <f>INDEX('面板-景气指数'!$37:$242,MATCH('面板-总览'!$AI23,'面板-景气指数'!$A$37:$A$242,0),MATCH('面板-总览'!AN$2,'面板-景气指数'!$36:$36,0))</f>
        <v>0.29599999999999999</v>
      </c>
      <c r="AO23" s="6">
        <f>INDEX('面板-景气指数'!$37:$242,MATCH('面板-总览'!$AI23,'面板-景气指数'!$A$37:$A$242,0),MATCH('面板-总览'!AO$2,'面板-景气指数'!$36:$36,0))</f>
        <v>0.50600000000000001</v>
      </c>
      <c r="AP23" s="6">
        <f>INDEX('面板-景气指数'!$37:$242,MATCH('面板-总览'!$AI23,'面板-景气指数'!$A$37:$A$242,0),MATCH('面板-总览'!AP$2,'面板-景气指数'!$36:$36,0))</f>
        <v>0.48049999999999998</v>
      </c>
      <c r="AQ23" s="6">
        <f>INDEX('面板-景气指数'!$37:$242,MATCH('面板-总览'!$AI23,'面板-景气指数'!$A$37:$A$242,0),MATCH('面板-总览'!AQ$2,'面板-景气指数'!$36:$36,0))</f>
        <v>0.48099999999999998</v>
      </c>
      <c r="AR23" s="6">
        <f>INDEX('面板-景气指数'!$37:$242,MATCH('面板-总览'!$AI23,'面板-景气指数'!$A$37:$A$242,0),MATCH('面板-总览'!AR$2,'面板-景气指数'!$36:$36,0))</f>
        <v>0.44500000000000001</v>
      </c>
      <c r="AS23" s="6">
        <f>INDEX('面板-景气指数'!$37:$242,MATCH('面板-总览'!$AI23,'面板-景气指数'!$A$37:$A$242,0),MATCH('面板-总览'!AS$2,'面板-景气指数'!$36:$36,0))</f>
        <v>0.40450000000000003</v>
      </c>
      <c r="AT23" s="6">
        <f>INDEX('面板-景气指数'!$37:$242,MATCH('面板-总览'!$AI23,'面板-景气指数'!$A$37:$A$242,0),MATCH('面板-总览'!AT$2,'面板-景气指数'!$36:$36,0))</f>
        <v>0.38400000000000001</v>
      </c>
      <c r="AU23" s="6">
        <f>INDEX('面板-景气指数'!$37:$242,MATCH('面板-总览'!$AI23,'面板-景气指数'!$A$37:$A$242,0),MATCH('面板-总览'!AU$2,'面板-景气指数'!$36:$36,0))</f>
        <v>0.41550000000000004</v>
      </c>
      <c r="AV23" s="6">
        <f>INDEX('面板-景气指数'!$37:$242,MATCH('面板-总览'!$AI23,'面板-景气指数'!$A$37:$A$242,0),MATCH('面板-总览'!AV$2,'面板-景气指数'!$36:$36,0))</f>
        <v>0.42599999999999999</v>
      </c>
      <c r="AX23" s="11">
        <f t="shared" si="2"/>
        <v>2.1499999999999964E-2</v>
      </c>
    </row>
    <row r="24" spans="1:50" ht="21" customHeight="1" x14ac:dyDescent="0.2">
      <c r="A24" s="5" t="s">
        <v>68</v>
      </c>
      <c r="B24" s="6">
        <f>INDEX('面板-景气指数'!$37:$242,MATCH('面板-总览'!$A24,'面板-景气指数'!$A$37:$A$242,0),MATCH('面板-总览'!B$2,'面板-景气指数'!$36:$36,0))</f>
        <v>0.37219000000000002</v>
      </c>
      <c r="C24" s="6">
        <f>INDEX('面板-景气指数'!$37:$242,MATCH('面板-总览'!$A24,'面板-景气指数'!$A$37:$A$242,0),MATCH('面板-总览'!C$2,'面板-景气指数'!$36:$36,0))</f>
        <v>0.58493500000000009</v>
      </c>
      <c r="D24" s="6">
        <f>INDEX('面板-景气指数'!$37:$242,MATCH('面板-总览'!$A24,'面板-景气指数'!$A$37:$A$242,0),MATCH('面板-总览'!D$2,'面板-景气指数'!$36:$36,0))</f>
        <v>0.70739000000000007</v>
      </c>
      <c r="E24" s="6">
        <f>INDEX('面板-景气指数'!$37:$242,MATCH('面板-总览'!$A24,'面板-景气指数'!$A$37:$A$242,0),MATCH('面板-总览'!E$2,'面板-景气指数'!$36:$36,0))</f>
        <v>0.80669000000000002</v>
      </c>
      <c r="F24" s="6">
        <f>INDEX('面板-景气指数'!$37:$242,MATCH('面板-总览'!$A24,'面板-景气指数'!$A$37:$A$242,0),MATCH('面板-总览'!F$2,'面板-景气指数'!$36:$36,0))</f>
        <v>0.78703000000000001</v>
      </c>
      <c r="G24" s="6">
        <f>INDEX('面板-景气指数'!$37:$242,MATCH('面板-总览'!$A24,'面板-景气指数'!$A$37:$A$242,0),MATCH('面板-总览'!G$2,'面板-景气指数'!$36:$36,0))</f>
        <v>0.82683499999999999</v>
      </c>
      <c r="H24" s="6">
        <f>INDEX('面板-景气指数'!$37:$242,MATCH('面板-总览'!$A24,'面板-景气指数'!$A$37:$A$242,0),MATCH('面板-总览'!H$2,'面板-景气指数'!$36:$36,0))</f>
        <v>0.77878499999999995</v>
      </c>
      <c r="I24" s="6">
        <f>INDEX('面板-景气指数'!$37:$242,MATCH('面板-总览'!$A24,'面板-景气指数'!$A$37:$A$242,0),MATCH('面板-总览'!I$2,'面板-景气指数'!$36:$36,0))</f>
        <v>0.76888500000000004</v>
      </c>
      <c r="J24" s="6">
        <f>INDEX('面板-景气指数'!$37:$242,MATCH('面板-总览'!$A24,'面板-景气指数'!$A$37:$A$242,0),MATCH('面板-总览'!J$2,'面板-景气指数'!$36:$36,0))</f>
        <v>0.68928500000000015</v>
      </c>
      <c r="K24" s="6">
        <f>INDEX('面板-景气指数'!$37:$242,MATCH('面板-总览'!$A24,'面板-景气指数'!$A$37:$A$242,0),MATCH('面板-总览'!K$2,'面板-景气指数'!$36:$36,0))</f>
        <v>0.66298499999999994</v>
      </c>
      <c r="L24" s="6">
        <f>INDEX('面板-景气指数'!$37:$242,MATCH('面板-总览'!$A24,'面板-景气指数'!$A$37:$A$242,0),MATCH('面板-总览'!L$2,'面板-景气指数'!$36:$36,0))</f>
        <v>0.66023500000000002</v>
      </c>
      <c r="M24" s="6">
        <f>INDEX('面板-景气指数'!$37:$242,MATCH('面板-总览'!$A24,'面板-景气指数'!$A$37:$A$242,0),MATCH('面板-总览'!M$2,'面板-景气指数'!$36:$36,0))</f>
        <v>0.63968499999999995</v>
      </c>
      <c r="N24" s="6">
        <f>INDEX('面板-景气指数'!$37:$242,MATCH('面板-总览'!$A24,'面板-景气指数'!$A$37:$A$242,0),MATCH('面板-总览'!N$2,'面板-景气指数'!$36:$36,0))</f>
        <v>0.73033499999999996</v>
      </c>
      <c r="P24" s="8">
        <f t="shared" si="0"/>
        <v>6.7350000000000021E-2</v>
      </c>
      <c r="R24" s="5" t="s">
        <v>69</v>
      </c>
      <c r="S24" s="6">
        <f>INDEX('面板-景气指数'!$37:$242,MATCH('面板-总览'!$R24,'面板-景气指数'!$A$37:$A$242,0),MATCH('面板-总览'!S$2,'面板-景气指数'!$36:$36,0))</f>
        <v>0.30049999999999999</v>
      </c>
      <c r="T24" s="6">
        <f>INDEX('面板-景气指数'!$37:$242,MATCH('面板-总览'!$R24,'面板-景气指数'!$A$37:$A$242,0),MATCH('面板-总览'!T$2,'面板-景气指数'!$36:$36,0))</f>
        <v>0.37700000000000006</v>
      </c>
      <c r="U24" s="6">
        <f>INDEX('面板-景气指数'!$37:$242,MATCH('面板-总览'!$R24,'面板-景气指数'!$A$37:$A$242,0),MATCH('面板-总览'!U$2,'面板-景气指数'!$36:$36,0))</f>
        <v>0.38200000000000001</v>
      </c>
      <c r="V24" s="6">
        <f>INDEX('面板-景气指数'!$37:$242,MATCH('面板-总览'!$R24,'面板-景气指数'!$A$37:$A$242,0),MATCH('面板-总览'!V$2,'面板-景气指数'!$36:$36,0))</f>
        <v>0.433</v>
      </c>
      <c r="W24" s="6">
        <f>INDEX('面板-景气指数'!$37:$242,MATCH('面板-总览'!$R24,'面板-景气指数'!$A$37:$A$242,0),MATCH('面板-总览'!W$2,'面板-景气指数'!$36:$36,0))</f>
        <v>0.40749999999999997</v>
      </c>
      <c r="X24" s="6">
        <f>INDEX('面板-景气指数'!$37:$242,MATCH('面板-总览'!$R24,'面板-景气指数'!$A$37:$A$242,0),MATCH('面板-总览'!X$2,'面板-景气指数'!$36:$36,0))</f>
        <v>0.34649999999999997</v>
      </c>
      <c r="Y24" s="6">
        <f>INDEX('面板-景气指数'!$37:$242,MATCH('面板-总览'!$R24,'面板-景气指数'!$A$37:$A$242,0),MATCH('面板-总览'!Y$2,'面板-景气指数'!$36:$36,0))</f>
        <v>0.32600000000000001</v>
      </c>
      <c r="Z24" s="6">
        <f>INDEX('面板-景气指数'!$37:$242,MATCH('面板-总览'!$R24,'面板-景气指数'!$A$37:$A$242,0),MATCH('面板-总览'!Z$2,'面板-景气指数'!$36:$36,0))</f>
        <v>0.35200000000000004</v>
      </c>
      <c r="AA24" s="6">
        <f>INDEX('面板-景气指数'!$37:$242,MATCH('面板-总览'!$R24,'面板-景气指数'!$A$37:$A$242,0),MATCH('面板-总览'!AA$2,'面板-景气指数'!$36:$36,0))</f>
        <v>0.36649999999999999</v>
      </c>
      <c r="AB24" s="6">
        <f>INDEX('面板-景气指数'!$37:$242,MATCH('面板-总览'!$R24,'面板-景气指数'!$A$37:$A$242,0),MATCH('面板-总览'!AB$2,'面板-景气指数'!$36:$36,0))</f>
        <v>0.35150000000000003</v>
      </c>
      <c r="AC24" s="6">
        <f>INDEX('面板-景气指数'!$37:$242,MATCH('面板-总览'!$R24,'面板-景气指数'!$A$37:$A$242,0),MATCH('面板-总览'!AC$2,'面板-景气指数'!$36:$36,0))</f>
        <v>0.316</v>
      </c>
      <c r="AD24" s="6">
        <f>INDEX('面板-景气指数'!$37:$242,MATCH('面板-总览'!$R24,'面板-景气指数'!$A$37:$A$242,0),MATCH('面板-总览'!AD$2,'面板-景气指数'!$36:$36,0))</f>
        <v>0.22399999999999998</v>
      </c>
      <c r="AE24" s="6">
        <f>INDEX('面板-景气指数'!$37:$242,MATCH('面板-总览'!$R24,'面板-景气指数'!$A$37:$A$242,0),MATCH('面板-总览'!AE$2,'面板-景气指数'!$36:$36,0))</f>
        <v>0.21399999999999997</v>
      </c>
      <c r="AF24" s="14"/>
      <c r="AG24" s="11">
        <f t="shared" si="1"/>
        <v>-0.13750000000000007</v>
      </c>
      <c r="AI24" s="5" t="s">
        <v>70</v>
      </c>
      <c r="AJ24" s="6">
        <f>INDEX('面板-景气指数'!$37:$242,MATCH('面板-总览'!$AI24,'面板-景气指数'!$A$37:$A$242,0),MATCH('面板-总览'!AJ$2,'面板-景气指数'!$36:$36,0))</f>
        <v>0.30550000000000005</v>
      </c>
      <c r="AK24" s="6">
        <f>INDEX('面板-景气指数'!$37:$242,MATCH('面板-总览'!$AI24,'面板-景气指数'!$A$37:$A$242,0),MATCH('面板-总览'!AK$2,'面板-景气指数'!$36:$36,0))</f>
        <v>0.29050000000000004</v>
      </c>
      <c r="AL24" s="6">
        <f>INDEX('面板-景气指数'!$37:$242,MATCH('面板-总览'!$AI24,'面板-景气指数'!$A$37:$A$242,0),MATCH('面板-总览'!AL$2,'面板-景气指数'!$36:$36,0))</f>
        <v>0.2545</v>
      </c>
      <c r="AM24" s="6">
        <f>INDEX('面板-景气指数'!$37:$242,MATCH('面板-总览'!$AI24,'面板-景气指数'!$A$37:$A$242,0),MATCH('面板-总览'!AM$2,'面板-景气指数'!$36:$36,0))</f>
        <v>0.20349999999999999</v>
      </c>
      <c r="AN24" s="6">
        <f>INDEX('面板-景气指数'!$37:$242,MATCH('面板-总览'!$AI24,'面板-景气指数'!$A$37:$A$242,0),MATCH('面板-总览'!AN$2,'面板-景气指数'!$36:$36,0))</f>
        <v>0.19850000000000001</v>
      </c>
      <c r="AO24" s="6">
        <f>INDEX('面板-景气指数'!$37:$242,MATCH('面板-总览'!$AI24,'面板-景气指数'!$A$37:$A$242,0),MATCH('面板-总览'!AO$2,'面板-景气指数'!$36:$36,0))</f>
        <v>0.30049999999999999</v>
      </c>
      <c r="AP24" s="6">
        <f>INDEX('面板-景气指数'!$37:$242,MATCH('面板-总览'!$AI24,'面板-景气指数'!$A$37:$A$242,0),MATCH('面板-总览'!AP$2,'面板-景气指数'!$36:$36,0))</f>
        <v>0.48400000000000004</v>
      </c>
      <c r="AQ24" s="6">
        <f>INDEX('面板-景气指数'!$37:$242,MATCH('面板-总览'!$AI24,'面板-景气指数'!$A$37:$A$242,0),MATCH('面板-总览'!AQ$2,'面板-景气指数'!$36:$36,0))</f>
        <v>0.57100000000000006</v>
      </c>
      <c r="AR24" s="6">
        <f>INDEX('面板-景气指数'!$37:$242,MATCH('面板-总览'!$AI24,'面板-景气指数'!$A$37:$A$242,0),MATCH('面板-总览'!AR$2,'面板-景气指数'!$36:$36,0))</f>
        <v>0.51500000000000001</v>
      </c>
      <c r="AS24" s="6">
        <f>INDEX('面板-景气指数'!$37:$242,MATCH('面板-总览'!$AI24,'面板-景气指数'!$A$37:$A$242,0),MATCH('面板-总览'!AS$2,'面板-景气指数'!$36:$36,0))</f>
        <v>0.47950000000000004</v>
      </c>
      <c r="AT24" s="6">
        <f>INDEX('面板-景气指数'!$37:$242,MATCH('面板-总览'!$AI24,'面板-景气指数'!$A$37:$A$242,0),MATCH('面板-总览'!AT$2,'面板-景气指数'!$36:$36,0))</f>
        <v>0.35650000000000004</v>
      </c>
      <c r="AU24" s="6">
        <f>INDEX('面板-景气指数'!$37:$242,MATCH('面板-总览'!$AI24,'面板-景气指数'!$A$37:$A$242,0),MATCH('面板-总览'!AU$2,'面板-景气指数'!$36:$36,0))</f>
        <v>0.40250000000000002</v>
      </c>
      <c r="AV24" s="6">
        <f>INDEX('面板-景气指数'!$37:$242,MATCH('面板-总览'!$AI24,'面板-景气指数'!$A$37:$A$242,0),MATCH('面板-总览'!AV$2,'面板-景气指数'!$36:$36,0))</f>
        <v>0.38200000000000001</v>
      </c>
      <c r="AX24" s="11">
        <f t="shared" si="2"/>
        <v>-9.7500000000000031E-2</v>
      </c>
    </row>
    <row r="25" spans="1:50" ht="21" customHeight="1" x14ac:dyDescent="0.2">
      <c r="A25" s="5" t="s">
        <v>71</v>
      </c>
      <c r="B25" s="6">
        <f>INDEX('面板-景气指数'!$37:$242,MATCH('面板-总览'!$A25,'面板-景气指数'!$A$37:$A$242,0),MATCH('面板-总览'!B$2,'面板-景气指数'!$36:$36,0))</f>
        <v>0.11833657149063213</v>
      </c>
      <c r="C25" s="6">
        <f>INDEX('面板-景气指数'!$37:$242,MATCH('面板-总览'!$A25,'面板-景气指数'!$A$37:$A$242,0),MATCH('面板-总览'!C$2,'面板-景气指数'!$36:$36,0))</f>
        <v>0.13937010974122557</v>
      </c>
      <c r="D25" s="6">
        <f>INDEX('面板-景气指数'!$37:$242,MATCH('面板-总览'!$A25,'面板-景气指数'!$A$37:$A$242,0),MATCH('面板-总览'!D$2,'面板-景气指数'!$36:$36,0))</f>
        <v>0.18029352826212994</v>
      </c>
      <c r="E25" s="6">
        <f>INDEX('面板-景气指数'!$37:$242,MATCH('面板-总览'!$A25,'面板-景气指数'!$A$37:$A$242,0),MATCH('面板-总览'!E$2,'面板-景气指数'!$36:$36,0))</f>
        <v>0.16147109754412867</v>
      </c>
      <c r="F25" s="6">
        <f>INDEX('面板-景气指数'!$37:$242,MATCH('面板-总览'!$A25,'面板-景气指数'!$A$37:$A$242,0),MATCH('面板-总览'!F$2,'面板-景气指数'!$36:$36,0))</f>
        <v>0.12393744857292222</v>
      </c>
      <c r="G25" s="6">
        <f>INDEX('面板-景气指数'!$37:$242,MATCH('面板-总览'!$A25,'面板-景气指数'!$A$37:$A$242,0),MATCH('面板-总览'!G$2,'面板-景气指数'!$36:$36,0))</f>
        <v>8.8639368818422007E-2</v>
      </c>
      <c r="H25" s="6">
        <f>INDEX('面板-景气指数'!$37:$242,MATCH('面板-总览'!$A25,'面板-景气指数'!$A$37:$A$242,0),MATCH('面板-总览'!H$2,'面板-景气指数'!$36:$36,0))</f>
        <v>0.10656273197901994</v>
      </c>
      <c r="I25" s="6">
        <f>INDEX('面板-景气指数'!$37:$242,MATCH('面板-总览'!$A25,'面板-景气指数'!$A$37:$A$242,0),MATCH('面板-总览'!I$2,'面板-景气指数'!$36:$36,0))</f>
        <v>0.15400143936796867</v>
      </c>
      <c r="J25" s="6">
        <f>INDEX('面板-景气指数'!$37:$242,MATCH('面板-总览'!$A25,'面板-景气指数'!$A$37:$A$242,0),MATCH('面板-总览'!J$2,'面板-景气指数'!$36:$36,0))</f>
        <v>0.2115228851772713</v>
      </c>
      <c r="K25" s="6">
        <f>INDEX('面板-景气指数'!$37:$242,MATCH('面板-总览'!$A25,'面板-景气指数'!$A$37:$A$242,0),MATCH('面板-总览'!K$2,'面板-景气指数'!$36:$36,0))</f>
        <v>0.25458132799443067</v>
      </c>
      <c r="L25" s="6">
        <f>INDEX('面板-景气指数'!$37:$242,MATCH('面板-总览'!$A25,'面板-景气指数'!$A$37:$A$242,0),MATCH('面板-总览'!L$2,'面板-景气指数'!$36:$36,0))</f>
        <v>0.2381964974592484</v>
      </c>
      <c r="M25" s="6">
        <f>INDEX('面板-景气指数'!$37:$242,MATCH('面板-总览'!$A25,'面板-景气指数'!$A$37:$A$242,0),MATCH('面板-总览'!M$2,'面板-景气指数'!$36:$36,0))</f>
        <v>0.19661303935491015</v>
      </c>
      <c r="N25" s="6">
        <f>INDEX('面板-景气指数'!$37:$242,MATCH('面板-总览'!$A25,'面板-景气指数'!$A$37:$A$242,0),MATCH('面板-总览'!N$2,'面板-景气指数'!$36:$36,0))</f>
        <v>0.19661303935491015</v>
      </c>
      <c r="P25" s="8">
        <f t="shared" si="0"/>
        <v>-5.7968288639520527E-2</v>
      </c>
      <c r="R25" s="5" t="s">
        <v>72</v>
      </c>
      <c r="S25" s="6">
        <f>INDEX('面板-景气指数'!$37:$242,MATCH('面板-总览'!$R25,'面板-景气指数'!$A$37:$A$242,0),MATCH('面板-总览'!S$2,'面板-景气指数'!$36:$36,0))</f>
        <v>0.41851049806189816</v>
      </c>
      <c r="T25" s="6">
        <f>INDEX('面板-景气指数'!$37:$242,MATCH('面板-总览'!$R25,'面板-景气指数'!$A$37:$A$242,0),MATCH('面板-总览'!T$2,'面板-景气指数'!$36:$36,0))</f>
        <v>0.42540083145116231</v>
      </c>
      <c r="U25" s="6">
        <f>INDEX('面板-景气指数'!$37:$242,MATCH('面板-总览'!$R25,'面板-景气指数'!$A$37:$A$242,0),MATCH('面板-总览'!U$2,'面板-景气指数'!$36:$36,0))</f>
        <v>0.4541214396341734</v>
      </c>
      <c r="V25" s="6">
        <f>INDEX('面板-景气指数'!$37:$242,MATCH('面板-总览'!$R25,'面板-景气指数'!$A$37:$A$242,0),MATCH('面板-总览'!V$2,'面板-景气指数'!$36:$36,0))</f>
        <v>0.48680200875350615</v>
      </c>
      <c r="W25" s="6">
        <f>INDEX('面板-景气指数'!$37:$242,MATCH('面板-总览'!$R25,'面板-景气指数'!$A$37:$A$242,0),MATCH('面板-总览'!W$2,'面板-景气指数'!$36:$36,0))</f>
        <v>0.51557055665741558</v>
      </c>
      <c r="X25" s="6">
        <f>INDEX('面板-景气指数'!$37:$242,MATCH('面板-总览'!$R25,'面板-景气指数'!$A$37:$A$242,0),MATCH('面板-总览'!X$2,'面板-景气指数'!$36:$36,0))</f>
        <v>0.58315770129483235</v>
      </c>
      <c r="Y25" s="6">
        <f>INDEX('面板-景气指数'!$37:$242,MATCH('面板-总览'!$R25,'面板-景气指数'!$A$37:$A$242,0),MATCH('面板-总览'!Y$2,'面板-景气指数'!$36:$36,0))</f>
        <v>0.62402090116059816</v>
      </c>
      <c r="Z25" s="6">
        <f>INDEX('面板-景气指数'!$37:$242,MATCH('面板-总览'!$R25,'面板-景气指数'!$A$37:$A$242,0),MATCH('面板-总览'!Z$2,'面板-景气指数'!$36:$36,0))</f>
        <v>0.62580112712474723</v>
      </c>
      <c r="AA25" s="6">
        <f>INDEX('面板-景气指数'!$37:$242,MATCH('面板-总览'!$R25,'面板-景气指数'!$A$37:$A$242,0),MATCH('面板-总览'!AA$2,'面板-景气指数'!$36:$36,0))</f>
        <v>0.62376942953266845</v>
      </c>
      <c r="AB25" s="6">
        <f>INDEX('面板-景气指数'!$37:$242,MATCH('面板-总览'!$R25,'面板-景气指数'!$A$37:$A$242,0),MATCH('面板-总览'!AB$2,'面板-景气指数'!$36:$36,0))</f>
        <v>0.57799209934277984</v>
      </c>
      <c r="AC25" s="6">
        <f>INDEX('面板-景气指数'!$37:$242,MATCH('面板-总览'!$R25,'面板-景气指数'!$A$37:$A$242,0),MATCH('面板-总览'!AC$2,'面板-景气指数'!$36:$36,0))</f>
        <v>0.48272894965461066</v>
      </c>
      <c r="AD25" s="6">
        <f>INDEX('面板-景气指数'!$37:$242,MATCH('面板-总览'!$R25,'面板-景气指数'!$A$37:$A$242,0),MATCH('面板-总览'!AD$2,'面板-景气指数'!$36:$36,0))</f>
        <v>0.36987487792600532</v>
      </c>
      <c r="AE25" s="6">
        <f>INDEX('面板-景气指数'!$37:$242,MATCH('面板-总览'!$R25,'面板-景气指数'!$A$37:$A$242,0),MATCH('面板-总览'!AE$2,'面板-景气指数'!$36:$36,0))</f>
        <v>0.22698744031100149</v>
      </c>
      <c r="AF25" s="14"/>
      <c r="AG25" s="11">
        <f t="shared" si="1"/>
        <v>-0.35100465903177835</v>
      </c>
      <c r="AI25" s="5" t="s">
        <v>73</v>
      </c>
      <c r="AJ25" s="6">
        <f>INDEX('面板-景气指数'!$37:$242,MATCH('面板-总览'!$AI25,'面板-景气指数'!$A$37:$A$242,0),MATCH('面板-总览'!AJ$2,'面板-景气指数'!$36:$36,0))</f>
        <v>0.22900000000000001</v>
      </c>
      <c r="AK25" s="6">
        <f>INDEX('面板-景气指数'!$37:$242,MATCH('面板-总览'!$AI25,'面板-景气指数'!$A$37:$A$242,0),MATCH('面板-总览'!AK$2,'面板-景气指数'!$36:$36,0))</f>
        <v>0.26450000000000001</v>
      </c>
      <c r="AL25" s="6">
        <f>INDEX('面板-景气指数'!$37:$242,MATCH('面板-总览'!$AI25,'面板-景气指数'!$A$37:$A$242,0),MATCH('面板-总览'!AL$2,'面板-景气指数'!$36:$36,0))</f>
        <v>0.32599999999999996</v>
      </c>
      <c r="AM25" s="6">
        <f>INDEX('面板-景气指数'!$37:$242,MATCH('面板-总览'!$AI25,'面板-景气指数'!$A$37:$A$242,0),MATCH('面板-总览'!AM$2,'面板-景气指数'!$36:$36,0))</f>
        <v>0.41749999999999998</v>
      </c>
      <c r="AN25" s="6">
        <f>INDEX('面板-景气指数'!$37:$242,MATCH('面板-总览'!$AI25,'面板-景气指数'!$A$37:$A$242,0),MATCH('面板-总览'!AN$2,'面板-景气指数'!$36:$36,0))</f>
        <v>0.47899999999999998</v>
      </c>
      <c r="AO25" s="6">
        <f>INDEX('面板-景气指数'!$37:$242,MATCH('面板-总览'!$AI25,'面板-景气指数'!$A$37:$A$242,0),MATCH('面板-总览'!AO$2,'面板-景气指数'!$36:$36,0))</f>
        <v>0.53499999999999992</v>
      </c>
      <c r="AP25" s="6">
        <f>INDEX('面板-景气指数'!$37:$242,MATCH('面板-总览'!$AI25,'面板-景气指数'!$A$37:$A$242,0),MATCH('面板-总览'!AP$2,'面板-景气指数'!$36:$36,0))</f>
        <v>0.53549999999999998</v>
      </c>
      <c r="AQ25" s="6">
        <f>INDEX('面板-景气指数'!$37:$242,MATCH('面板-总览'!$AI25,'面板-景气指数'!$A$37:$A$242,0),MATCH('面板-总览'!AQ$2,'面板-景气指数'!$36:$36,0))</f>
        <v>0.53549999999999998</v>
      </c>
      <c r="AR25" s="6">
        <f>INDEX('面板-景气指数'!$37:$242,MATCH('面板-总览'!$AI25,'面板-景气指数'!$A$37:$A$242,0),MATCH('面板-总览'!AR$2,'面板-景气指数'!$36:$36,0))</f>
        <v>0.5455000000000001</v>
      </c>
      <c r="AS25" s="6">
        <f>INDEX('面板-景气指数'!$37:$242,MATCH('面板-总览'!$AI25,'面板-景气指数'!$A$37:$A$242,0),MATCH('面板-总览'!AS$2,'面板-景气指数'!$36:$36,0))</f>
        <v>0.54049999999999998</v>
      </c>
      <c r="AT25" s="6">
        <f>INDEX('面板-景气指数'!$37:$242,MATCH('面板-总览'!$AI25,'面板-景气指数'!$A$37:$A$242,0),MATCH('面板-总览'!AT$2,'面板-景气指数'!$36:$36,0))</f>
        <v>0.48949999999999999</v>
      </c>
      <c r="AU25" s="6">
        <f>INDEX('面板-景气指数'!$37:$242,MATCH('面板-总览'!$AI25,'面板-景气指数'!$A$37:$A$242,0),MATCH('面板-总览'!AU$2,'面板-景气指数'!$36:$36,0))</f>
        <v>0.42799999999999999</v>
      </c>
      <c r="AV25" s="6">
        <f>INDEX('面板-景气指数'!$37:$242,MATCH('面板-总览'!$AI25,'面板-景气指数'!$A$37:$A$242,0),MATCH('面板-总览'!AV$2,'面板-景气指数'!$36:$36,0))</f>
        <v>0.41300000000000003</v>
      </c>
      <c r="AX25" s="11">
        <f t="shared" si="2"/>
        <v>-0.12749999999999995</v>
      </c>
    </row>
    <row r="26" spans="1:50" ht="21" customHeight="1" x14ac:dyDescent="0.2">
      <c r="A26" s="5" t="s">
        <v>74</v>
      </c>
      <c r="B26" s="6">
        <f>INDEX('面板-景气指数'!$37:$242,MATCH('面板-总览'!$A26,'面板-景气指数'!$A$37:$A$242,0),MATCH('面板-总览'!B$2,'面板-景气指数'!$36:$36,0))</f>
        <v>0.23849999999999999</v>
      </c>
      <c r="C26" s="6">
        <f>INDEX('面板-景气指数'!$37:$242,MATCH('面板-总览'!$A26,'面板-景气指数'!$A$37:$A$242,0),MATCH('面板-总览'!C$2,'面板-景气指数'!$36:$36,0))</f>
        <v>0.3493</v>
      </c>
      <c r="D26" s="6">
        <f>INDEX('面板-景气指数'!$37:$242,MATCH('面板-总览'!$A26,'面板-景气指数'!$A$37:$A$242,0),MATCH('面板-总览'!D$2,'面板-景气指数'!$36:$36,0))</f>
        <v>0.47229999999999994</v>
      </c>
      <c r="E26" s="6">
        <f>INDEX('面板-景气指数'!$37:$242,MATCH('面板-总览'!$A26,'面板-景气指数'!$A$37:$A$242,0),MATCH('面板-总览'!E$2,'面板-景气指数'!$36:$36,0))</f>
        <v>0.55964999999999998</v>
      </c>
      <c r="F26" s="6">
        <f>INDEX('面板-景气指数'!$37:$242,MATCH('面板-总览'!$A26,'面板-景气指数'!$A$37:$A$242,0),MATCH('面板-总览'!F$2,'面板-景气指数'!$36:$36,0))</f>
        <v>0.55079999999999996</v>
      </c>
      <c r="G26" s="6">
        <f>INDEX('面板-景气指数'!$37:$242,MATCH('面板-总览'!$A26,'面板-景气指数'!$A$37:$A$242,0),MATCH('面板-总览'!G$2,'面板-景气指数'!$36:$36,0))</f>
        <v>0.56994999999999996</v>
      </c>
      <c r="H26" s="6">
        <f>INDEX('面板-景气指数'!$37:$242,MATCH('面板-总览'!$A26,'面板-景气指数'!$A$37:$A$242,0),MATCH('面板-总览'!H$2,'面板-景气指数'!$36:$36,0))</f>
        <v>0.56384999999999996</v>
      </c>
      <c r="I26" s="6">
        <f>INDEX('面板-景气指数'!$37:$242,MATCH('面板-总览'!$A26,'面板-景气指数'!$A$37:$A$242,0),MATCH('面板-总览'!I$2,'面板-景气指数'!$36:$36,0))</f>
        <v>0.55364999999999998</v>
      </c>
      <c r="J26" s="6">
        <f>INDEX('面板-景气指数'!$37:$242,MATCH('面板-总览'!$A26,'面板-景气指数'!$A$37:$A$242,0),MATCH('面板-总览'!J$2,'面板-景气指数'!$36:$36,0))</f>
        <v>0.52649999999999997</v>
      </c>
      <c r="K26" s="6">
        <f>INDEX('面板-景气指数'!$37:$242,MATCH('面板-总览'!$A26,'面板-景气指数'!$A$37:$A$242,0),MATCH('面板-总览'!K$2,'面板-景气指数'!$36:$36,0))</f>
        <v>0.52449999999999997</v>
      </c>
      <c r="L26" s="6">
        <f>INDEX('面板-景气指数'!$37:$242,MATCH('面板-总览'!$A26,'面板-景气指数'!$A$37:$A$242,0),MATCH('面板-总览'!L$2,'面板-景气指数'!$36:$36,0))</f>
        <v>0.57279999999999998</v>
      </c>
      <c r="M26" s="6">
        <f>INDEX('面板-景气指数'!$37:$242,MATCH('面板-总览'!$A26,'面板-景气指数'!$A$37:$A$242,0),MATCH('面板-总览'!M$2,'面板-景气指数'!$36:$36,0))</f>
        <v>0.49959999999999999</v>
      </c>
      <c r="N26" s="6">
        <f>INDEX('面板-景气指数'!$37:$242,MATCH('面板-总览'!$A26,'面板-景气指数'!$A$37:$A$242,0),MATCH('面板-总览'!N$2,'面板-景气指数'!$36:$36,0))</f>
        <v>0.5857</v>
      </c>
      <c r="P26" s="8">
        <f t="shared" si="0"/>
        <v>6.1200000000000032E-2</v>
      </c>
      <c r="R26" s="5" t="s">
        <v>75</v>
      </c>
      <c r="S26" s="6">
        <f>INDEX('面板-景气指数'!$37:$242,MATCH('面板-总览'!$R26,'面板-景气指数'!$A$37:$A$242,0),MATCH('面板-总览'!S$2,'面板-景气指数'!$36:$36,0))</f>
        <v>0.36399999999999999</v>
      </c>
      <c r="T26" s="6">
        <f>INDEX('面板-景气指数'!$37:$242,MATCH('面板-总览'!$R26,'面板-景气指数'!$A$37:$A$242,0),MATCH('面板-总览'!T$2,'面板-景气指数'!$36:$36,0))</f>
        <v>0.24225000000000002</v>
      </c>
      <c r="U26" s="6">
        <f>INDEX('面板-景气指数'!$37:$242,MATCH('面板-总览'!$R26,'面板-景气指数'!$A$37:$A$242,0),MATCH('面板-总览'!U$2,'面板-景气指数'!$36:$36,0))</f>
        <v>0.183</v>
      </c>
      <c r="V26" s="6">
        <f>INDEX('面板-景气指数'!$37:$242,MATCH('面板-总览'!$R26,'面板-景气指数'!$A$37:$A$242,0),MATCH('面板-总览'!V$2,'面板-景气指数'!$36:$36,0))</f>
        <v>0.17574999999999996</v>
      </c>
      <c r="W26" s="6">
        <f>INDEX('面板-景气指数'!$37:$242,MATCH('面板-总览'!$R26,'面板-景气指数'!$A$37:$A$242,0),MATCH('面板-总览'!W$2,'面板-景气指数'!$36:$36,0))</f>
        <v>0.37674999999999997</v>
      </c>
      <c r="X26" s="6">
        <f>INDEX('面板-景气指数'!$37:$242,MATCH('面板-总览'!$R26,'面板-景气指数'!$A$37:$A$242,0),MATCH('面板-总览'!X$2,'面板-景气指数'!$36:$36,0))</f>
        <v>0.45074999999999998</v>
      </c>
      <c r="Y26" s="6">
        <f>INDEX('面板-景气指数'!$37:$242,MATCH('面板-总览'!$R26,'面板-景气指数'!$A$37:$A$242,0),MATCH('面板-总览'!Y$2,'面板-景气指数'!$36:$36,0))</f>
        <v>0.55574999999999997</v>
      </c>
      <c r="Z26" s="6">
        <f>INDEX('面板-景气指数'!$37:$242,MATCH('面板-总览'!$R26,'面板-景气指数'!$A$37:$A$242,0),MATCH('面板-总览'!Z$2,'面板-景气指数'!$36:$36,0))</f>
        <v>0.70874999999999999</v>
      </c>
      <c r="AA26" s="6">
        <f>INDEX('面板-景气指数'!$37:$242,MATCH('面板-总览'!$R26,'面板-景气指数'!$A$37:$A$242,0),MATCH('面板-总览'!AA$2,'面板-景气指数'!$36:$36,0))</f>
        <v>0.76724999999999999</v>
      </c>
      <c r="AB26" s="6">
        <f>INDEX('面板-景气指数'!$37:$242,MATCH('面板-总览'!$R26,'面板-景气指数'!$A$37:$A$242,0),MATCH('面板-总览'!AB$2,'面板-景气指数'!$36:$36,0))</f>
        <v>0.79325000000000001</v>
      </c>
      <c r="AC26" s="6">
        <f>INDEX('面板-景气指数'!$37:$242,MATCH('面板-总览'!$R26,'面板-景气指数'!$A$37:$A$242,0),MATCH('面板-总览'!AC$2,'面板-景气指数'!$36:$36,0))</f>
        <v>0.75224999999999997</v>
      </c>
      <c r="AD26" s="6">
        <f>INDEX('面板-景气指数'!$37:$242,MATCH('面板-总览'!$R26,'面板-景气指数'!$A$37:$A$242,0),MATCH('面板-总览'!AD$2,'面板-景气指数'!$36:$36,0))</f>
        <v>0.76724999999999999</v>
      </c>
      <c r="AE26" s="6">
        <f>INDEX('面板-景气指数'!$37:$242,MATCH('面板-总览'!$R26,'面板-景气指数'!$A$37:$A$242,0),MATCH('面板-总览'!AE$2,'面板-景气指数'!$36:$36,0))</f>
        <v>0.76724999999999999</v>
      </c>
      <c r="AF26" s="14"/>
      <c r="AG26" s="11">
        <f t="shared" si="1"/>
        <v>-2.6000000000000023E-2</v>
      </c>
      <c r="AI26" s="5" t="s">
        <v>76</v>
      </c>
      <c r="AJ26" s="6">
        <f>INDEX('面板-景气指数'!$37:$242,MATCH('面板-总览'!$AI26,'面板-景气指数'!$A$37:$A$242,0),MATCH('面板-总览'!AJ$2,'面板-景气指数'!$36:$36,0))</f>
        <v>0.29199999999999998</v>
      </c>
      <c r="AK26" s="6">
        <f>INDEX('面板-景气指数'!$37:$242,MATCH('面板-总览'!$AI26,'面板-景气指数'!$A$37:$A$242,0),MATCH('面板-总览'!AK$2,'面板-景气指数'!$36:$36,0))</f>
        <v>0.26800000000000002</v>
      </c>
      <c r="AL26" s="6">
        <f>INDEX('面板-景气指数'!$37:$242,MATCH('面板-总览'!$AI26,'面板-景气指数'!$A$37:$A$242,0),MATCH('面板-总览'!AL$2,'面板-景气指数'!$36:$36,0))</f>
        <v>0.24300000000000002</v>
      </c>
      <c r="AM26" s="6">
        <f>INDEX('面板-景气指数'!$37:$242,MATCH('面板-总览'!$AI26,'面板-景气指数'!$A$37:$A$242,0),MATCH('面板-总览'!AM$2,'面板-景气指数'!$36:$36,0))</f>
        <v>0.17</v>
      </c>
      <c r="AN26" s="6">
        <f>INDEX('面板-景气指数'!$37:$242,MATCH('面板-总览'!$AI26,'面板-景气指数'!$A$37:$A$242,0),MATCH('面板-总览'!AN$2,'面板-景气指数'!$36:$36,0))</f>
        <v>4.8000000000000001E-2</v>
      </c>
      <c r="AO26" s="6">
        <f>INDEX('面板-景气指数'!$37:$242,MATCH('面板-总览'!$AI26,'面板-景气指数'!$A$37:$A$242,0),MATCH('面板-总览'!AO$2,'面板-景气指数'!$36:$36,0))</f>
        <v>0.14599999999999999</v>
      </c>
      <c r="AP26" s="6">
        <f>INDEX('面板-景气指数'!$37:$242,MATCH('面板-总览'!$AI26,'面板-景气指数'!$A$37:$A$242,0),MATCH('面板-总览'!AP$2,'面板-景气指数'!$36:$36,0))</f>
        <v>9.7000000000000003E-2</v>
      </c>
      <c r="AQ26" s="6">
        <f>INDEX('面板-景气指数'!$37:$242,MATCH('面板-总览'!$AI26,'面板-景气指数'!$A$37:$A$242,0),MATCH('面板-总览'!AQ$2,'面板-景气指数'!$36:$36,0))</f>
        <v>0.121</v>
      </c>
      <c r="AR26" s="6">
        <f>INDEX('面板-景气指数'!$37:$242,MATCH('面板-总览'!$AI26,'面板-景气指数'!$A$37:$A$242,0),MATCH('面板-总览'!AR$2,'面板-景气指数'!$36:$36,0))</f>
        <v>0</v>
      </c>
      <c r="AS26" s="6">
        <f>INDEX('面板-景气指数'!$37:$242,MATCH('面板-总览'!$AI26,'面板-景气指数'!$A$37:$A$242,0),MATCH('面板-总览'!AS$2,'面板-景气指数'!$36:$36,0))</f>
        <v>2.4E-2</v>
      </c>
      <c r="AT26" s="6">
        <f>INDEX('面板-景气指数'!$37:$242,MATCH('面板-总览'!$AI26,'面板-景气指数'!$A$37:$A$242,0),MATCH('面板-总览'!AT$2,'面板-景气指数'!$36:$36,0))</f>
        <v>7.2999999999999995E-2</v>
      </c>
      <c r="AU26" s="6">
        <f>INDEX('面板-景气指数'!$37:$242,MATCH('面板-总览'!$AI26,'面板-景气指数'!$A$37:$A$242,0),MATCH('面板-总览'!AU$2,'面板-景气指数'!$36:$36,0))</f>
        <v>0.19500000000000001</v>
      </c>
      <c r="AV26" s="6">
        <f>INDEX('面板-景气指数'!$37:$242,MATCH('面板-总览'!$AI26,'面板-景气指数'!$A$37:$A$242,0),MATCH('面板-总览'!AV$2,'面板-景气指数'!$36:$36,0))</f>
        <v>0.219</v>
      </c>
      <c r="AX26" s="11">
        <f t="shared" si="2"/>
        <v>0.19500000000000001</v>
      </c>
    </row>
    <row r="27" spans="1:50" ht="21" customHeight="1" x14ac:dyDescent="0.2">
      <c r="A27" s="5" t="s">
        <v>77</v>
      </c>
      <c r="B27" s="6">
        <f>INDEX('面板-景气指数'!$37:$242,MATCH('面板-总览'!$A27,'面板-景气指数'!$A$37:$A$242,0),MATCH('面板-总览'!B$2,'面板-景气指数'!$36:$36,0))</f>
        <v>0.49728407132922214</v>
      </c>
      <c r="C27" s="6">
        <f>INDEX('面板-景气指数'!$37:$242,MATCH('面板-总览'!$A27,'面板-景气指数'!$A$37:$A$242,0),MATCH('面板-总览'!C$2,'面板-景气指数'!$36:$36,0))</f>
        <v>0.48384176118831412</v>
      </c>
      <c r="D27" s="6">
        <f>INDEX('面板-景气指数'!$37:$242,MATCH('面板-总览'!$A27,'面板-景气指数'!$A$37:$A$242,0),MATCH('面板-总览'!D$2,'面板-景气指数'!$36:$36,0))</f>
        <v>0.47924367142734847</v>
      </c>
      <c r="E27" s="6">
        <f>INDEX('面板-景气指数'!$37:$242,MATCH('面板-总览'!$A27,'面板-景气指数'!$A$37:$A$242,0),MATCH('面板-总览'!E$2,'面板-景气指数'!$36:$36,0))</f>
        <v>0.48260541005410779</v>
      </c>
      <c r="F27" s="6">
        <f>INDEX('面板-景气指数'!$37:$242,MATCH('面板-总览'!$A27,'面板-景气指数'!$A$37:$A$242,0),MATCH('面板-总览'!F$2,'面板-景气指数'!$36:$36,0))</f>
        <v>0.47845131969058635</v>
      </c>
      <c r="G27" s="6">
        <f>INDEX('面板-景气指数'!$37:$242,MATCH('面板-总览'!$A27,'面板-景气指数'!$A$37:$A$242,0),MATCH('面板-总览'!G$2,'面板-景气指数'!$36:$36,0))</f>
        <v>0.47735524145495623</v>
      </c>
      <c r="H27" s="6">
        <f>INDEX('面板-景气指数'!$37:$242,MATCH('面板-总览'!$A27,'面板-景气指数'!$A$37:$A$242,0),MATCH('面板-总览'!H$2,'面板-景气指数'!$36:$36,0))</f>
        <v>0.48630949169080456</v>
      </c>
      <c r="I27" s="6">
        <f>INDEX('面板-景气指数'!$37:$242,MATCH('面板-总览'!$A27,'面板-景气指数'!$A$37:$A$242,0),MATCH('面板-总览'!I$2,'面板-景气指数'!$36:$36,0))</f>
        <v>0.48570432815872489</v>
      </c>
      <c r="J27" s="6">
        <f>INDEX('面板-景气指数'!$37:$242,MATCH('面板-总览'!$A27,'面板-景气指数'!$A$37:$A$242,0),MATCH('面板-总览'!J$2,'面板-景气指数'!$36:$36,0))</f>
        <v>0.48400764975188021</v>
      </c>
      <c r="K27" s="6">
        <f>INDEX('面板-景气指数'!$37:$242,MATCH('面板-总览'!$A27,'面板-景气指数'!$A$37:$A$242,0),MATCH('面板-总览'!K$2,'面板-景气指数'!$36:$36,0))</f>
        <v>0.48442182682747492</v>
      </c>
      <c r="L27" s="6">
        <f>INDEX('面板-景气指数'!$37:$242,MATCH('面板-总览'!$A27,'面板-景气指数'!$A$37:$A$242,0),MATCH('面板-总览'!L$2,'面板-景气指数'!$36:$36,0))</f>
        <v>0.48442182682747492</v>
      </c>
      <c r="M27" s="6">
        <f>INDEX('面板-景气指数'!$37:$242,MATCH('面板-总览'!$A27,'面板-景气指数'!$A$37:$A$242,0),MATCH('面板-总览'!M$2,'面板-景气指数'!$36:$36,0))</f>
        <v>0.48442182682747492</v>
      </c>
      <c r="N27" s="6">
        <f>INDEX('面板-景气指数'!$37:$242,MATCH('面板-总览'!$A27,'面板-景气指数'!$A$37:$A$242,0),MATCH('面板-总览'!N$2,'面板-景气指数'!$36:$36,0))</f>
        <v>0.48442182682747492</v>
      </c>
      <c r="P27" s="8">
        <f t="shared" si="0"/>
        <v>0</v>
      </c>
      <c r="R27" s="5" t="s">
        <v>78</v>
      </c>
      <c r="S27" s="6">
        <f>INDEX('面板-景气指数'!$37:$242,MATCH('面板-总览'!$R27,'面板-景气指数'!$A$37:$A$242,0),MATCH('面板-总览'!S$2,'面板-景气指数'!$36:$36,0))</f>
        <v>0.35087500000000005</v>
      </c>
      <c r="T27" s="6">
        <f>INDEX('面板-景气指数'!$37:$242,MATCH('面板-总览'!$R27,'面板-景气指数'!$A$37:$A$242,0),MATCH('面板-总览'!T$2,'面板-景气指数'!$36:$36,0))</f>
        <v>0.30787500000000007</v>
      </c>
      <c r="U27" s="6">
        <f>INDEX('面板-景气指数'!$37:$242,MATCH('面板-总览'!$R27,'面板-景气指数'!$A$37:$A$242,0),MATCH('面板-总览'!U$2,'面板-景气指数'!$36:$36,0))</f>
        <v>0.32824999999999999</v>
      </c>
      <c r="V27" s="6">
        <f>INDEX('面板-景气指数'!$37:$242,MATCH('面板-总览'!$R27,'面板-景气指数'!$A$37:$A$242,0),MATCH('面板-总览'!V$2,'面板-景气指数'!$36:$36,0))</f>
        <v>0.26675000000000004</v>
      </c>
      <c r="W27" s="6">
        <f>INDEX('面板-景气指数'!$37:$242,MATCH('面板-总览'!$R27,'面板-景气指数'!$A$37:$A$242,0),MATCH('面板-总览'!W$2,'面板-景气指数'!$36:$36,0))</f>
        <v>0.18750000000000006</v>
      </c>
      <c r="X27" s="6">
        <f>INDEX('面板-景气指数'!$37:$242,MATCH('面板-总览'!$R27,'面板-景气指数'!$A$37:$A$242,0),MATCH('面板-总览'!X$2,'面板-景气指数'!$36:$36,0))</f>
        <v>0.16362500000000002</v>
      </c>
      <c r="Y27" s="6">
        <f>INDEX('面板-景气指数'!$37:$242,MATCH('面板-总览'!$R27,'面板-景气指数'!$A$37:$A$242,0),MATCH('面板-总览'!Y$2,'面板-景气指数'!$36:$36,0))</f>
        <v>0.18475000000000003</v>
      </c>
      <c r="Z27" s="6">
        <f>INDEX('面板-景气指数'!$37:$242,MATCH('面板-总览'!$R27,'面板-景气指数'!$A$37:$A$242,0),MATCH('面板-总览'!Z$2,'面板-景气指数'!$36:$36,0))</f>
        <v>0.19425000000000003</v>
      </c>
      <c r="AA27" s="6">
        <f>INDEX('面板-景气指数'!$37:$242,MATCH('面板-总览'!$R27,'面板-景气指数'!$A$37:$A$242,0),MATCH('面板-总览'!AA$2,'面板-景气指数'!$36:$36,0))</f>
        <v>0.26375000000000004</v>
      </c>
      <c r="AB27" s="6">
        <f>INDEX('面板-景气指数'!$37:$242,MATCH('面板-总览'!$R27,'面板-景气指数'!$A$37:$A$242,0),MATCH('面板-总览'!AB$2,'面板-景气指数'!$36:$36,0))</f>
        <v>0.32125000000000004</v>
      </c>
      <c r="AC27" s="6">
        <f>INDEX('面板-景气指数'!$37:$242,MATCH('面板-总览'!$R27,'面板-景气指数'!$A$37:$A$242,0),MATCH('面板-总览'!AC$2,'面板-景气指数'!$36:$36,0))</f>
        <v>0.36512500000000003</v>
      </c>
      <c r="AD27" s="6">
        <f>INDEX('面板-景气指数'!$37:$242,MATCH('面板-总览'!$R27,'面板-景气指数'!$A$37:$A$242,0),MATCH('面板-总览'!AD$2,'面板-景气指数'!$36:$36,0))</f>
        <v>0.31762500000000005</v>
      </c>
      <c r="AE27" s="6">
        <f>INDEX('面板-景气指数'!$37:$242,MATCH('面板-总览'!$R27,'面板-景气指数'!$A$37:$A$242,0),MATCH('面板-总览'!AE$2,'面板-景气指数'!$36:$36,0))</f>
        <v>0.31762500000000005</v>
      </c>
      <c r="AF27" s="14"/>
      <c r="AG27" s="11">
        <f t="shared" si="1"/>
        <v>-3.6249999999999893E-3</v>
      </c>
      <c r="AI27" s="5" t="s">
        <v>79</v>
      </c>
      <c r="AJ27" s="6">
        <f>INDEX('面板-景气指数'!$37:$242,MATCH('面板-总览'!$AI27,'面板-景气指数'!$A$37:$A$242,0),MATCH('面板-总览'!AJ$2,'面板-景气指数'!$36:$36,0))</f>
        <v>9.1999999999999998E-2</v>
      </c>
      <c r="AK27" s="6">
        <f>INDEX('面板-景气指数'!$37:$242,MATCH('面板-总览'!$AI27,'面板-景气指数'!$A$37:$A$242,0),MATCH('面板-总览'!AK$2,'面板-景气指数'!$36:$36,0))</f>
        <v>9.9500000000000005E-2</v>
      </c>
      <c r="AL27" s="6">
        <f>INDEX('面板-景气指数'!$37:$242,MATCH('面板-总览'!$AI27,'面板-景气指数'!$A$37:$A$242,0),MATCH('面板-总览'!AL$2,'面板-景气指数'!$36:$36,0))</f>
        <v>9.6500000000000002E-2</v>
      </c>
      <c r="AM27" s="6">
        <f>INDEX('面板-景气指数'!$37:$242,MATCH('面板-总览'!$AI27,'面板-景气指数'!$A$37:$A$242,0),MATCH('面板-总览'!AM$2,'面板-景气指数'!$36:$36,0))</f>
        <v>9.4E-2</v>
      </c>
      <c r="AN27" s="6">
        <f>INDEX('面板-景气指数'!$37:$242,MATCH('面板-总览'!$AI27,'面板-景气指数'!$A$37:$A$242,0),MATCH('面板-总览'!AN$2,'面板-景气指数'!$36:$36,0))</f>
        <v>7.9000000000000001E-2</v>
      </c>
      <c r="AO27" s="6">
        <f>INDEX('面板-景气指数'!$37:$242,MATCH('面板-总览'!$AI27,'面板-景气指数'!$A$37:$A$242,0),MATCH('面板-总览'!AO$2,'面板-景气指数'!$36:$36,0))</f>
        <v>8.6499999999999994E-2</v>
      </c>
      <c r="AP27" s="6">
        <f>INDEX('面板-景气指数'!$37:$242,MATCH('面板-总览'!$AI27,'面板-景气指数'!$A$37:$A$242,0),MATCH('面板-总览'!AP$2,'面板-景气指数'!$36:$36,0))</f>
        <v>0.13250000000000001</v>
      </c>
      <c r="AQ27" s="6">
        <f>INDEX('面板-景气指数'!$37:$242,MATCH('面板-总览'!$AI27,'面板-景气指数'!$A$37:$A$242,0),MATCH('面板-总览'!AQ$2,'面板-景气指数'!$36:$36,0))</f>
        <v>0.16</v>
      </c>
      <c r="AR27" s="6">
        <f>INDEX('面板-景气指数'!$37:$242,MATCH('面板-总览'!$AI27,'面板-景气指数'!$A$37:$A$242,0),MATCH('面板-总览'!AR$2,'面板-景气指数'!$36:$36,0))</f>
        <v>0.14500000000000002</v>
      </c>
      <c r="AS27" s="6">
        <f>INDEX('面板-景气指数'!$37:$242,MATCH('面板-总览'!$AI27,'面板-景气指数'!$A$37:$A$242,0),MATCH('面板-总览'!AS$2,'面板-景气指数'!$36:$36,0))</f>
        <v>0.15749999999999997</v>
      </c>
      <c r="AT27" s="6">
        <f>INDEX('面板-景气指数'!$37:$242,MATCH('面板-总览'!$AI27,'面板-景气指数'!$A$37:$A$242,0),MATCH('面板-总览'!AT$2,'面板-景气指数'!$36:$36,0))</f>
        <v>0.22950000000000001</v>
      </c>
      <c r="AU27" s="6">
        <f>INDEX('面板-景气指数'!$37:$242,MATCH('面板-总览'!$AI27,'面板-景气指数'!$A$37:$A$242,0),MATCH('面板-总览'!AU$2,'面板-景气指数'!$36:$36,0))</f>
        <v>0.29099999999999998</v>
      </c>
      <c r="AV27" s="6">
        <f>INDEX('面板-景气指数'!$37:$242,MATCH('面板-总览'!$AI27,'面板-景气指数'!$A$37:$A$242,0),MATCH('面板-总览'!AV$2,'面板-景气指数'!$36:$36,0))</f>
        <v>0.31900000000000001</v>
      </c>
      <c r="AX27" s="11">
        <f t="shared" si="2"/>
        <v>0.16150000000000003</v>
      </c>
    </row>
    <row r="28" spans="1:50" ht="21" customHeight="1" x14ac:dyDescent="0.2">
      <c r="A28" s="5" t="s">
        <v>80</v>
      </c>
      <c r="B28" s="6">
        <f>INDEX('面板-景气指数'!$37:$242,MATCH('面板-总览'!$A28,'面板-景气指数'!$A$37:$A$242,0),MATCH('面板-总览'!B$2,'面板-景气指数'!$36:$36,0))</f>
        <v>0.49887299811070646</v>
      </c>
      <c r="C28" s="6">
        <f>INDEX('面板-景气指数'!$37:$242,MATCH('面板-总览'!$A28,'面板-景气指数'!$A$37:$A$242,0),MATCH('面板-总览'!C$2,'面板-景气指数'!$36:$36,0))</f>
        <v>0.54906756890181874</v>
      </c>
      <c r="D28" s="6">
        <f>INDEX('面板-景气指数'!$37:$242,MATCH('面板-总览'!$A28,'面板-景气指数'!$A$37:$A$242,0),MATCH('面板-总览'!D$2,'面板-景气指数'!$36:$36,0))</f>
        <v>0.59149001770666609</v>
      </c>
      <c r="E28" s="6">
        <f>INDEX('面板-景气指数'!$37:$242,MATCH('面板-总览'!$A28,'面板-景气指数'!$A$37:$A$242,0),MATCH('面板-总览'!E$2,'面板-景气指数'!$36:$36,0))</f>
        <v>0.60481307143919072</v>
      </c>
      <c r="F28" s="6">
        <f>INDEX('面板-景气指数'!$37:$242,MATCH('面板-总览'!$A28,'面板-景气指数'!$A$37:$A$242,0),MATCH('面板-总览'!F$2,'面板-景气指数'!$36:$36,0))</f>
        <v>0.5924017996428248</v>
      </c>
      <c r="G28" s="6">
        <f>INDEX('面板-景气指数'!$37:$242,MATCH('面板-总览'!$A28,'面板-景气指数'!$A$37:$A$242,0),MATCH('面板-总览'!G$2,'面板-景气指数'!$36:$36,0))</f>
        <v>0.57668283756444194</v>
      </c>
      <c r="H28" s="6">
        <f>INDEX('面板-景气指数'!$37:$242,MATCH('面板-总览'!$A28,'面板-景气指数'!$A$37:$A$242,0),MATCH('面板-总览'!H$2,'面板-景气指数'!$36:$36,0))</f>
        <v>0.5257824235280788</v>
      </c>
      <c r="I28" s="6">
        <f>INDEX('面板-景气指数'!$37:$242,MATCH('面板-总览'!$A28,'面板-景气指数'!$A$37:$A$242,0),MATCH('面板-总览'!I$2,'面板-景气指数'!$36:$36,0))</f>
        <v>0.50587094438464508</v>
      </c>
      <c r="J28" s="6">
        <f>INDEX('面板-景气指数'!$37:$242,MATCH('面板-总览'!$A28,'面板-景气指数'!$A$37:$A$242,0),MATCH('面板-总览'!J$2,'面板-景气指数'!$36:$36,0))</f>
        <v>0.47680219722343414</v>
      </c>
      <c r="K28" s="6">
        <f>INDEX('面板-景气指数'!$37:$242,MATCH('面板-总览'!$A28,'面板-景气指数'!$A$37:$A$242,0),MATCH('面板-总览'!K$2,'面板-景气指数'!$36:$36,0))</f>
        <v>0.47933354616565294</v>
      </c>
      <c r="L28" s="6">
        <f>INDEX('面板-景气指数'!$37:$242,MATCH('面板-总览'!$A28,'面板-景气指数'!$A$37:$A$242,0),MATCH('面板-总览'!L$2,'面板-景气指数'!$36:$36,0))</f>
        <v>0.48899110052040184</v>
      </c>
      <c r="M28" s="6">
        <f>INDEX('面板-景气指数'!$37:$242,MATCH('面板-总览'!$A28,'面板-景气指数'!$A$37:$A$242,0),MATCH('面板-总览'!M$2,'面板-景气指数'!$36:$36,0))</f>
        <v>0.48585048611393605</v>
      </c>
      <c r="N28" s="6">
        <f>INDEX('面板-景气指数'!$37:$242,MATCH('面板-总览'!$A28,'面板-景气指数'!$A$37:$A$242,0),MATCH('面板-总览'!N$2,'面板-景气指数'!$36:$36,0))</f>
        <v>0.47380063718141219</v>
      </c>
      <c r="P28" s="8">
        <f t="shared" si="0"/>
        <v>-5.5329089842407475E-3</v>
      </c>
      <c r="R28" s="5" t="s">
        <v>81</v>
      </c>
      <c r="S28" s="6">
        <f>INDEX('面板-景气指数'!$37:$242,MATCH('面板-总览'!$R28,'面板-景气指数'!$A$37:$A$242,0),MATCH('面板-总览'!S$2,'面板-景气指数'!$36:$36,0))</f>
        <v>0.41299999999999981</v>
      </c>
      <c r="T28" s="6">
        <f>INDEX('面板-景气指数'!$37:$242,MATCH('面板-总览'!$R28,'面板-景气指数'!$A$37:$A$242,0),MATCH('面板-总览'!T$2,'面板-景气指数'!$36:$36,0))</f>
        <v>0.49616666666666664</v>
      </c>
      <c r="U28" s="6">
        <f>INDEX('面板-景气指数'!$37:$242,MATCH('面板-总览'!$R28,'面板-景气指数'!$A$37:$A$242,0),MATCH('面板-总览'!U$2,'面板-景气指数'!$36:$36,0))</f>
        <v>0.39099999999999996</v>
      </c>
      <c r="V28" s="6">
        <f>INDEX('面板-景气指数'!$37:$242,MATCH('面板-总览'!$R28,'面板-景气指数'!$A$37:$A$242,0),MATCH('面板-总览'!V$2,'面板-景气指数'!$36:$36,0))</f>
        <v>0.22466666666666668</v>
      </c>
      <c r="W28" s="6">
        <f>INDEX('面板-景气指数'!$37:$242,MATCH('面板-总览'!$R28,'面板-景气指数'!$A$37:$A$242,0),MATCH('面板-总览'!W$2,'面板-景气指数'!$36:$36,0))</f>
        <v>0.14699999999999991</v>
      </c>
      <c r="X28" s="6">
        <f>INDEX('面板-景气指数'!$37:$242,MATCH('面板-总览'!$R28,'面板-景气指数'!$A$37:$A$242,0),MATCH('面板-总览'!X$2,'面板-景气指数'!$36:$36,0))</f>
        <v>0.15999999999999992</v>
      </c>
      <c r="Y28" s="6">
        <f>INDEX('面板-景气指数'!$37:$242,MATCH('面板-总览'!$R28,'面板-景气指数'!$A$37:$A$242,0),MATCH('面板-总览'!Y$2,'面板-景气指数'!$36:$36,0))</f>
        <v>0.15149999999999988</v>
      </c>
      <c r="Z28" s="6">
        <f>INDEX('面板-景气指数'!$37:$242,MATCH('面板-总览'!$R28,'面板-景气指数'!$A$37:$A$242,0),MATCH('面板-总览'!Z$2,'面板-景气指数'!$36:$36,0))</f>
        <v>0.14116666666666661</v>
      </c>
      <c r="AA28" s="6">
        <f>INDEX('面板-景气指数'!$37:$242,MATCH('面板-总览'!$R28,'面板-景气指数'!$A$37:$A$242,0),MATCH('面板-总览'!AA$2,'面板-景气指数'!$36:$36,0))</f>
        <v>0.245</v>
      </c>
      <c r="AB28" s="6">
        <f>INDEX('面板-景气指数'!$37:$242,MATCH('面板-总览'!$R28,'面板-景气指数'!$A$37:$A$242,0),MATCH('面板-总览'!AB$2,'面板-景气指数'!$36:$36,0))</f>
        <v>0.32383333333333331</v>
      </c>
      <c r="AC28" s="6">
        <f>INDEX('面板-景气指数'!$37:$242,MATCH('面板-总览'!$R28,'面板-景气指数'!$A$37:$A$242,0),MATCH('面板-总览'!AC$2,'面板-景气指数'!$36:$36,0))</f>
        <v>0.39449999999999996</v>
      </c>
      <c r="AD28" s="6">
        <f>INDEX('面板-景气指数'!$37:$242,MATCH('面板-总览'!$R28,'面板-景气指数'!$A$37:$A$242,0),MATCH('面板-总览'!AD$2,'面板-景气指数'!$36:$36,0))</f>
        <v>0.26499999999999996</v>
      </c>
      <c r="AE28" s="6">
        <f>INDEX('面板-景气指数'!$37:$242,MATCH('面板-总览'!$R28,'面板-景气指数'!$A$37:$A$242,0),MATCH('面板-总览'!AE$2,'面板-景气指数'!$36:$36,0))</f>
        <v>0.26499999999999996</v>
      </c>
      <c r="AF28" s="14"/>
      <c r="AG28" s="11">
        <f t="shared" si="1"/>
        <v>-5.8833333333333349E-2</v>
      </c>
      <c r="AI28" s="5" t="s">
        <v>82</v>
      </c>
      <c r="AJ28" s="6">
        <f>INDEX('面板-景气指数'!$37:$242,MATCH('面板-总览'!$AI28,'面板-景气指数'!$A$37:$A$242,0),MATCH('面板-总览'!AJ$2,'面板-景气指数'!$36:$36,0))</f>
        <v>0.1835</v>
      </c>
      <c r="AK28" s="6">
        <f>INDEX('面板-景气指数'!$37:$242,MATCH('面板-总览'!$AI28,'面板-景气指数'!$A$37:$A$242,0),MATCH('面板-总览'!AK$2,'面板-景气指数'!$36:$36,0))</f>
        <v>0.19849999999999998</v>
      </c>
      <c r="AL28" s="6">
        <f>INDEX('面板-景气指数'!$37:$242,MATCH('面板-总览'!$AI28,'面板-景气指数'!$A$37:$A$242,0),MATCH('面板-总览'!AL$2,'面板-景气指数'!$36:$36,0))</f>
        <v>0.17300000000000001</v>
      </c>
      <c r="AM28" s="6">
        <f>INDEX('面板-景气指数'!$37:$242,MATCH('面板-总览'!$AI28,'面板-景气指数'!$A$37:$A$242,0),MATCH('面板-总览'!AM$2,'面板-景气指数'!$36:$36,0))</f>
        <v>0.14249999999999999</v>
      </c>
      <c r="AN28" s="6">
        <f>INDEX('面板-景气指数'!$37:$242,MATCH('面板-总览'!$AI28,'面板-景气指数'!$A$37:$A$242,0),MATCH('面板-总览'!AN$2,'面板-景气指数'!$36:$36,0))</f>
        <v>0.13749999999999998</v>
      </c>
      <c r="AO28" s="6">
        <f>INDEX('面板-景气指数'!$37:$242,MATCH('面板-总览'!$AI28,'面板-景气指数'!$A$37:$A$242,0),MATCH('面板-总览'!AO$2,'面板-景气指数'!$36:$36,0))</f>
        <v>0.15749999999999997</v>
      </c>
      <c r="AP28" s="6">
        <f>INDEX('面板-景气指数'!$37:$242,MATCH('面板-总览'!$AI28,'面板-景气指数'!$A$37:$A$242,0),MATCH('面板-总览'!AP$2,'面板-景气指数'!$36:$36,0))</f>
        <v>0.153</v>
      </c>
      <c r="AQ28" s="6">
        <f>INDEX('面板-景气指数'!$37:$242,MATCH('面板-总览'!$AI28,'面板-景气指数'!$A$37:$A$242,0),MATCH('面板-总览'!AQ$2,'面板-景气指数'!$36:$36,0))</f>
        <v>0.219</v>
      </c>
      <c r="AR28" s="6">
        <f>INDEX('面板-景气指数'!$37:$242,MATCH('面板-总览'!$AI28,'面板-景气指数'!$A$37:$A$242,0),MATCH('面板-总览'!AR$2,'面板-景气指数'!$36:$36,0))</f>
        <v>0.316</v>
      </c>
      <c r="AS28" s="6">
        <f>INDEX('面板-景气指数'!$37:$242,MATCH('面板-总览'!$AI28,'面板-景气指数'!$A$37:$A$242,0),MATCH('面板-总览'!AS$2,'面板-景气指数'!$36:$36,0))</f>
        <v>0.38200000000000001</v>
      </c>
      <c r="AT28" s="6">
        <f>INDEX('面板-景气指数'!$37:$242,MATCH('面板-总览'!$AI28,'面板-景气指数'!$A$37:$A$242,0),MATCH('面板-总览'!AT$2,'面板-景气指数'!$36:$36,0))</f>
        <v>0.32600000000000001</v>
      </c>
      <c r="AU28" s="6">
        <f>INDEX('面板-景气指数'!$37:$242,MATCH('面板-总览'!$AI28,'面板-景气指数'!$A$37:$A$242,0),MATCH('面板-总览'!AU$2,'面板-景气指数'!$36:$36,0))</f>
        <v>0.23899999999999999</v>
      </c>
      <c r="AV28" s="6">
        <f>INDEX('面板-景气指数'!$37:$242,MATCH('面板-总览'!$AI28,'面板-景气指数'!$A$37:$A$242,0),MATCH('面板-总览'!AV$2,'面板-景气指数'!$36:$36,0))</f>
        <v>0.2545</v>
      </c>
      <c r="AX28" s="11">
        <f t="shared" si="2"/>
        <v>-0.1275</v>
      </c>
    </row>
    <row r="29" spans="1:50" ht="21" customHeight="1" x14ac:dyDescent="0.2">
      <c r="A29" s="5" t="s">
        <v>83</v>
      </c>
      <c r="B29" s="6">
        <f>INDEX('面板-景气指数'!$37:$242,MATCH('面板-总览'!$A29,'面板-景气指数'!$A$37:$A$242,0),MATCH('面板-总览'!B$2,'面板-景气指数'!$36:$36,0))</f>
        <v>0.4756537426020947</v>
      </c>
      <c r="C29" s="6">
        <f>INDEX('面板-景气指数'!$37:$242,MATCH('面板-总览'!$A29,'面板-景气指数'!$A$37:$A$242,0),MATCH('面板-总览'!C$2,'面板-景气指数'!$36:$36,0))</f>
        <v>0.41040379777310992</v>
      </c>
      <c r="D29" s="6">
        <f>INDEX('面板-景气指数'!$37:$242,MATCH('面板-总览'!$A29,'面板-景气指数'!$A$37:$A$242,0),MATCH('面板-总览'!D$2,'面板-景气指数'!$36:$36,0))</f>
        <v>0.33138778245896655</v>
      </c>
      <c r="E29" s="6">
        <f>INDEX('面板-景气指数'!$37:$242,MATCH('面板-总览'!$A29,'面板-景气指数'!$A$37:$A$242,0),MATCH('面板-总览'!E$2,'面板-景气指数'!$36:$36,0))</f>
        <v>0.24028845220182835</v>
      </c>
      <c r="F29" s="6">
        <f>INDEX('面板-景气指数'!$37:$242,MATCH('面板-总览'!$A29,'面板-景气指数'!$A$37:$A$242,0),MATCH('面板-总览'!F$2,'面板-景气指数'!$36:$36,0))</f>
        <v>0.19731890778078795</v>
      </c>
      <c r="G29" s="6">
        <f>INDEX('面板-景气指数'!$37:$242,MATCH('面板-总览'!$A29,'面板-景气指数'!$A$37:$A$242,0),MATCH('面板-总览'!G$2,'面板-景气指数'!$36:$36,0))</f>
        <v>0.19692946199887001</v>
      </c>
      <c r="H29" s="6">
        <f>INDEX('面板-景气指数'!$37:$242,MATCH('面板-总览'!$A29,'面板-景气指数'!$A$37:$A$242,0),MATCH('面板-总览'!H$2,'面板-景气指数'!$36:$36,0))</f>
        <v>0.19973552663257446</v>
      </c>
      <c r="I29" s="6">
        <f>INDEX('面板-景气指数'!$37:$242,MATCH('面板-总览'!$A29,'面板-景气指数'!$A$37:$A$242,0),MATCH('面板-总览'!I$2,'面板-景气指数'!$36:$36,0))</f>
        <v>0.20620662403453557</v>
      </c>
      <c r="J29" s="6">
        <f>INDEX('面板-景气指数'!$37:$242,MATCH('面板-总览'!$A29,'面板-景气指数'!$A$37:$A$242,0),MATCH('面板-总览'!J$2,'面板-景气指数'!$36:$36,0))</f>
        <v>0.24408961514030267</v>
      </c>
      <c r="K29" s="6">
        <f>INDEX('面板-景气指数'!$37:$242,MATCH('面板-总览'!$A29,'面板-景气指数'!$A$37:$A$242,0),MATCH('面板-总览'!K$2,'面板-景气指数'!$36:$36,0))</f>
        <v>0.21768257899491458</v>
      </c>
      <c r="L29" s="6">
        <f>INDEX('面板-景气指数'!$37:$242,MATCH('面板-总览'!$A29,'面板-景气指数'!$A$37:$A$242,0),MATCH('面板-总览'!L$2,'面板-景气指数'!$36:$36,0))</f>
        <v>0.1510480018056175</v>
      </c>
      <c r="M29" s="6">
        <f>INDEX('面板-景气指数'!$37:$242,MATCH('面板-总览'!$A29,'面板-景气指数'!$A$37:$A$242,0),MATCH('面板-总览'!M$2,'面板-景气指数'!$36:$36,0))</f>
        <v>0.10341661885178668</v>
      </c>
      <c r="N29" s="6">
        <f>INDEX('面板-景气指数'!$37:$242,MATCH('面板-总览'!$A29,'面板-景气指数'!$A$37:$A$242,0),MATCH('面板-总览'!N$2,'面板-景气指数'!$36:$36,0))</f>
        <v>0.12599833667704846</v>
      </c>
      <c r="P29" s="8">
        <f t="shared" si="0"/>
        <v>-9.1684242317866121E-2</v>
      </c>
      <c r="R29" s="5" t="s">
        <v>84</v>
      </c>
      <c r="S29" s="6">
        <f>INDEX('面板-景气指数'!$37:$242,MATCH('面板-总览'!$R29,'面板-景气指数'!$A$37:$A$242,0),MATCH('面板-总览'!S$2,'面板-景气指数'!$36:$36,0))</f>
        <v>0.78886666666666672</v>
      </c>
      <c r="T29" s="6">
        <f>INDEX('面板-景气指数'!$37:$242,MATCH('面板-总览'!$R29,'面板-景气指数'!$A$37:$A$242,0),MATCH('面板-总览'!T$2,'面板-景气指数'!$36:$36,0))</f>
        <v>0.82340000000000002</v>
      </c>
      <c r="U29" s="6">
        <f>INDEX('面板-景气指数'!$37:$242,MATCH('面板-总览'!$R29,'面板-景气指数'!$A$37:$A$242,0),MATCH('面板-总览'!U$2,'面板-景气指数'!$36:$36,0))</f>
        <v>0.75613333333333344</v>
      </c>
      <c r="V29" s="6">
        <f>INDEX('面板-景气指数'!$37:$242,MATCH('面板-总览'!$R29,'面板-景气指数'!$A$37:$A$242,0),MATCH('面板-总览'!V$2,'面板-景气指数'!$36:$36,0))</f>
        <v>0.6709333333333336</v>
      </c>
      <c r="W29" s="6">
        <f>INDEX('面板-景气指数'!$37:$242,MATCH('面板-总览'!$R29,'面板-景气指数'!$A$37:$A$242,0),MATCH('面板-总览'!W$2,'面板-景气指数'!$36:$36,0))</f>
        <v>0.59126666666666672</v>
      </c>
      <c r="X29" s="6">
        <f>INDEX('面板-景气指数'!$37:$242,MATCH('面板-总览'!$R29,'面板-景气指数'!$A$37:$A$242,0),MATCH('面板-总览'!X$2,'面板-景气指数'!$36:$36,0))</f>
        <v>0.60706666666666675</v>
      </c>
      <c r="Y29" s="6">
        <f>INDEX('面板-景气指数'!$37:$242,MATCH('面板-总览'!$R29,'面板-景气指数'!$A$37:$A$242,0),MATCH('面板-总览'!Y$2,'面板-景气指数'!$36:$36,0))</f>
        <v>0.58860000000000001</v>
      </c>
      <c r="Z29" s="6">
        <f>INDEX('面板-景气指数'!$37:$242,MATCH('面板-总览'!$R29,'面板-景气指数'!$A$37:$A$242,0),MATCH('面板-总览'!Z$2,'面板-景气指数'!$36:$36,0))</f>
        <v>0.58826666666666683</v>
      </c>
      <c r="AA29" s="6">
        <f>INDEX('面板-景气指数'!$37:$242,MATCH('面板-总览'!$R29,'面板-景气指数'!$A$37:$A$242,0),MATCH('面板-总览'!AA$2,'面板-景气指数'!$36:$36,0))</f>
        <v>0.5646000000000001</v>
      </c>
      <c r="AB29" s="6">
        <f>INDEX('面板-景气指数'!$37:$242,MATCH('面板-总览'!$R29,'面板-景气指数'!$A$37:$A$242,0),MATCH('面板-总览'!AB$2,'面板-景气指数'!$36:$36,0))</f>
        <v>0.57120000000000004</v>
      </c>
      <c r="AC29" s="6">
        <f>INDEX('面板-景气指数'!$37:$242,MATCH('面板-总览'!$R29,'面板-景气指数'!$A$37:$A$242,0),MATCH('面板-总览'!AC$2,'面板-景气指数'!$36:$36,0))</f>
        <v>0.47586666666666677</v>
      </c>
      <c r="AD29" s="6">
        <f>INDEX('面板-景气指数'!$37:$242,MATCH('面板-总览'!$R29,'面板-景气指数'!$A$37:$A$242,0),MATCH('面板-总览'!AD$2,'面板-景气指数'!$36:$36,0))</f>
        <v>0.39000000000000007</v>
      </c>
      <c r="AE29" s="6">
        <f>INDEX('面板-景气指数'!$37:$242,MATCH('面板-总览'!$R29,'面板-景气指数'!$A$37:$A$242,0),MATCH('面板-总览'!AE$2,'面板-景气指数'!$36:$36,0))</f>
        <v>0.39873333333333338</v>
      </c>
      <c r="AF29" s="14"/>
      <c r="AG29" s="11">
        <f t="shared" si="1"/>
        <v>-0.17246666666666666</v>
      </c>
      <c r="AI29" s="5" t="s">
        <v>85</v>
      </c>
      <c r="AJ29" s="6">
        <f>INDEX('面板-景气指数'!$37:$242,MATCH('面板-总览'!$AI29,'面板-景气指数'!$A$37:$A$242,0),MATCH('面板-总览'!AJ$2,'面板-景气指数'!$36:$36,0))</f>
        <v>0.85199999999999998</v>
      </c>
      <c r="AK29" s="6">
        <f>INDEX('面板-景气指数'!$37:$242,MATCH('面板-总览'!$AI29,'面板-景气指数'!$A$37:$A$242,0),MATCH('面板-总览'!AK$2,'面板-景气指数'!$36:$36,0))</f>
        <v>0.82099999999999995</v>
      </c>
      <c r="AL29" s="6">
        <f>INDEX('面板-景气指数'!$37:$242,MATCH('面板-总览'!$AI29,'面板-景气指数'!$A$37:$A$242,0),MATCH('面板-总览'!AL$2,'面板-景气指数'!$36:$36,0))</f>
        <v>0.80500000000000005</v>
      </c>
      <c r="AM29" s="6">
        <f>INDEX('面板-景气指数'!$37:$242,MATCH('面板-总览'!$AI29,'面板-景气指数'!$A$37:$A$242,0),MATCH('面板-总览'!AM$2,'面板-景气指数'!$36:$36,0))</f>
        <v>0.76300000000000001</v>
      </c>
      <c r="AN29" s="6">
        <f>INDEX('面板-景气指数'!$37:$242,MATCH('面板-总览'!$AI29,'面板-景气指数'!$A$37:$A$242,0),MATCH('面板-总览'!AN$2,'面板-景气指数'!$36:$36,0))</f>
        <v>0.7579999999999999</v>
      </c>
      <c r="AO29" s="6">
        <f>INDEX('面板-景气指数'!$37:$242,MATCH('面板-总览'!$AI29,'面板-景气指数'!$A$37:$A$242,0),MATCH('面板-总览'!AO$2,'面板-景气指数'!$36:$36,0))</f>
        <v>0.753</v>
      </c>
      <c r="AP29" s="6">
        <f>INDEX('面板-景气指数'!$37:$242,MATCH('面板-总览'!$AI29,'面板-景气指数'!$A$37:$A$242,0),MATCH('面板-总览'!AP$2,'面板-景气指数'!$36:$36,0))</f>
        <v>0.74299999999999999</v>
      </c>
      <c r="AQ29" s="6">
        <f>INDEX('面板-景气指数'!$37:$242,MATCH('面板-总览'!$AI29,'面板-景气指数'!$A$37:$A$242,0),MATCH('面板-总览'!AQ$2,'面板-景气指数'!$36:$36,0))</f>
        <v>0.66499999999999992</v>
      </c>
      <c r="AR29" s="6">
        <f>INDEX('面板-景气指数'!$37:$242,MATCH('面板-总览'!$AI29,'面板-景气指数'!$A$37:$A$242,0),MATCH('面板-总览'!AR$2,'面板-景气指数'!$36:$36,0))</f>
        <v>0.623</v>
      </c>
      <c r="AS29" s="6">
        <f>INDEX('面板-景气指数'!$37:$242,MATCH('面板-总览'!$AI29,'面板-景气指数'!$A$37:$A$242,0),MATCH('面板-总览'!AS$2,'面板-景气指数'!$36:$36,0))</f>
        <v>0.53399999999999992</v>
      </c>
      <c r="AT29" s="6">
        <f>INDEX('面板-景气指数'!$37:$242,MATCH('面板-总览'!$AI29,'面板-景气指数'!$A$37:$A$242,0),MATCH('面板-总览'!AT$2,'面板-景气指数'!$36:$36,0))</f>
        <v>0.6835</v>
      </c>
      <c r="AU29" s="6">
        <f>INDEX('面板-景气指数'!$37:$242,MATCH('面板-总览'!$AI29,'面板-景气指数'!$A$37:$A$242,0),MATCH('面板-总览'!AU$2,'面板-景气指数'!$36:$36,0))</f>
        <v>0.61699999999999999</v>
      </c>
      <c r="AV29" s="6">
        <f>INDEX('面板-景气指数'!$37:$242,MATCH('面板-总览'!$AI29,'面板-景气指数'!$A$37:$A$242,0),MATCH('面板-总览'!AV$2,'面板-景气指数'!$36:$36,0))</f>
        <v>0.61150000000000004</v>
      </c>
      <c r="AX29" s="11">
        <f t="shared" si="2"/>
        <v>7.7500000000000124E-2</v>
      </c>
    </row>
    <row r="30" spans="1:50" ht="21" customHeight="1" x14ac:dyDescent="0.2">
      <c r="A30" s="5" t="s">
        <v>86</v>
      </c>
      <c r="B30" s="6">
        <f>INDEX('面板-景气指数'!$37:$242,MATCH('面板-总览'!$A30,'面板-景气指数'!$A$37:$A$242,0),MATCH('面板-总览'!B$2,'面板-景气指数'!$36:$36,0))</f>
        <v>0.23965241676472662</v>
      </c>
      <c r="C30" s="6">
        <f>INDEX('面板-景气指数'!$37:$242,MATCH('面板-总览'!$A30,'面板-景气指数'!$A$37:$A$242,0),MATCH('面板-总览'!C$2,'面板-景气指数'!$36:$36,0))</f>
        <v>0.30091321871570159</v>
      </c>
      <c r="D30" s="6">
        <f>INDEX('面板-景气指数'!$37:$242,MATCH('面板-总览'!$A30,'面板-景气指数'!$A$37:$A$242,0),MATCH('面板-总览'!D$2,'面板-景气指数'!$36:$36,0))</f>
        <v>0.34360977976348961</v>
      </c>
      <c r="E30" s="6">
        <f>INDEX('面板-景气指数'!$37:$242,MATCH('面板-总览'!$A30,'面板-景气指数'!$A$37:$A$242,0),MATCH('面板-总览'!E$2,'面板-景气指数'!$36:$36,0))</f>
        <v>0.38520883802785699</v>
      </c>
      <c r="F30" s="6">
        <f>INDEX('面板-景气指数'!$37:$242,MATCH('面板-总览'!$A30,'面板-景气指数'!$A$37:$A$242,0),MATCH('面板-总览'!F$2,'面板-景气指数'!$36:$36,0))</f>
        <v>0.38838221521516364</v>
      </c>
      <c r="G30" s="6">
        <f>INDEX('面板-景气指数'!$37:$242,MATCH('面板-总览'!$A30,'面板-景气指数'!$A$37:$A$242,0),MATCH('面板-总览'!G$2,'面板-景气指数'!$36:$36,0))</f>
        <v>0.40611426369787956</v>
      </c>
      <c r="H30" s="6">
        <f>INDEX('面板-景气指数'!$37:$242,MATCH('面板-总览'!$A30,'面板-景气指数'!$A$37:$A$242,0),MATCH('面板-总览'!H$2,'面板-景气指数'!$36:$36,0))</f>
        <v>0.41365974686193707</v>
      </c>
      <c r="I30" s="6">
        <f>INDEX('面板-景气指数'!$37:$242,MATCH('面板-总览'!$A30,'面板-景气指数'!$A$37:$A$242,0),MATCH('面板-总览'!I$2,'面板-景气指数'!$36:$36,0))</f>
        <v>0.42327137740412302</v>
      </c>
      <c r="J30" s="6">
        <f>INDEX('面板-景气指数'!$37:$242,MATCH('面板-总览'!$A30,'面板-景气指数'!$A$37:$A$242,0),MATCH('面板-总览'!J$2,'面板-景气指数'!$36:$36,0))</f>
        <v>0.45065292824009606</v>
      </c>
      <c r="K30" s="6">
        <f>INDEX('面板-景气指数'!$37:$242,MATCH('面板-总览'!$A30,'面板-景气指数'!$A$37:$A$242,0),MATCH('面板-总览'!K$2,'面板-景气指数'!$36:$36,0))</f>
        <v>0.47531114074372549</v>
      </c>
      <c r="L30" s="6">
        <f>INDEX('面板-景气指数'!$37:$242,MATCH('面板-总览'!$A30,'面板-景气指数'!$A$37:$A$242,0),MATCH('面板-总览'!L$2,'面板-景气指数'!$36:$36,0))</f>
        <v>0.54376456130173356</v>
      </c>
      <c r="M30" s="6">
        <f>INDEX('面板-景气指数'!$37:$242,MATCH('面板-总览'!$A30,'面板-景气指数'!$A$37:$A$242,0),MATCH('面板-总览'!M$2,'面板-景气指数'!$36:$36,0))</f>
        <v>0.59491153526525276</v>
      </c>
      <c r="N30" s="6">
        <f>INDEX('面板-景气指数'!$37:$242,MATCH('面板-总览'!$A30,'面板-景气指数'!$A$37:$A$242,0),MATCH('面板-总览'!N$2,'面板-景气指数'!$36:$36,0))</f>
        <v>0.5854522381843178</v>
      </c>
      <c r="P30" s="8">
        <f t="shared" si="0"/>
        <v>0.11014109744059231</v>
      </c>
      <c r="R30" s="5" t="s">
        <v>87</v>
      </c>
      <c r="S30" s="6">
        <f>INDEX('面板-景气指数'!$37:$242,MATCH('面板-总览'!$R30,'面板-景气指数'!$A$37:$A$242,0),MATCH('面板-总览'!S$2,'面板-景气指数'!$36:$36,0))</f>
        <v>0.42075000000000018</v>
      </c>
      <c r="T30" s="6">
        <f>INDEX('面板-景气指数'!$37:$242,MATCH('面板-总览'!$R30,'面板-景气指数'!$A$37:$A$242,0),MATCH('面板-总览'!T$2,'面板-景气指数'!$36:$36,0))</f>
        <v>0.4720000000000002</v>
      </c>
      <c r="U30" s="6">
        <f>INDEX('面板-景气指数'!$37:$242,MATCH('面板-总览'!$R30,'面板-景气指数'!$A$37:$A$242,0),MATCH('面板-总览'!U$2,'面板-景气指数'!$36:$36,0))</f>
        <v>0.55100000000000027</v>
      </c>
      <c r="V30" s="6">
        <f>INDEX('面板-景气指数'!$37:$242,MATCH('面板-总览'!$R30,'面板-景气指数'!$A$37:$A$242,0),MATCH('面板-总览'!V$2,'面板-景气指数'!$36:$36,0))</f>
        <v>0.58400000000000019</v>
      </c>
      <c r="W30" s="6">
        <f>INDEX('面板-景气指数'!$37:$242,MATCH('面板-总览'!$R30,'面板-景气指数'!$A$37:$A$242,0),MATCH('面板-总览'!W$2,'面板-景气指数'!$36:$36,0))</f>
        <v>0.60925000000000029</v>
      </c>
      <c r="X30" s="6">
        <f>INDEX('面板-景气指数'!$37:$242,MATCH('面板-总览'!$R30,'面板-景气指数'!$A$37:$A$242,0),MATCH('面板-总览'!X$2,'面板-景气指数'!$36:$36,0))</f>
        <v>0.59400000000000019</v>
      </c>
      <c r="Y30" s="6">
        <f>INDEX('面板-景气指数'!$37:$242,MATCH('面板-总览'!$R30,'面板-景气指数'!$A$37:$A$242,0),MATCH('面板-总览'!Y$2,'面板-景气指数'!$36:$36,0))</f>
        <v>0.59925000000000017</v>
      </c>
      <c r="Z30" s="6">
        <f>INDEX('面板-景气指数'!$37:$242,MATCH('面板-总览'!$R30,'面板-景气指数'!$A$37:$A$242,0),MATCH('面板-总览'!Z$2,'面板-景气指数'!$36:$36,0))</f>
        <v>0.60975000000000024</v>
      </c>
      <c r="AA30" s="6">
        <f>INDEX('面板-景气指数'!$37:$242,MATCH('面板-总览'!$R30,'面板-景气指数'!$A$37:$A$242,0),MATCH('面板-总览'!AA$2,'面板-景气指数'!$36:$36,0))</f>
        <v>0.61200000000000021</v>
      </c>
      <c r="AB30" s="6">
        <f>INDEX('面板-景气指数'!$37:$242,MATCH('面板-总览'!$R30,'面板-景气指数'!$A$37:$A$242,0),MATCH('面板-总览'!AB$2,'面板-景气指数'!$36:$36,0))</f>
        <v>0.6020000000000002</v>
      </c>
      <c r="AC30" s="6">
        <f>INDEX('面板-景气指数'!$37:$242,MATCH('面板-总览'!$R30,'面板-景气指数'!$A$37:$A$242,0),MATCH('面板-总览'!AC$2,'面板-景气指数'!$36:$36,0))</f>
        <v>0.58650000000000024</v>
      </c>
      <c r="AD30" s="6">
        <f>INDEX('面板-景气指数'!$37:$242,MATCH('面板-总览'!$R30,'面板-景气指数'!$A$37:$A$242,0),MATCH('面板-总览'!AD$2,'面板-景气指数'!$36:$36,0))</f>
        <v>0.55300000000000027</v>
      </c>
      <c r="AE30" s="6">
        <f>INDEX('面板-景气指数'!$37:$242,MATCH('面板-总览'!$R30,'面板-景气指数'!$A$37:$A$242,0),MATCH('面板-总览'!AE$2,'面板-景气指数'!$36:$36,0))</f>
        <v>0.55800000000000027</v>
      </c>
      <c r="AF30" s="14"/>
      <c r="AG30" s="11">
        <f t="shared" si="1"/>
        <v>-4.3999999999999928E-2</v>
      </c>
      <c r="AI30" s="5" t="s">
        <v>88</v>
      </c>
      <c r="AJ30" s="6">
        <f>INDEX('面板-景气指数'!$37:$242,MATCH('面板-总览'!$AI30,'面板-景气指数'!$A$37:$A$242,0),MATCH('面板-总览'!AJ$2,'面板-景气指数'!$36:$36,0))</f>
        <v>0.3155</v>
      </c>
      <c r="AK30" s="6">
        <f>INDEX('面板-景气指数'!$37:$242,MATCH('面板-总览'!$AI30,'面板-景气指数'!$A$37:$A$242,0),MATCH('面板-总览'!AK$2,'面板-景气指数'!$36:$36,0))</f>
        <v>0.14249999999999999</v>
      </c>
      <c r="AL30" s="6">
        <f>INDEX('面板-景气指数'!$37:$242,MATCH('面板-总览'!$AI30,'面板-景气指数'!$A$37:$A$242,0),MATCH('面板-总览'!AL$2,'面板-景气指数'!$36:$36,0))</f>
        <v>0.127</v>
      </c>
      <c r="AM30" s="6">
        <f>INDEX('面板-景气指数'!$37:$242,MATCH('面板-总览'!$AI30,'面板-景气指数'!$A$37:$A$242,0),MATCH('面板-总览'!AM$2,'面板-景气指数'!$36:$36,0))</f>
        <v>0.1525</v>
      </c>
      <c r="AN30" s="6">
        <f>INDEX('面板-景气指数'!$37:$242,MATCH('面板-总览'!$AI30,'面板-景气指数'!$A$37:$A$242,0),MATCH('面板-总览'!AN$2,'面板-景气指数'!$36:$36,0))</f>
        <v>0.30050000000000004</v>
      </c>
      <c r="AO30" s="6">
        <f>INDEX('面板-景气指数'!$37:$242,MATCH('面板-总览'!$AI30,'面板-景气指数'!$A$37:$A$242,0),MATCH('面板-总览'!AO$2,'面板-景气指数'!$36:$36,0))</f>
        <v>0.33650000000000002</v>
      </c>
      <c r="AP30" s="6">
        <f>INDEX('面板-景气指数'!$37:$242,MATCH('面板-总览'!$AI30,'面板-景气指数'!$A$37:$A$242,0),MATCH('面板-总览'!AP$2,'面板-景气指数'!$36:$36,0))</f>
        <v>0.33650000000000002</v>
      </c>
      <c r="AQ30" s="6">
        <f>INDEX('面板-景气指数'!$37:$242,MATCH('面板-总览'!$AI30,'面板-景气指数'!$A$37:$A$242,0),MATCH('面板-总览'!AQ$2,'面板-景气指数'!$36:$36,0))</f>
        <v>0.29550000000000004</v>
      </c>
      <c r="AR30" s="6">
        <f>INDEX('面板-景气指数'!$37:$242,MATCH('面板-总览'!$AI30,'面板-景气指数'!$A$37:$A$242,0),MATCH('面板-总览'!AR$2,'面板-景气指数'!$36:$36,0))</f>
        <v>0.27999999999999997</v>
      </c>
      <c r="AS30" s="6">
        <f>INDEX('面板-景气指数'!$37:$242,MATCH('面板-总览'!$AI30,'面板-景气指数'!$A$37:$A$242,0),MATCH('面板-总览'!AS$2,'面板-景气指数'!$36:$36,0))</f>
        <v>0.25950000000000001</v>
      </c>
      <c r="AT30" s="6">
        <f>INDEX('面板-景气指数'!$37:$242,MATCH('面板-总览'!$AI30,'面板-景气指数'!$A$37:$A$242,0),MATCH('面板-总览'!AT$2,'面板-景气指数'!$36:$36,0))</f>
        <v>0.19349999999999998</v>
      </c>
      <c r="AU30" s="6">
        <f>INDEX('面板-景气指数'!$37:$242,MATCH('面板-总览'!$AI30,'面板-景气指数'!$A$37:$A$242,0),MATCH('面板-总览'!AU$2,'面板-景气指数'!$36:$36,0))</f>
        <v>0.188</v>
      </c>
      <c r="AV30" s="6">
        <f>INDEX('面板-景气指数'!$37:$242,MATCH('面板-总览'!$AI30,'面板-景气指数'!$A$37:$A$242,0),MATCH('面板-总览'!AV$2,'面板-景气指数'!$36:$36,0))</f>
        <v>0.188</v>
      </c>
      <c r="AX30" s="11">
        <f t="shared" si="2"/>
        <v>-7.1500000000000008E-2</v>
      </c>
    </row>
    <row r="31" spans="1:50" ht="21" customHeight="1" x14ac:dyDescent="0.2">
      <c r="A31" s="5" t="s">
        <v>89</v>
      </c>
      <c r="B31" s="6">
        <f>INDEX('面板-景气指数'!$37:$242,MATCH('面板-总览'!$A31,'面板-景气指数'!$A$37:$A$242,0),MATCH('面板-总览'!B$2,'面板-景气指数'!$36:$36,0))</f>
        <v>0.41207137815387207</v>
      </c>
      <c r="C31" s="6">
        <f>INDEX('面板-景气指数'!$37:$242,MATCH('面板-总览'!$A31,'面板-景气指数'!$A$37:$A$242,0),MATCH('面板-总览'!C$2,'面板-景气指数'!$36:$36,0))</f>
        <v>0.46042552701507378</v>
      </c>
      <c r="D31" s="6">
        <f>INDEX('面板-景气指数'!$37:$242,MATCH('面板-总览'!$A31,'面板-景气指数'!$A$37:$A$242,0),MATCH('面板-总览'!D$2,'面板-景气指数'!$36:$36,0))</f>
        <v>0.38262417420075256</v>
      </c>
      <c r="E31" s="6">
        <f>INDEX('面板-景气指数'!$37:$242,MATCH('面板-总览'!$A31,'面板-景气指数'!$A$37:$A$242,0),MATCH('面板-总览'!E$2,'面板-景气指数'!$36:$36,0))</f>
        <v>0.35709205619388151</v>
      </c>
      <c r="F31" s="6">
        <f>INDEX('面板-景气指数'!$37:$242,MATCH('面板-总览'!$A31,'面板-景气指数'!$A$37:$A$242,0),MATCH('面板-总览'!F$2,'面板-景气指数'!$36:$36,0))</f>
        <v>0.35800350630364064</v>
      </c>
      <c r="G31" s="6">
        <f>INDEX('面板-景气指数'!$37:$242,MATCH('面板-总览'!$A31,'面板-景气指数'!$A$37:$A$242,0),MATCH('面板-总览'!G$2,'面板-景气指数'!$36:$36,0))</f>
        <v>0.38628423484013041</v>
      </c>
      <c r="H31" s="6">
        <f>INDEX('面板-景气指数'!$37:$242,MATCH('面板-总览'!$A31,'面板-景气指数'!$A$37:$A$242,0),MATCH('面板-总览'!H$2,'面板-景气指数'!$36:$36,0))</f>
        <v>0.43392559809476622</v>
      </c>
      <c r="I31" s="6">
        <f>INDEX('面板-景气指数'!$37:$242,MATCH('面板-总览'!$A31,'面板-景气指数'!$A$37:$A$242,0),MATCH('面板-总览'!I$2,'面板-景气指数'!$36:$36,0))</f>
        <v>0.50066672259317013</v>
      </c>
      <c r="J31" s="6">
        <f>INDEX('面板-景气指数'!$37:$242,MATCH('面板-总览'!$A31,'面板-景气指数'!$A$37:$A$242,0),MATCH('面板-总览'!J$2,'面板-景气指数'!$36:$36,0))</f>
        <v>0.48188170047479034</v>
      </c>
      <c r="K31" s="6">
        <f>INDEX('面板-景气指数'!$37:$242,MATCH('面板-总览'!$A31,'面板-景气指数'!$A$37:$A$242,0),MATCH('面板-总览'!K$2,'面板-景气指数'!$36:$36,0))</f>
        <v>0.50675404566578808</v>
      </c>
      <c r="L31" s="6">
        <f>INDEX('面板-景气指数'!$37:$242,MATCH('面板-总览'!$A31,'面板-景气指数'!$A$37:$A$242,0),MATCH('面板-总览'!L$2,'面板-景气指数'!$36:$36,0))</f>
        <v>0.53017308999159607</v>
      </c>
      <c r="M31" s="6">
        <f>INDEX('面板-景气指数'!$37:$242,MATCH('面板-总览'!$A31,'面板-景气指数'!$A$37:$A$242,0),MATCH('面板-总览'!M$2,'面板-景气指数'!$36:$36,0))</f>
        <v>0.54772000013043742</v>
      </c>
      <c r="N31" s="6">
        <f>INDEX('面板-景气指数'!$37:$242,MATCH('面板-总览'!$A31,'面板-景气指数'!$A$37:$A$242,0),MATCH('面板-总览'!N$2,'面板-景气指数'!$36:$36,0))</f>
        <v>0.54915539128618518</v>
      </c>
      <c r="P31" s="8">
        <f t="shared" si="0"/>
        <v>4.2401345620397102E-2</v>
      </c>
      <c r="R31" s="5" t="s">
        <v>90</v>
      </c>
      <c r="S31" s="6">
        <f>INDEX('面板-景气指数'!$37:$242,MATCH('面板-总览'!$R31,'面板-景气指数'!$A$37:$A$242,0),MATCH('面板-总览'!S$2,'面板-景气指数'!$36:$36,0))</f>
        <v>0.40479166666666677</v>
      </c>
      <c r="T31" s="6">
        <f>INDEX('面板-景气指数'!$37:$242,MATCH('面板-总览'!$R31,'面板-景气指数'!$A$37:$A$242,0),MATCH('面板-总览'!T$2,'面板-景气指数'!$36:$36,0))</f>
        <v>0.38600000000000001</v>
      </c>
      <c r="U31" s="6">
        <f>INDEX('面板-景气指数'!$37:$242,MATCH('面板-总览'!$R31,'面板-景气指数'!$A$37:$A$242,0),MATCH('面板-总览'!U$2,'面板-景气指数'!$36:$36,0))</f>
        <v>0.40670833333333334</v>
      </c>
      <c r="V31" s="6">
        <f>INDEX('面板-景气指数'!$37:$242,MATCH('面板-总览'!$R31,'面板-景气指数'!$A$37:$A$242,0),MATCH('面板-总览'!V$2,'面板-景气指数'!$36:$36,0))</f>
        <v>0.34625</v>
      </c>
      <c r="W31" s="6">
        <f>INDEX('面板-景气指数'!$37:$242,MATCH('面板-总览'!$R31,'面板-景气指数'!$A$37:$A$242,0),MATCH('面板-总览'!W$2,'面板-景气指数'!$36:$36,0))</f>
        <v>0.31558333333333333</v>
      </c>
      <c r="X31" s="6">
        <f>INDEX('面板-景气指数'!$37:$242,MATCH('面板-总览'!$R31,'面板-景气指数'!$A$37:$A$242,0),MATCH('面板-总览'!X$2,'面板-景气指数'!$36:$36,0))</f>
        <v>0.28237500000000004</v>
      </c>
      <c r="Y31" s="6">
        <f>INDEX('面板-景气指数'!$37:$242,MATCH('面板-总览'!$R31,'面板-景气指数'!$A$37:$A$242,0),MATCH('面板-总览'!Y$2,'面板-景气指数'!$36:$36,0))</f>
        <v>0.29091666666666671</v>
      </c>
      <c r="Z31" s="6">
        <f>INDEX('面板-景气指数'!$37:$242,MATCH('面板-总览'!$R31,'面板-景气指数'!$A$37:$A$242,0),MATCH('面板-总览'!Z$2,'面板-景气指数'!$36:$36,0))</f>
        <v>0.27820833333333334</v>
      </c>
      <c r="AA31" s="6">
        <f>INDEX('面板-景气指数'!$37:$242,MATCH('面板-总览'!$R31,'面板-景气指数'!$A$37:$A$242,0),MATCH('面板-总览'!AA$2,'面板-景气指数'!$36:$36,0))</f>
        <v>0.30041666666666661</v>
      </c>
      <c r="AB31" s="6">
        <f>INDEX('面板-景气指数'!$37:$242,MATCH('面板-总览'!$R31,'面板-景气指数'!$A$37:$A$242,0),MATCH('面板-总览'!AB$2,'面板-景气指数'!$36:$36,0))</f>
        <v>0.29829166666666668</v>
      </c>
      <c r="AC31" s="6">
        <f>INDEX('面板-景气指数'!$37:$242,MATCH('面板-总览'!$R31,'面板-景气指数'!$A$37:$A$242,0),MATCH('面板-总览'!AC$2,'面板-景气指数'!$36:$36,0))</f>
        <v>0.30016666666666669</v>
      </c>
      <c r="AD31" s="6">
        <f>INDEX('面板-景气指数'!$37:$242,MATCH('面板-总览'!$R31,'面板-景气指数'!$A$37:$A$242,0),MATCH('面板-总览'!AD$2,'面板-景气指数'!$36:$36,0))</f>
        <v>0.33179166666666671</v>
      </c>
      <c r="AE31" s="6">
        <f>INDEX('面板-景气指数'!$37:$242,MATCH('面板-总览'!$R31,'面板-景气指数'!$A$37:$A$242,0),MATCH('面板-总览'!AE$2,'面板-景气指数'!$36:$36,0))</f>
        <v>0.3349583333333333</v>
      </c>
      <c r="AF31" s="14"/>
      <c r="AG31" s="11">
        <f t="shared" si="1"/>
        <v>3.6666666666666625E-2</v>
      </c>
      <c r="AI31" s="5" t="s">
        <v>91</v>
      </c>
      <c r="AJ31" s="6">
        <f>INDEX('面板-景气指数'!$37:$242,MATCH('面板-总览'!$AI31,'面板-景气指数'!$A$37:$A$242,0),MATCH('面板-总览'!AJ$2,'面板-景气指数'!$36:$36,0))</f>
        <v>0.2545</v>
      </c>
      <c r="AK31" s="6">
        <f>INDEX('面板-景气指数'!$37:$242,MATCH('面板-总览'!$AI31,'面板-景气指数'!$A$37:$A$242,0),MATCH('面板-总览'!AK$2,'面板-景气指数'!$36:$36,0))</f>
        <v>0.23399999999999999</v>
      </c>
      <c r="AL31" s="6">
        <f>INDEX('面板-景气指数'!$37:$242,MATCH('面板-总览'!$AI31,'面板-景气指数'!$A$37:$A$242,0),MATCH('面板-总览'!AL$2,'面板-景气指数'!$36:$36,0))</f>
        <v>0.3105</v>
      </c>
      <c r="AM31" s="6">
        <f>INDEX('面板-景气指数'!$37:$242,MATCH('面板-总览'!$AI31,'面板-景气指数'!$A$37:$A$242,0),MATCH('面板-总览'!AM$2,'面板-景气指数'!$36:$36,0))</f>
        <v>0.35149999999999998</v>
      </c>
      <c r="AN31" s="6">
        <f>INDEX('面板-景气指数'!$37:$242,MATCH('面板-总览'!$AI31,'面板-景气指数'!$A$37:$A$242,0),MATCH('面板-总览'!AN$2,'面板-景气指数'!$36:$36,0))</f>
        <v>0.35149999999999998</v>
      </c>
      <c r="AO31" s="6">
        <f>INDEX('面板-景气指数'!$37:$242,MATCH('面板-总览'!$AI31,'面板-景气指数'!$A$37:$A$242,0),MATCH('面板-总览'!AO$2,'面板-景气指数'!$36:$36,0))</f>
        <v>0.34149999999999997</v>
      </c>
      <c r="AP31" s="6">
        <f>INDEX('面板-景气指数'!$37:$242,MATCH('面板-总览'!$AI31,'面板-景气指数'!$A$37:$A$242,0),MATCH('面板-总览'!AP$2,'面板-景气指数'!$36:$36,0))</f>
        <v>0.30549999999999999</v>
      </c>
      <c r="AQ31" s="6">
        <f>INDEX('面板-景气指数'!$37:$242,MATCH('面板-总览'!$AI31,'面板-景气指数'!$A$37:$A$242,0),MATCH('面板-总览'!AQ$2,'面板-景气指数'!$36:$36,0))</f>
        <v>0.32600000000000001</v>
      </c>
      <c r="AR31" s="6">
        <f>INDEX('面板-景气指数'!$37:$242,MATCH('面板-总览'!$AI31,'面板-景气指数'!$A$37:$A$242,0),MATCH('面板-总览'!AR$2,'面板-景气指数'!$36:$36,0))</f>
        <v>0.39749999999999996</v>
      </c>
      <c r="AS31" s="6">
        <f>INDEX('面板-景气指数'!$37:$242,MATCH('面板-总览'!$AI31,'面板-景气指数'!$A$37:$A$242,0),MATCH('面板-总览'!AS$2,'面板-景气指数'!$36:$36,0))</f>
        <v>0.48899999999999993</v>
      </c>
      <c r="AT31" s="6">
        <f>INDEX('面板-景气指数'!$37:$242,MATCH('面板-总览'!$AI31,'面板-景气指数'!$A$37:$A$242,0),MATCH('面板-总览'!AT$2,'面板-景气指数'!$36:$36,0))</f>
        <v>0.50450000000000006</v>
      </c>
      <c r="AU31" s="6">
        <f>INDEX('面板-景气指数'!$37:$242,MATCH('面板-总览'!$AI31,'面板-景气指数'!$A$37:$A$242,0),MATCH('面板-总览'!AU$2,'面板-景气指数'!$36:$36,0))</f>
        <v>0.30099999999999999</v>
      </c>
      <c r="AV31" s="6">
        <f>INDEX('面板-景气指数'!$37:$242,MATCH('面板-总览'!$AI31,'面板-景气指数'!$A$37:$A$242,0),MATCH('面板-总览'!AV$2,'面板-景气指数'!$36:$36,0))</f>
        <v>0.28549999999999998</v>
      </c>
      <c r="AX31" s="11">
        <f t="shared" si="2"/>
        <v>-0.20349999999999996</v>
      </c>
    </row>
    <row r="32" spans="1:50" ht="21" customHeight="1" x14ac:dyDescent="0.2">
      <c r="R32" s="5" t="s">
        <v>92</v>
      </c>
      <c r="S32" s="6">
        <f>INDEX('面板-景气指数'!$37:$242,MATCH('面板-总览'!$R32,'面板-景气指数'!$A$37:$A$242,0),MATCH('面板-总览'!S$2,'面板-景气指数'!$36:$36,0))</f>
        <v>0.35150000000000003</v>
      </c>
      <c r="T32" s="6">
        <f>INDEX('面板-景气指数'!$37:$242,MATCH('面板-总览'!$R32,'面板-景气指数'!$A$37:$A$242,0),MATCH('面板-总览'!T$2,'面板-景气指数'!$36:$36,0))</f>
        <v>0.40250000000000002</v>
      </c>
      <c r="U32" s="6">
        <f>INDEX('面板-景气指数'!$37:$242,MATCH('面板-总览'!$R32,'面板-景气指数'!$A$37:$A$242,0),MATCH('面板-总览'!U$2,'面板-景气指数'!$36:$36,0))</f>
        <v>0.41799999999999998</v>
      </c>
      <c r="V32" s="6">
        <f>INDEX('面板-景气指数'!$37:$242,MATCH('面板-总览'!$R32,'面板-景气指数'!$A$37:$A$242,0),MATCH('面板-总览'!V$2,'面板-景气指数'!$36:$36,0))</f>
        <v>0.44350000000000001</v>
      </c>
      <c r="W32" s="6">
        <f>INDEX('面板-景气指数'!$37:$242,MATCH('面板-总览'!$R32,'面板-景气指数'!$A$37:$A$242,0),MATCH('面板-总览'!W$2,'面板-景气指数'!$36:$36,0))</f>
        <v>0.42850000000000005</v>
      </c>
      <c r="X32" s="6">
        <f>INDEX('面板-景气指数'!$37:$242,MATCH('面板-总览'!$R32,'面板-景气指数'!$A$37:$A$242,0),MATCH('面板-总览'!X$2,'面板-景气指数'!$36:$36,0))</f>
        <v>0.36649999999999999</v>
      </c>
      <c r="Y32" s="6">
        <f>INDEX('面板-景气指数'!$37:$242,MATCH('面板-总览'!$R32,'面板-景气指数'!$A$37:$A$242,0),MATCH('面板-总览'!Y$2,'面板-景气指数'!$36:$36,0))</f>
        <v>0.34150000000000003</v>
      </c>
      <c r="Z32" s="6">
        <f>INDEX('面板-景气指数'!$37:$242,MATCH('面板-总览'!$R32,'面板-景气指数'!$A$37:$A$242,0),MATCH('面板-总览'!Z$2,'面板-景气指数'!$36:$36,0))</f>
        <v>0.39750000000000002</v>
      </c>
      <c r="AA32" s="6">
        <f>INDEX('面板-景气指数'!$37:$242,MATCH('面板-总览'!$R32,'面板-景气指数'!$A$37:$A$242,0),MATCH('面板-总览'!AA$2,'面板-景气指数'!$36:$36,0))</f>
        <v>0.4995</v>
      </c>
      <c r="AB32" s="6">
        <f>INDEX('面板-景气指数'!$37:$242,MATCH('面板-总览'!$R32,'面板-景气指数'!$A$37:$A$242,0),MATCH('面板-总览'!AB$2,'面板-景气指数'!$36:$36,0))</f>
        <v>0.55049999999999999</v>
      </c>
      <c r="AC32" s="6">
        <f>INDEX('面板-景气指数'!$37:$242,MATCH('面板-总览'!$R32,'面板-景气指数'!$A$37:$A$242,0),MATCH('面板-总览'!AC$2,'面板-景气指数'!$36:$36,0))</f>
        <v>0.58599999999999997</v>
      </c>
      <c r="AD32" s="6">
        <f>INDEX('面板-景气指数'!$37:$242,MATCH('面板-总览'!$R32,'面板-景气指数'!$A$37:$A$242,0),MATCH('面板-总览'!AD$2,'面板-景气指数'!$36:$36,0))</f>
        <v>0.60650000000000004</v>
      </c>
      <c r="AE32" s="6">
        <f>INDEX('面板-景气指数'!$37:$242,MATCH('面板-总览'!$R32,'面板-景气指数'!$A$37:$A$242,0),MATCH('面板-总览'!AE$2,'面板-景气指数'!$36:$36,0))</f>
        <v>0.60650000000000004</v>
      </c>
      <c r="AG32" s="11">
        <f t="shared" si="1"/>
        <v>5.600000000000005E-2</v>
      </c>
      <c r="AI32" s="5" t="s">
        <v>93</v>
      </c>
      <c r="AJ32" s="6">
        <f>INDEX('面板-景气指数'!$37:$242,MATCH('面板-总览'!$AI32,'面板-景气指数'!$A$37:$A$242,0),MATCH('面板-总览'!AJ$2,'面板-景气指数'!$36:$36,0))</f>
        <v>0.193</v>
      </c>
      <c r="AK32" s="6">
        <f>INDEX('面板-景气指数'!$37:$242,MATCH('面板-总览'!$AI32,'面板-景气指数'!$A$37:$A$242,0),MATCH('面板-总览'!AK$2,'面板-景气指数'!$36:$36,0))</f>
        <v>0.214</v>
      </c>
      <c r="AL32" s="6">
        <f>INDEX('面板-景气指数'!$37:$242,MATCH('面板-总览'!$AI32,'面板-景气指数'!$A$37:$A$242,0),MATCH('面板-总览'!AL$2,'面板-景气指数'!$36:$36,0))</f>
        <v>0.26500000000000001</v>
      </c>
      <c r="AM32" s="6">
        <f>INDEX('面板-景气指数'!$37:$242,MATCH('面板-总览'!$AI32,'面板-景气指数'!$A$37:$A$242,0),MATCH('面板-总览'!AM$2,'面板-景气指数'!$36:$36,0))</f>
        <v>0.45900000000000007</v>
      </c>
      <c r="AN32" s="6">
        <f>INDEX('面板-景气指数'!$37:$242,MATCH('面板-总览'!$AI32,'面板-景气指数'!$A$37:$A$242,0),MATCH('面板-总览'!AN$2,'面板-景气指数'!$36:$36,0))</f>
        <v>0.71400000000000008</v>
      </c>
      <c r="AO32" s="6">
        <f>INDEX('面板-景气指数'!$37:$242,MATCH('面板-总览'!$AI32,'面板-景气指数'!$A$37:$A$242,0),MATCH('面板-总览'!AO$2,'面板-景气指数'!$36:$36,0))</f>
        <v>0.77500000000000002</v>
      </c>
      <c r="AP32" s="6">
        <f>INDEX('面板-景气指数'!$37:$242,MATCH('面板-总览'!$AI32,'面板-景气指数'!$A$37:$A$242,0),MATCH('面板-总览'!AP$2,'面板-景气指数'!$36:$36,0))</f>
        <v>0.74399999999999999</v>
      </c>
      <c r="AQ32" s="6">
        <f>INDEX('面板-景气指数'!$37:$242,MATCH('面板-总览'!$AI32,'面板-景气指数'!$A$37:$A$242,0),MATCH('面板-总览'!AQ$2,'面板-景气指数'!$36:$36,0))</f>
        <v>0.66300000000000003</v>
      </c>
      <c r="AR32" s="6">
        <f>INDEX('面板-景气指数'!$37:$242,MATCH('面板-总览'!$AI32,'面板-景气指数'!$A$37:$A$242,0),MATCH('面板-总览'!AR$2,'面板-景气指数'!$36:$36,0))</f>
        <v>0.69300000000000006</v>
      </c>
      <c r="AS32" s="6">
        <f>INDEX('面板-景气指数'!$37:$242,MATCH('面板-总览'!$AI32,'面板-景气指数'!$A$37:$A$242,0),MATCH('面板-总览'!AS$2,'面板-景气指数'!$36:$36,0))</f>
        <v>0.70399999999999996</v>
      </c>
      <c r="AT32" s="6">
        <f>INDEX('面板-景气指数'!$37:$242,MATCH('面板-总览'!$AI32,'面板-景气指数'!$A$37:$A$242,0),MATCH('面板-总览'!AT$2,'面板-景气指数'!$36:$36,0))</f>
        <v>0.72399999999999998</v>
      </c>
      <c r="AU32" s="6">
        <f>INDEX('面板-景气指数'!$37:$242,MATCH('面板-总览'!$AI32,'面板-景气指数'!$A$37:$A$242,0),MATCH('面板-总览'!AU$2,'面板-景气指数'!$36:$36,0))</f>
        <v>0.67300000000000004</v>
      </c>
      <c r="AV32" s="6">
        <f>INDEX('面板-景气指数'!$37:$242,MATCH('面板-总览'!$AI32,'面板-景气指数'!$A$37:$A$242,0),MATCH('面板-总览'!AV$2,'面板-景气指数'!$36:$36,0))</f>
        <v>0.64200000000000002</v>
      </c>
      <c r="AX32" s="11">
        <f t="shared" si="2"/>
        <v>-6.1999999999999944E-2</v>
      </c>
    </row>
    <row r="33" spans="1:50" ht="21" customHeight="1" x14ac:dyDescent="0.2">
      <c r="R33" s="5" t="s">
        <v>94</v>
      </c>
      <c r="S33" s="6">
        <f>INDEX('面板-景气指数'!$37:$242,MATCH('面板-总览'!$R33,'面板-景气指数'!$A$37:$A$242,0),MATCH('面板-总览'!S$2,'面板-景气指数'!$36:$36,0))</f>
        <v>0.62175000000000002</v>
      </c>
      <c r="T33" s="6">
        <f>INDEX('面板-景气指数'!$37:$242,MATCH('面板-总览'!$R33,'面板-景气指数'!$A$37:$A$242,0),MATCH('面板-总览'!T$2,'面板-景气指数'!$36:$36,0))</f>
        <v>0.67325000000000002</v>
      </c>
      <c r="U33" s="6">
        <f>INDEX('面板-景气指数'!$37:$242,MATCH('面板-总览'!$R33,'面板-景气指数'!$A$37:$A$242,0),MATCH('面板-总览'!U$2,'面板-景气指数'!$36:$36,0))</f>
        <v>0.69099999999999995</v>
      </c>
      <c r="V33" s="6">
        <f>INDEX('面板-景气指数'!$37:$242,MATCH('面板-总览'!$R33,'面板-景气指数'!$A$37:$A$242,0),MATCH('面板-总览'!V$2,'面板-景气指数'!$36:$36,0))</f>
        <v>0.63975000000000004</v>
      </c>
      <c r="W33" s="6">
        <f>INDEX('面板-景气指数'!$37:$242,MATCH('面板-总览'!$R33,'面板-景气指数'!$A$37:$A$242,0),MATCH('面板-总览'!W$2,'面板-景气指数'!$36:$36,0))</f>
        <v>0.64499999999999991</v>
      </c>
      <c r="X33" s="6">
        <f>INDEX('面板-景气指数'!$37:$242,MATCH('面板-总览'!$R33,'面板-景气指数'!$A$37:$A$242,0),MATCH('面板-总览'!X$2,'面板-景气指数'!$36:$36,0))</f>
        <v>0.66549999999999987</v>
      </c>
      <c r="Y33" s="6">
        <f>INDEX('面板-景气指数'!$37:$242,MATCH('面板-总览'!$R33,'面板-景气指数'!$A$37:$A$242,0),MATCH('面板-总览'!Y$2,'面板-景气指数'!$36:$36,0))</f>
        <v>0.69850000000000012</v>
      </c>
      <c r="Z33" s="6">
        <f>INDEX('面板-景气指数'!$37:$242,MATCH('面板-总览'!$R33,'面板-景气指数'!$A$37:$A$242,0),MATCH('面板-总览'!Z$2,'面板-景气指数'!$36:$36,0))</f>
        <v>0.65500000000000003</v>
      </c>
      <c r="AA33" s="6">
        <f>INDEX('面板-景气指数'!$37:$242,MATCH('面板-总览'!$R33,'面板-景气指数'!$A$37:$A$242,0),MATCH('面板-总览'!AA$2,'面板-景气指数'!$36:$36,0))</f>
        <v>0.6702499999999999</v>
      </c>
      <c r="AB33" s="6">
        <f>INDEX('面板-景气指数'!$37:$242,MATCH('面板-总览'!$R33,'面板-景气指数'!$A$37:$A$242,0),MATCH('面板-总览'!AB$2,'面板-景气指数'!$36:$36,0))</f>
        <v>0.68574999999999997</v>
      </c>
      <c r="AC33" s="6">
        <f>INDEX('面板-景气指数'!$37:$242,MATCH('面板-总览'!$R33,'面板-景气指数'!$A$37:$A$242,0),MATCH('面板-总览'!AC$2,'面板-景气指数'!$36:$36,0))</f>
        <v>0.69599999999999995</v>
      </c>
      <c r="AD33" s="6">
        <f>INDEX('面板-景气指数'!$37:$242,MATCH('面板-总览'!$R33,'面板-景气指数'!$A$37:$A$242,0),MATCH('面板-总览'!AD$2,'面板-景气指数'!$36:$36,0))</f>
        <v>0.70099999999999996</v>
      </c>
      <c r="AE33" s="6">
        <f>INDEX('面板-景气指数'!$37:$242,MATCH('面板-总览'!$R33,'面板-景气指数'!$A$37:$A$242,0),MATCH('面板-总览'!AE$2,'面板-景气指数'!$36:$36,0))</f>
        <v>0.70650000000000002</v>
      </c>
      <c r="AG33" s="11">
        <f t="shared" si="1"/>
        <v>2.0750000000000046E-2</v>
      </c>
      <c r="AI33" s="5" t="s">
        <v>95</v>
      </c>
      <c r="AJ33" s="6">
        <f>INDEX('面板-景气指数'!$37:$242,MATCH('面板-总览'!$AI33,'面板-景气指数'!$A$37:$A$242,0),MATCH('面板-总览'!AJ$2,'面板-景气指数'!$36:$36,0))</f>
        <v>0.17074999999999999</v>
      </c>
      <c r="AK33" s="6">
        <f>INDEX('面板-景气指数'!$37:$242,MATCH('面板-总览'!$AI33,'面板-景气指数'!$A$37:$A$242,0),MATCH('面板-总览'!AK$2,'面板-景气指数'!$36:$36,0))</f>
        <v>0.16499999999999998</v>
      </c>
      <c r="AL33" s="6">
        <f>INDEX('面板-景气指数'!$37:$242,MATCH('面板-总览'!$AI33,'面板-景气指数'!$A$37:$A$242,0),MATCH('面板-总览'!AL$2,'面板-景气指数'!$36:$36,0))</f>
        <v>0.19849999999999998</v>
      </c>
      <c r="AM33" s="6">
        <f>INDEX('面板-景气指数'!$37:$242,MATCH('面板-总览'!$AI33,'面板-景气指数'!$A$37:$A$242,0),MATCH('面板-总览'!AM$2,'面板-景气指数'!$36:$36,0))</f>
        <v>0.26249999999999996</v>
      </c>
      <c r="AN33" s="6">
        <f>INDEX('面板-景气指数'!$37:$242,MATCH('面板-总览'!$AI33,'面板-景气指数'!$A$37:$A$242,0),MATCH('面板-总览'!AN$2,'面板-景气指数'!$36:$36,0))</f>
        <v>0.34349999999999997</v>
      </c>
      <c r="AO33" s="6">
        <f>INDEX('面板-景气指数'!$37:$242,MATCH('面板-总览'!$AI33,'面板-景气指数'!$A$37:$A$242,0),MATCH('面板-总览'!AO$2,'面板-景气指数'!$36:$36,0))</f>
        <v>0.34375</v>
      </c>
      <c r="AP33" s="6">
        <f>INDEX('面板-景气指数'!$37:$242,MATCH('面板-总览'!$AI33,'面板-景气指数'!$A$37:$A$242,0),MATCH('面板-总览'!AP$2,'面板-景气指数'!$36:$36,0))</f>
        <v>0.40225</v>
      </c>
      <c r="AQ33" s="6">
        <f>INDEX('面板-景气指数'!$37:$242,MATCH('面板-总览'!$AI33,'面板-景气指数'!$A$37:$A$242,0),MATCH('面板-总览'!AQ$2,'面板-景气指数'!$36:$36,0))</f>
        <v>0.41774999999999995</v>
      </c>
      <c r="AR33" s="6">
        <f>INDEX('面板-景气指数'!$37:$242,MATCH('面板-总览'!$AI33,'面板-景气指数'!$A$37:$A$242,0),MATCH('面板-总览'!AR$2,'面板-景气指数'!$36:$36,0))</f>
        <v>0.48174999999999996</v>
      </c>
      <c r="AS33" s="6">
        <f>INDEX('面板-景气指数'!$37:$242,MATCH('面板-总览'!$AI33,'面板-景气指数'!$A$37:$A$242,0),MATCH('面板-总览'!AS$2,'面板-景气指数'!$36:$36,0))</f>
        <v>0.50974999999999993</v>
      </c>
      <c r="AT33" s="6">
        <f>INDEX('面板-景气指数'!$37:$242,MATCH('面板-总览'!$AI33,'面板-景气指数'!$A$37:$A$242,0),MATCH('面板-总览'!AT$2,'面板-景气指数'!$36:$36,0))</f>
        <v>0.51524999999999999</v>
      </c>
      <c r="AU33" s="6">
        <f>INDEX('面板-景气指数'!$37:$242,MATCH('面板-总览'!$AI33,'面板-景气指数'!$A$37:$A$242,0),MATCH('面板-总览'!AU$2,'面板-景气指数'!$36:$36,0))</f>
        <v>0.53749999999999998</v>
      </c>
      <c r="AV33" s="6">
        <f>INDEX('面板-景气指数'!$37:$242,MATCH('面板-总览'!$AI33,'面板-景气指数'!$A$37:$A$242,0),MATCH('面板-总览'!AV$2,'面板-景气指数'!$36:$36,0))</f>
        <v>0.54074999999999995</v>
      </c>
      <c r="AX33" s="11">
        <f t="shared" si="2"/>
        <v>3.1000000000000028E-2</v>
      </c>
    </row>
    <row r="34" spans="1:50" ht="21" customHeight="1" x14ac:dyDescent="0.2">
      <c r="R34" s="5" t="s">
        <v>96</v>
      </c>
      <c r="S34" s="6">
        <f>INDEX('面板-景气指数'!$37:$242,MATCH('面板-总览'!$R34,'面板-景气指数'!$A$37:$A$242,0),MATCH('面板-总览'!S$2,'面板-景气指数'!$36:$36,0))</f>
        <v>0.2545</v>
      </c>
      <c r="T34" s="6">
        <f>INDEX('面板-景气指数'!$37:$242,MATCH('面板-总览'!$R34,'面板-景气指数'!$A$37:$A$242,0),MATCH('面板-总览'!T$2,'面板-景气指数'!$36:$36,0))</f>
        <v>0.158</v>
      </c>
      <c r="U34" s="6">
        <f>INDEX('面板-景气指数'!$37:$242,MATCH('面板-总览'!$R34,'面板-景气指数'!$A$37:$A$242,0),MATCH('面板-总览'!U$2,'面板-景气指数'!$36:$36,0))</f>
        <v>0.13200000000000001</v>
      </c>
      <c r="V34" s="6">
        <f>INDEX('面板-景气指数'!$37:$242,MATCH('面板-总览'!$R34,'面板-景气指数'!$A$37:$A$242,0),MATCH('面板-总览'!V$2,'面板-景气指数'!$36:$36,0))</f>
        <v>0.10700000000000001</v>
      </c>
      <c r="W34" s="6">
        <f>INDEX('面板-景气指数'!$37:$242,MATCH('面板-总览'!$R34,'面板-景气指数'!$A$37:$A$242,0),MATCH('面板-总览'!W$2,'面板-景气指数'!$36:$36,0))</f>
        <v>7.1000000000000008E-2</v>
      </c>
      <c r="X34" s="6">
        <f>INDEX('面板-景气指数'!$37:$242,MATCH('面板-总览'!$R34,'面板-景气指数'!$A$37:$A$242,0),MATCH('面板-总览'!X$2,'面板-景气指数'!$36:$36,0))</f>
        <v>0.03</v>
      </c>
      <c r="Y34" s="6">
        <f>INDEX('面板-景气指数'!$37:$242,MATCH('面板-总览'!$R34,'面板-景气指数'!$A$37:$A$242,0),MATCH('面板-总览'!Y$2,'面板-景气指数'!$36:$36,0))</f>
        <v>1.4999999999999999E-2</v>
      </c>
      <c r="Z34" s="6">
        <f>INDEX('面板-景气指数'!$37:$242,MATCH('面板-总览'!$R34,'面板-景气指数'!$A$37:$A$242,0),MATCH('面板-总览'!Z$2,'面板-景气指数'!$36:$36,0))</f>
        <v>4.0499999999999994E-2</v>
      </c>
      <c r="AA34" s="6">
        <f>INDEX('面板-景气指数'!$37:$242,MATCH('面板-总览'!$R34,'面板-景气指数'!$A$37:$A$242,0),MATCH('面板-总览'!AA$2,'面板-景气指数'!$36:$36,0))</f>
        <v>4.0500000000000001E-2</v>
      </c>
      <c r="AB34" s="6">
        <f>INDEX('面板-景气指数'!$37:$242,MATCH('面板-总览'!$R34,'面板-景气指数'!$A$37:$A$242,0),MATCH('面板-总览'!AB$2,'面板-景气指数'!$36:$36,0))</f>
        <v>0.02</v>
      </c>
      <c r="AC34" s="6">
        <f>INDEX('面板-景气指数'!$37:$242,MATCH('面板-总览'!$R34,'面板-景气指数'!$A$37:$A$242,0),MATCH('面板-总览'!AC$2,'面板-景气指数'!$36:$36,0))</f>
        <v>3.549999999999999E-2</v>
      </c>
      <c r="AD34" s="6">
        <f>INDEX('面板-景气指数'!$37:$242,MATCH('面板-总览'!$R34,'面板-景气指数'!$A$37:$A$242,0),MATCH('面板-总览'!AD$2,'面板-景气指数'!$36:$36,0))</f>
        <v>6.5500000000000003E-2</v>
      </c>
      <c r="AE34" s="6">
        <f>INDEX('面板-景气指数'!$37:$242,MATCH('面板-总览'!$R34,'面板-景气指数'!$A$37:$A$242,0),MATCH('面板-总览'!AE$2,'面板-景气指数'!$36:$36,0))</f>
        <v>7.1000000000000008E-2</v>
      </c>
      <c r="AG34" s="11">
        <f t="shared" si="1"/>
        <v>5.1000000000000004E-2</v>
      </c>
      <c r="AI34" s="5" t="s">
        <v>97</v>
      </c>
      <c r="AJ34" s="6">
        <f>INDEX('面板-景气指数'!$37:$242,MATCH('面板-总览'!$AI34,'面板-景气指数'!$A$37:$A$242,0),MATCH('面板-总览'!AJ$2,'面板-景气指数'!$36:$36,0))</f>
        <v>0.36699999999999999</v>
      </c>
      <c r="AK34" s="6">
        <f>INDEX('面板-景气指数'!$37:$242,MATCH('面板-总览'!$AI34,'面板-景气指数'!$A$37:$A$242,0),MATCH('面板-总览'!AK$2,'面板-景气指数'!$36:$36,0))</f>
        <v>0.38700000000000001</v>
      </c>
      <c r="AL34" s="6">
        <f>INDEX('面板-景气指数'!$37:$242,MATCH('面板-总览'!$AI34,'面板-景气指数'!$A$37:$A$242,0),MATCH('面板-总览'!AL$2,'面板-景气指数'!$36:$36,0))</f>
        <v>0.41799999999999998</v>
      </c>
      <c r="AM34" s="6">
        <f>INDEX('面板-景气指数'!$37:$242,MATCH('面板-总览'!$AI34,'面板-景气指数'!$A$37:$A$242,0),MATCH('面板-总览'!AM$2,'面板-景气指数'!$36:$36,0))</f>
        <v>0.47899999999999998</v>
      </c>
      <c r="AN34" s="6">
        <f>INDEX('面板-景气指数'!$37:$242,MATCH('面板-总览'!$AI34,'面板-景气指数'!$A$37:$A$242,0),MATCH('面板-总览'!AN$2,'面板-景气指数'!$36:$36,0))</f>
        <v>0.52</v>
      </c>
      <c r="AO34" s="6">
        <f>INDEX('面板-景气指数'!$37:$242,MATCH('面板-总览'!$AI34,'面板-景气指数'!$A$37:$A$242,0),MATCH('面板-总览'!AO$2,'面板-景气指数'!$36:$36,0))</f>
        <v>0.54</v>
      </c>
      <c r="AP34" s="6">
        <f>INDEX('面板-景气指数'!$37:$242,MATCH('面板-总览'!$AI34,'面板-景气指数'!$A$37:$A$242,0),MATCH('面板-总览'!AP$2,'面板-景气指数'!$36:$36,0))</f>
        <v>0.55100000000000005</v>
      </c>
      <c r="AQ34" s="6">
        <f>INDEX('面板-景气指数'!$37:$242,MATCH('面板-总览'!$AI34,'面板-景气指数'!$A$37:$A$242,0),MATCH('面板-总览'!AQ$2,'面板-景气指数'!$36:$36,0))</f>
        <v>0.57099999999999995</v>
      </c>
      <c r="AR34" s="6">
        <f>INDEX('面板-景气指数'!$37:$242,MATCH('面板-总览'!$AI34,'面板-景气指数'!$A$37:$A$242,0),MATCH('面板-总览'!AR$2,'面板-景气指数'!$36:$36,0))</f>
        <v>0.59099999999999997</v>
      </c>
      <c r="AS34" s="6">
        <f>INDEX('面板-景气指数'!$37:$242,MATCH('面板-总览'!$AI34,'面板-景气指数'!$A$37:$A$242,0),MATCH('面板-总览'!AS$2,'面板-景气指数'!$36:$36,0))</f>
        <v>0.622</v>
      </c>
      <c r="AT34" s="6">
        <f>INDEX('面板-景气指数'!$37:$242,MATCH('面板-总览'!$AI34,'面板-景气指数'!$A$37:$A$242,0),MATCH('面板-总览'!AT$2,'面板-景气指数'!$36:$36,0))</f>
        <v>0.63200000000000001</v>
      </c>
      <c r="AU34" s="6">
        <f>INDEX('面板-景气指数'!$37:$242,MATCH('面板-总览'!$AI34,'面板-景气指数'!$A$37:$A$242,0),MATCH('面板-总览'!AU$2,'面板-景气指数'!$36:$36,0))</f>
        <v>0.61199999999999999</v>
      </c>
      <c r="AV34" s="6">
        <f>INDEX('面板-景气指数'!$37:$242,MATCH('面板-总览'!$AI34,'面板-景气指数'!$A$37:$A$242,0),MATCH('面板-总览'!AV$2,'面板-景气指数'!$36:$36,0))</f>
        <v>0.60199999999999998</v>
      </c>
      <c r="AX34" s="11">
        <f t="shared" si="2"/>
        <v>-2.0000000000000018E-2</v>
      </c>
    </row>
    <row r="35" spans="1:50" ht="21" customHeight="1" x14ac:dyDescent="0.2">
      <c r="R35" s="5" t="s">
        <v>98</v>
      </c>
      <c r="S35" s="6">
        <f>INDEX('面板-景气指数'!$37:$242,MATCH('面板-总览'!$R35,'面板-景气指数'!$A$37:$A$242,0),MATCH('面板-总览'!S$2,'面板-景气指数'!$36:$36,0))</f>
        <v>0.14199999999999999</v>
      </c>
      <c r="T35" s="6">
        <f>INDEX('面板-景气指数'!$37:$242,MATCH('面板-总览'!$R35,'面板-景气指数'!$A$37:$A$242,0),MATCH('面板-总览'!T$2,'面板-景气指数'!$36:$36,0))</f>
        <v>0.112</v>
      </c>
      <c r="U35" s="6">
        <f>INDEX('面板-景气指数'!$37:$242,MATCH('面板-总览'!$R35,'面板-景气指数'!$A$37:$A$242,0),MATCH('面板-总览'!U$2,'面板-景气指数'!$36:$36,0))</f>
        <v>0.122</v>
      </c>
      <c r="V35" s="6">
        <f>INDEX('面板-景气指数'!$37:$242,MATCH('面板-总览'!$R35,'面板-景气指数'!$A$37:$A$242,0),MATCH('面板-总览'!V$2,'面板-景气指数'!$36:$36,0))</f>
        <v>0.13200000000000001</v>
      </c>
      <c r="W35" s="6">
        <f>INDEX('面板-景气指数'!$37:$242,MATCH('面板-总览'!$R35,'面板-景气指数'!$A$37:$A$242,0),MATCH('面板-总览'!W$2,'面板-景气指数'!$36:$36,0))</f>
        <v>0.16299999999999998</v>
      </c>
      <c r="X35" s="6">
        <f>INDEX('面板-景气指数'!$37:$242,MATCH('面板-总览'!$R35,'面板-景气指数'!$A$37:$A$242,0),MATCH('面板-总览'!X$2,'面板-景气指数'!$36:$36,0))</f>
        <v>0.214</v>
      </c>
      <c r="Y35" s="6">
        <f>INDEX('面板-景气指数'!$37:$242,MATCH('面板-总览'!$R35,'面板-景气指数'!$A$37:$A$242,0),MATCH('面板-总览'!Y$2,'面板-景气指数'!$36:$36,0))</f>
        <v>0.23400000000000001</v>
      </c>
      <c r="Z35" s="6">
        <f>INDEX('面板-景气指数'!$37:$242,MATCH('面板-总览'!$R35,'面板-景气指数'!$A$37:$A$242,0),MATCH('面板-总览'!Z$2,'面板-景气指数'!$36:$36,0))</f>
        <v>0.24399999999999999</v>
      </c>
      <c r="AA35" s="6">
        <f>INDEX('面板-景气指数'!$37:$242,MATCH('面板-总览'!$R35,'面板-景气指数'!$A$37:$A$242,0),MATCH('面板-总览'!AA$2,'面板-景气指数'!$36:$36,0))</f>
        <v>0.26500000000000001</v>
      </c>
      <c r="AB35" s="6">
        <f>INDEX('面板-景气指数'!$37:$242,MATCH('面板-总览'!$R35,'面板-景气指数'!$A$37:$A$242,0),MATCH('面板-总览'!AB$2,'面板-景气指数'!$36:$36,0))</f>
        <v>0.38700000000000001</v>
      </c>
      <c r="AC35" s="6">
        <f>INDEX('面板-景气指数'!$37:$242,MATCH('面板-总览'!$R35,'面板-景气指数'!$A$37:$A$242,0),MATCH('面板-总览'!AC$2,'面板-景气指数'!$36:$36,0))</f>
        <v>0.33600000000000002</v>
      </c>
      <c r="AD35" s="6">
        <f>INDEX('面板-景气指数'!$37:$242,MATCH('面板-总览'!$R35,'面板-景气指数'!$A$37:$A$242,0),MATCH('面板-总览'!AD$2,'面板-景气指数'!$36:$36,0))</f>
        <v>0.39700000000000002</v>
      </c>
      <c r="AE35" s="6">
        <f>INDEX('面板-景气指数'!$37:$242,MATCH('面板-总览'!$R35,'面板-景气指数'!$A$37:$A$242,0),MATCH('面板-总览'!AE$2,'面板-景气指数'!$36:$36,0))</f>
        <v>0.193</v>
      </c>
      <c r="AG35" s="11">
        <f t="shared" si="1"/>
        <v>-0.19400000000000001</v>
      </c>
      <c r="AI35" s="5" t="s">
        <v>99</v>
      </c>
      <c r="AJ35" s="6">
        <f>INDEX('面板-景气指数'!$37:$242,MATCH('面板-总览'!$AI35,'面板-景气指数'!$A$37:$A$242,0),MATCH('面板-总览'!AJ$2,'面板-景气指数'!$36:$36,0))</f>
        <v>0.30599999999999999</v>
      </c>
      <c r="AK35" s="6">
        <f>INDEX('面板-景气指数'!$37:$242,MATCH('面板-总览'!$AI35,'面板-景气指数'!$A$37:$A$242,0),MATCH('面板-总览'!AK$2,'面板-景气指数'!$36:$36,0))</f>
        <v>0.32600000000000001</v>
      </c>
      <c r="AL35" s="6">
        <f>INDEX('面板-景气指数'!$37:$242,MATCH('面板-总览'!$AI35,'面板-景气指数'!$A$37:$A$242,0),MATCH('面板-总览'!AL$2,'面板-景气指数'!$36:$36,0))</f>
        <v>0.193</v>
      </c>
      <c r="AM35" s="6">
        <f>INDEX('面板-景气指数'!$37:$242,MATCH('面板-总览'!$AI35,'面板-景气指数'!$A$37:$A$242,0),MATCH('面板-总览'!AM$2,'面板-景气指数'!$36:$36,0))</f>
        <v>0.14199999999999999</v>
      </c>
      <c r="AN35" s="6">
        <f>INDEX('面板-景气指数'!$37:$242,MATCH('面板-总览'!$AI35,'面板-景气指数'!$A$37:$A$242,0),MATCH('面板-总览'!AN$2,'面板-景气指数'!$36:$36,0))</f>
        <v>0.183</v>
      </c>
      <c r="AO35" s="6">
        <f>INDEX('面板-景气指数'!$37:$242,MATCH('面板-总览'!$AI35,'面板-景气指数'!$A$37:$A$242,0),MATCH('面板-总览'!AO$2,'面板-景气指数'!$36:$36,0))</f>
        <v>0.38700000000000001</v>
      </c>
      <c r="AP35" s="6">
        <f>INDEX('面板-景气指数'!$37:$242,MATCH('面板-总览'!$AI35,'面板-景气指数'!$A$37:$A$242,0),MATCH('面板-总览'!AP$2,'面板-景气指数'!$36:$36,0))</f>
        <v>0.45900000000000002</v>
      </c>
      <c r="AQ35" s="6">
        <f>INDEX('面板-景气指数'!$37:$242,MATCH('面板-总览'!$AI35,'面板-景气指数'!$A$37:$A$242,0),MATCH('面板-总览'!AQ$2,'面板-景气指数'!$36:$36,0))</f>
        <v>0.48899999999999999</v>
      </c>
      <c r="AR35" s="6">
        <f>INDEX('面板-景气指数'!$37:$242,MATCH('面板-总览'!$AI35,'面板-景气指数'!$A$37:$A$242,0),MATCH('面板-总览'!AR$2,'面板-景气指数'!$36:$36,0))</f>
        <v>0.42799999999999999</v>
      </c>
      <c r="AS35" s="6">
        <f>INDEX('面板-景气指数'!$37:$242,MATCH('面板-总览'!$AI35,'面板-景气指数'!$A$37:$A$242,0),MATCH('面板-总览'!AS$2,'面板-景气指数'!$36:$36,0))</f>
        <v>0.51</v>
      </c>
      <c r="AT35" s="6">
        <f>INDEX('面板-景气指数'!$37:$242,MATCH('面板-总览'!$AI35,'面板-景气指数'!$A$37:$A$242,0),MATCH('面板-总览'!AT$2,'面板-景气指数'!$36:$36,0))</f>
        <v>0.52</v>
      </c>
      <c r="AU35" s="6">
        <f>INDEX('面板-景气指数'!$37:$242,MATCH('面板-总览'!$AI35,'面板-景气指数'!$A$37:$A$242,0),MATCH('面板-总览'!AU$2,'面板-景气指数'!$36:$36,0))</f>
        <v>0.46899999999999997</v>
      </c>
      <c r="AV35" s="6">
        <f>INDEX('面板-景气指数'!$37:$242,MATCH('面板-总览'!$AI35,'面板-景气指数'!$A$37:$A$242,0),MATCH('面板-总览'!AV$2,'面板-景气指数'!$36:$36,0))</f>
        <v>0.53</v>
      </c>
      <c r="AX35" s="11">
        <f t="shared" si="2"/>
        <v>2.0000000000000018E-2</v>
      </c>
    </row>
    <row r="36" spans="1:50" ht="21" customHeight="1" x14ac:dyDescent="0.2">
      <c r="R36" s="5" t="s">
        <v>100</v>
      </c>
      <c r="S36" s="6">
        <f>INDEX('面板-景气指数'!$37:$242,MATCH('面板-总览'!$R36,'面板-景气指数'!$A$37:$A$242,0),MATCH('面板-总览'!S$2,'面板-景气指数'!$36:$36,0))</f>
        <v>0.251</v>
      </c>
      <c r="T36" s="6">
        <f>INDEX('面板-景气指数'!$37:$242,MATCH('面板-总览'!$R36,'面板-景气指数'!$A$37:$A$242,0),MATCH('面板-总览'!T$2,'面板-景气指数'!$36:$36,0))</f>
        <v>0.22857142857142859</v>
      </c>
      <c r="U36" s="6">
        <f>INDEX('面板-景气指数'!$37:$242,MATCH('面板-总览'!$R36,'面板-景气指数'!$A$37:$A$242,0),MATCH('面板-总览'!U$2,'面板-景气指数'!$36:$36,0))</f>
        <v>0.21971428571428572</v>
      </c>
      <c r="V36" s="6">
        <f>INDEX('面板-景气指数'!$37:$242,MATCH('面板-总览'!$R36,'面板-景气指数'!$A$37:$A$242,0),MATCH('面板-总览'!V$2,'面板-景气指数'!$36:$36,0))</f>
        <v>0.18864285714285714</v>
      </c>
      <c r="W36" s="6">
        <f>INDEX('面板-景气指数'!$37:$242,MATCH('面板-总览'!$R36,'面板-景气指数'!$A$37:$A$242,0),MATCH('面板-总览'!W$2,'面板-景气指数'!$36:$36,0))</f>
        <v>0.20707142857142855</v>
      </c>
      <c r="X36" s="6">
        <f>INDEX('面板-景气指数'!$37:$242,MATCH('面板-总览'!$R36,'面板-景气指数'!$A$37:$A$242,0),MATCH('面板-总览'!X$2,'面板-景气指数'!$36:$36,0))</f>
        <v>0.22664285714285715</v>
      </c>
      <c r="Y36" s="6">
        <f>INDEX('面板-景气指数'!$37:$242,MATCH('面板-总览'!$R36,'面板-景气指数'!$A$37:$A$242,0),MATCH('面板-总览'!Y$2,'面板-景气指数'!$36:$36,0))</f>
        <v>0.26664285714285718</v>
      </c>
      <c r="Z36" s="6">
        <f>INDEX('面板-景气指数'!$37:$242,MATCH('面板-总览'!$R36,'面板-景气指数'!$A$37:$A$242,0),MATCH('面板-总览'!Z$2,'面板-景气指数'!$36:$36,0))</f>
        <v>0.307</v>
      </c>
      <c r="AA36" s="6">
        <f>INDEX('面板-景气指数'!$37:$242,MATCH('面板-总览'!$R36,'面板-景气指数'!$A$37:$A$242,0),MATCH('面板-总览'!AA$2,'面板-景气指数'!$36:$36,0))</f>
        <v>0.37521428571428572</v>
      </c>
      <c r="AB36" s="6">
        <f>INDEX('面板-景气指数'!$37:$242,MATCH('面板-总览'!$R36,'面板-景气指数'!$A$37:$A$242,0),MATCH('面板-总览'!AB$2,'面板-景气指数'!$36:$36,0))</f>
        <v>0.41728571428571432</v>
      </c>
      <c r="AC36" s="6">
        <f>INDEX('面板-景气指数'!$37:$242,MATCH('面板-总览'!$R36,'面板-景气指数'!$A$37:$A$242,0),MATCH('面板-总览'!AC$2,'面板-景气指数'!$36:$36,0))</f>
        <v>0.47399999999999998</v>
      </c>
      <c r="AD36" s="6">
        <f>INDEX('面板-景气指数'!$37:$242,MATCH('面板-总览'!$R36,'面板-景气指数'!$A$37:$A$242,0),MATCH('面板-总览'!AD$2,'面板-景气指数'!$36:$36,0))</f>
        <v>0.5088571428571429</v>
      </c>
      <c r="AE36" s="6">
        <f>INDEX('面板-景气指数'!$37:$242,MATCH('面板-总览'!$R36,'面板-景气指数'!$A$37:$A$242,0),MATCH('面板-总览'!AE$2,'面板-景气指数'!$36:$36,0))</f>
        <v>0.48635714285714288</v>
      </c>
      <c r="AG36" s="11">
        <f t="shared" si="1"/>
        <v>6.9071428571428561E-2</v>
      </c>
      <c r="AI36" s="5" t="s">
        <v>101</v>
      </c>
      <c r="AJ36" s="6">
        <f>INDEX('面板-景气指数'!$37:$242,MATCH('面板-总览'!$AI36,'面板-景气指数'!$A$37:$A$242,0),MATCH('面板-总览'!AJ$2,'面板-景气指数'!$36:$36,0))</f>
        <v>0.26500000000000001</v>
      </c>
      <c r="AK36" s="6">
        <f>INDEX('面板-景气指数'!$37:$242,MATCH('面板-总览'!$AI36,'面板-景气指数'!$A$37:$A$242,0),MATCH('面板-总览'!AK$2,'面板-景气指数'!$36:$36,0))</f>
        <v>0.24399999999999999</v>
      </c>
      <c r="AL36" s="6">
        <f>INDEX('面板-景气指数'!$37:$242,MATCH('面板-总览'!$AI36,'面板-景气指数'!$A$37:$A$242,0),MATCH('面板-总览'!AL$2,'面板-景气指数'!$36:$36,0))</f>
        <v>0.32600000000000001</v>
      </c>
      <c r="AM36" s="6">
        <f>INDEX('面板-景气指数'!$37:$242,MATCH('面板-总览'!$AI36,'面板-景气指数'!$A$37:$A$242,0),MATCH('面板-总览'!AM$2,'面板-景气指数'!$36:$36,0))</f>
        <v>0.39700000000000002</v>
      </c>
      <c r="AN36" s="6">
        <f>INDEX('面板-景气指数'!$37:$242,MATCH('面板-总览'!$AI36,'面板-景气指数'!$A$37:$A$242,0),MATCH('面板-总览'!AN$2,'面板-景气指数'!$36:$36,0))</f>
        <v>0.45900000000000002</v>
      </c>
      <c r="AO36" s="6">
        <f>INDEX('面板-景气指数'!$37:$242,MATCH('面板-总览'!$AI36,'面板-景气指数'!$A$37:$A$242,0),MATCH('面板-总览'!AO$2,'面板-景气指数'!$36:$36,0))</f>
        <v>0.55100000000000005</v>
      </c>
      <c r="AP36" s="6">
        <f>INDEX('面板-景气指数'!$37:$242,MATCH('面板-总览'!$AI36,'面板-景气指数'!$A$37:$A$242,0),MATCH('面板-总览'!AP$2,'面板-景气指数'!$36:$36,0))</f>
        <v>0.69299999999999995</v>
      </c>
      <c r="AQ36" s="6">
        <f>INDEX('面板-景气指数'!$37:$242,MATCH('面板-总览'!$AI36,'面板-景气指数'!$A$37:$A$242,0),MATCH('面板-总览'!AQ$2,'面板-景气指数'!$36:$36,0))</f>
        <v>0.72399999999999998</v>
      </c>
      <c r="AR36" s="6">
        <f>INDEX('面板-景气指数'!$37:$242,MATCH('面板-总览'!$AI36,'面板-景气指数'!$A$37:$A$242,0),MATCH('面板-总览'!AR$2,'面板-景气指数'!$36:$36,0))</f>
        <v>0.71399999999999997</v>
      </c>
      <c r="AS36" s="6">
        <f>INDEX('面板-景气指数'!$37:$242,MATCH('面板-总览'!$AI36,'面板-景气指数'!$A$37:$A$242,0),MATCH('面板-总览'!AS$2,'面板-景气指数'!$36:$36,0))</f>
        <v>0.57099999999999995</v>
      </c>
      <c r="AT36" s="6">
        <f>INDEX('面板-景气指数'!$37:$242,MATCH('面板-总览'!$AI36,'面板-景气指数'!$A$37:$A$242,0),MATCH('面板-总览'!AT$2,'面板-景气指数'!$36:$36,0))</f>
        <v>0.61199999999999999</v>
      </c>
      <c r="AU36" s="6">
        <f>INDEX('面板-景气指数'!$37:$242,MATCH('面板-总览'!$AI36,'面板-景气指数'!$A$37:$A$242,0),MATCH('面板-总览'!AU$2,'面板-景气指数'!$36:$36,0))</f>
        <v>0.70399999999999996</v>
      </c>
      <c r="AV36" s="6">
        <f>INDEX('面板-景气指数'!$37:$242,MATCH('面板-总览'!$AI36,'面板-景气指数'!$A$37:$A$242,0),MATCH('面板-总览'!AV$2,'面板-景气指数'!$36:$36,0))</f>
        <v>0.78500000000000003</v>
      </c>
      <c r="AX36" s="11">
        <f t="shared" si="2"/>
        <v>0.21400000000000008</v>
      </c>
    </row>
    <row r="37" spans="1:50" ht="21" customHeight="1" x14ac:dyDescent="0.2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52"/>
      <c r="P37" s="52"/>
      <c r="R37" s="5" t="s">
        <v>102</v>
      </c>
      <c r="S37" s="6">
        <f>INDEX('面板-景气指数'!$37:$242,MATCH('面板-总览'!$R37,'面板-景气指数'!$A$37:$A$242,0),MATCH('面板-总览'!S$2,'面板-景气指数'!$36:$36,0))</f>
        <v>0.10174999999999999</v>
      </c>
      <c r="T37" s="6">
        <f>INDEX('面板-景气指数'!$37:$242,MATCH('面板-总览'!$R37,'面板-景气指数'!$A$37:$A$242,0),MATCH('面板-总览'!T$2,'面板-景气指数'!$36:$36,0))</f>
        <v>6.0500000000000005E-2</v>
      </c>
      <c r="U37" s="6">
        <f>INDEX('面板-景气指数'!$37:$242,MATCH('面板-总览'!$R37,'面板-景气指数'!$A$37:$A$242,0),MATCH('面板-总览'!U$2,'面板-景气指数'!$36:$36,0))</f>
        <v>6.0999999999999999E-2</v>
      </c>
      <c r="V37" s="6">
        <f>INDEX('面板-景气指数'!$37:$242,MATCH('面板-总览'!$R37,'面板-景气指数'!$A$37:$A$242,0),MATCH('面板-总览'!V$2,'面板-景气指数'!$36:$36,0))</f>
        <v>6.0999999999999999E-2</v>
      </c>
      <c r="W37" s="6">
        <f>INDEX('面板-景气指数'!$37:$242,MATCH('面板-总览'!$R37,'面板-景气指数'!$A$37:$A$242,0),MATCH('面板-总览'!W$2,'面板-景气指数'!$36:$36,0))</f>
        <v>7.6249999999999998E-2</v>
      </c>
      <c r="X37" s="6">
        <f>INDEX('面板-景气指数'!$37:$242,MATCH('面板-总览'!$R37,'面板-景气指数'!$A$37:$A$242,0),MATCH('面板-总览'!X$2,'面板-景气指数'!$36:$36,0))</f>
        <v>9.3750000000000014E-2</v>
      </c>
      <c r="Y37" s="6">
        <f>INDEX('面板-景气指数'!$37:$242,MATCH('面板-总览'!$R37,'面板-景气指数'!$A$37:$A$242,0),MATCH('面板-总览'!Y$2,'面板-景气指数'!$36:$36,0))</f>
        <v>0.11424999999999999</v>
      </c>
      <c r="Z37" s="6">
        <f>INDEX('面板-景气指数'!$37:$242,MATCH('面板-总览'!$R37,'面板-景气指数'!$A$37:$A$242,0),MATCH('面板-总览'!Z$2,'面板-景气指数'!$36:$36,0))</f>
        <v>0.13974999999999999</v>
      </c>
      <c r="AA37" s="6">
        <f>INDEX('面板-景气指数'!$37:$242,MATCH('面板-总览'!$R37,'面板-景气指数'!$A$37:$A$242,0),MATCH('面板-总览'!AA$2,'面板-景气指数'!$36:$36,0))</f>
        <v>0.13749999999999998</v>
      </c>
      <c r="AB37" s="6">
        <f>INDEX('面板-景气指数'!$37:$242,MATCH('面板-总览'!$R37,'面板-景气指数'!$A$37:$A$242,0),MATCH('面板-总览'!AB$2,'面板-景气指数'!$36:$36,0))</f>
        <v>0.1525</v>
      </c>
      <c r="AC37" s="6">
        <f>INDEX('面板-景气指数'!$37:$242,MATCH('面板-总览'!$R37,'面板-景气指数'!$A$37:$A$242,0),MATCH('面板-总览'!AC$2,'面板-景气指数'!$36:$36,0))</f>
        <v>0.17324999999999999</v>
      </c>
      <c r="AD37" s="6">
        <f>INDEX('面板-景气指数'!$37:$242,MATCH('面板-总览'!$R37,'面板-景气指数'!$A$37:$A$242,0),MATCH('面板-总览'!AD$2,'面板-景气指数'!$36:$36,0))</f>
        <v>0.28299999999999997</v>
      </c>
      <c r="AE37" s="6">
        <f>INDEX('面板-景气指数'!$37:$242,MATCH('面板-总览'!$R37,'面板-景气指数'!$A$37:$A$242,0),MATCH('面板-总览'!AE$2,'面板-景气指数'!$36:$36,0))</f>
        <v>0.28299999999999997</v>
      </c>
      <c r="AG37" s="11">
        <f t="shared" si="1"/>
        <v>0.13049999999999998</v>
      </c>
      <c r="AI37" s="5" t="s">
        <v>103</v>
      </c>
      <c r="AJ37" s="6">
        <f>INDEX('面板-景气指数'!$37:$242,MATCH('面板-总览'!$AI37,'面板-景气指数'!$A$37:$A$242,0),MATCH('面板-总览'!AJ$2,'面板-景气指数'!$36:$36,0))</f>
        <v>0.95900000000000007</v>
      </c>
      <c r="AK37" s="6">
        <f>INDEX('面板-景气指数'!$37:$242,MATCH('面板-总览'!$AI37,'面板-景气指数'!$A$37:$A$242,0),MATCH('面板-总览'!AK$2,'面板-景气指数'!$36:$36,0))</f>
        <v>0.96899999999999986</v>
      </c>
      <c r="AL37" s="6">
        <f>INDEX('面板-景气指数'!$37:$242,MATCH('面板-总览'!$AI37,'面板-景气指数'!$A$37:$A$242,0),MATCH('面板-总览'!AL$2,'面板-景气指数'!$36:$36,0))</f>
        <v>0.94800000000000006</v>
      </c>
      <c r="AM37" s="6">
        <f>INDEX('面板-景气指数'!$37:$242,MATCH('面板-总览'!$AI37,'面板-景气指数'!$A$37:$A$242,0),MATCH('面板-总览'!AM$2,'面板-景气指数'!$36:$36,0))</f>
        <v>0.77500000000000002</v>
      </c>
      <c r="AN37" s="6">
        <f>INDEX('面板-景气指数'!$37:$242,MATCH('面板-总览'!$AI37,'面板-景气指数'!$A$37:$A$242,0),MATCH('面板-总览'!AN$2,'面板-景气指数'!$36:$36,0))</f>
        <v>0.85699999999999998</v>
      </c>
      <c r="AO37" s="6">
        <f>INDEX('面板-景气指数'!$37:$242,MATCH('面板-总览'!$AI37,'面板-景气指数'!$A$37:$A$242,0),MATCH('面板-总览'!AO$2,'面板-景气指数'!$36:$36,0))</f>
        <v>0.93799999999999994</v>
      </c>
      <c r="AP37" s="6">
        <f>INDEX('面板-景气指数'!$37:$242,MATCH('面板-总览'!$AI37,'面板-景气指数'!$A$37:$A$242,0),MATCH('面板-总览'!AP$2,'面板-景气指数'!$36:$36,0))</f>
        <v>1</v>
      </c>
      <c r="AQ37" s="6">
        <f>INDEX('面板-景气指数'!$37:$242,MATCH('面板-总览'!$AI37,'面板-景气指数'!$A$37:$A$242,0),MATCH('面板-总览'!AQ$2,'面板-景气指数'!$36:$36,0))</f>
        <v>0.97899999999999998</v>
      </c>
      <c r="AR37" s="6">
        <f>INDEX('面板-景气指数'!$37:$242,MATCH('面板-总览'!$AI37,'面板-景气指数'!$A$37:$A$242,0),MATCH('面板-总览'!AR$2,'面板-景气指数'!$36:$36,0))</f>
        <v>0.91800000000000004</v>
      </c>
      <c r="AS37" s="6">
        <f>INDEX('面板-景气指数'!$37:$242,MATCH('面板-总览'!$AI37,'面板-景气指数'!$A$37:$A$242,0),MATCH('面板-总览'!AS$2,'面板-景气指数'!$36:$36,0))</f>
        <v>0.90800000000000003</v>
      </c>
      <c r="AT37" s="6">
        <f>INDEX('面板-景气指数'!$37:$242,MATCH('面板-总览'!$AI37,'面板-景气指数'!$A$37:$A$242,0),MATCH('面板-总览'!AT$2,'面板-景气指数'!$36:$36,0))</f>
        <v>0.86699999999999999</v>
      </c>
      <c r="AU37" s="6">
        <f>INDEX('面板-景气指数'!$37:$242,MATCH('面板-总览'!$AI37,'面板-景气指数'!$A$37:$A$242,0),MATCH('面板-总览'!AU$2,'面板-景气指数'!$36:$36,0))</f>
        <v>0.87700000000000011</v>
      </c>
      <c r="AV37" s="6">
        <f>INDEX('面板-景气指数'!$37:$242,MATCH('面板-总览'!$AI37,'面板-景气指数'!$A$37:$A$242,0),MATCH('面板-总览'!AV$2,'面板-景气指数'!$36:$36,0))</f>
        <v>0.81600000000000006</v>
      </c>
      <c r="AX37" s="11">
        <f t="shared" si="2"/>
        <v>-9.1999999999999971E-2</v>
      </c>
    </row>
    <row r="38" spans="1:50" ht="21" customHeight="1" x14ac:dyDescent="0.2">
      <c r="R38" s="5" t="s">
        <v>104</v>
      </c>
      <c r="S38" s="6">
        <f>INDEX('面板-景气指数'!$37:$242,MATCH('面板-总览'!$R38,'面板-景气指数'!$A$37:$A$242,0),MATCH('面板-总览'!S$2,'面板-景气指数'!$36:$36,0))</f>
        <v>0.13799999999999996</v>
      </c>
      <c r="T38" s="6">
        <f>INDEX('面板-景气指数'!$37:$242,MATCH('面板-总览'!$R38,'面板-景气指数'!$A$37:$A$242,0),MATCH('面板-总览'!T$2,'面板-景气指数'!$36:$36,0))</f>
        <v>0.18559999999999999</v>
      </c>
      <c r="U38" s="6">
        <f>INDEX('面板-景气指数'!$37:$242,MATCH('面板-总览'!$R38,'面板-景气指数'!$A$37:$A$242,0),MATCH('面板-总览'!U$2,'面板-景气指数'!$36:$36,0))</f>
        <v>0.27189999999999998</v>
      </c>
      <c r="V38" s="6">
        <f>INDEX('面板-景气指数'!$37:$242,MATCH('面板-总览'!$R38,'面板-景气指数'!$A$37:$A$242,0),MATCH('面板-总览'!V$2,'面板-景气指数'!$36:$36,0))</f>
        <v>0.3332</v>
      </c>
      <c r="W38" s="6">
        <f>INDEX('面板-景气指数'!$37:$242,MATCH('面板-总览'!$R38,'面板-景气指数'!$A$37:$A$242,0),MATCH('面板-总览'!W$2,'面板-景气指数'!$36:$36,0))</f>
        <v>0.44369999999999993</v>
      </c>
      <c r="X38" s="6">
        <f>INDEX('面板-景气指数'!$37:$242,MATCH('面板-总览'!$R38,'面板-景气指数'!$A$37:$A$242,0),MATCH('面板-总览'!X$2,'面板-景气指数'!$36:$36,0))</f>
        <v>0.5089999999999999</v>
      </c>
      <c r="Y38" s="6">
        <f>INDEX('面板-景气指数'!$37:$242,MATCH('面板-总览'!$R38,'面板-景气指数'!$A$37:$A$242,0),MATCH('面板-总览'!Y$2,'面板-景气指数'!$36:$36,0))</f>
        <v>0.51039999999999996</v>
      </c>
      <c r="Z38" s="6">
        <f>INDEX('面板-景气指数'!$37:$242,MATCH('面板-总览'!$R38,'面板-景气指数'!$A$37:$A$242,0),MATCH('面板-总览'!Z$2,'面板-景气指数'!$36:$36,0))</f>
        <v>0.48400000000000004</v>
      </c>
      <c r="AA38" s="6">
        <f>INDEX('面板-景气指数'!$37:$242,MATCH('面板-总览'!$R38,'面板-景气指数'!$A$37:$A$242,0),MATCH('面板-总览'!AA$2,'面板-景气指数'!$36:$36,0))</f>
        <v>0.45339999999999991</v>
      </c>
      <c r="AB38" s="6">
        <f>INDEX('面板-景气指数'!$37:$242,MATCH('面板-总览'!$R38,'面板-景气指数'!$A$37:$A$242,0),MATCH('面板-总览'!AB$2,'面板-景气指数'!$36:$36,0))</f>
        <v>0.44509999999999988</v>
      </c>
      <c r="AC38" s="6">
        <f>INDEX('面板-景气指数'!$37:$242,MATCH('面板-总览'!$R38,'面板-景气指数'!$A$37:$A$242,0),MATCH('面板-总览'!AC$2,'面板-景气指数'!$36:$36,0))</f>
        <v>0.45169999999999988</v>
      </c>
      <c r="AD38" s="6">
        <f>INDEX('面板-景气指数'!$37:$242,MATCH('面板-总览'!$R38,'面板-景气指数'!$A$37:$A$242,0),MATCH('面板-总览'!AD$2,'面板-景气指数'!$36:$36,0))</f>
        <v>0.48019999999999979</v>
      </c>
      <c r="AE38" s="6">
        <f>INDEX('面板-景气指数'!$37:$242,MATCH('面板-总览'!$R38,'面板-景气指数'!$A$37:$A$242,0),MATCH('面板-总览'!AE$2,'面板-景气指数'!$36:$36,0))</f>
        <v>0.47959999999999992</v>
      </c>
      <c r="AG38" s="11">
        <f t="shared" si="1"/>
        <v>3.4500000000000031E-2</v>
      </c>
      <c r="AI38" s="5" t="s">
        <v>105</v>
      </c>
      <c r="AJ38" s="6">
        <f>INDEX('面板-景气指数'!$37:$242,MATCH('面板-总览'!$AI38,'面板-景气指数'!$A$37:$A$242,0),MATCH('面板-总览'!AJ$2,'面板-景气指数'!$36:$36,0))</f>
        <v>0.358875</v>
      </c>
      <c r="AK38" s="6">
        <f>INDEX('面板-景气指数'!$37:$242,MATCH('面板-总览'!$AI38,'面板-景气指数'!$A$37:$A$242,0),MATCH('面板-总览'!AK$2,'面板-景气指数'!$36:$36,0))</f>
        <v>0.1135</v>
      </c>
      <c r="AL38" s="6">
        <f>INDEX('面板-景气指数'!$37:$242,MATCH('面板-总览'!$AI38,'面板-景气指数'!$A$37:$A$242,0),MATCH('面板-总览'!AL$2,'面板-景气指数'!$36:$36,0))</f>
        <v>6.25E-2</v>
      </c>
      <c r="AM38" s="6">
        <f>INDEX('面板-景气指数'!$37:$242,MATCH('面板-总览'!$AI38,'面板-景气指数'!$A$37:$A$242,0),MATCH('面板-总览'!AM$2,'面板-景气指数'!$36:$36,0))</f>
        <v>0.19337500000000002</v>
      </c>
      <c r="AN38" s="6">
        <f>INDEX('面板-景气指数'!$37:$242,MATCH('面板-总览'!$AI38,'面板-景气指数'!$A$37:$A$242,0),MATCH('面板-总览'!AN$2,'面板-景气指数'!$36:$36,0))</f>
        <v>0.45075000000000004</v>
      </c>
      <c r="AO38" s="6">
        <f>INDEX('面板-景气指数'!$37:$242,MATCH('面板-总览'!$AI38,'面板-景气指数'!$A$37:$A$242,0),MATCH('面板-总览'!AO$2,'面板-景气指数'!$36:$36,0))</f>
        <v>0.543875</v>
      </c>
      <c r="AP38" s="6">
        <f>INDEX('面板-景气指数'!$37:$242,MATCH('面板-总览'!$AI38,'面板-景气指数'!$A$37:$A$242,0),MATCH('面板-总览'!AP$2,'面板-景气指数'!$36:$36,0))</f>
        <v>0.53</v>
      </c>
      <c r="AQ38" s="6">
        <f>INDEX('面板-景气指数'!$37:$242,MATCH('面板-总览'!$AI38,'面板-景气指数'!$A$37:$A$242,0),MATCH('面板-总览'!AQ$2,'面板-景气指数'!$36:$36,0))</f>
        <v>0.43312500000000009</v>
      </c>
      <c r="AR38" s="6">
        <f>INDEX('面板-景气指数'!$37:$242,MATCH('面板-总览'!$AI38,'面板-景气指数'!$A$37:$A$242,0),MATCH('面板-总览'!AR$2,'面板-景气指数'!$36:$36,0))</f>
        <v>0.39099999999999996</v>
      </c>
      <c r="AS38" s="6">
        <f>INDEX('面板-景气指数'!$37:$242,MATCH('面板-总览'!$AI38,'面板-景气指数'!$A$37:$A$242,0),MATCH('面板-总览'!AS$2,'面板-景气指数'!$36:$36,0))</f>
        <v>0.24812499999999996</v>
      </c>
      <c r="AT38" s="6">
        <f>INDEX('面板-景气指数'!$37:$242,MATCH('面板-总览'!$AI38,'面板-景气指数'!$A$37:$A$242,0),MATCH('面板-总览'!AT$2,'面板-景气指数'!$36:$36,0))</f>
        <v>0.18562500000000001</v>
      </c>
      <c r="AU38" s="6">
        <f>INDEX('面板-景气指数'!$37:$242,MATCH('面板-总览'!$AI38,'面板-景气指数'!$A$37:$A$242,0),MATCH('面板-总览'!AU$2,'面板-景气指数'!$36:$36,0))</f>
        <v>0.109375</v>
      </c>
      <c r="AV38" s="6">
        <f>INDEX('面板-景气指数'!$37:$242,MATCH('面板-总览'!$AI38,'面板-景气指数'!$A$37:$A$242,0),MATCH('面板-总览'!AV$2,'面板-景气指数'!$36:$36,0))</f>
        <v>0.13700000000000001</v>
      </c>
      <c r="AX38" s="11">
        <f t="shared" si="2"/>
        <v>-0.11112499999999995</v>
      </c>
    </row>
    <row r="39" spans="1:50" ht="21" customHeight="1" x14ac:dyDescent="0.2">
      <c r="R39" s="5" t="s">
        <v>106</v>
      </c>
      <c r="S39" s="6">
        <f>INDEX('面板-景气指数'!$37:$242,MATCH('面板-总览'!$R39,'面板-景气指数'!$A$37:$A$242,0),MATCH('面板-总览'!S$2,'面板-景气指数'!$36:$36,0))</f>
        <v>0.26418181818181802</v>
      </c>
      <c r="T39" s="6">
        <f>INDEX('面板-景气指数'!$37:$242,MATCH('面板-总览'!$R39,'面板-景气指数'!$A$37:$A$242,0),MATCH('面板-总览'!T$2,'面板-景气指数'!$36:$36,0))</f>
        <v>0.25536363636363624</v>
      </c>
      <c r="U39" s="6">
        <f>INDEX('面板-景气指数'!$37:$242,MATCH('面板-总览'!$R39,'面板-景气指数'!$A$37:$A$242,0),MATCH('面板-总览'!U$2,'面板-景气指数'!$36:$36,0))</f>
        <v>0.24218181818181805</v>
      </c>
      <c r="V39" s="6">
        <f>INDEX('面板-景气指数'!$37:$242,MATCH('面板-总览'!$R39,'面板-景气指数'!$A$37:$A$242,0),MATCH('面板-总览'!V$2,'面板-景气指数'!$36:$36,0))</f>
        <v>0.21172727272727263</v>
      </c>
      <c r="W39" s="6">
        <f>INDEX('面板-景气指数'!$37:$242,MATCH('面板-总览'!$R39,'面板-景气指数'!$A$37:$A$242,0),MATCH('面板-总览'!W$2,'面板-景气指数'!$36:$36,0))</f>
        <v>0.17372727272727262</v>
      </c>
      <c r="X39" s="6">
        <f>INDEX('面板-景气指数'!$37:$242,MATCH('面板-总览'!$R39,'面板-景气指数'!$A$37:$A$242,0),MATCH('面板-总览'!X$2,'面板-景气指数'!$36:$36,0))</f>
        <v>0.27563636363636346</v>
      </c>
      <c r="Y39" s="6">
        <f>INDEX('面板-景气指数'!$37:$242,MATCH('面板-总览'!$R39,'面板-景气指数'!$A$37:$A$242,0),MATCH('面板-总览'!Y$2,'面板-景气指数'!$36:$36,0))</f>
        <v>0.28781818181818164</v>
      </c>
      <c r="Z39" s="6">
        <f>INDEX('面板-景气指数'!$37:$242,MATCH('面板-总览'!$R39,'面板-景气指数'!$A$37:$A$242,0),MATCH('面板-总览'!Z$2,'面板-景气指数'!$36:$36,0))</f>
        <v>0.33372727272727254</v>
      </c>
      <c r="AA39" s="6">
        <f>INDEX('面板-景气指数'!$37:$242,MATCH('面板-总览'!$R39,'面板-景气指数'!$A$37:$A$242,0),MATCH('面板-总览'!AA$2,'面板-景气指数'!$36:$36,0))</f>
        <v>0.39527272727272711</v>
      </c>
      <c r="AB39" s="6">
        <f>INDEX('面板-景气指数'!$37:$242,MATCH('面板-总览'!$R39,'面板-景气指数'!$A$37:$A$242,0),MATCH('面板-总览'!AB$2,'面板-景气指数'!$36:$36,0))</f>
        <v>0.49454545454545451</v>
      </c>
      <c r="AC39" s="6">
        <f>INDEX('面板-景气指数'!$37:$242,MATCH('面板-总览'!$R39,'面板-景气指数'!$A$37:$A$242,0),MATCH('面板-总览'!AC$2,'面板-景气指数'!$36:$36,0))</f>
        <v>0.53881818181818175</v>
      </c>
      <c r="AD39" s="6">
        <f>INDEX('面板-景气指数'!$37:$242,MATCH('面板-总览'!$R39,'面板-景气指数'!$A$37:$A$242,0),MATCH('面板-总览'!AD$2,'面板-景气指数'!$36:$36,0))</f>
        <v>0.59345454545454546</v>
      </c>
      <c r="AE39" s="6">
        <f>INDEX('面板-景气指数'!$37:$242,MATCH('面板-总览'!$R39,'面板-景气指数'!$A$37:$A$242,0),MATCH('面板-总览'!AE$2,'面板-景气指数'!$36:$36,0))</f>
        <v>0.60127272727272729</v>
      </c>
      <c r="AG39" s="11">
        <f t="shared" si="1"/>
        <v>0.10672727272727278</v>
      </c>
      <c r="AI39" s="5" t="s">
        <v>107</v>
      </c>
      <c r="AJ39" s="6">
        <f>INDEX('面板-景气指数'!$37:$242,MATCH('面板-总览'!$AI39,'面板-景气指数'!$A$37:$A$242,0),MATCH('面板-总览'!AJ$2,'面板-景气指数'!$36:$36,0))</f>
        <v>0.39750000000000002</v>
      </c>
      <c r="AK39" s="6">
        <f>INDEX('面板-景气指数'!$37:$242,MATCH('面板-总览'!$AI39,'面板-景气指数'!$A$37:$A$242,0),MATCH('面板-总览'!AK$2,'面板-景气指数'!$36:$36,0))</f>
        <v>3.5499999999999997E-2</v>
      </c>
      <c r="AL39" s="6">
        <f>INDEX('面板-景气指数'!$37:$242,MATCH('面板-总览'!$AI39,'面板-景气指数'!$A$37:$A$242,0),MATCH('面板-总览'!AL$2,'面板-景气指数'!$36:$36,0))</f>
        <v>9.9999999999999985E-3</v>
      </c>
      <c r="AM39" s="6">
        <f>INDEX('面板-景气指数'!$37:$242,MATCH('面板-总览'!$AI39,'面板-景气指数'!$A$37:$A$242,0),MATCH('面板-总览'!AM$2,'面板-景气指数'!$36:$36,0))</f>
        <v>0</v>
      </c>
      <c r="AN39" s="6">
        <f>INDEX('面板-景气指数'!$37:$242,MATCH('面板-总览'!$AI39,'面板-景气指数'!$A$37:$A$242,0),MATCH('面板-总览'!AN$2,'面板-景气指数'!$36:$36,0))</f>
        <v>6.0999999999999992E-2</v>
      </c>
      <c r="AO39" s="6">
        <f>INDEX('面板-景气指数'!$37:$242,MATCH('面板-总览'!$AI39,'面板-景气指数'!$A$37:$A$242,0),MATCH('面板-总览'!AO$2,'面板-景气指数'!$36:$36,0))</f>
        <v>0.28999999999999998</v>
      </c>
      <c r="AP39" s="6">
        <f>INDEX('面板-景气指数'!$37:$242,MATCH('面板-总览'!$AI39,'面板-景气指数'!$A$37:$A$242,0),MATCH('面板-总览'!AP$2,'面板-景气指数'!$36:$36,0))</f>
        <v>0.58649999999999991</v>
      </c>
      <c r="AQ39" s="6">
        <f>INDEX('面板-景气指数'!$37:$242,MATCH('面板-总览'!$AI39,'面板-景气指数'!$A$37:$A$242,0),MATCH('面板-总览'!AQ$2,'面板-景气指数'!$36:$36,0))</f>
        <v>0.61699999999999999</v>
      </c>
      <c r="AR39" s="6">
        <f>INDEX('面板-景气指数'!$37:$242,MATCH('面板-总览'!$AI39,'面板-景气指数'!$A$37:$A$242,0),MATCH('面板-总览'!AR$2,'面板-景气指数'!$36:$36,0))</f>
        <v>0.68300000000000005</v>
      </c>
      <c r="AS39" s="6">
        <f>INDEX('面板-景气指数'!$37:$242,MATCH('面板-总览'!$AI39,'面板-景气指数'!$A$37:$A$242,0),MATCH('面板-总览'!AS$2,'面板-景气指数'!$36:$36,0))</f>
        <v>0.64750000000000008</v>
      </c>
      <c r="AT39" s="6">
        <f>INDEX('面板-景气指数'!$37:$242,MATCH('面板-总览'!$AI39,'面板-景气指数'!$A$37:$A$242,0),MATCH('面板-总览'!AT$2,'面板-景气指数'!$36:$36,0))</f>
        <v>0.57099999999999995</v>
      </c>
      <c r="AU39" s="6">
        <f>INDEX('面板-景气指数'!$37:$242,MATCH('面板-总览'!$AI39,'面板-景气指数'!$A$37:$A$242,0),MATCH('面板-总览'!AU$2,'面板-景气指数'!$36:$36,0))</f>
        <v>0.33099999999999996</v>
      </c>
      <c r="AV39" s="6">
        <f>INDEX('面板-景气指数'!$37:$242,MATCH('面板-总览'!$AI39,'面板-景气指数'!$A$37:$A$242,0),MATCH('面板-总览'!AV$2,'面板-景气指数'!$36:$36,0))</f>
        <v>0.316</v>
      </c>
      <c r="AX39" s="11">
        <f t="shared" si="2"/>
        <v>-0.33150000000000007</v>
      </c>
    </row>
    <row r="40" spans="1:50" ht="21" customHeight="1" x14ac:dyDescent="0.2">
      <c r="R40" s="5" t="s">
        <v>108</v>
      </c>
      <c r="S40" s="6">
        <f>INDEX('面板-景气指数'!$37:$242,MATCH('面板-总览'!$R40,'面板-景气指数'!$A$37:$A$242,0),MATCH('面板-总览'!S$2,'面板-景气指数'!$36:$36,0))</f>
        <v>1.7500000000000005E-2</v>
      </c>
      <c r="T40" s="6">
        <f>INDEX('面板-景气指数'!$37:$242,MATCH('面板-总览'!$R40,'面板-景气指数'!$A$37:$A$242,0),MATCH('面板-总览'!T$2,'面板-景气指数'!$36:$36,0))</f>
        <v>1.2499999999999997E-2</v>
      </c>
      <c r="U40" s="6">
        <f>INDEX('面板-景气指数'!$37:$242,MATCH('面板-总览'!$R40,'面板-景气指数'!$A$37:$A$242,0),MATCH('面板-总览'!U$2,'面板-景气指数'!$36:$36,0))</f>
        <v>6.0750000000000019E-2</v>
      </c>
      <c r="V40" s="6">
        <f>INDEX('面板-景气指数'!$37:$242,MATCH('面板-总览'!$R40,'面板-景气指数'!$A$37:$A$242,0),MATCH('面板-总览'!V$2,'面板-景气指数'!$36:$36,0))</f>
        <v>4.8250000000000001E-2</v>
      </c>
      <c r="W40" s="6">
        <f>INDEX('面板-景气指数'!$37:$242,MATCH('面板-总览'!$R40,'面板-景气指数'!$A$37:$A$242,0),MATCH('面板-总览'!W$2,'面板-景气指数'!$36:$36,0))</f>
        <v>4.2749999999999996E-2</v>
      </c>
      <c r="X40" s="6">
        <f>INDEX('面板-景气指数'!$37:$242,MATCH('面板-总览'!$R40,'面板-景气指数'!$A$37:$A$242,0),MATCH('面板-总览'!X$2,'面板-景气指数'!$36:$36,0))</f>
        <v>3.7749999999999992E-2</v>
      </c>
      <c r="Y40" s="6">
        <f>INDEX('面板-景气指数'!$37:$242,MATCH('面板-总览'!$R40,'面板-景气指数'!$A$37:$A$242,0),MATCH('面板-总览'!Y$2,'面板-景气指数'!$36:$36,0))</f>
        <v>6.6000000000000003E-2</v>
      </c>
      <c r="Z40" s="6">
        <f>INDEX('面板-景气指数'!$37:$242,MATCH('面板-总览'!$R40,'面板-景气指数'!$A$37:$A$242,0),MATCH('面板-总览'!Z$2,'面板-景气指数'!$36:$36,0))</f>
        <v>7.6000000000000012E-2</v>
      </c>
      <c r="AA40" s="6">
        <f>INDEX('面板-景气指数'!$37:$242,MATCH('面板-总览'!$R40,'面板-景气指数'!$A$37:$A$242,0),MATCH('面板-总览'!AA$2,'面板-景气指数'!$36:$36,0))</f>
        <v>9.0999999999999998E-2</v>
      </c>
      <c r="AB40" s="6">
        <f>INDEX('面板-景气指数'!$37:$242,MATCH('面板-总览'!$R40,'面板-景气指数'!$A$37:$A$242,0),MATCH('面板-总览'!AB$2,'面板-景气指数'!$36:$36,0))</f>
        <v>0.10200000000000001</v>
      </c>
      <c r="AC40" s="6">
        <f>INDEX('面板-景气指数'!$37:$242,MATCH('面板-总览'!$R40,'面板-景气指数'!$A$37:$A$242,0),MATCH('面板-总览'!AC$2,'面板-景气指数'!$36:$36,0))</f>
        <v>0.1145</v>
      </c>
      <c r="AD40" s="6">
        <f>INDEX('面板-景气指数'!$37:$242,MATCH('面板-总览'!$R40,'面板-景气指数'!$A$37:$A$242,0),MATCH('面板-总览'!AD$2,'面板-景气指数'!$36:$36,0))</f>
        <v>0.11700000000000001</v>
      </c>
      <c r="AE40" s="6">
        <f>INDEX('面板-景气指数'!$37:$242,MATCH('面板-总览'!$R40,'面板-景气指数'!$A$37:$A$242,0),MATCH('面板-总览'!AE$2,'面板-景气指数'!$36:$36,0))</f>
        <v>0.11700000000000001</v>
      </c>
      <c r="AG40" s="11">
        <f t="shared" si="1"/>
        <v>1.4999999999999999E-2</v>
      </c>
      <c r="AI40" s="5" t="s">
        <v>109</v>
      </c>
      <c r="AJ40" s="6">
        <f>INDEX('面板-景气指数'!$37:$242,MATCH('面板-总览'!$AI40,'面板-景气指数'!$A$37:$A$242,0),MATCH('面板-总览'!AJ$2,'面板-景气指数'!$36:$36,0))</f>
        <v>0.42299999999999993</v>
      </c>
      <c r="AK40" s="6">
        <f>INDEX('面板-景气指数'!$37:$242,MATCH('面板-总览'!$AI40,'面板-景气指数'!$A$37:$A$242,0),MATCH('面板-总览'!AK$2,'面板-景气指数'!$36:$36,0))</f>
        <v>0.2135</v>
      </c>
      <c r="AL40" s="6">
        <f>INDEX('面板-景气指数'!$37:$242,MATCH('面板-总览'!$AI40,'面板-景气指数'!$A$37:$A$242,0),MATCH('面板-总览'!AL$2,'面板-景气指数'!$36:$36,0))</f>
        <v>5.6000000000000001E-2</v>
      </c>
      <c r="AM40" s="6">
        <f>INDEX('面板-景气指数'!$37:$242,MATCH('面板-总览'!$AI40,'面板-景气指数'!$A$37:$A$242,0),MATCH('面板-总览'!AM$2,'面板-景气指数'!$36:$36,0))</f>
        <v>3.0499999999999999E-2</v>
      </c>
      <c r="AN40" s="6">
        <f>INDEX('面板-景气指数'!$37:$242,MATCH('面板-总览'!$AI40,'面板-景气指数'!$A$37:$A$242,0),MATCH('面板-总览'!AN$2,'面板-景气指数'!$36:$36,0))</f>
        <v>0.1525</v>
      </c>
      <c r="AO40" s="6">
        <f>INDEX('面板-景气指数'!$37:$242,MATCH('面板-总览'!$AI40,'面板-景气指数'!$A$37:$A$242,0),MATCH('面板-总览'!AO$2,'面板-景气指数'!$36:$36,0))</f>
        <v>0.1575</v>
      </c>
      <c r="AP40" s="6">
        <f>INDEX('面板-景气指数'!$37:$242,MATCH('面板-总览'!$AI40,'面板-景气指数'!$A$37:$A$242,0),MATCH('面板-总览'!AP$2,'面板-景气指数'!$36:$36,0))</f>
        <v>0.11149999999999999</v>
      </c>
      <c r="AQ40" s="6">
        <f>INDEX('面板-景气指数'!$37:$242,MATCH('面板-总览'!$AI40,'面板-景气指数'!$A$37:$A$242,0),MATCH('面板-总览'!AQ$2,'面板-景气指数'!$36:$36,0))</f>
        <v>5.0999999999999997E-2</v>
      </c>
      <c r="AR40" s="6">
        <f>INDEX('面板-景气指数'!$37:$242,MATCH('面板-总览'!$AI40,'面板-景气指数'!$A$37:$A$242,0),MATCH('面板-总览'!AR$2,'面板-景气指数'!$36:$36,0))</f>
        <v>5.5499999999999994E-2</v>
      </c>
      <c r="AS40" s="6">
        <f>INDEX('面板-景气指数'!$37:$242,MATCH('面板-总览'!$AI40,'面板-景气指数'!$A$37:$A$242,0),MATCH('面板-总览'!AS$2,'面板-景气指数'!$36:$36,0))</f>
        <v>4.5500000000000006E-2</v>
      </c>
      <c r="AT40" s="6">
        <f>INDEX('面板-景气指数'!$37:$242,MATCH('面板-总览'!$AI40,'面板-景气指数'!$A$37:$A$242,0),MATCH('面板-总览'!AT$2,'面板-景气指数'!$36:$36,0))</f>
        <v>5.5500000000000001E-2</v>
      </c>
      <c r="AU40" s="6">
        <f>INDEX('面板-景气指数'!$37:$242,MATCH('面板-总览'!$AI40,'面板-景气指数'!$A$37:$A$242,0),MATCH('面板-总览'!AU$2,'面板-景气指数'!$36:$36,0))</f>
        <v>6.6000000000000003E-2</v>
      </c>
      <c r="AV40" s="6">
        <f>INDEX('面板-景气指数'!$37:$242,MATCH('面板-总览'!$AI40,'面板-景气指数'!$A$37:$A$242,0),MATCH('面板-总览'!AV$2,'面板-景气指数'!$36:$36,0))</f>
        <v>8.6500000000000007E-2</v>
      </c>
      <c r="AX40" s="11">
        <f t="shared" si="2"/>
        <v>4.1000000000000002E-2</v>
      </c>
    </row>
    <row r="41" spans="1:50" ht="21" customHeight="1" x14ac:dyDescent="0.2">
      <c r="R41" s="5" t="s">
        <v>110</v>
      </c>
      <c r="S41" s="6">
        <f>INDEX('面板-景气指数'!$37:$242,MATCH('面板-总览'!$R41,'面板-景气指数'!$A$37:$A$242,0),MATCH('面板-总览'!S$2,'面板-景气指数'!$36:$36,0))</f>
        <v>0.30800000000000016</v>
      </c>
      <c r="T41" s="6">
        <f>INDEX('面板-景气指数'!$37:$242,MATCH('面板-总览'!$R41,'面板-景气指数'!$A$37:$A$242,0),MATCH('面板-总览'!T$2,'面板-景气指数'!$36:$36,0))</f>
        <v>0.37800000000000011</v>
      </c>
      <c r="U41" s="6">
        <f>INDEX('面板-景气指数'!$37:$242,MATCH('面板-总览'!$R41,'面板-景气指数'!$A$37:$A$242,0),MATCH('面板-总览'!U$2,'面板-景气指数'!$36:$36,0))</f>
        <v>0.40514285714285708</v>
      </c>
      <c r="V41" s="6">
        <f>INDEX('面板-景气指数'!$37:$242,MATCH('面板-总览'!$R41,'面板-景气指数'!$A$37:$A$242,0),MATCH('面板-总览'!V$2,'面板-景气指数'!$36:$36,0))</f>
        <v>0.37442857142857139</v>
      </c>
      <c r="W41" s="6">
        <f>INDEX('面板-景气指数'!$37:$242,MATCH('面板-总览'!$R41,'面板-景气指数'!$A$37:$A$242,0),MATCH('面板-总览'!W$2,'面板-景气指数'!$36:$36,0))</f>
        <v>0.27664285714285719</v>
      </c>
      <c r="X41" s="6">
        <f>INDEX('面板-景气指数'!$37:$242,MATCH('面板-总览'!$R41,'面板-景气指数'!$A$37:$A$242,0),MATCH('面板-总览'!X$2,'面板-景气指数'!$36:$36,0))</f>
        <v>0.18435714285714297</v>
      </c>
      <c r="Y41" s="6">
        <f>INDEX('面板-景气指数'!$37:$242,MATCH('面板-总览'!$R41,'面板-景气指数'!$A$37:$A$242,0),MATCH('面板-总览'!Y$2,'面板-景气指数'!$36:$36,0))</f>
        <v>0.182857142857143</v>
      </c>
      <c r="Z41" s="6">
        <f>INDEX('面板-景气指数'!$37:$242,MATCH('面板-总览'!$R41,'面板-景气指数'!$A$37:$A$242,0),MATCH('面板-总览'!Z$2,'面板-景气指数'!$36:$36,0))</f>
        <v>0.30071428571428582</v>
      </c>
      <c r="AA41" s="6">
        <f>INDEX('面板-景气指数'!$37:$242,MATCH('面板-总览'!$R41,'面板-景气指数'!$A$37:$A$242,0),MATCH('面板-总览'!AA$2,'面板-景气指数'!$36:$36,0))</f>
        <v>0.43821428571428567</v>
      </c>
      <c r="AB41" s="6">
        <f>INDEX('面板-景气指数'!$37:$242,MATCH('面板-总览'!$R41,'面板-景气指数'!$A$37:$A$242,0),MATCH('面板-总览'!AB$2,'面板-景气指数'!$36:$36,0))</f>
        <v>0.54157142857142848</v>
      </c>
      <c r="AC41" s="6">
        <f>INDEX('面板-景气指数'!$37:$242,MATCH('面板-总览'!$R41,'面板-景气指数'!$A$37:$A$242,0),MATCH('面板-总览'!AC$2,'面板-景气指数'!$36:$36,0))</f>
        <v>0.47085714285714286</v>
      </c>
      <c r="AD41" s="6">
        <f>INDEX('面板-景气指数'!$37:$242,MATCH('面板-总览'!$R41,'面板-景气指数'!$A$37:$A$242,0),MATCH('面板-总览'!AD$2,'面板-景气指数'!$36:$36,0))</f>
        <v>0.34635714285714303</v>
      </c>
      <c r="AE41" s="6">
        <f>INDEX('面板-景气指数'!$37:$242,MATCH('面板-总览'!$R41,'面板-景气指数'!$A$37:$A$242,0),MATCH('面板-总览'!AE$2,'面板-景气指数'!$36:$36,0))</f>
        <v>0.34635714285714303</v>
      </c>
      <c r="AG41" s="11">
        <f t="shared" si="1"/>
        <v>-0.19521428571428545</v>
      </c>
      <c r="AI41" s="5" t="s">
        <v>111</v>
      </c>
      <c r="AJ41" s="6">
        <f>INDEX('面板-景气指数'!$37:$242,MATCH('面板-总览'!$AI41,'面板-景气指数'!$A$37:$A$242,0),MATCH('面板-总览'!AJ$2,'面板-景气指数'!$36:$36,0))</f>
        <v>8.1000000000000003E-2</v>
      </c>
      <c r="AK41" s="6">
        <f>INDEX('面板-景气指数'!$37:$242,MATCH('面板-总览'!$AI41,'面板-景气指数'!$A$37:$A$242,0),MATCH('面板-总览'!AK$2,'面板-景气指数'!$36:$36,0))</f>
        <v>3.9999999999999994E-2</v>
      </c>
      <c r="AL41" s="6">
        <f>INDEX('面板-景气指数'!$37:$242,MATCH('面板-总览'!$AI41,'面板-景气指数'!$A$37:$A$242,0),MATCH('面板-总览'!AL$2,'面板-景气指数'!$36:$36,0))</f>
        <v>1.9999999999999997E-2</v>
      </c>
      <c r="AM41" s="6">
        <f>INDEX('面板-景气指数'!$37:$242,MATCH('面板-总览'!$AI41,'面板-景气指数'!$A$37:$A$242,0),MATCH('面板-总览'!AM$2,'面板-景气指数'!$36:$36,0))</f>
        <v>0</v>
      </c>
      <c r="AN41" s="6">
        <f>INDEX('面板-景气指数'!$37:$242,MATCH('面板-总览'!$AI41,'面板-景气指数'!$A$37:$A$242,0),MATCH('面板-总览'!AN$2,'面板-景气指数'!$36:$36,0))</f>
        <v>9.9999999999999985E-3</v>
      </c>
      <c r="AO41" s="6">
        <f>INDEX('面板-景气指数'!$37:$242,MATCH('面板-总览'!$AI41,'面板-景气指数'!$A$37:$A$242,0),MATCH('面板-总览'!AO$2,'面板-景气指数'!$36:$36,0))</f>
        <v>0.03</v>
      </c>
      <c r="AP41" s="6">
        <f>INDEX('面板-景气指数'!$37:$242,MATCH('面板-总览'!$AI41,'面板-景气指数'!$A$37:$A$242,0),MATCH('面板-总览'!AP$2,'面板-景气指数'!$36:$36,0))</f>
        <v>7.0999999999999994E-2</v>
      </c>
      <c r="AQ41" s="6">
        <f>INDEX('面板-景气指数'!$37:$242,MATCH('面板-总览'!$AI41,'面板-景气指数'!$A$37:$A$242,0),MATCH('面板-总览'!AQ$2,'面板-景气指数'!$36:$36,0))</f>
        <v>0.10199999999999999</v>
      </c>
      <c r="AR41" s="6">
        <f>INDEX('面板-景气指数'!$37:$242,MATCH('面板-总览'!$AI41,'面板-景气指数'!$A$37:$A$242,0),MATCH('面板-总览'!AR$2,'面板-景气指数'!$36:$36,0))</f>
        <v>0.122</v>
      </c>
      <c r="AS41" s="6">
        <f>INDEX('面板-景气指数'!$37:$242,MATCH('面板-总览'!$AI41,'面板-景气指数'!$A$37:$A$242,0),MATCH('面板-总览'!AS$2,'面板-景气指数'!$36:$36,0))</f>
        <v>0.112</v>
      </c>
      <c r="AT41" s="6">
        <f>INDEX('面板-景气指数'!$37:$242,MATCH('面板-总览'!$AI41,'面板-景气指数'!$A$37:$A$242,0),MATCH('面板-总览'!AT$2,'面板-景气指数'!$36:$36,0))</f>
        <v>9.1000000000000011E-2</v>
      </c>
      <c r="AU41" s="6">
        <f>INDEX('面板-景气指数'!$37:$242,MATCH('面板-总览'!$AI41,'面板-景气指数'!$A$37:$A$242,0),MATCH('面板-总览'!AU$2,'面板-景气指数'!$36:$36,0))</f>
        <v>6.0999999999999999E-2</v>
      </c>
      <c r="AV41" s="6">
        <f>INDEX('面板-景气指数'!$37:$242,MATCH('面板-总览'!$AI41,'面板-景气指数'!$A$37:$A$242,0),MATCH('面板-总览'!AV$2,'面板-景气指数'!$36:$36,0))</f>
        <v>5.0999999999999997E-2</v>
      </c>
      <c r="AX41" s="11">
        <f t="shared" si="2"/>
        <v>-6.1000000000000006E-2</v>
      </c>
    </row>
    <row r="42" spans="1:50" ht="21" customHeight="1" x14ac:dyDescent="0.2">
      <c r="R42" s="5" t="s">
        <v>112</v>
      </c>
      <c r="S42" s="6">
        <f>INDEX('面板-景气指数'!$37:$242,MATCH('面板-总览'!$R42,'面板-景气指数'!$A$37:$A$242,0),MATCH('面板-总览'!S$2,'面板-景气指数'!$36:$36,0))</f>
        <v>5.0999999999999948E-2</v>
      </c>
      <c r="T42" s="6">
        <f>INDEX('面板-景气指数'!$37:$242,MATCH('面板-总览'!$R42,'面板-景气指数'!$A$37:$A$242,0),MATCH('面板-总览'!T$2,'面板-景气指数'!$36:$36,0))</f>
        <v>7.3899999999999938E-2</v>
      </c>
      <c r="U42" s="6">
        <f>INDEX('面板-景气指数'!$37:$242,MATCH('面板-总览'!$R42,'面板-景气指数'!$A$37:$A$242,0),MATCH('面板-总览'!U$2,'面板-景气指数'!$36:$36,0))</f>
        <v>9.279999999999991E-2</v>
      </c>
      <c r="V42" s="6">
        <f>INDEX('面板-景气指数'!$37:$242,MATCH('面板-总览'!$R42,'面板-景气指数'!$A$37:$A$242,0),MATCH('面板-总览'!V$2,'面板-景气指数'!$36:$36,0))</f>
        <v>9.1999999999999887E-2</v>
      </c>
      <c r="W42" s="6">
        <f>INDEX('面板-景气指数'!$37:$242,MATCH('面板-总览'!$R42,'面板-景气指数'!$A$37:$A$242,0),MATCH('面板-总览'!W$2,'面板-景气指数'!$36:$36,0))</f>
        <v>0.11689999999999992</v>
      </c>
      <c r="X42" s="6">
        <f>INDEX('面板-景气指数'!$37:$242,MATCH('面板-总览'!$R42,'面板-景气指数'!$A$37:$A$242,0),MATCH('面板-总览'!X$2,'面板-景气指数'!$36:$36,0))</f>
        <v>0.17269999999999985</v>
      </c>
      <c r="Y42" s="6">
        <f>INDEX('面板-景气指数'!$37:$242,MATCH('面板-总览'!$R42,'面板-景气指数'!$A$37:$A$242,0),MATCH('面板-总览'!Y$2,'面板-景气指数'!$36:$36,0))</f>
        <v>0.21129999999999982</v>
      </c>
      <c r="Z42" s="6">
        <f>INDEX('面板-景气指数'!$37:$242,MATCH('面板-总览'!$R42,'面板-景气指数'!$A$37:$A$242,0),MATCH('面板-总览'!Z$2,'面板-景气指数'!$36:$36,0))</f>
        <v>0.24789999999999979</v>
      </c>
      <c r="AA42" s="6">
        <f>INDEX('面板-景气指数'!$37:$242,MATCH('面板-总览'!$R42,'面板-景气指数'!$A$37:$A$242,0),MATCH('面板-总览'!AA$2,'面板-景气指数'!$36:$36,0))</f>
        <v>0.28539999999999988</v>
      </c>
      <c r="AB42" s="6">
        <f>INDEX('面板-景气指数'!$37:$242,MATCH('面板-总览'!$R42,'面板-景气指数'!$A$37:$A$242,0),MATCH('面板-总览'!AB$2,'面板-景气指数'!$36:$36,0))</f>
        <v>0.36489999999999995</v>
      </c>
      <c r="AC42" s="6">
        <f>INDEX('面板-景气指数'!$37:$242,MATCH('面板-总览'!$R42,'面板-景气指数'!$A$37:$A$242,0),MATCH('面板-总览'!AC$2,'面板-景气指数'!$36:$36,0))</f>
        <v>0.57510000000000017</v>
      </c>
      <c r="AD42" s="6">
        <f>INDEX('面板-景气指数'!$37:$242,MATCH('面板-总览'!$R42,'面板-景气指数'!$A$37:$A$242,0),MATCH('面板-总览'!AD$2,'面板-景气指数'!$36:$36,0))</f>
        <v>0.79070000000000029</v>
      </c>
      <c r="AE42" s="6">
        <f>INDEX('面板-景气指数'!$37:$242,MATCH('面板-总览'!$R42,'面板-景气指数'!$A$37:$A$242,0),MATCH('面板-总览'!AE$2,'面板-景气指数'!$36:$36,0))</f>
        <v>0.80780000000000018</v>
      </c>
      <c r="AG42" s="11">
        <f t="shared" si="1"/>
        <v>0.44290000000000024</v>
      </c>
      <c r="AI42" s="5" t="s">
        <v>113</v>
      </c>
      <c r="AJ42" s="6">
        <f>INDEX('面板-景气指数'!$37:$242,MATCH('面板-总览'!$AI42,'面板-景气指数'!$A$37:$A$242,0),MATCH('面板-总览'!AJ$2,'面板-景气指数'!$36:$36,0))</f>
        <v>0.34599999999999997</v>
      </c>
      <c r="AK42" s="6">
        <f>INDEX('面板-景气指数'!$37:$242,MATCH('面板-总览'!$AI42,'面板-景气指数'!$A$37:$A$242,0),MATCH('面板-总览'!AK$2,'面板-景气指数'!$36:$36,0))</f>
        <v>0.13200000000000001</v>
      </c>
      <c r="AL42" s="6">
        <f>INDEX('面板-景气指数'!$37:$242,MATCH('面板-总览'!$AI42,'面板-景气指数'!$A$37:$A$242,0),MATCH('面板-总览'!AL$2,'面板-景气指数'!$36:$36,0))</f>
        <v>6.0999999999999999E-2</v>
      </c>
      <c r="AM42" s="6">
        <f>INDEX('面板-景气指数'!$37:$242,MATCH('面板-总览'!$AI42,'面板-景气指数'!$A$37:$A$242,0),MATCH('面板-总览'!AM$2,'面板-景气指数'!$36:$36,0))</f>
        <v>0</v>
      </c>
      <c r="AN42" s="6">
        <f>INDEX('面板-景气指数'!$37:$242,MATCH('面板-总览'!$AI42,'面板-景气指数'!$A$37:$A$242,0),MATCH('面板-总览'!AN$2,'面板-景气指数'!$36:$36,0))</f>
        <v>9.9999999999999985E-3</v>
      </c>
      <c r="AO42" s="6">
        <f>INDEX('面板-景气指数'!$37:$242,MATCH('面板-总览'!$AI42,'面板-景气指数'!$A$37:$A$242,0),MATCH('面板-总览'!AO$2,'面板-景气指数'!$36:$36,0))</f>
        <v>0.10199999999999999</v>
      </c>
      <c r="AP42" s="6">
        <f>INDEX('面板-景气指数'!$37:$242,MATCH('面板-总览'!$AI42,'面板-景气指数'!$A$37:$A$242,0),MATCH('面板-总览'!AP$2,'面板-景气指数'!$36:$36,0))</f>
        <v>0.16300000000000001</v>
      </c>
      <c r="AQ42" s="6">
        <f>INDEX('面板-景气指数'!$37:$242,MATCH('面板-总览'!$AI42,'面板-景气指数'!$A$37:$A$242,0),MATCH('面板-总览'!AQ$2,'面板-景气指数'!$36:$36,0))</f>
        <v>0.21399999999999997</v>
      </c>
      <c r="AR42" s="6">
        <f>INDEX('面板-景气指数'!$37:$242,MATCH('面板-总览'!$AI42,'面板-景气指数'!$A$37:$A$242,0),MATCH('面板-总览'!AR$2,'面板-景气指数'!$36:$36,0))</f>
        <v>0.27500000000000002</v>
      </c>
      <c r="AS42" s="6">
        <f>INDEX('面板-景气指数'!$37:$242,MATCH('面板-总览'!$AI42,'面板-景气指数'!$A$37:$A$242,0),MATCH('面板-总览'!AS$2,'面板-景气指数'!$36:$36,0))</f>
        <v>0.28499999999999998</v>
      </c>
      <c r="AT42" s="6">
        <f>INDEX('面板-景气指数'!$37:$242,MATCH('面板-总览'!$AI42,'面板-景气指数'!$A$37:$A$242,0),MATCH('面板-总览'!AT$2,'面板-景气指数'!$36:$36,0))</f>
        <v>0.224</v>
      </c>
      <c r="AU42" s="6">
        <f>INDEX('面板-景气指数'!$37:$242,MATCH('面板-总览'!$AI42,'面板-景气指数'!$A$37:$A$242,0),MATCH('面板-总览'!AU$2,'面板-景气指数'!$36:$36,0))</f>
        <v>0.20399999999999999</v>
      </c>
      <c r="AV42" s="6">
        <f>INDEX('面板-景气指数'!$37:$242,MATCH('面板-总览'!$AI42,'面板-景气指数'!$A$37:$A$242,0),MATCH('面板-总览'!AV$2,'面板-景气指数'!$36:$36,0))</f>
        <v>0.19299999999999998</v>
      </c>
      <c r="AX42" s="11">
        <f t="shared" si="2"/>
        <v>-9.1999999999999998E-2</v>
      </c>
    </row>
    <row r="43" spans="1:50" ht="21" customHeight="1" x14ac:dyDescent="0.2">
      <c r="R43" s="5" t="s">
        <v>114</v>
      </c>
      <c r="S43" s="6">
        <f>INDEX('面板-景气指数'!$37:$242,MATCH('面板-总览'!$R43,'面板-景气指数'!$A$37:$A$242,0),MATCH('面板-总览'!S$2,'面板-景气指数'!$36:$36,0))</f>
        <v>0.28787499999999999</v>
      </c>
      <c r="T43" s="6">
        <f>INDEX('面板-景气指数'!$37:$242,MATCH('面板-总览'!$R43,'面板-景气指数'!$A$37:$A$242,0),MATCH('面板-总览'!T$2,'面板-景气指数'!$36:$36,0))</f>
        <v>0.28062499999999996</v>
      </c>
      <c r="U43" s="6">
        <f>INDEX('面板-景气指数'!$37:$242,MATCH('面板-总览'!$R43,'面板-景气指数'!$A$37:$A$242,0),MATCH('面板-总览'!U$2,'面板-景气指数'!$36:$36,0))</f>
        <v>0.30612499999999998</v>
      </c>
      <c r="V43" s="6">
        <f>INDEX('面板-景气指数'!$37:$242,MATCH('面板-总览'!$R43,'面板-景气指数'!$A$37:$A$242,0),MATCH('面板-总览'!V$2,'面板-景气指数'!$36:$36,0))</f>
        <v>0.36512499999999998</v>
      </c>
      <c r="W43" s="6">
        <f>INDEX('面板-景气指数'!$37:$242,MATCH('面板-总览'!$R43,'面板-景气指数'!$A$37:$A$242,0),MATCH('面板-总览'!W$2,'面板-景气指数'!$36:$36,0))</f>
        <v>0.38412499999999999</v>
      </c>
      <c r="X43" s="6">
        <f>INDEX('面板-景气指数'!$37:$242,MATCH('面板-总览'!$R43,'面板-景气指数'!$A$37:$A$242,0),MATCH('面板-总览'!X$2,'面板-景气指数'!$36:$36,0))</f>
        <v>0.32037499999999997</v>
      </c>
      <c r="Y43" s="6">
        <f>INDEX('面板-景气指数'!$37:$242,MATCH('面板-总览'!$R43,'面板-景气指数'!$A$37:$A$242,0),MATCH('面板-总览'!Y$2,'面板-景气指数'!$36:$36,0))</f>
        <v>0.30624999999999997</v>
      </c>
      <c r="Z43" s="6">
        <f>INDEX('面板-景气指数'!$37:$242,MATCH('面板-总览'!$R43,'面板-景气指数'!$A$37:$A$242,0),MATCH('面板-总览'!Z$2,'面板-景气指数'!$36:$36,0))</f>
        <v>0.34275</v>
      </c>
      <c r="AA43" s="6">
        <f>INDEX('面板-景气指数'!$37:$242,MATCH('面板-总览'!$R43,'面板-景气指数'!$A$37:$A$242,0),MATCH('面板-总览'!AA$2,'面板-景气指数'!$36:$36,0))</f>
        <v>0.34387500000000004</v>
      </c>
      <c r="AB43" s="6">
        <f>INDEX('面板-景气指数'!$37:$242,MATCH('面板-总览'!$R43,'面板-景气指数'!$A$37:$A$242,0),MATCH('面板-总览'!AB$2,'面板-景气指数'!$36:$36,0))</f>
        <v>0.34474999999999995</v>
      </c>
      <c r="AC43" s="6">
        <f>INDEX('面板-景气指数'!$37:$242,MATCH('面板-总览'!$R43,'面板-景气指数'!$A$37:$A$242,0),MATCH('面板-总览'!AC$2,'面板-景气指数'!$36:$36,0))</f>
        <v>0.30249999999999994</v>
      </c>
      <c r="AD43" s="6">
        <f>INDEX('面板-景气指数'!$37:$242,MATCH('面板-总览'!$R43,'面板-景气指数'!$A$37:$A$242,0),MATCH('面板-总览'!AD$2,'面板-景气指数'!$36:$36,0))</f>
        <v>0.30249999999999994</v>
      </c>
      <c r="AE43" s="6">
        <f>INDEX('面板-景气指数'!$37:$242,MATCH('面板-总览'!$R43,'面板-景气指数'!$A$37:$A$242,0),MATCH('面板-总览'!AE$2,'面板-景气指数'!$36:$36,0))</f>
        <v>0.30249999999999994</v>
      </c>
      <c r="AG43" s="11">
        <f t="shared" si="1"/>
        <v>-4.225000000000001E-2</v>
      </c>
      <c r="AI43" s="5" t="s">
        <v>115</v>
      </c>
      <c r="AJ43" s="6">
        <f>INDEX('面板-景气指数'!$37:$242,MATCH('面板-总览'!$AI43,'面板-景气指数'!$A$37:$A$242,0),MATCH('面板-总览'!AJ$2,'面板-景气指数'!$36:$36,0))</f>
        <v>0.36399999999999999</v>
      </c>
      <c r="AK43" s="6">
        <f>INDEX('面板-景气指数'!$37:$242,MATCH('面板-总览'!$AI43,'面板-景气指数'!$A$37:$A$242,0),MATCH('面板-总览'!AK$2,'面板-景气指数'!$36:$36,0))</f>
        <v>0.24225000000000002</v>
      </c>
      <c r="AL43" s="6">
        <f>INDEX('面板-景气指数'!$37:$242,MATCH('面板-总览'!$AI43,'面板-景气指数'!$A$37:$A$242,0),MATCH('面板-总览'!AL$2,'面板-景气指数'!$36:$36,0))</f>
        <v>0.183</v>
      </c>
      <c r="AM43" s="6">
        <f>INDEX('面板-景气指数'!$37:$242,MATCH('面板-总览'!$AI43,'面板-景气指数'!$A$37:$A$242,0),MATCH('面板-总览'!AM$2,'面板-景气指数'!$36:$36,0))</f>
        <v>0.17574999999999996</v>
      </c>
      <c r="AN43" s="6">
        <f>INDEX('面板-景气指数'!$37:$242,MATCH('面板-总览'!$AI43,'面板-景气指数'!$A$37:$A$242,0),MATCH('面板-总览'!AN$2,'面板-景气指数'!$36:$36,0))</f>
        <v>0.37674999999999997</v>
      </c>
      <c r="AO43" s="6">
        <f>INDEX('面板-景气指数'!$37:$242,MATCH('面板-总览'!$AI43,'面板-景气指数'!$A$37:$A$242,0),MATCH('面板-总览'!AO$2,'面板-景气指数'!$36:$36,0))</f>
        <v>0.45074999999999998</v>
      </c>
      <c r="AP43" s="6">
        <f>INDEX('面板-景气指数'!$37:$242,MATCH('面板-总览'!$AI43,'面板-景气指数'!$A$37:$A$242,0),MATCH('面板-总览'!AP$2,'面板-景气指数'!$36:$36,0))</f>
        <v>0.55574999999999997</v>
      </c>
      <c r="AQ43" s="6">
        <f>INDEX('面板-景气指数'!$37:$242,MATCH('面板-总览'!$AI43,'面板-景气指数'!$A$37:$A$242,0),MATCH('面板-总览'!AQ$2,'面板-景气指数'!$36:$36,0))</f>
        <v>0.70874999999999999</v>
      </c>
      <c r="AR43" s="6">
        <f>INDEX('面板-景气指数'!$37:$242,MATCH('面板-总览'!$AI43,'面板-景气指数'!$A$37:$A$242,0),MATCH('面板-总览'!AR$2,'面板-景气指数'!$36:$36,0))</f>
        <v>0.76724999999999999</v>
      </c>
      <c r="AS43" s="6">
        <f>INDEX('面板-景气指数'!$37:$242,MATCH('面板-总览'!$AI43,'面板-景气指数'!$A$37:$A$242,0),MATCH('面板-总览'!AS$2,'面板-景气指数'!$36:$36,0))</f>
        <v>0.79325000000000001</v>
      </c>
      <c r="AT43" s="6">
        <f>INDEX('面板-景气指数'!$37:$242,MATCH('面板-总览'!$AI43,'面板-景气指数'!$A$37:$A$242,0),MATCH('面板-总览'!AT$2,'面板-景气指数'!$36:$36,0))</f>
        <v>0.75224999999999997</v>
      </c>
      <c r="AU43" s="6">
        <f>INDEX('面板-景气指数'!$37:$242,MATCH('面板-总览'!$AI43,'面板-景气指数'!$A$37:$A$242,0),MATCH('面板-总览'!AU$2,'面板-景气指数'!$36:$36,0))</f>
        <v>0.76724999999999999</v>
      </c>
      <c r="AV43" s="6">
        <f>INDEX('面板-景气指数'!$37:$242,MATCH('面板-总览'!$AI43,'面板-景气指数'!$A$37:$A$242,0),MATCH('面板-总览'!AV$2,'面板-景气指数'!$36:$36,0))</f>
        <v>0.76724999999999999</v>
      </c>
      <c r="AX43" s="11">
        <f t="shared" si="2"/>
        <v>-2.6000000000000023E-2</v>
      </c>
    </row>
    <row r="44" spans="1:50" ht="21" customHeight="1" x14ac:dyDescent="0.2">
      <c r="R44" s="5" t="s">
        <v>116</v>
      </c>
      <c r="S44" s="6">
        <f>INDEX('面板-景气指数'!$37:$242,MATCH('面板-总览'!$R44,'面板-景气指数'!$A$37:$A$242,0),MATCH('面板-总览'!S$2,'面板-景气指数'!$36:$36,0))</f>
        <v>0.24974999999999997</v>
      </c>
      <c r="T44" s="6">
        <f>INDEX('面板-景气指数'!$37:$242,MATCH('面板-总览'!$R44,'面板-景气指数'!$A$37:$A$242,0),MATCH('面板-总览'!T$2,'面板-景气指数'!$36:$36,0))</f>
        <v>0.23674999999999999</v>
      </c>
      <c r="U44" s="6">
        <f>INDEX('面板-景气指数'!$37:$242,MATCH('面板-总览'!$R44,'面板-景气指数'!$A$37:$A$242,0),MATCH('面板-总览'!U$2,'面板-景气指数'!$36:$36,0))</f>
        <v>0.20124999999999998</v>
      </c>
      <c r="V44" s="6">
        <f>INDEX('面板-景气指数'!$37:$242,MATCH('面板-总览'!$R44,'面板-景气指数'!$A$37:$A$242,0),MATCH('面板-总览'!V$2,'面板-景气指数'!$36:$36,0))</f>
        <v>0.17274999999999999</v>
      </c>
      <c r="W44" s="6">
        <f>INDEX('面板-景气指数'!$37:$242,MATCH('面板-总览'!$R44,'面板-景气指数'!$A$37:$A$242,0),MATCH('面板-总览'!W$2,'面板-景气指数'!$36:$36,0))</f>
        <v>0.11700000000000001</v>
      </c>
      <c r="X44" s="6">
        <f>INDEX('面板-景气指数'!$37:$242,MATCH('面板-总览'!$R44,'面板-景气指数'!$A$37:$A$242,0),MATCH('面板-总览'!X$2,'面板-景气指数'!$36:$36,0))</f>
        <v>0.11475</v>
      </c>
      <c r="Y44" s="6">
        <f>INDEX('面板-景气指数'!$37:$242,MATCH('面板-总览'!$R44,'面板-景气指数'!$A$37:$A$242,0),MATCH('面板-总览'!Y$2,'面板-景气指数'!$36:$36,0))</f>
        <v>0.10675000000000003</v>
      </c>
      <c r="Z44" s="6">
        <f>INDEX('面板-景气指数'!$37:$242,MATCH('面板-总览'!$R44,'面板-景气指数'!$A$37:$A$242,0),MATCH('面板-总览'!Z$2,'面板-景气指数'!$36:$36,0))</f>
        <v>7.1000000000000035E-2</v>
      </c>
      <c r="AA44" s="6">
        <f>INDEX('面板-景气指数'!$37:$242,MATCH('面板-总览'!$R44,'面板-景气指数'!$A$37:$A$242,0),MATCH('面板-总览'!AA$2,'面板-景气指数'!$36:$36,0))</f>
        <v>6.6000000000000059E-2</v>
      </c>
      <c r="AB44" s="6">
        <f>INDEX('面板-景气指数'!$37:$242,MATCH('面板-总览'!$R44,'面板-景气指数'!$A$37:$A$242,0),MATCH('面板-总览'!AB$2,'面板-景气指数'!$36:$36,0))</f>
        <v>6.1000000000000047E-2</v>
      </c>
      <c r="AC44" s="6">
        <f>INDEX('面板-景气指数'!$37:$242,MATCH('面板-总览'!$R44,'面板-景气指数'!$A$37:$A$242,0),MATCH('面板-总览'!AC$2,'面板-景气指数'!$36:$36,0))</f>
        <v>0.10950000000000004</v>
      </c>
      <c r="AD44" s="6">
        <f>INDEX('面板-景气指数'!$37:$242,MATCH('面板-总览'!$R44,'面板-景气指数'!$A$37:$A$242,0),MATCH('面板-总览'!AD$2,'面板-景气指数'!$36:$36,0))</f>
        <v>9.3750000000000056E-2</v>
      </c>
      <c r="AE44" s="6">
        <f>INDEX('面板-景气指数'!$37:$242,MATCH('面板-总览'!$R44,'面板-景气指数'!$A$37:$A$242,0),MATCH('面板-总览'!AE$2,'面板-景气指数'!$36:$36,0))</f>
        <v>9.3750000000000056E-2</v>
      </c>
      <c r="AG44" s="11">
        <f t="shared" si="1"/>
        <v>3.2750000000000008E-2</v>
      </c>
      <c r="AI44" s="5" t="s">
        <v>117</v>
      </c>
      <c r="AJ44" s="6">
        <f>INDEX('面板-景气指数'!$37:$242,MATCH('面板-总览'!$AI44,'面板-景气指数'!$A$37:$A$242,0),MATCH('面板-总览'!AJ$2,'面板-景气指数'!$36:$36,0))</f>
        <v>0.41299999999999981</v>
      </c>
      <c r="AK44" s="6">
        <f>INDEX('面板-景气指数'!$37:$242,MATCH('面板-总览'!$AI44,'面板-景气指数'!$A$37:$A$242,0),MATCH('面板-总览'!AK$2,'面板-景气指数'!$36:$36,0))</f>
        <v>0.49616666666666664</v>
      </c>
      <c r="AL44" s="6">
        <f>INDEX('面板-景气指数'!$37:$242,MATCH('面板-总览'!$AI44,'面板-景气指数'!$A$37:$A$242,0),MATCH('面板-总览'!AL$2,'面板-景气指数'!$36:$36,0))</f>
        <v>0.39099999999999996</v>
      </c>
      <c r="AM44" s="6">
        <f>INDEX('面板-景气指数'!$37:$242,MATCH('面板-总览'!$AI44,'面板-景气指数'!$A$37:$A$242,0),MATCH('面板-总览'!AM$2,'面板-景气指数'!$36:$36,0))</f>
        <v>0.22466666666666668</v>
      </c>
      <c r="AN44" s="6">
        <f>INDEX('面板-景气指数'!$37:$242,MATCH('面板-总览'!$AI44,'面板-景气指数'!$A$37:$A$242,0),MATCH('面板-总览'!AN$2,'面板-景气指数'!$36:$36,0))</f>
        <v>0.14699999999999991</v>
      </c>
      <c r="AO44" s="6">
        <f>INDEX('面板-景气指数'!$37:$242,MATCH('面板-总览'!$AI44,'面板-景气指数'!$A$37:$A$242,0),MATCH('面板-总览'!AO$2,'面板-景气指数'!$36:$36,0))</f>
        <v>0.15999999999999992</v>
      </c>
      <c r="AP44" s="6">
        <f>INDEX('面板-景气指数'!$37:$242,MATCH('面板-总览'!$AI44,'面板-景气指数'!$A$37:$A$242,0),MATCH('面板-总览'!AP$2,'面板-景气指数'!$36:$36,0))</f>
        <v>0.15149999999999988</v>
      </c>
      <c r="AQ44" s="6">
        <f>INDEX('面板-景气指数'!$37:$242,MATCH('面板-总览'!$AI44,'面板-景气指数'!$A$37:$A$242,0),MATCH('面板-总览'!AQ$2,'面板-景气指数'!$36:$36,0))</f>
        <v>0.14116666666666661</v>
      </c>
      <c r="AR44" s="6">
        <f>INDEX('面板-景气指数'!$37:$242,MATCH('面板-总览'!$AI44,'面板-景气指数'!$A$37:$A$242,0),MATCH('面板-总览'!AR$2,'面板-景气指数'!$36:$36,0))</f>
        <v>0.245</v>
      </c>
      <c r="AS44" s="6">
        <f>INDEX('面板-景气指数'!$37:$242,MATCH('面板-总览'!$AI44,'面板-景气指数'!$A$37:$A$242,0),MATCH('面板-总览'!AS$2,'面板-景气指数'!$36:$36,0))</f>
        <v>0.32383333333333331</v>
      </c>
      <c r="AT44" s="6">
        <f>INDEX('面板-景气指数'!$37:$242,MATCH('面板-总览'!$AI44,'面板-景气指数'!$A$37:$A$242,0),MATCH('面板-总览'!AT$2,'面板-景气指数'!$36:$36,0))</f>
        <v>0.39449999999999996</v>
      </c>
      <c r="AU44" s="6">
        <f>INDEX('面板-景气指数'!$37:$242,MATCH('面板-总览'!$AI44,'面板-景气指数'!$A$37:$A$242,0),MATCH('面板-总览'!AU$2,'面板-景气指数'!$36:$36,0))</f>
        <v>0.26499999999999996</v>
      </c>
      <c r="AV44" s="6">
        <f>INDEX('面板-景气指数'!$37:$242,MATCH('面板-总览'!$AI44,'面板-景气指数'!$A$37:$A$242,0),MATCH('面板-总览'!AV$2,'面板-景气指数'!$36:$36,0))</f>
        <v>0.26499999999999996</v>
      </c>
      <c r="AX44" s="11">
        <f t="shared" si="2"/>
        <v>-5.8833333333333349E-2</v>
      </c>
    </row>
    <row r="45" spans="1:50" ht="21" customHeight="1" x14ac:dyDescent="0.2">
      <c r="R45" s="5" t="s">
        <v>118</v>
      </c>
      <c r="S45" s="6">
        <f>INDEX('面板-景气指数'!$37:$242,MATCH('面板-总览'!$R45,'面板-景气指数'!$A$37:$A$242,0),MATCH('面板-总览'!S$2,'面板-景气指数'!$36:$36,0))</f>
        <v>0.18343749999999998</v>
      </c>
      <c r="T45" s="6">
        <f>INDEX('面板-景气指数'!$37:$242,MATCH('面板-总览'!$R45,'面板-景气指数'!$A$37:$A$242,0),MATCH('面板-总览'!T$2,'面板-景气指数'!$36:$36,0))</f>
        <v>0.34456249999999999</v>
      </c>
      <c r="U45" s="6">
        <f>INDEX('面板-景气指数'!$37:$242,MATCH('面板-总览'!$R45,'面板-景气指数'!$A$37:$A$242,0),MATCH('面板-总览'!U$2,'面板-景气指数'!$36:$36,0))</f>
        <v>0.58893749999999989</v>
      </c>
      <c r="V45" s="6">
        <f>INDEX('面板-景气指数'!$37:$242,MATCH('面板-总览'!$R45,'面板-景气指数'!$A$37:$A$242,0),MATCH('面板-总览'!V$2,'面板-景气指数'!$36:$36,0))</f>
        <v>0.8070624999999999</v>
      </c>
      <c r="W45" s="6">
        <f>INDEX('面板-景气指数'!$37:$242,MATCH('面板-总览'!$R45,'面板-景气指数'!$A$37:$A$242,0),MATCH('面板-总览'!W$2,'面板-景气指数'!$36:$36,0))</f>
        <v>0.83399999999999996</v>
      </c>
      <c r="X45" s="6">
        <f>INDEX('面板-景气指数'!$37:$242,MATCH('面板-总览'!$R45,'面板-景气指数'!$A$37:$A$242,0),MATCH('面板-总览'!X$2,'面板-景气指数'!$36:$36,0))</f>
        <v>0.9303125000000001</v>
      </c>
      <c r="Y45" s="6">
        <f>INDEX('面板-景气指数'!$37:$242,MATCH('面板-总览'!$R45,'面板-景气指数'!$A$37:$A$242,0),MATCH('面板-总览'!Y$2,'面板-景气指数'!$36:$36,0))</f>
        <v>0.8763749999999999</v>
      </c>
      <c r="Z45" s="6">
        <f>INDEX('面板-景气指数'!$37:$242,MATCH('面板-总览'!$R45,'面板-景气指数'!$A$37:$A$242,0),MATCH('面板-总览'!Z$2,'面板-景气指数'!$36:$36,0))</f>
        <v>0.83787499999999993</v>
      </c>
      <c r="AA45" s="6">
        <f>INDEX('面板-景气指数'!$37:$242,MATCH('面板-总览'!$R45,'面板-景气指数'!$A$37:$A$242,0),MATCH('面板-总览'!AA$2,'面板-景气指数'!$36:$36,0))</f>
        <v>0.7191249999999999</v>
      </c>
      <c r="AB45" s="6">
        <f>INDEX('面板-景气指数'!$37:$242,MATCH('面板-总览'!$R45,'面板-景气指数'!$A$37:$A$242,0),MATCH('面板-总览'!AB$2,'面板-景气指数'!$36:$36,0))</f>
        <v>0.69987499999999991</v>
      </c>
      <c r="AC45" s="6">
        <f>INDEX('面板-景气指数'!$37:$242,MATCH('面板-总览'!$R45,'面板-景气指数'!$A$37:$A$242,0),MATCH('面板-总览'!AC$2,'面板-景气指数'!$36:$36,0))</f>
        <v>0.71531249999999991</v>
      </c>
      <c r="AD45" s="6">
        <f>INDEX('面板-景气指数'!$37:$242,MATCH('面板-总览'!$R45,'面板-景气指数'!$A$37:$A$242,0),MATCH('面板-总览'!AD$2,'面板-景气指数'!$36:$36,0))</f>
        <v>0.59812500000000002</v>
      </c>
      <c r="AE45" s="6">
        <f>INDEX('面板-景气指数'!$37:$242,MATCH('面板-总览'!$R45,'面板-景气指数'!$A$37:$A$242,0),MATCH('面板-总览'!AE$2,'面板-景气指数'!$36:$36,0))</f>
        <v>0.78856249999999994</v>
      </c>
      <c r="AG45" s="11">
        <f t="shared" si="1"/>
        <v>8.868750000000003E-2</v>
      </c>
      <c r="AI45" s="5" t="s">
        <v>119</v>
      </c>
      <c r="AJ45" s="6">
        <f>INDEX('面板-景气指数'!$37:$242,MATCH('面板-总览'!$AI45,'面板-景气指数'!$A$37:$A$242,0),MATCH('面板-总览'!AJ$2,'面板-景气指数'!$36:$36,0))</f>
        <v>0.36699999999999994</v>
      </c>
      <c r="AK45" s="6">
        <f>INDEX('面板-景气指数'!$37:$242,MATCH('面板-总览'!$AI45,'面板-景气指数'!$A$37:$A$242,0),MATCH('面板-总览'!AK$2,'面板-景气指数'!$36:$36,0))</f>
        <v>0.377</v>
      </c>
      <c r="AL45" s="6">
        <f>INDEX('面板-景气指数'!$37:$242,MATCH('面板-总览'!$AI45,'面板-景气指数'!$A$37:$A$242,0),MATCH('面板-总览'!AL$2,'面板-景气指数'!$36:$36,0))</f>
        <v>0.29499999999999998</v>
      </c>
      <c r="AM45" s="6">
        <f>INDEX('面板-景气指数'!$37:$242,MATCH('面板-总览'!$AI45,'面板-景气指数'!$A$37:$A$242,0),MATCH('面板-总览'!AM$2,'面板-景气指数'!$36:$36,0))</f>
        <v>0.193</v>
      </c>
      <c r="AN45" s="6">
        <f>INDEX('面板-景气指数'!$37:$242,MATCH('面板-总览'!$AI45,'面板-景气指数'!$A$37:$A$242,0),MATCH('面板-总览'!AN$2,'面板-景气指数'!$36:$36,0))</f>
        <v>0.10199999999999999</v>
      </c>
      <c r="AO45" s="6">
        <f>INDEX('面板-景气指数'!$37:$242,MATCH('面板-总览'!$AI45,'面板-景气指数'!$A$37:$A$242,0),MATCH('面板-总览'!AO$2,'面板-景气指数'!$36:$36,0))</f>
        <v>0.04</v>
      </c>
      <c r="AP45" s="6">
        <f>INDEX('面板-景气指数'!$37:$242,MATCH('面板-总览'!$AI45,'面板-景气指数'!$A$37:$A$242,0),MATCH('面板-总览'!AP$2,'面板-景气指数'!$36:$36,0))</f>
        <v>0.02</v>
      </c>
      <c r="AQ45" s="6">
        <f>INDEX('面板-景气指数'!$37:$242,MATCH('面板-总览'!$AI45,'面板-景气指数'!$A$37:$A$242,0),MATCH('面板-总览'!AQ$2,'面板-景气指数'!$36:$36,0))</f>
        <v>6.0999999999999999E-2</v>
      </c>
      <c r="AR45" s="6">
        <f>INDEX('面板-景气指数'!$37:$242,MATCH('面板-总览'!$AI45,'面板-景气指数'!$A$37:$A$242,0),MATCH('面板-总览'!AR$2,'面板-景气指数'!$36:$36,0))</f>
        <v>0.153</v>
      </c>
      <c r="AS45" s="6">
        <f>INDEX('面板-景气指数'!$37:$242,MATCH('面板-总览'!$AI45,'面板-景气指数'!$A$37:$A$242,0),MATCH('面板-总览'!AS$2,'面板-景气指数'!$36:$36,0))</f>
        <v>0.23400000000000004</v>
      </c>
      <c r="AT45" s="6">
        <f>INDEX('面板-景气指数'!$37:$242,MATCH('面板-总览'!$AI45,'面板-景气指数'!$A$37:$A$242,0),MATCH('面板-总览'!AT$2,'面板-景气指数'!$36:$36,0))</f>
        <v>0.33600000000000002</v>
      </c>
      <c r="AU45" s="6">
        <f>INDEX('面板-景气指数'!$37:$242,MATCH('面板-总览'!$AI45,'面板-景气指数'!$A$37:$A$242,0),MATCH('面板-总览'!AU$2,'面板-景气指数'!$36:$36,0))</f>
        <v>0.39700000000000002</v>
      </c>
      <c r="AV45" s="6">
        <f>INDEX('面板-景气指数'!$37:$242,MATCH('面板-总览'!$AI45,'面板-景气指数'!$A$37:$A$242,0),MATCH('面板-总览'!AV$2,'面板-景气指数'!$36:$36,0))</f>
        <v>0.41799999999999998</v>
      </c>
      <c r="AX45" s="11">
        <f t="shared" si="2"/>
        <v>0.18399999999999994</v>
      </c>
    </row>
    <row r="46" spans="1:50" ht="21" customHeight="1" x14ac:dyDescent="0.2">
      <c r="R46" s="5" t="s">
        <v>120</v>
      </c>
      <c r="S46" s="6">
        <f>INDEX('面板-景气指数'!$37:$242,MATCH('面板-总览'!$R46,'面板-景气指数'!$A$37:$A$242,0),MATCH('面板-总览'!S$2,'面板-景气指数'!$36:$36,0))</f>
        <v>0.622</v>
      </c>
      <c r="T46" s="6">
        <f>INDEX('面板-景气指数'!$37:$242,MATCH('面板-总览'!$R46,'面板-景气指数'!$A$37:$A$242,0),MATCH('面板-总览'!T$2,'面板-景气指数'!$36:$36,0))</f>
        <v>0.93799999999999994</v>
      </c>
      <c r="U46" s="6">
        <f>INDEX('面板-景气指数'!$37:$242,MATCH('面板-总览'!$R46,'面板-景气指数'!$A$37:$A$242,0),MATCH('面板-总览'!U$2,'面板-景气指数'!$36:$36,0))</f>
        <v>0.97899999999999998</v>
      </c>
      <c r="V46" s="6">
        <f>INDEX('面板-景气指数'!$37:$242,MATCH('面板-总览'!$R46,'面板-景气指数'!$A$37:$A$242,0),MATCH('面板-总览'!V$2,'面板-景气指数'!$36:$36,0))</f>
        <v>1</v>
      </c>
      <c r="W46" s="6">
        <f>INDEX('面板-景气指数'!$37:$242,MATCH('面板-总览'!$R46,'面板-景气指数'!$A$37:$A$242,0),MATCH('面板-总览'!W$2,'面板-景气指数'!$36:$36,0))</f>
        <v>0.94799999999999995</v>
      </c>
      <c r="X46" s="6">
        <f>INDEX('面板-景气指数'!$37:$242,MATCH('面板-总览'!$R46,'面板-景气指数'!$A$37:$A$242,0),MATCH('面板-总览'!X$2,'面板-景气指数'!$36:$36,0))</f>
        <v>0.95899999999999996</v>
      </c>
      <c r="Y46" s="6">
        <f>INDEX('面板-景气指数'!$37:$242,MATCH('面板-总览'!$R46,'面板-景气指数'!$A$37:$A$242,0),MATCH('面板-总览'!Y$2,'面板-景气指数'!$36:$36,0))</f>
        <v>0.92800000000000005</v>
      </c>
      <c r="Z46" s="6">
        <f>INDEX('面板-景气指数'!$37:$242,MATCH('面板-总览'!$R46,'面板-景气指数'!$A$37:$A$242,0),MATCH('面板-总览'!Z$2,'面板-景气指数'!$36:$36,0))</f>
        <v>0.96899999999999997</v>
      </c>
      <c r="AA46" s="6">
        <f>INDEX('面板-景气指数'!$37:$242,MATCH('面板-总览'!$R46,'面板-景气指数'!$A$37:$A$242,0),MATCH('面板-总览'!AA$2,'面板-景气指数'!$36:$36,0))</f>
        <v>0.98899999999999999</v>
      </c>
      <c r="AB46" s="6">
        <f>INDEX('面板-景气指数'!$37:$242,MATCH('面板-总览'!$R46,'面板-景气指数'!$A$37:$A$242,0),MATCH('面板-总览'!AB$2,'面板-景气指数'!$36:$36,0))</f>
        <v>0.90800000000000003</v>
      </c>
      <c r="AC46" s="6">
        <f>INDEX('面板-景气指数'!$37:$242,MATCH('面板-总览'!$R46,'面板-景气指数'!$A$37:$A$242,0),MATCH('面板-总览'!AC$2,'面板-景气指数'!$36:$36,0))</f>
        <v>0.877</v>
      </c>
      <c r="AD46" s="6">
        <f>INDEX('面板-景气指数'!$37:$242,MATCH('面板-总览'!$R46,'面板-景气指数'!$A$37:$A$242,0),MATCH('面板-总览'!AD$2,'面板-景气指数'!$36:$36,0))</f>
        <v>0.80600000000000005</v>
      </c>
      <c r="AE46" s="6">
        <f>INDEX('面板-景气指数'!$37:$242,MATCH('面板-总览'!$R46,'面板-景气指数'!$A$37:$A$242,0),MATCH('面板-总览'!AE$2,'面板-景气指数'!$36:$36,0))</f>
        <v>0.91800000000000004</v>
      </c>
      <c r="AG46" s="11">
        <f t="shared" si="1"/>
        <v>1.0000000000000009E-2</v>
      </c>
      <c r="AI46" s="5" t="s">
        <v>121</v>
      </c>
      <c r="AJ46" s="6">
        <f>INDEX('面板-景气指数'!$37:$242,MATCH('面板-总览'!$AI46,'面板-景气指数'!$A$37:$A$242,0),MATCH('面板-总览'!AJ$2,'面板-景气指数'!$36:$36,0))</f>
        <v>0.46399999999999997</v>
      </c>
      <c r="AK46" s="6">
        <f>INDEX('面板-景气指数'!$37:$242,MATCH('面板-总览'!$AI46,'面板-景气指数'!$A$37:$A$242,0),MATCH('面板-总览'!AK$2,'面板-景气指数'!$36:$36,0))</f>
        <v>0.35649999999999998</v>
      </c>
      <c r="AL46" s="6">
        <f>INDEX('面板-景气指数'!$37:$242,MATCH('面板-总览'!$AI46,'面板-景气指数'!$A$37:$A$242,0),MATCH('面板-总览'!AL$2,'面板-景气指数'!$36:$36,0))</f>
        <v>0.27999999999999997</v>
      </c>
      <c r="AM46" s="6">
        <f>INDEX('面板-景气指数'!$37:$242,MATCH('面板-总览'!$AI46,'面板-景气指数'!$A$37:$A$242,0),MATCH('面板-总览'!AM$2,'面板-景气指数'!$36:$36,0))</f>
        <v>0.20899999999999999</v>
      </c>
      <c r="AN46" s="6">
        <f>INDEX('面板-景气指数'!$37:$242,MATCH('面板-总览'!$AI46,'面板-景气指数'!$A$37:$A$242,0),MATCH('面板-总览'!AN$2,'面板-景气指数'!$36:$36,0))</f>
        <v>0.14199999999999999</v>
      </c>
      <c r="AO46" s="6">
        <f>INDEX('面板-景气指数'!$37:$242,MATCH('面板-总览'!$AI46,'面板-景气指数'!$A$37:$A$242,0),MATCH('面板-总览'!AO$2,'面板-景气指数'!$36:$36,0))</f>
        <v>0.153</v>
      </c>
      <c r="AP46" s="6">
        <f>INDEX('面板-景气指数'!$37:$242,MATCH('面板-总览'!$AI46,'面板-景气指数'!$A$37:$A$242,0),MATCH('面板-总览'!AP$2,'面板-景气指数'!$36:$36,0))</f>
        <v>9.6500000000000002E-2</v>
      </c>
      <c r="AQ46" s="6">
        <f>INDEX('面板-景气指数'!$37:$242,MATCH('面板-总览'!$AI46,'面板-景气指数'!$A$37:$A$242,0),MATCH('面板-总览'!AQ$2,'面板-景气指数'!$36:$36,0))</f>
        <v>0.14749999999999999</v>
      </c>
      <c r="AR46" s="6">
        <f>INDEX('面板-景气指数'!$37:$242,MATCH('面板-总览'!$AI46,'面板-景气指数'!$A$37:$A$242,0),MATCH('面板-总览'!AR$2,'面板-景气指数'!$36:$36,0))</f>
        <v>0.23899999999999996</v>
      </c>
      <c r="AS46" s="6">
        <f>INDEX('面板-景气指数'!$37:$242,MATCH('面板-总览'!$AI46,'面板-景气指数'!$A$37:$A$242,0),MATCH('面板-总览'!AS$2,'面板-景气指数'!$36:$36,0))</f>
        <v>0.28549999999999998</v>
      </c>
      <c r="AT46" s="6">
        <f>INDEX('面板-景气指数'!$37:$242,MATCH('面板-总览'!$AI46,'面板-景气指数'!$A$37:$A$242,0),MATCH('面板-总览'!AT$2,'面板-景气指数'!$36:$36,0))</f>
        <v>0.29000000000000004</v>
      </c>
      <c r="AU46" s="6">
        <f>INDEX('面板-景气指数'!$37:$242,MATCH('面板-总览'!$AI46,'面板-景气指数'!$A$37:$A$242,0),MATCH('面板-总览'!AU$2,'面板-景气指数'!$36:$36,0))</f>
        <v>0.13200000000000003</v>
      </c>
      <c r="AV46" s="6">
        <f>INDEX('面板-景气指数'!$37:$242,MATCH('面板-总览'!$AI46,'面板-景气指数'!$A$37:$A$242,0),MATCH('面板-总览'!AV$2,'面板-景气指数'!$36:$36,0))</f>
        <v>0.1575</v>
      </c>
      <c r="AX46" s="11">
        <f t="shared" si="2"/>
        <v>-0.12799999999999997</v>
      </c>
    </row>
    <row r="47" spans="1:50" ht="21" customHeight="1" x14ac:dyDescent="0.2">
      <c r="R47" s="5" t="s">
        <v>122</v>
      </c>
      <c r="S47" s="6">
        <f>INDEX('面板-景气指数'!$37:$242,MATCH('面板-总览'!$R47,'面板-景气指数'!$A$37:$A$242,0),MATCH('面板-总览'!S$2,'面板-景气指数'!$36:$36,0))</f>
        <v>0.60199999999999998</v>
      </c>
      <c r="T47" s="6">
        <f>INDEX('面板-景气指数'!$37:$242,MATCH('面板-总览'!$R47,'面板-景气指数'!$A$37:$A$242,0),MATCH('面板-总览'!T$2,'面板-景气指数'!$36:$36,0))</f>
        <v>0.60199999999999998</v>
      </c>
      <c r="U47" s="6">
        <f>INDEX('面板-景气指数'!$37:$242,MATCH('面板-总览'!$R47,'面板-景气指数'!$A$37:$A$242,0),MATCH('面板-总览'!U$2,'面板-景气指数'!$36:$36,0))</f>
        <v>0.60199999999999998</v>
      </c>
      <c r="V47" s="6">
        <f>INDEX('面板-景气指数'!$37:$242,MATCH('面板-总览'!$R47,'面板-景气指数'!$A$37:$A$242,0),MATCH('面板-总览'!V$2,'面板-景气指数'!$36:$36,0))</f>
        <v>0.60199999999999998</v>
      </c>
      <c r="W47" s="6">
        <f>INDEX('面板-景气指数'!$37:$242,MATCH('面板-总览'!$R47,'面板-景气指数'!$A$37:$A$242,0),MATCH('面板-总览'!W$2,'面板-景气指数'!$36:$36,0))</f>
        <v>0.60199999999999998</v>
      </c>
      <c r="X47" s="6">
        <f>INDEX('面板-景气指数'!$37:$242,MATCH('面板-总览'!$R47,'面板-景气指数'!$A$37:$A$242,0),MATCH('面板-总览'!X$2,'面板-景气指数'!$36:$36,0))</f>
        <v>0.60199999999999998</v>
      </c>
      <c r="Y47" s="6">
        <f>INDEX('面板-景气指数'!$37:$242,MATCH('面板-总览'!$R47,'面板-景气指数'!$A$37:$A$242,0),MATCH('面板-总览'!Y$2,'面板-景气指数'!$36:$36,0))</f>
        <v>0.60199999999999998</v>
      </c>
      <c r="Z47" s="6">
        <f>INDEX('面板-景气指数'!$37:$242,MATCH('面板-总览'!$R47,'面板-景气指数'!$A$37:$A$242,0),MATCH('面板-总览'!Z$2,'面板-景气指数'!$36:$36,0))</f>
        <v>0.60199999999999998</v>
      </c>
      <c r="AA47" s="6">
        <f>INDEX('面板-景气指数'!$37:$242,MATCH('面板-总览'!$R47,'面板-景气指数'!$A$37:$A$242,0),MATCH('面板-总览'!AA$2,'面板-景气指数'!$36:$36,0))</f>
        <v>0.60199999999999998</v>
      </c>
      <c r="AB47" s="6">
        <f>INDEX('面板-景气指数'!$37:$242,MATCH('面板-总览'!$R47,'面板-景气指数'!$A$37:$A$242,0),MATCH('面板-总览'!AB$2,'面板-景气指数'!$36:$36,0))</f>
        <v>0.60199999999999998</v>
      </c>
      <c r="AC47" s="6">
        <f>INDEX('面板-景气指数'!$37:$242,MATCH('面板-总览'!$R47,'面板-景气指数'!$A$37:$A$242,0),MATCH('面板-总览'!AC$2,'面板-景气指数'!$36:$36,0))</f>
        <v>0.60199999999999998</v>
      </c>
      <c r="AD47" s="6">
        <f>INDEX('面板-景气指数'!$37:$242,MATCH('面板-总览'!$R47,'面板-景气指数'!$A$37:$A$242,0),MATCH('面板-总览'!AD$2,'面板-景气指数'!$36:$36,0))</f>
        <v>0.60199999999999998</v>
      </c>
      <c r="AE47" s="6">
        <f>INDEX('面板-景气指数'!$37:$242,MATCH('面板-总览'!$R47,'面板-景气指数'!$A$37:$A$242,0),MATCH('面板-总览'!AE$2,'面板-景气指数'!$36:$36,0))</f>
        <v>0.60199999999999998</v>
      </c>
      <c r="AG47" s="11">
        <f t="shared" si="1"/>
        <v>0</v>
      </c>
      <c r="AI47" s="5" t="s">
        <v>123</v>
      </c>
      <c r="AJ47" s="6">
        <f>INDEX('面板-景气指数'!$37:$242,MATCH('面板-总览'!$AI47,'面板-景气指数'!$A$37:$A$242,0),MATCH('面板-总览'!AJ$2,'面板-景气指数'!$36:$36,0))</f>
        <v>0.03</v>
      </c>
      <c r="AK47" s="6">
        <f>INDEX('面板-景气指数'!$37:$242,MATCH('面板-总览'!$AI47,'面板-景气指数'!$A$37:$A$242,0),MATCH('面板-总览'!AK$2,'面板-景气指数'!$36:$36,0))</f>
        <v>0.02</v>
      </c>
      <c r="AL47" s="6">
        <f>INDEX('面板-景气指数'!$37:$242,MATCH('面板-总览'!$AI47,'面板-景气指数'!$A$37:$A$242,0),MATCH('面板-总览'!AL$2,'面板-景气指数'!$36:$36,0))</f>
        <v>5.0999999999999997E-2</v>
      </c>
      <c r="AM47" s="6">
        <f>INDEX('面板-景气指数'!$37:$242,MATCH('面板-总览'!$AI47,'面板-景气指数'!$A$37:$A$242,0),MATCH('面板-总览'!AM$2,'面板-景气指数'!$36:$36,0))</f>
        <v>7.0999999999999994E-2</v>
      </c>
      <c r="AN47" s="6">
        <f>INDEX('面板-景气指数'!$37:$242,MATCH('面板-总览'!$AI47,'面板-景气指数'!$A$37:$A$242,0),MATCH('面板-总览'!AN$2,'面板-景气指数'!$36:$36,0))</f>
        <v>0.11199999999999999</v>
      </c>
      <c r="AO47" s="6">
        <f>INDEX('面板-景气指数'!$37:$242,MATCH('面板-总览'!$AI47,'面板-景气指数'!$A$37:$A$242,0),MATCH('面板-总览'!AO$2,'面板-景气指数'!$36:$36,0))</f>
        <v>0.122</v>
      </c>
      <c r="AP47" s="6">
        <f>INDEX('面板-景气指数'!$37:$242,MATCH('面板-总览'!$AI47,'面板-景气指数'!$A$37:$A$242,0),MATCH('面板-总览'!AP$2,'面板-景气指数'!$36:$36,0))</f>
        <v>0.27500000000000002</v>
      </c>
      <c r="AQ47" s="6">
        <f>INDEX('面板-景气指数'!$37:$242,MATCH('面板-总览'!$AI47,'面板-景气指数'!$A$37:$A$242,0),MATCH('面板-总览'!AQ$2,'面板-景气指数'!$36:$36,0))</f>
        <v>0.44799999999999995</v>
      </c>
      <c r="AR47" s="6">
        <f>INDEX('面板-景气指数'!$37:$242,MATCH('面板-总览'!$AI47,'面板-景气指数'!$A$37:$A$242,0),MATCH('面板-总览'!AR$2,'面板-景气指数'!$36:$36,0))</f>
        <v>0.67300000000000004</v>
      </c>
      <c r="AS47" s="6">
        <f>INDEX('面板-景气指数'!$37:$242,MATCH('面板-总览'!$AI47,'面板-景气指数'!$A$37:$A$242,0),MATCH('面板-总览'!AS$2,'面板-景气指数'!$36:$36,0))</f>
        <v>0.622</v>
      </c>
      <c r="AT47" s="6">
        <f>INDEX('面板-景气指数'!$37:$242,MATCH('面板-总览'!$AI47,'面板-景气指数'!$A$37:$A$242,0),MATCH('面板-总览'!AT$2,'面板-景气指数'!$36:$36,0))</f>
        <v>0.75500000000000012</v>
      </c>
      <c r="AU47" s="6">
        <f>INDEX('面板-景气指数'!$37:$242,MATCH('面板-总览'!$AI47,'面板-景气指数'!$A$37:$A$242,0),MATCH('面板-总览'!AU$2,'面板-景气指数'!$36:$36,0))</f>
        <v>0.87700000000000011</v>
      </c>
      <c r="AV47" s="6">
        <f>INDEX('面板-景气指数'!$37:$242,MATCH('面板-总览'!$AI47,'面板-景气指数'!$A$37:$A$242,0),MATCH('面板-总览'!AV$2,'面板-景气指数'!$36:$36,0))</f>
        <v>0.87700000000000011</v>
      </c>
      <c r="AX47" s="11">
        <f t="shared" si="2"/>
        <v>0.25500000000000012</v>
      </c>
    </row>
    <row r="48" spans="1:50" ht="21" customHeight="1" x14ac:dyDescent="0.2">
      <c r="R48" s="5" t="s">
        <v>124</v>
      </c>
      <c r="S48" s="6">
        <f>INDEX('面板-景气指数'!$37:$242,MATCH('面板-总览'!$R48,'面板-景气指数'!$A$37:$A$242,0),MATCH('面板-总览'!S$2,'面板-景气指数'!$36:$36,0))</f>
        <v>0.54600000000000004</v>
      </c>
      <c r="T48" s="6">
        <f>INDEX('面板-景气指数'!$37:$242,MATCH('面板-总览'!$R48,'面板-景气指数'!$A$37:$A$242,0),MATCH('面板-总览'!T$2,'面板-景气指数'!$36:$36,0))</f>
        <v>0.85299999999999998</v>
      </c>
      <c r="U48" s="6">
        <f>INDEX('面板-景气指数'!$37:$242,MATCH('面板-总览'!$R48,'面板-景气指数'!$A$37:$A$242,0),MATCH('面板-总览'!U$2,'面板-景气指数'!$36:$36,0))</f>
        <v>0.90600000000000003</v>
      </c>
      <c r="V48" s="6">
        <f>INDEX('面板-景气指数'!$37:$242,MATCH('面板-总览'!$R48,'面板-景气指数'!$A$37:$A$242,0),MATCH('面板-总览'!V$2,'面板-景气指数'!$36:$36,0))</f>
        <v>0.86599999999999999</v>
      </c>
      <c r="W48" s="6">
        <f>INDEX('面板-景气指数'!$37:$242,MATCH('面板-总览'!$R48,'面板-景气指数'!$A$37:$A$242,0),MATCH('面板-总览'!W$2,'面板-景气指数'!$36:$36,0))</f>
        <v>0.8</v>
      </c>
      <c r="X48" s="6">
        <f>INDEX('面板-景气指数'!$37:$242,MATCH('面板-总览'!$R48,'面板-景气指数'!$A$37:$A$242,0),MATCH('面板-总览'!X$2,'面板-景气指数'!$36:$36,0))</f>
        <v>0.69299999999999995</v>
      </c>
      <c r="Y48" s="6">
        <f>INDEX('面板-景气指数'!$37:$242,MATCH('面板-总览'!$R48,'面板-景气指数'!$A$37:$A$242,0),MATCH('面板-总览'!Y$2,'面板-景气指数'!$36:$36,0))</f>
        <v>0.69299999999999995</v>
      </c>
      <c r="Z48" s="6">
        <f>INDEX('面板-景气指数'!$37:$242,MATCH('面板-总览'!$R48,'面板-景气指数'!$A$37:$A$242,0),MATCH('面板-总览'!Z$2,'面板-景气指数'!$36:$36,0))</f>
        <v>0.69299999999999995</v>
      </c>
      <c r="AA48" s="6">
        <f>INDEX('面板-景气指数'!$37:$242,MATCH('面板-总览'!$R48,'面板-景气指数'!$A$37:$A$242,0),MATCH('面板-总览'!AA$2,'面板-景气指数'!$36:$36,0))</f>
        <v>0.69299999999999995</v>
      </c>
      <c r="AB48" s="6">
        <f>INDEX('面板-景气指数'!$37:$242,MATCH('面板-总览'!$R48,'面板-景气指数'!$A$37:$A$242,0),MATCH('面板-总览'!AB$2,'面板-景气指数'!$36:$36,0))</f>
        <v>0.69299999999999995</v>
      </c>
      <c r="AC48" s="6">
        <f>INDEX('面板-景气指数'!$37:$242,MATCH('面板-总览'!$R48,'面板-景气指数'!$A$37:$A$242,0),MATCH('面板-总览'!AC$2,'面板-景气指数'!$36:$36,0))</f>
        <v>0.69299999999999995</v>
      </c>
      <c r="AD48" s="6">
        <f>INDEX('面板-景气指数'!$37:$242,MATCH('面板-总览'!$R48,'面板-景气指数'!$A$37:$A$242,0),MATCH('面板-总览'!AD$2,'面板-景气指数'!$36:$36,0))</f>
        <v>0.69299999999999995</v>
      </c>
      <c r="AE48" s="6">
        <f>INDEX('面板-景气指数'!$37:$242,MATCH('面板-总览'!$R48,'面板-景气指数'!$A$37:$A$242,0),MATCH('面板-总览'!AE$2,'面板-景气指数'!$36:$36,0))</f>
        <v>0.69299999999999995</v>
      </c>
      <c r="AG48" s="11">
        <f t="shared" si="1"/>
        <v>0</v>
      </c>
      <c r="AI48" s="5" t="s">
        <v>125</v>
      </c>
      <c r="AJ48" s="6">
        <f>INDEX('面板-景气指数'!$37:$242,MATCH('面板-总览'!$AI48,'面板-景气指数'!$A$37:$A$242,0),MATCH('面板-总览'!AJ$2,'面板-景气指数'!$36:$36,0))</f>
        <v>0.16549999999999998</v>
      </c>
      <c r="AK48" s="6">
        <f>INDEX('面板-景气指数'!$37:$242,MATCH('面板-总览'!$AI48,'面板-景气指数'!$A$37:$A$242,0),MATCH('面板-总览'!AK$2,'面板-景气指数'!$36:$36,0))</f>
        <v>0.14549999999999999</v>
      </c>
      <c r="AL48" s="6">
        <f>INDEX('面板-景气指数'!$37:$242,MATCH('面板-总览'!$AI48,'面板-景气指数'!$A$37:$A$242,0),MATCH('面板-总览'!AL$2,'面板-景气指数'!$36:$36,0))</f>
        <v>0.17100000000000001</v>
      </c>
      <c r="AM48" s="6">
        <f>INDEX('面板-景气指数'!$37:$242,MATCH('面板-总览'!$AI48,'面板-景气指数'!$A$37:$A$242,0),MATCH('面板-总览'!AM$2,'面板-景气指数'!$36:$36,0))</f>
        <v>0.20749999999999999</v>
      </c>
      <c r="AN48" s="6">
        <f>INDEX('面板-景气指数'!$37:$242,MATCH('面板-总览'!$AI48,'面板-景气指数'!$A$37:$A$242,0),MATCH('面板-总览'!AN$2,'面板-景气指数'!$36:$36,0))</f>
        <v>0.30475000000000002</v>
      </c>
      <c r="AO48" s="6">
        <f>INDEX('面板-景气指数'!$37:$242,MATCH('面板-总览'!$AI48,'面板-景气指数'!$A$37:$A$242,0),MATCH('面板-总览'!AO$2,'面板-景气指数'!$36:$36,0))</f>
        <v>0.34025000000000005</v>
      </c>
      <c r="AP48" s="6">
        <f>INDEX('面板-景气指数'!$37:$242,MATCH('面板-总览'!$AI48,'面板-景气指数'!$A$37:$A$242,0),MATCH('面板-总览'!AP$2,'面板-景气指数'!$36:$36,0))</f>
        <v>0.41399999999999998</v>
      </c>
      <c r="AQ48" s="6">
        <f>INDEX('面板-景气指数'!$37:$242,MATCH('面板-总览'!$AI48,'面板-景气指数'!$A$37:$A$242,0),MATCH('面板-总览'!AQ$2,'面板-景气指数'!$36:$36,0))</f>
        <v>0.47875000000000001</v>
      </c>
      <c r="AR48" s="6">
        <f>INDEX('面板-景气指数'!$37:$242,MATCH('面板-总览'!$AI48,'面板-景气指数'!$A$37:$A$242,0),MATCH('面板-总览'!AR$2,'面板-景气指数'!$36:$36,0))</f>
        <v>0.56199999999999994</v>
      </c>
      <c r="AS48" s="6">
        <f>INDEX('面板-景气指数'!$37:$242,MATCH('面板-总览'!$AI48,'面板-景气指数'!$A$37:$A$242,0),MATCH('面板-总览'!AS$2,'面板-景气指数'!$36:$36,0))</f>
        <v>0.63475000000000004</v>
      </c>
      <c r="AT48" s="6">
        <f>INDEX('面板-景气指数'!$37:$242,MATCH('面板-总览'!$AI48,'面板-景气指数'!$A$37:$A$242,0),MATCH('面板-总览'!AT$2,'面板-景气指数'!$36:$36,0))</f>
        <v>0.65024999999999999</v>
      </c>
      <c r="AU48" s="6">
        <f>INDEX('面板-景气指数'!$37:$242,MATCH('面板-总览'!$AI48,'面板-景气指数'!$A$37:$A$242,0),MATCH('面板-总览'!AU$2,'面板-景气指数'!$36:$36,0))</f>
        <v>0.70099999999999996</v>
      </c>
      <c r="AV48" s="6">
        <f>INDEX('面板-景气指数'!$37:$242,MATCH('面板-总览'!$AI48,'面板-景气指数'!$A$37:$A$242,0),MATCH('面板-总览'!AV$2,'面板-景气指数'!$36:$36,0))</f>
        <v>0.69099999999999995</v>
      </c>
      <c r="AX48" s="11">
        <f t="shared" si="2"/>
        <v>5.6249999999999911E-2</v>
      </c>
    </row>
    <row r="49" spans="18:50" ht="21" customHeight="1" x14ac:dyDescent="0.2">
      <c r="R49" s="5" t="s">
        <v>126</v>
      </c>
      <c r="S49" s="6">
        <f>INDEX('面板-景气指数'!$37:$242,MATCH('面板-总览'!$R49,'面板-景气指数'!$A$37:$A$242,0),MATCH('面板-总览'!S$2,'面板-景气指数'!$36:$36,0))</f>
        <v>0.63200000000000001</v>
      </c>
      <c r="T49" s="6">
        <f>INDEX('面板-景气指数'!$37:$242,MATCH('面板-总览'!$R49,'面板-景气指数'!$A$37:$A$242,0),MATCH('面板-总览'!T$2,'面板-景气指数'!$36:$36,0))</f>
        <v>0.67300000000000004</v>
      </c>
      <c r="U49" s="6">
        <f>INDEX('面板-景气指数'!$37:$242,MATCH('面板-总览'!$R49,'面板-景气指数'!$A$37:$A$242,0),MATCH('面板-总览'!U$2,'面板-景气指数'!$36:$36,0))</f>
        <v>0.70399999999999996</v>
      </c>
      <c r="V49" s="6">
        <f>INDEX('面板-景气指数'!$37:$242,MATCH('面板-总览'!$R49,'面板-景气指数'!$A$37:$A$242,0),MATCH('面板-总览'!V$2,'面板-景气指数'!$36:$36,0))</f>
        <v>0.71399999999999997</v>
      </c>
      <c r="W49" s="6">
        <f>INDEX('面板-景气指数'!$37:$242,MATCH('面板-总览'!$R49,'面板-景气指数'!$A$37:$A$242,0),MATCH('面板-总览'!W$2,'面板-景气指数'!$36:$36,0))</f>
        <v>0.66300000000000003</v>
      </c>
      <c r="X49" s="6">
        <f>INDEX('面板-景气指数'!$37:$242,MATCH('面板-总览'!$R49,'面板-景气指数'!$A$37:$A$242,0),MATCH('面板-总览'!X$2,'面板-景气指数'!$36:$36,0))</f>
        <v>0.58099999999999996</v>
      </c>
      <c r="Y49" s="6">
        <f>INDEX('面板-景气指数'!$37:$242,MATCH('面板-总览'!$R49,'面板-景气指数'!$A$37:$A$242,0),MATCH('面板-总览'!Y$2,'面板-景气指数'!$36:$36,0))</f>
        <v>0.51</v>
      </c>
      <c r="Z49" s="6">
        <f>INDEX('面板-景气指数'!$37:$242,MATCH('面板-总览'!$R49,'面板-景气指数'!$A$37:$A$242,0),MATCH('面板-总览'!Z$2,'面板-景气指数'!$36:$36,0))</f>
        <v>0.46899999999999997</v>
      </c>
      <c r="AA49" s="6">
        <f>INDEX('面板-景气指数'!$37:$242,MATCH('面板-总览'!$R49,'面板-景气指数'!$A$37:$A$242,0),MATCH('面板-总览'!AA$2,'面板-景气指数'!$36:$36,0))</f>
        <v>0.41800000000000004</v>
      </c>
      <c r="AB49" s="6">
        <f>INDEX('面板-景气指数'!$37:$242,MATCH('面板-总览'!$R49,'面板-景气指数'!$A$37:$A$242,0),MATCH('面板-总览'!AB$2,'面板-景气指数'!$36:$36,0))</f>
        <v>0.38700000000000001</v>
      </c>
      <c r="AC49" s="6">
        <f>INDEX('面板-景气指数'!$37:$242,MATCH('面板-总览'!$R49,'面板-景气指数'!$A$37:$A$242,0),MATCH('面板-总览'!AC$2,'面板-景气指数'!$36:$36,0))</f>
        <v>0.21400000000000002</v>
      </c>
      <c r="AD49" s="6">
        <f>INDEX('面板-景气指数'!$37:$242,MATCH('面板-总览'!$R49,'面板-景气指数'!$A$37:$A$242,0),MATCH('面板-总览'!AD$2,'面板-景气指数'!$36:$36,0))</f>
        <v>0.17299999999999999</v>
      </c>
      <c r="AE49" s="6">
        <f>INDEX('面板-景气指数'!$37:$242,MATCH('面板-总览'!$R49,'面板-景气指数'!$A$37:$A$242,0),MATCH('面板-总览'!AE$2,'面板-景气指数'!$36:$36,0))</f>
        <v>0.16300000000000001</v>
      </c>
      <c r="AG49" s="11">
        <f t="shared" si="1"/>
        <v>-0.224</v>
      </c>
      <c r="AI49" s="5" t="s">
        <v>127</v>
      </c>
      <c r="AJ49" s="6">
        <f>INDEX('面板-景气指数'!$37:$242,MATCH('面板-总览'!$AI49,'面板-景气指数'!$A$37:$A$242,0),MATCH('面板-总览'!AJ$2,'面板-景气指数'!$36:$36,0))</f>
        <v>8.1000000000000003E-2</v>
      </c>
      <c r="AK49" s="6">
        <f>INDEX('面板-景气指数'!$37:$242,MATCH('面板-总览'!$AI49,'面板-景气指数'!$A$37:$A$242,0),MATCH('面板-总览'!AK$2,'面板-景气指数'!$36:$36,0))</f>
        <v>0</v>
      </c>
      <c r="AL49" s="6">
        <f>INDEX('面板-景气指数'!$37:$242,MATCH('面板-总览'!$AI49,'面板-景气指数'!$A$37:$A$242,0),MATCH('面板-总览'!AL$2,'面板-景气指数'!$36:$36,0))</f>
        <v>0.02</v>
      </c>
      <c r="AM49" s="6">
        <f>INDEX('面板-景气指数'!$37:$242,MATCH('面板-总览'!$AI49,'面板-景气指数'!$A$37:$A$242,0),MATCH('面板-总览'!AM$2,'面板-景气指数'!$36:$36,0))</f>
        <v>9.0999999999999998E-2</v>
      </c>
      <c r="AN49" s="6">
        <f>INDEX('面板-景气指数'!$37:$242,MATCH('面板-总览'!$AI49,'面板-景气指数'!$A$37:$A$242,0),MATCH('面板-总览'!AN$2,'面板-景气指数'!$36:$36,0))</f>
        <v>5.0999999999999997E-2</v>
      </c>
      <c r="AO49" s="6">
        <f>INDEX('面板-景气指数'!$37:$242,MATCH('面板-总览'!$AI49,'面板-景气指数'!$A$37:$A$242,0),MATCH('面板-总览'!AO$2,'面板-景气指数'!$36:$36,0))</f>
        <v>7.0999999999999994E-2</v>
      </c>
      <c r="AP49" s="6">
        <f>INDEX('面板-景气指数'!$37:$242,MATCH('面板-总览'!$AI49,'面板-景气指数'!$A$37:$A$242,0),MATCH('面板-总览'!AP$2,'面板-景气指数'!$36:$36,0))</f>
        <v>0.13200000000000001</v>
      </c>
      <c r="AQ49" s="6">
        <f>INDEX('面板-景气指数'!$37:$242,MATCH('面板-总览'!$AI49,'面板-景气指数'!$A$37:$A$242,0),MATCH('面板-总览'!AQ$2,'面板-景气指数'!$36:$36,0))</f>
        <v>0.153</v>
      </c>
      <c r="AR49" s="6">
        <f>INDEX('面板-景气指数'!$37:$242,MATCH('面板-总览'!$AI49,'面板-景气指数'!$A$37:$A$242,0),MATCH('面板-总览'!AR$2,'面板-景气指数'!$36:$36,0))</f>
        <v>0.193</v>
      </c>
      <c r="AS49" s="6">
        <f>INDEX('面板-景气指数'!$37:$242,MATCH('面板-总览'!$AI49,'面板-景气指数'!$A$37:$A$242,0),MATCH('面板-总览'!AS$2,'面板-景气指数'!$36:$36,0))</f>
        <v>0.11199999999999999</v>
      </c>
      <c r="AT49" s="6">
        <f>INDEX('面板-景气指数'!$37:$242,MATCH('面板-总览'!$AI49,'面板-景气指数'!$A$37:$A$242,0),MATCH('面板-总览'!AT$2,'面板-景气指数'!$36:$36,0))</f>
        <v>0.22399999999999998</v>
      </c>
      <c r="AU49" s="6">
        <f>INDEX('面板-景气指数'!$37:$242,MATCH('面板-总览'!$AI49,'面板-景气指数'!$A$37:$A$242,0),MATCH('面板-总览'!AU$2,'面板-景气指数'!$36:$36,0))</f>
        <v>0.46899999999999997</v>
      </c>
      <c r="AV49" s="6">
        <f>INDEX('面板-景气指数'!$37:$242,MATCH('面板-总览'!$AI49,'面板-景气指数'!$A$37:$A$242,0),MATCH('面板-总览'!AV$2,'面板-景气指数'!$36:$36,0))</f>
        <v>0.46899999999999997</v>
      </c>
      <c r="AX49" s="11">
        <f t="shared" si="2"/>
        <v>0.35699999999999998</v>
      </c>
    </row>
    <row r="50" spans="18:50" ht="21" customHeight="1" x14ac:dyDescent="0.2">
      <c r="R50" s="5" t="s">
        <v>128</v>
      </c>
      <c r="S50" s="6">
        <f>INDEX('面板-景气指数'!$37:$242,MATCH('面板-总览'!$R50,'面板-景气指数'!$A$37:$A$242,0),MATCH('面板-总览'!S$2,'面板-景气指数'!$36:$36,0))</f>
        <v>0.27536063245822645</v>
      </c>
      <c r="T50" s="6">
        <f>INDEX('面板-景气指数'!$37:$242,MATCH('面板-总览'!$R50,'面板-景气指数'!$A$37:$A$242,0),MATCH('面板-总览'!T$2,'面板-景气指数'!$36:$36,0))</f>
        <v>0.40415773975771607</v>
      </c>
      <c r="U50" s="6">
        <f>INDEX('面板-景气指数'!$37:$242,MATCH('面板-总览'!$R50,'面板-景气指数'!$A$37:$A$242,0),MATCH('面板-总览'!U$2,'面板-景气指数'!$36:$36,0))</f>
        <v>0.4437776268032938</v>
      </c>
      <c r="V50" s="6">
        <f>INDEX('面板-景气指数'!$37:$242,MATCH('面板-总览'!$R50,'面板-景气指数'!$A$37:$A$242,0),MATCH('面板-总览'!V$2,'面板-景气指数'!$36:$36,0))</f>
        <v>0.42356205646278811</v>
      </c>
      <c r="W50" s="6">
        <f>INDEX('面板-景气指数'!$37:$242,MATCH('面板-总览'!$R50,'面板-景气指数'!$A$37:$A$242,0),MATCH('面板-总览'!W$2,'面板-景气指数'!$36:$36,0))</f>
        <v>0.37820122036929577</v>
      </c>
      <c r="X50" s="6">
        <f>INDEX('面板-景气指数'!$37:$242,MATCH('面板-总览'!$R50,'面板-景气指数'!$A$37:$A$242,0),MATCH('面板-总览'!X$2,'面板-景气指数'!$36:$36,0))</f>
        <v>0.38075683619445333</v>
      </c>
      <c r="Y50" s="6">
        <f>INDEX('面板-景气指数'!$37:$242,MATCH('面板-总览'!$R50,'面板-景气指数'!$A$37:$A$242,0),MATCH('面板-总览'!Y$2,'面板-景气指数'!$36:$36,0))</f>
        <v>0.42053947999139091</v>
      </c>
      <c r="Z50" s="6">
        <f>INDEX('面板-景气指数'!$37:$242,MATCH('面板-总览'!$R50,'面板-景气指数'!$A$37:$A$242,0),MATCH('面板-总览'!Z$2,'面板-景气指数'!$36:$36,0))</f>
        <v>0.44098081324299399</v>
      </c>
      <c r="AA50" s="6">
        <f>INDEX('面板-景气指数'!$37:$242,MATCH('面板-总览'!$R50,'面板-景气指数'!$A$37:$A$242,0),MATCH('面板-总览'!AA$2,'面板-景气指数'!$36:$36,0))</f>
        <v>0.42206632739474848</v>
      </c>
      <c r="AB50" s="6">
        <f>INDEX('面板-景气指数'!$37:$242,MATCH('面板-总览'!$R50,'面板-景气指数'!$A$37:$A$242,0),MATCH('面板-总览'!AB$2,'面板-景气指数'!$36:$36,0))</f>
        <v>0.4339321804818847</v>
      </c>
      <c r="AC50" s="6">
        <f>INDEX('面板-景气指数'!$37:$242,MATCH('面板-总览'!$R50,'面板-景气指数'!$A$37:$A$242,0),MATCH('面板-总览'!AC$2,'面板-景气指数'!$36:$36,0))</f>
        <v>0.49494890379403078</v>
      </c>
      <c r="AD50" s="6">
        <f>INDEX('面板-景气指数'!$37:$242,MATCH('面板-总览'!$R50,'面板-景气指数'!$A$37:$A$242,0),MATCH('面板-总览'!AD$2,'面板-景气指数'!$36:$36,0))</f>
        <v>0.51405369480671514</v>
      </c>
      <c r="AE50" s="6">
        <f>INDEX('面板-景气指数'!$37:$242,MATCH('面板-总览'!$R50,'面板-景气指数'!$A$37:$A$242,0),MATCH('面板-总览'!AE$2,'面板-景气指数'!$36:$36,0))</f>
        <v>0.52309367217256164</v>
      </c>
      <c r="AG50" s="11">
        <f t="shared" si="1"/>
        <v>8.9161491690676942E-2</v>
      </c>
      <c r="AI50" s="5" t="s">
        <v>129</v>
      </c>
      <c r="AJ50" s="6">
        <f>INDEX('面板-景气指数'!$37:$242,MATCH('面板-总览'!$AI50,'面板-景气指数'!$A$37:$A$242,0),MATCH('面板-总览'!AJ$2,'面板-景气指数'!$36:$36,0))</f>
        <v>0.122</v>
      </c>
      <c r="AK50" s="6">
        <f>INDEX('面板-景气指数'!$37:$242,MATCH('面板-总览'!$AI50,'面板-景气指数'!$A$37:$A$242,0),MATCH('面板-总览'!AK$2,'面板-景气指数'!$36:$36,0))</f>
        <v>9.0999999999999998E-2</v>
      </c>
      <c r="AL50" s="6">
        <f>INDEX('面板-景气指数'!$37:$242,MATCH('面板-总览'!$AI50,'面板-景气指数'!$A$37:$A$242,0),MATCH('面板-总览'!AL$2,'面板-景气指数'!$36:$36,0))</f>
        <v>8.1000000000000003E-2</v>
      </c>
      <c r="AM50" s="6">
        <f>INDEX('面板-景气指数'!$37:$242,MATCH('面板-总览'!$AI50,'面板-景气指数'!$A$37:$A$242,0),MATCH('面板-总览'!AM$2,'面板-景气指数'!$36:$36,0))</f>
        <v>0.13200000000000001</v>
      </c>
      <c r="AN50" s="6">
        <f>INDEX('面板-景气指数'!$37:$242,MATCH('面板-总览'!$AI50,'面板-景气指数'!$A$37:$A$242,0),MATCH('面板-总览'!AN$2,'面板-景气指数'!$36:$36,0))</f>
        <v>0.153</v>
      </c>
      <c r="AO50" s="6">
        <f>INDEX('面板-景气指数'!$37:$242,MATCH('面板-总览'!$AI50,'面板-景气指数'!$A$37:$A$242,0),MATCH('面板-总览'!AO$2,'面板-景气指数'!$36:$36,0))</f>
        <v>0.183</v>
      </c>
      <c r="AP50" s="6">
        <f>INDEX('面板-景气指数'!$37:$242,MATCH('面板-总览'!$AI50,'面板-景气指数'!$A$37:$A$242,0),MATCH('面板-总览'!AP$2,'面板-景气指数'!$36:$36,0))</f>
        <v>0.214</v>
      </c>
      <c r="AQ50" s="6">
        <f>INDEX('面板-景气指数'!$37:$242,MATCH('面板-总览'!$AI50,'面板-景气指数'!$A$37:$A$242,0),MATCH('面板-总览'!AQ$2,'面板-景气指数'!$36:$36,0))</f>
        <v>0.22399999999999998</v>
      </c>
      <c r="AR50" s="6">
        <f>INDEX('面板-景气指数'!$37:$242,MATCH('面板-总览'!$AI50,'面板-景气指数'!$A$37:$A$242,0),MATCH('面板-总览'!AR$2,'面板-景气指数'!$36:$36,0))</f>
        <v>0.23400000000000004</v>
      </c>
      <c r="AS50" s="6">
        <f>INDEX('面板-景气指数'!$37:$242,MATCH('面板-总览'!$AI50,'面板-景气指数'!$A$37:$A$242,0),MATCH('面板-总览'!AS$2,'面板-景气指数'!$36:$36,0))</f>
        <v>0.26500000000000001</v>
      </c>
      <c r="AT50" s="6">
        <f>INDEX('面板-景气指数'!$37:$242,MATCH('面板-总览'!$AI50,'面板-景气指数'!$A$37:$A$242,0),MATCH('面板-总览'!AT$2,'面板-景气指数'!$36:$36,0))</f>
        <v>0.47900000000000004</v>
      </c>
      <c r="AU50" s="6">
        <f>INDEX('面板-景气指数'!$37:$242,MATCH('面板-总览'!$AI50,'面板-景气指数'!$A$37:$A$242,0),MATCH('面板-总览'!AU$2,'面板-景气指数'!$36:$36,0))</f>
        <v>0.59099999999999997</v>
      </c>
      <c r="AV50" s="6">
        <f>INDEX('面板-景气指数'!$37:$242,MATCH('面板-总览'!$AI50,'面板-景气指数'!$A$37:$A$242,0),MATCH('面板-总览'!AV$2,'面板-景气指数'!$36:$36,0))</f>
        <v>0.59099999999999997</v>
      </c>
      <c r="AX50" s="11">
        <f t="shared" si="2"/>
        <v>0.32599999999999996</v>
      </c>
    </row>
    <row r="51" spans="18:50" ht="21" customHeight="1" x14ac:dyDescent="0.2">
      <c r="AI51" s="5" t="s">
        <v>130</v>
      </c>
      <c r="AJ51" s="6">
        <f>INDEX('面板-景气指数'!$37:$242,MATCH('面板-总览'!$AI51,'面板-景气指数'!$A$37:$A$242,0),MATCH('面板-总览'!AJ$2,'面板-景气指数'!$36:$36,0))</f>
        <v>9.6500000000000002E-2</v>
      </c>
      <c r="AK51" s="6">
        <f>INDEX('面板-景气指数'!$37:$242,MATCH('面板-总览'!$AI51,'面板-景气指数'!$A$37:$A$242,0),MATCH('面板-总览'!AK$2,'面板-景气指数'!$36:$36,0))</f>
        <v>0.10149999999999999</v>
      </c>
      <c r="AL51" s="6">
        <f>INDEX('面板-景气指数'!$37:$242,MATCH('面板-总览'!$AI51,'面板-景气指数'!$A$37:$A$242,0),MATCH('面板-总览'!AL$2,'面板-景气指数'!$36:$36,0))</f>
        <v>0.122</v>
      </c>
      <c r="AM51" s="6">
        <f>INDEX('面板-景气指数'!$37:$242,MATCH('面板-总览'!$AI51,'面板-景气指数'!$A$37:$A$242,0),MATCH('面板-总览'!AM$2,'面板-景气指数'!$36:$36,0))</f>
        <v>0.14750000000000002</v>
      </c>
      <c r="AN51" s="6">
        <f>INDEX('面板-景气指数'!$37:$242,MATCH('面板-总览'!$AI51,'面板-景气指数'!$A$37:$A$242,0),MATCH('面板-总览'!AN$2,'面板-景气指数'!$36:$36,0))</f>
        <v>0.16300000000000001</v>
      </c>
      <c r="AO51" s="6">
        <f>INDEX('面板-景气指数'!$37:$242,MATCH('面板-总览'!$AI51,'面板-景气指数'!$A$37:$A$242,0),MATCH('面板-总览'!AO$2,'面板-景气指数'!$36:$36,0))</f>
        <v>0.1525</v>
      </c>
      <c r="AP51" s="6">
        <f>INDEX('面板-景气指数'!$37:$242,MATCH('面板-总览'!$AI51,'面板-景气指数'!$A$37:$A$242,0),MATCH('面板-总览'!AP$2,'面板-景气指数'!$36:$36,0))</f>
        <v>0.16800000000000001</v>
      </c>
      <c r="AQ51" s="6">
        <f>INDEX('面板-景气指数'!$37:$242,MATCH('面板-总览'!$AI51,'面板-景气指数'!$A$37:$A$242,0),MATCH('面板-总览'!AQ$2,'面板-景气指数'!$36:$36,0))</f>
        <v>0.23399999999999999</v>
      </c>
      <c r="AR51" s="6">
        <f>INDEX('面板-景气指数'!$37:$242,MATCH('面板-总览'!$AI51,'面板-景气指数'!$A$37:$A$242,0),MATCH('面板-总览'!AR$2,'面板-景气指数'!$36:$36,0))</f>
        <v>0.30049999999999999</v>
      </c>
      <c r="AS51" s="6">
        <f>INDEX('面板-景气指数'!$37:$242,MATCH('面板-总览'!$AI51,'面板-景气指数'!$A$37:$A$242,0),MATCH('面板-总览'!AS$2,'面板-景气指数'!$36:$36,0))</f>
        <v>0.36700000000000005</v>
      </c>
      <c r="AT51" s="6">
        <f>INDEX('面板-景气指数'!$37:$242,MATCH('面板-总览'!$AI51,'面板-景气指数'!$A$37:$A$242,0),MATCH('面板-总览'!AT$2,'面板-景气指数'!$36:$36,0))</f>
        <v>0.50450000000000006</v>
      </c>
      <c r="AU51" s="6">
        <f>INDEX('面板-景气指数'!$37:$242,MATCH('面板-总览'!$AI51,'面板-景气指数'!$A$37:$A$242,0),MATCH('面板-总览'!AU$2,'面板-景气指数'!$36:$36,0))</f>
        <v>0.55049999999999999</v>
      </c>
      <c r="AV51" s="6">
        <f>INDEX('面板-景气指数'!$37:$242,MATCH('面板-总览'!$AI51,'面板-景气指数'!$A$37:$A$242,0),MATCH('面板-总览'!AV$2,'面板-景气指数'!$36:$36,0))</f>
        <v>0.55049999999999999</v>
      </c>
      <c r="AX51" s="11">
        <f t="shared" si="2"/>
        <v>0.18349999999999994</v>
      </c>
    </row>
    <row r="52" spans="18:50" ht="21" customHeight="1" x14ac:dyDescent="0.2">
      <c r="R52" s="17" t="s">
        <v>3</v>
      </c>
      <c r="S52" s="4">
        <v>45016</v>
      </c>
      <c r="T52" s="4">
        <v>45046</v>
      </c>
      <c r="U52" s="4">
        <v>45077</v>
      </c>
      <c r="V52" s="4">
        <v>45107</v>
      </c>
      <c r="W52" s="4">
        <v>45138</v>
      </c>
      <c r="X52" s="4">
        <v>45169</v>
      </c>
      <c r="Y52" s="4">
        <v>45199</v>
      </c>
      <c r="Z52" s="4">
        <v>45230</v>
      </c>
      <c r="AA52" s="4">
        <v>45260</v>
      </c>
      <c r="AB52" s="4">
        <v>45291</v>
      </c>
      <c r="AC52" s="4">
        <v>45322</v>
      </c>
      <c r="AD52" s="4">
        <v>45351</v>
      </c>
      <c r="AE52" s="4">
        <v>45382</v>
      </c>
      <c r="AF52" s="51" t="s">
        <v>4</v>
      </c>
      <c r="AG52" s="51"/>
      <c r="AI52" s="5" t="s">
        <v>131</v>
      </c>
      <c r="AJ52" s="6">
        <f>INDEX('面板-景气指数'!$37:$242,MATCH('面板-总览'!$AI52,'面板-景气指数'!$A$37:$A$242,0),MATCH('面板-总览'!AJ$2,'面板-景气指数'!$36:$36,0))</f>
        <v>0.5655</v>
      </c>
      <c r="AK52" s="6">
        <f>INDEX('面板-景气指数'!$37:$242,MATCH('面板-总览'!$AI52,'面板-景气指数'!$A$37:$A$242,0),MATCH('面板-总览'!AK$2,'面板-景气指数'!$36:$36,0))</f>
        <v>0.60699999999999998</v>
      </c>
      <c r="AL52" s="6">
        <f>INDEX('面板-景气指数'!$37:$242,MATCH('面板-总览'!$AI52,'面板-景气指数'!$A$37:$A$242,0),MATCH('面板-总览'!AL$2,'面板-景气指数'!$36:$36,0))</f>
        <v>0.5704999999999999</v>
      </c>
      <c r="AM52" s="6">
        <f>INDEX('面板-景气指数'!$37:$242,MATCH('面板-总览'!$AI52,'面板-景气指数'!$A$37:$A$242,0),MATCH('面板-总览'!AM$2,'面板-景气指数'!$36:$36,0))</f>
        <v>0.30549999999999999</v>
      </c>
      <c r="AN52" s="6">
        <f>INDEX('面板-景气指数'!$37:$242,MATCH('面板-总览'!$AI52,'面板-景气指数'!$A$37:$A$242,0),MATCH('面板-总览'!AN$2,'面板-景气指数'!$36:$36,0))</f>
        <v>0.32599999999999996</v>
      </c>
      <c r="AO52" s="6">
        <f>INDEX('面板-景气指数'!$37:$242,MATCH('面板-总览'!$AI52,'面板-景气指数'!$A$37:$A$242,0),MATCH('面板-总览'!AO$2,'面板-景气指数'!$36:$36,0))</f>
        <v>0.39249999999999996</v>
      </c>
      <c r="AP52" s="6">
        <f>INDEX('面板-景气指数'!$37:$242,MATCH('面板-总览'!$AI52,'面板-景气指数'!$A$37:$A$242,0),MATCH('面板-总览'!AP$2,'面板-景气指数'!$36:$36,0))</f>
        <v>0.45350000000000001</v>
      </c>
      <c r="AQ52" s="6">
        <f>INDEX('面板-景气指数'!$37:$242,MATCH('面板-总览'!$AI52,'面板-景气指数'!$A$37:$A$242,0),MATCH('面板-总览'!AQ$2,'面板-景气指数'!$36:$36,0))</f>
        <v>0.36700000000000005</v>
      </c>
      <c r="AR52" s="6">
        <f>INDEX('面板-景气指数'!$37:$242,MATCH('面板-总览'!$AI52,'面板-景气指数'!$A$37:$A$242,0),MATCH('面板-总览'!AR$2,'面板-景气指数'!$36:$36,0))</f>
        <v>0.33650000000000002</v>
      </c>
      <c r="AS52" s="6">
        <f>INDEX('面板-景气指数'!$37:$242,MATCH('面板-总览'!$AI52,'面板-景气指数'!$A$37:$A$242,0),MATCH('面板-总览'!AS$2,'面板-景气指数'!$36:$36,0))</f>
        <v>0.38250000000000001</v>
      </c>
      <c r="AT52" s="6">
        <f>INDEX('面板-景气指数'!$37:$242,MATCH('面板-总览'!$AI52,'面板-景气指数'!$A$37:$A$242,0),MATCH('面板-总览'!AT$2,'面板-景气指数'!$36:$36,0))</f>
        <v>0.32600000000000001</v>
      </c>
      <c r="AU52" s="6">
        <f>INDEX('面板-景气指数'!$37:$242,MATCH('面板-总览'!$AI52,'面板-景气指数'!$A$37:$A$242,0),MATCH('面板-总览'!AU$2,'面板-景气指数'!$36:$36,0))</f>
        <v>0.3105</v>
      </c>
      <c r="AV52" s="6">
        <f>INDEX('面板-景气指数'!$37:$242,MATCH('面板-总览'!$AI52,'面板-景气指数'!$A$37:$A$242,0),MATCH('面板-总览'!AV$2,'面板-景气指数'!$36:$36,0))</f>
        <v>0.13700000000000001</v>
      </c>
      <c r="AX52" s="11">
        <f t="shared" si="2"/>
        <v>-0.2455</v>
      </c>
    </row>
    <row r="53" spans="18:50" ht="21" customHeight="1" x14ac:dyDescent="0.2">
      <c r="R53" s="5" t="s">
        <v>132</v>
      </c>
      <c r="S53" s="6">
        <f>INDEX('面板-景气指数'!$37:$242,MATCH('面板-总览'!$R53,'面板-景气指数'!$A$37:$A$242,0),MATCH('面板-总览'!S$2,'面板-景气指数'!$36:$36,0))</f>
        <v>0.38900000000000001</v>
      </c>
      <c r="T53" s="6">
        <f>INDEX('面板-景气指数'!$37:$242,MATCH('面板-总览'!$R53,'面板-景气指数'!$A$37:$A$242,0),MATCH('面板-总览'!T$2,'面板-景气指数'!$36:$36,0))</f>
        <v>0.54050000000000009</v>
      </c>
      <c r="U53" s="6">
        <f>INDEX('面板-景气指数'!$37:$242,MATCH('面板-总览'!$R53,'面板-景气指数'!$A$37:$A$242,0),MATCH('面板-总览'!U$2,'面板-景气指数'!$36:$36,0))</f>
        <v>0.748</v>
      </c>
      <c r="V53" s="6">
        <f>INDEX('面板-景气指数'!$37:$242,MATCH('面板-总览'!$R53,'面板-景气指数'!$A$37:$A$242,0),MATCH('面板-总览'!V$2,'面板-景气指数'!$36:$36,0))</f>
        <v>0.61316666666666675</v>
      </c>
      <c r="W53" s="6">
        <f>INDEX('面板-景气指数'!$37:$242,MATCH('面板-总览'!$R53,'面板-景气指数'!$A$37:$A$242,0),MATCH('面板-总览'!W$2,'面板-景气指数'!$36:$36,0))</f>
        <v>0.52533333333333343</v>
      </c>
      <c r="X53" s="6">
        <f>INDEX('面板-景气指数'!$37:$242,MATCH('面板-总览'!$R53,'面板-景气指数'!$A$37:$A$242,0),MATCH('面板-总览'!X$2,'面板-景气指数'!$36:$36,0))</f>
        <v>0.48599999999999999</v>
      </c>
      <c r="Y53" s="6">
        <f>INDEX('面板-景气指数'!$37:$242,MATCH('面板-总览'!$R53,'面板-景气指数'!$A$37:$A$242,0),MATCH('面板-总览'!Y$2,'面板-景气指数'!$36:$36,0))</f>
        <v>0.69366666666666676</v>
      </c>
      <c r="Z53" s="6">
        <f>INDEX('面板-景气指数'!$37:$242,MATCH('面板-总览'!$R53,'面板-景气指数'!$A$37:$A$242,0),MATCH('面板-总览'!Z$2,'面板-景气指数'!$36:$36,0))</f>
        <v>0.82800000000000007</v>
      </c>
      <c r="AA53" s="6">
        <f>INDEX('面板-景气指数'!$37:$242,MATCH('面板-总览'!$R53,'面板-景气指数'!$A$37:$A$242,0),MATCH('面板-总览'!AA$2,'面板-景气指数'!$36:$36,0))</f>
        <v>0.8823333333333333</v>
      </c>
      <c r="AB53" s="6">
        <f>INDEX('面板-景气指数'!$37:$242,MATCH('面板-总览'!$R53,'面板-景气指数'!$A$37:$A$242,0),MATCH('面板-总览'!AB$2,'面板-景气指数'!$36:$36,0))</f>
        <v>0.90216666666666667</v>
      </c>
      <c r="AC53" s="6">
        <f>INDEX('面板-景气指数'!$37:$242,MATCH('面板-总览'!$R53,'面板-景气指数'!$A$37:$A$242,0),MATCH('面板-总览'!AC$2,'面板-景气指数'!$36:$36,0))</f>
        <v>0.83933333333333349</v>
      </c>
      <c r="AD53" s="6">
        <f>INDEX('面板-景气指数'!$37:$242,MATCH('面板-总览'!$R53,'面板-景气指数'!$A$37:$A$242,0),MATCH('面板-总览'!AD$2,'面板-景气指数'!$36:$36,0))</f>
        <v>0.75649999999999995</v>
      </c>
      <c r="AE53" s="6">
        <f>INDEX('面板-景气指数'!$37:$242,MATCH('面板-总览'!$R53,'面板-景气指数'!$A$37:$A$242,0),MATCH('面板-总览'!AE$2,'面板-景气指数'!$36:$36,0))</f>
        <v>0.10183333333333335</v>
      </c>
      <c r="AG53" s="11">
        <f t="shared" ref="AG53:AG101" si="3">AE53-AB53</f>
        <v>-0.80033333333333334</v>
      </c>
      <c r="AI53" s="5" t="s">
        <v>133</v>
      </c>
      <c r="AJ53" s="6">
        <f>INDEX('面板-景气指数'!$37:$242,MATCH('面板-总览'!$AI53,'面板-景气指数'!$A$37:$A$242,0),MATCH('面板-总览'!AJ$2,'面板-景气指数'!$36:$36,0))</f>
        <v>8.1333333333333341E-2</v>
      </c>
      <c r="AK53" s="6">
        <f>INDEX('面板-景气指数'!$37:$242,MATCH('面板-总览'!$AI53,'面板-景气指数'!$A$37:$A$242,0),MATCH('面板-总览'!AK$2,'面板-景气指数'!$36:$36,0))</f>
        <v>5.0333333333333341E-2</v>
      </c>
      <c r="AL53" s="6">
        <f>INDEX('面板-景气指数'!$37:$242,MATCH('面板-总览'!$AI53,'面板-景气指数'!$A$37:$A$242,0),MATCH('面板-总览'!AL$2,'面板-景气指数'!$36:$36,0))</f>
        <v>4.7333333333333331E-2</v>
      </c>
      <c r="AM53" s="6">
        <f>INDEX('面板-景气指数'!$37:$242,MATCH('面板-总览'!$AI53,'面板-景气指数'!$A$37:$A$242,0),MATCH('面板-总览'!AM$2,'面板-景气指数'!$36:$36,0))</f>
        <v>3.7333333333333336E-2</v>
      </c>
      <c r="AN53" s="6">
        <f>INDEX('面板-景气指数'!$37:$242,MATCH('面板-总览'!$AI53,'面板-景气指数'!$A$37:$A$242,0),MATCH('面板-总览'!AN$2,'面板-景气指数'!$36:$36,0))</f>
        <v>3.3666666666666671E-2</v>
      </c>
      <c r="AO53" s="6">
        <f>INDEX('面板-景气指数'!$37:$242,MATCH('面板-总览'!$AI53,'面板-景气指数'!$A$37:$A$242,0),MATCH('面板-总览'!AO$2,'面板-景气指数'!$36:$36,0))</f>
        <v>3.6666666666666674E-2</v>
      </c>
      <c r="AP53" s="6">
        <f>INDEX('面板-景气指数'!$37:$242,MATCH('面板-总览'!$AI53,'面板-景气指数'!$A$37:$A$242,0),MATCH('面板-总览'!AP$2,'面板-景气指数'!$36:$36,0))</f>
        <v>5.3999999999999999E-2</v>
      </c>
      <c r="AQ53" s="6">
        <f>INDEX('面板-景气指数'!$37:$242,MATCH('面板-总览'!$AI53,'面板-景气指数'!$A$37:$A$242,0),MATCH('面板-总览'!AQ$2,'面板-景气指数'!$36:$36,0))</f>
        <v>8.4333333333333343E-2</v>
      </c>
      <c r="AR53" s="6">
        <f>INDEX('面板-景气指数'!$37:$242,MATCH('面板-总览'!$AI53,'面板-景气指数'!$A$37:$A$242,0),MATCH('面板-总览'!AR$2,'面板-景气指数'!$36:$36,0))</f>
        <v>7.8E-2</v>
      </c>
      <c r="AS53" s="6">
        <f>INDEX('面板-景气指数'!$37:$242,MATCH('面板-总览'!$AI53,'面板-景气指数'!$A$37:$A$242,0),MATCH('面板-总览'!AS$2,'面板-景气指数'!$36:$36,0))</f>
        <v>9.4666666666666663E-2</v>
      </c>
      <c r="AT53" s="6">
        <f>INDEX('面板-景气指数'!$37:$242,MATCH('面板-总览'!$AI53,'面板-景气指数'!$A$37:$A$242,0),MATCH('面板-总览'!AT$2,'面板-景气指数'!$36:$36,0))</f>
        <v>0.10866666666666668</v>
      </c>
      <c r="AU53" s="6">
        <f>INDEX('面板-景气指数'!$37:$242,MATCH('面板-总览'!$AI53,'面板-景气指数'!$A$37:$A$242,0),MATCH('面板-总览'!AU$2,'面板-景气指数'!$36:$36,0))</f>
        <v>0.22100000000000003</v>
      </c>
      <c r="AV53" s="6">
        <f>INDEX('面板-景气指数'!$37:$242,MATCH('面板-总览'!$AI53,'面板-景气指数'!$A$37:$A$242,0),MATCH('面板-总览'!AV$2,'面板-景气指数'!$36:$36,0))</f>
        <v>0.22100000000000003</v>
      </c>
      <c r="AX53" s="11">
        <f t="shared" si="2"/>
        <v>0.12633333333333335</v>
      </c>
    </row>
    <row r="54" spans="18:50" ht="21" customHeight="1" x14ac:dyDescent="0.2">
      <c r="R54" s="5" t="s">
        <v>134</v>
      </c>
      <c r="S54" s="6">
        <f>INDEX('面板-景气指数'!$37:$242,MATCH('面板-总览'!$R54,'面板-景气指数'!$A$37:$A$242,0),MATCH('面板-总览'!S$2,'面板-景气指数'!$36:$36,0))</f>
        <v>0.183</v>
      </c>
      <c r="T54" s="6">
        <f>INDEX('面板-景气指数'!$37:$242,MATCH('面板-总览'!$R54,'面板-景气指数'!$A$37:$A$242,0),MATCH('面板-总览'!T$2,'面板-景气指数'!$36:$36,0))</f>
        <v>0.43800000000000006</v>
      </c>
      <c r="U54" s="6">
        <f>INDEX('面板-景气指数'!$37:$242,MATCH('面板-总览'!$R54,'面板-景气指数'!$A$37:$A$242,0),MATCH('面板-总览'!U$2,'面板-景气指数'!$36:$36,0))</f>
        <v>0.622</v>
      </c>
      <c r="V54" s="6">
        <f>INDEX('面板-景气指数'!$37:$242,MATCH('面板-总览'!$R54,'面板-景气指数'!$A$37:$A$242,0),MATCH('面板-总览'!V$2,'面板-景气指数'!$36:$36,0))</f>
        <v>0.44800000000000006</v>
      </c>
      <c r="W54" s="6">
        <f>INDEX('面板-景气指数'!$37:$242,MATCH('面板-总览'!$R54,'面板-景气指数'!$A$37:$A$242,0),MATCH('面板-总览'!W$2,'面板-景气指数'!$36:$36,0))</f>
        <v>0.39700000000000002</v>
      </c>
      <c r="X54" s="6">
        <f>INDEX('面板-景气指数'!$37:$242,MATCH('面板-总览'!$R54,'面板-景气指数'!$A$37:$A$242,0),MATCH('面板-总览'!X$2,'面板-景气指数'!$36:$36,0))</f>
        <v>0.36699999999999999</v>
      </c>
      <c r="Y54" s="6">
        <f>INDEX('面板-景气指数'!$37:$242,MATCH('面板-总览'!$R54,'面板-景气指数'!$A$37:$A$242,0),MATCH('面板-总览'!Y$2,'面板-景气指数'!$36:$36,0))</f>
        <v>0.58099999999999996</v>
      </c>
      <c r="Z54" s="6">
        <f>INDEX('面板-景气指数'!$37:$242,MATCH('面板-总览'!$R54,'面板-景气指数'!$A$37:$A$242,0),MATCH('面板-总览'!Z$2,'面板-景气指数'!$36:$36,0))</f>
        <v>0.76500000000000012</v>
      </c>
      <c r="AA54" s="6">
        <f>INDEX('面板-景气指数'!$37:$242,MATCH('面板-总览'!$R54,'面板-景气指数'!$A$37:$A$242,0),MATCH('面板-总览'!AA$2,'面板-景气指数'!$36:$36,0))</f>
        <v>0.877</v>
      </c>
      <c r="AB54" s="6">
        <f>INDEX('面板-景气指数'!$37:$242,MATCH('面板-总览'!$R54,'面板-景气指数'!$A$37:$A$242,0),MATCH('面板-总览'!AB$2,'面板-景气指数'!$36:$36,0))</f>
        <v>0.92800000000000005</v>
      </c>
      <c r="AC54" s="6">
        <f>INDEX('面板-景气指数'!$37:$242,MATCH('面板-总览'!$R54,'面板-景气指数'!$A$37:$A$242,0),MATCH('面板-总览'!AC$2,'面板-景气指数'!$36:$36,0))</f>
        <v>0.93799999999999994</v>
      </c>
      <c r="AD54" s="6">
        <f>INDEX('面板-景气指数'!$37:$242,MATCH('面板-总览'!$R54,'面板-景气指数'!$A$37:$A$242,0),MATCH('面板-总览'!AD$2,'面板-景气指数'!$36:$36,0))</f>
        <v>0.93799999999999994</v>
      </c>
      <c r="AE54" s="6">
        <f>INDEX('面板-景气指数'!$37:$242,MATCH('面板-总览'!$R54,'面板-景气指数'!$A$37:$A$242,0),MATCH('面板-总览'!AE$2,'面板-景气指数'!$36:$36,0))</f>
        <v>0.93799999999999994</v>
      </c>
      <c r="AG54" s="11">
        <f t="shared" si="3"/>
        <v>9.9999999999998979E-3</v>
      </c>
      <c r="AI54" s="5" t="s">
        <v>135</v>
      </c>
      <c r="AJ54" s="6">
        <f>INDEX('面板-景气指数'!$37:$242,MATCH('面板-总览'!$AI54,'面板-景气指数'!$A$37:$A$242,0),MATCH('面板-总览'!AJ$2,'面板-景气指数'!$36:$36,0))</f>
        <v>0.16300000000000001</v>
      </c>
      <c r="AK54" s="6">
        <f>INDEX('面板-景气指数'!$37:$242,MATCH('面板-总览'!$AI54,'面板-景气指数'!$A$37:$A$242,0),MATCH('面板-总览'!AK$2,'面板-景气指数'!$36:$36,0))</f>
        <v>9.1000000000000011E-2</v>
      </c>
      <c r="AL54" s="6">
        <f>INDEX('面板-景气指数'!$37:$242,MATCH('面板-总览'!$AI54,'面板-景气指数'!$A$37:$A$242,0),MATCH('面板-总览'!AL$2,'面板-景气指数'!$36:$36,0))</f>
        <v>0.10199999999999999</v>
      </c>
      <c r="AM54" s="6">
        <f>INDEX('面板-景气指数'!$37:$242,MATCH('面板-总览'!$AI54,'面板-景气指数'!$A$37:$A$242,0),MATCH('面板-总览'!AM$2,'面板-景气指数'!$36:$36,0))</f>
        <v>0.13200000000000001</v>
      </c>
      <c r="AN54" s="6">
        <f>INDEX('面板-景气指数'!$37:$242,MATCH('面板-总览'!$AI54,'面板-景气指数'!$A$37:$A$242,0),MATCH('面板-总览'!AN$2,'面板-景气指数'!$36:$36,0))</f>
        <v>0.20399999999999999</v>
      </c>
      <c r="AO54" s="6">
        <f>INDEX('面板-景气指数'!$37:$242,MATCH('面板-总览'!$AI54,'面板-景气指数'!$A$37:$A$242,0),MATCH('面板-总览'!AO$2,'面板-景气指数'!$36:$36,0))</f>
        <v>0.26500000000000001</v>
      </c>
      <c r="AP54" s="6">
        <f>INDEX('面板-景气指数'!$37:$242,MATCH('面板-总览'!$AI54,'面板-景气指数'!$A$37:$A$242,0),MATCH('面板-总览'!AP$2,'面板-景气指数'!$36:$36,0))</f>
        <v>0.29499999999999998</v>
      </c>
      <c r="AQ54" s="6">
        <f>INDEX('面板-景气指数'!$37:$242,MATCH('面板-总览'!$AI54,'面板-景气指数'!$A$37:$A$242,0),MATCH('面板-总览'!AQ$2,'面板-景气指数'!$36:$36,0))</f>
        <v>0.30599999999999999</v>
      </c>
      <c r="AR54" s="6">
        <f>INDEX('面板-景气指数'!$37:$242,MATCH('面板-总览'!$AI54,'面板-景气指数'!$A$37:$A$242,0),MATCH('面板-总览'!AR$2,'面板-景气指数'!$36:$36,0))</f>
        <v>0.316</v>
      </c>
      <c r="AS54" s="6">
        <f>INDEX('面板-景气指数'!$37:$242,MATCH('面板-总览'!$AI54,'面板-景气指数'!$A$37:$A$242,0),MATCH('面板-总览'!AS$2,'面板-景气指数'!$36:$36,0))</f>
        <v>0.32600000000000001</v>
      </c>
      <c r="AT54" s="6">
        <f>INDEX('面板-景气指数'!$37:$242,MATCH('面板-总览'!$AI54,'面板-景气指数'!$A$37:$A$242,0),MATCH('面板-总览'!AT$2,'面板-景气指数'!$36:$36,0))</f>
        <v>0.36699999999999999</v>
      </c>
      <c r="AU54" s="6">
        <f>INDEX('面板-景气指数'!$37:$242,MATCH('面板-总览'!$AI54,'面板-景气指数'!$A$37:$A$242,0),MATCH('面板-总览'!AU$2,'面板-景气指数'!$36:$36,0))</f>
        <v>0.46899999999999997</v>
      </c>
      <c r="AV54" s="6">
        <f>INDEX('面板-景气指数'!$37:$242,MATCH('面板-总览'!$AI54,'面板-景气指数'!$A$37:$A$242,0),MATCH('面板-总览'!AV$2,'面板-景气指数'!$36:$36,0))</f>
        <v>0.46899999999999997</v>
      </c>
      <c r="AX54" s="11">
        <f t="shared" si="2"/>
        <v>0.14299999999999996</v>
      </c>
    </row>
    <row r="55" spans="18:50" ht="21" customHeight="1" x14ac:dyDescent="0.2">
      <c r="R55" s="5" t="s">
        <v>136</v>
      </c>
      <c r="S55" s="6">
        <f>INDEX('面板-景气指数'!$37:$242,MATCH('面板-总览'!$R55,'面板-景气指数'!$A$37:$A$242,0),MATCH('面板-总览'!S$2,'面板-景气指数'!$36:$36,0))</f>
        <v>0.28499999999999998</v>
      </c>
      <c r="T55" s="6">
        <f>INDEX('面板-景气指数'!$37:$242,MATCH('面板-总览'!$R55,'面板-景气指数'!$A$37:$A$242,0),MATCH('面板-总览'!T$2,'面板-景气指数'!$36:$36,0))</f>
        <v>0.43800000000000006</v>
      </c>
      <c r="U55" s="6">
        <f>INDEX('面板-景气指数'!$37:$242,MATCH('面板-总览'!$R55,'面板-景气指数'!$A$37:$A$242,0),MATCH('面板-总览'!U$2,'面板-景气指数'!$36:$36,0))</f>
        <v>0.45900000000000002</v>
      </c>
      <c r="V55" s="6">
        <f>INDEX('面板-景气指数'!$37:$242,MATCH('面板-总览'!$R55,'面板-景气指数'!$A$37:$A$242,0),MATCH('面板-总览'!V$2,'面板-景气指数'!$36:$36,0))</f>
        <v>0.33600000000000002</v>
      </c>
      <c r="W55" s="6">
        <f>INDEX('面板-景气指数'!$37:$242,MATCH('面板-总览'!$R55,'面板-景气指数'!$A$37:$A$242,0),MATCH('面板-总览'!W$2,'面板-景气指数'!$36:$36,0))</f>
        <v>0.35699999999999998</v>
      </c>
      <c r="X55" s="6">
        <f>INDEX('面板-景气指数'!$37:$242,MATCH('面板-总览'!$R55,'面板-景气指数'!$A$37:$A$242,0),MATCH('面板-总览'!X$2,'面板-景气指数'!$36:$36,0))</f>
        <v>0.34599999999999997</v>
      </c>
      <c r="Y55" s="6">
        <f>INDEX('面板-景气指数'!$37:$242,MATCH('面板-总览'!$R55,'面板-景气指数'!$A$37:$A$242,0),MATCH('面板-总览'!Y$2,'面板-景气指数'!$36:$36,0))</f>
        <v>0.5</v>
      </c>
      <c r="Z55" s="6">
        <f>INDEX('面板-景气指数'!$37:$242,MATCH('面板-总览'!$R55,'面板-景气指数'!$A$37:$A$242,0),MATCH('面板-总览'!Z$2,'面板-景气指数'!$36:$36,0))</f>
        <v>0.52</v>
      </c>
      <c r="AA55" s="6">
        <f>INDEX('面板-景气指数'!$37:$242,MATCH('面板-总览'!$R55,'面板-景气指数'!$A$37:$A$242,0),MATCH('面板-总览'!AA$2,'面板-景气指数'!$36:$36,0))</f>
        <v>0.59099999999999997</v>
      </c>
      <c r="AB55" s="6">
        <f>INDEX('面板-景气指数'!$37:$242,MATCH('面板-总览'!$R55,'面板-景气指数'!$A$37:$A$242,0),MATCH('面板-总览'!AB$2,'面板-景气指数'!$36:$36,0))</f>
        <v>0.69299999999999995</v>
      </c>
      <c r="AC55" s="6">
        <f>INDEX('面板-景气指数'!$37:$242,MATCH('面板-总览'!$R55,'面板-景气指数'!$A$37:$A$242,0),MATCH('面板-总览'!AC$2,'面板-景气指数'!$36:$36,0))</f>
        <v>0.86699999999999999</v>
      </c>
      <c r="AD55" s="6">
        <f>INDEX('面板-景气指数'!$37:$242,MATCH('面板-总览'!$R55,'面板-景气指数'!$A$37:$A$242,0),MATCH('面板-总览'!AD$2,'面板-景气指数'!$36:$36,0))</f>
        <v>0.89700000000000002</v>
      </c>
      <c r="AE55" s="6">
        <f>INDEX('面板-景气指数'!$37:$242,MATCH('面板-总览'!$R55,'面板-景气指数'!$A$37:$A$242,0),MATCH('面板-总览'!AE$2,'面板-景气指数'!$36:$36,0))</f>
        <v>0.94799999999999995</v>
      </c>
      <c r="AG55" s="11">
        <f t="shared" si="3"/>
        <v>0.255</v>
      </c>
      <c r="AI55" s="5" t="s">
        <v>137</v>
      </c>
      <c r="AJ55" s="6">
        <f>INDEX('面板-景气指数'!$37:$242,MATCH('面板-总览'!$AI55,'面板-景气指数'!$A$37:$A$242,0),MATCH('面板-总览'!AJ$2,'面板-景气指数'!$36:$36,0))</f>
        <v>0.10414285714285713</v>
      </c>
      <c r="AK55" s="6">
        <f>INDEX('面板-景气指数'!$37:$242,MATCH('面板-总览'!$AI55,'面板-景气指数'!$A$37:$A$242,0),MATCH('面板-总览'!AK$2,'面板-景气指数'!$36:$36,0))</f>
        <v>0.21142857142857138</v>
      </c>
      <c r="AL55" s="6">
        <f>INDEX('面板-景气指数'!$37:$242,MATCH('面板-总览'!$AI55,'面板-景气指数'!$A$37:$A$242,0),MATCH('面板-总览'!AL$2,'面板-景气指数'!$36:$36,0))</f>
        <v>0.33599999999999985</v>
      </c>
      <c r="AM55" s="6">
        <f>INDEX('面板-景气指数'!$37:$242,MATCH('面板-总览'!$AI55,'面板-景气指数'!$A$37:$A$242,0),MATCH('面板-总览'!AM$2,'面板-景气指数'!$36:$36,0))</f>
        <v>0.40471428571428558</v>
      </c>
      <c r="AN55" s="6">
        <f>INDEX('面板-景气指数'!$37:$242,MATCH('面板-总览'!$AI55,'面板-景气指数'!$A$37:$A$242,0),MATCH('面板-总览'!AN$2,'面板-景气指数'!$36:$36,0))</f>
        <v>0.49699999999999989</v>
      </c>
      <c r="AO55" s="6">
        <f>INDEX('面板-景气指数'!$37:$242,MATCH('面板-总览'!$AI55,'面板-景气指数'!$A$37:$A$242,0),MATCH('面板-总览'!AO$2,'面板-景气指数'!$36:$36,0))</f>
        <v>0.54371428571428548</v>
      </c>
      <c r="AP55" s="6">
        <f>INDEX('面板-景气指数'!$37:$242,MATCH('面板-总览'!$AI55,'面板-景气指数'!$A$37:$A$242,0),MATCH('面板-总览'!AP$2,'面板-景气指数'!$36:$36,0))</f>
        <v>0.50785714285714278</v>
      </c>
      <c r="AQ55" s="6">
        <f>INDEX('面板-景气指数'!$37:$242,MATCH('面板-总览'!$AI55,'面板-景气指数'!$A$37:$A$242,0),MATCH('面板-总览'!AQ$2,'面板-景气指数'!$36:$36,0))</f>
        <v>0.45557142857142857</v>
      </c>
      <c r="AR55" s="6">
        <f>INDEX('面板-景气指数'!$37:$242,MATCH('面板-总览'!$AI55,'面板-景气指数'!$A$37:$A$242,0),MATCH('面板-总览'!AR$2,'面板-景气指数'!$36:$36,0))</f>
        <v>0.40885714285714281</v>
      </c>
      <c r="AS55" s="6">
        <f>INDEX('面板-景气指数'!$37:$242,MATCH('面板-总览'!$AI55,'面板-景气指数'!$A$37:$A$242,0),MATCH('面板-总览'!AS$2,'面板-景气指数'!$36:$36,0))</f>
        <v>0.3854285714285714</v>
      </c>
      <c r="AT55" s="6">
        <f>INDEX('面板-景气指数'!$37:$242,MATCH('面板-总览'!$AI55,'面板-景气指数'!$A$37:$A$242,0),MATCH('面板-总览'!AT$2,'面板-景气指数'!$36:$36,0))</f>
        <v>0.38471428571428568</v>
      </c>
      <c r="AU55" s="6">
        <f>INDEX('面板-景气指数'!$37:$242,MATCH('面板-总览'!$AI55,'面板-景气指数'!$A$37:$A$242,0),MATCH('面板-总览'!AU$2,'面板-景气指数'!$36:$36,0))</f>
        <v>0.40628571428571414</v>
      </c>
      <c r="AV55" s="6">
        <f>INDEX('面板-景气指数'!$37:$242,MATCH('面板-总览'!$AI55,'面板-景气指数'!$A$37:$A$242,0),MATCH('面板-总览'!AV$2,'面板-景气指数'!$36:$36,0))</f>
        <v>0.41414285714285703</v>
      </c>
      <c r="AX55" s="11">
        <f t="shared" si="2"/>
        <v>2.8714285714285637E-2</v>
      </c>
    </row>
    <row r="56" spans="18:50" ht="21" customHeight="1" x14ac:dyDescent="0.2">
      <c r="R56" s="5" t="s">
        <v>138</v>
      </c>
      <c r="S56" s="6">
        <f>INDEX('面板-景气指数'!$37:$242,MATCH('面板-总览'!$R56,'面板-景气指数'!$A$37:$A$242,0),MATCH('面板-总览'!S$2,'面板-景气指数'!$36:$36,0))</f>
        <v>0.86150000000000004</v>
      </c>
      <c r="T56" s="6">
        <f>INDEX('面板-景气指数'!$37:$242,MATCH('面板-总览'!$R56,'面板-景气指数'!$A$37:$A$242,0),MATCH('面板-总览'!T$2,'面板-景气指数'!$36:$36,0))</f>
        <v>0.77500000000000013</v>
      </c>
      <c r="U56" s="6">
        <f>INDEX('面板-景气指数'!$37:$242,MATCH('面板-总览'!$R56,'面板-景气指数'!$A$37:$A$242,0),MATCH('面板-总览'!U$2,'面板-景气指数'!$36:$36,0))</f>
        <v>0.82100000000000006</v>
      </c>
      <c r="V56" s="6">
        <f>INDEX('面板-景气指数'!$37:$242,MATCH('面板-总览'!$R56,'面板-景气指数'!$A$37:$A$242,0),MATCH('面板-总览'!V$2,'面板-景气指数'!$36:$36,0))</f>
        <v>0.76000000000000012</v>
      </c>
      <c r="W56" s="6">
        <f>INDEX('面板-景气指数'!$37:$242,MATCH('面板-总览'!$R56,'面板-景气指数'!$A$37:$A$242,0),MATCH('面板-总览'!W$2,'面板-景气指数'!$36:$36,0))</f>
        <v>0.70900000000000019</v>
      </c>
      <c r="X56" s="6">
        <f>INDEX('面板-景气指数'!$37:$242,MATCH('面板-总览'!$R56,'面板-景气指数'!$A$37:$A$242,0),MATCH('面板-总览'!X$2,'面板-景气指数'!$36:$36,0))</f>
        <v>0.69850000000000001</v>
      </c>
      <c r="Y56" s="6">
        <f>INDEX('面板-景气指数'!$37:$242,MATCH('面板-总览'!$R56,'面板-景气指数'!$A$37:$A$242,0),MATCH('面板-总览'!Y$2,'面板-景气指数'!$36:$36,0))</f>
        <v>0.69850000000000001</v>
      </c>
      <c r="Z56" s="6">
        <f>INDEX('面板-景气指数'!$37:$242,MATCH('面板-总览'!$R56,'面板-景气指数'!$A$37:$A$242,0),MATCH('面板-总览'!Z$2,'面板-景气指数'!$36:$36,0))</f>
        <v>0.74949999999999994</v>
      </c>
      <c r="AA56" s="6">
        <f>INDEX('面板-景气指数'!$37:$242,MATCH('面板-总览'!$R56,'面板-景气指数'!$A$37:$A$242,0),MATCH('面板-总览'!AA$2,'面板-景气指数'!$36:$36,0))</f>
        <v>0.83650000000000002</v>
      </c>
      <c r="AB56" s="6">
        <f>INDEX('面板-景气指数'!$37:$242,MATCH('面板-总览'!$R56,'面板-景气指数'!$A$37:$A$242,0),MATCH('面板-总览'!AB$2,'面板-景气指数'!$36:$36,0))</f>
        <v>0.91249999999999998</v>
      </c>
      <c r="AC56" s="6">
        <f>INDEX('面板-景气指数'!$37:$242,MATCH('面板-总览'!$R56,'面板-景气指数'!$A$37:$A$242,0),MATCH('面板-总览'!AC$2,'面板-景气指数'!$36:$36,0))</f>
        <v>0.8055000000000001</v>
      </c>
      <c r="AD56" s="6">
        <f>INDEX('面板-景气指数'!$37:$242,MATCH('面板-总览'!$R56,'面板-景气指数'!$A$37:$A$242,0),MATCH('面板-总览'!AD$2,'面板-景气指数'!$36:$36,0))</f>
        <v>0.73399999999999999</v>
      </c>
      <c r="AE56" s="6">
        <f>INDEX('面板-景气指数'!$37:$242,MATCH('面板-总览'!$R56,'面板-景气指数'!$A$37:$A$242,0),MATCH('面板-总览'!AE$2,'面板-景气指数'!$36:$36,0))</f>
        <v>0.23899999999999999</v>
      </c>
      <c r="AG56" s="11">
        <f t="shared" si="3"/>
        <v>-0.67349999999999999</v>
      </c>
      <c r="AI56" s="5" t="s">
        <v>139</v>
      </c>
      <c r="AJ56" s="6">
        <f>INDEX('面板-景气指数'!$37:$242,MATCH('面板-总览'!$AI56,'面板-景气指数'!$A$37:$A$242,0),MATCH('面板-总览'!AJ$2,'面板-景气指数'!$36:$36,0))</f>
        <v>8.1000000000000003E-2</v>
      </c>
      <c r="AK56" s="6">
        <f>INDEX('面板-景气指数'!$37:$242,MATCH('面板-总览'!$AI56,'面板-景气指数'!$A$37:$A$242,0),MATCH('面板-总览'!AK$2,'面板-景气指数'!$36:$36,0))</f>
        <v>9.0999999999999998E-2</v>
      </c>
      <c r="AL56" s="6">
        <f>INDEX('面板-景气指数'!$37:$242,MATCH('面板-总览'!$AI56,'面板-景气指数'!$A$37:$A$242,0),MATCH('面板-总览'!AL$2,'面板-景气指数'!$36:$36,0))</f>
        <v>0.112</v>
      </c>
      <c r="AM56" s="6">
        <f>INDEX('面板-景气指数'!$37:$242,MATCH('面板-总览'!$AI56,'面板-景气指数'!$A$37:$A$242,0),MATCH('面板-总览'!AM$2,'面板-景气指数'!$36:$36,0))</f>
        <v>0.17299999999999999</v>
      </c>
      <c r="AN56" s="6">
        <f>INDEX('面板-景气指数'!$37:$242,MATCH('面板-总览'!$AI56,'面板-景气指数'!$A$37:$A$242,0),MATCH('面板-总览'!AN$2,'面板-景气指数'!$36:$36,0))</f>
        <v>0.32600000000000001</v>
      </c>
      <c r="AO56" s="6">
        <f>INDEX('面板-景气指数'!$37:$242,MATCH('面板-总览'!$AI56,'面板-景气指数'!$A$37:$A$242,0),MATCH('面板-总览'!AO$2,'面板-景气指数'!$36:$36,0))</f>
        <v>0.47900000000000004</v>
      </c>
      <c r="AP56" s="6">
        <f>INDEX('面板-景气指数'!$37:$242,MATCH('面板-总览'!$AI56,'面板-景气指数'!$A$37:$A$242,0),MATCH('面板-总览'!AP$2,'面板-景气指数'!$36:$36,0))</f>
        <v>0.66300000000000003</v>
      </c>
      <c r="AQ56" s="6">
        <f>INDEX('面板-景气指数'!$37:$242,MATCH('面板-总览'!$AI56,'面板-景气指数'!$A$37:$A$242,0),MATCH('面板-总览'!AQ$2,'面板-景气指数'!$36:$36,0))</f>
        <v>0.63200000000000001</v>
      </c>
      <c r="AR56" s="6">
        <f>INDEX('面板-景气指数'!$37:$242,MATCH('面板-总览'!$AI56,'面板-景气指数'!$A$37:$A$242,0),MATCH('面板-总览'!AR$2,'面板-景气指数'!$36:$36,0))</f>
        <v>0.72399999999999998</v>
      </c>
      <c r="AS56" s="6">
        <f>INDEX('面板-景气指数'!$37:$242,MATCH('面板-总览'!$AI56,'面板-景气指数'!$A$37:$A$242,0),MATCH('面板-总览'!AS$2,'面板-景气指数'!$36:$36,0))</f>
        <v>0.74399999999999999</v>
      </c>
      <c r="AT56" s="6">
        <f>INDEX('面板-景气指数'!$37:$242,MATCH('面板-总览'!$AI56,'面板-景气指数'!$A$37:$A$242,0),MATCH('面板-总览'!AT$2,'面板-景气指数'!$36:$36,0))</f>
        <v>0.84599999999999997</v>
      </c>
      <c r="AU56" s="6">
        <f>INDEX('面板-景气指数'!$37:$242,MATCH('面板-总览'!$AI56,'面板-景气指数'!$A$37:$A$242,0),MATCH('面板-总览'!AU$2,'面板-景气指数'!$36:$36,0))</f>
        <v>0.86699999999999999</v>
      </c>
      <c r="AV56" s="6">
        <f>INDEX('面板-景气指数'!$37:$242,MATCH('面板-总览'!$AI56,'面板-景气指数'!$A$37:$A$242,0),MATCH('面板-总览'!AV$2,'面板-景气指数'!$36:$36,0))</f>
        <v>0.86699999999999999</v>
      </c>
      <c r="AX56" s="11">
        <f t="shared" si="2"/>
        <v>0.123</v>
      </c>
    </row>
    <row r="57" spans="18:50" ht="21" customHeight="1" x14ac:dyDescent="0.2">
      <c r="R57" s="5" t="s">
        <v>140</v>
      </c>
      <c r="S57" s="6">
        <f>INDEX('面板-景气指数'!$37:$242,MATCH('面板-总览'!$R57,'面板-景气指数'!$A$37:$A$242,0),MATCH('面板-总览'!S$2,'面板-景气指数'!$36:$36,0))</f>
        <v>0.6456032135422678</v>
      </c>
      <c r="T57" s="6">
        <f>INDEX('面板-景气指数'!$37:$242,MATCH('面板-总览'!$R57,'面板-景气指数'!$A$37:$A$242,0),MATCH('面板-总览'!T$2,'面板-景气指数'!$36:$36,0))</f>
        <v>0.60766478673619273</v>
      </c>
      <c r="U57" s="6">
        <f>INDEX('面板-景气指数'!$37:$242,MATCH('面板-总览'!$R57,'面板-景气指数'!$A$37:$A$242,0),MATCH('面板-总览'!U$2,'面板-景气指数'!$36:$36,0))</f>
        <v>0.71907637402299585</v>
      </c>
      <c r="V57" s="6">
        <f>INDEX('面板-景气指数'!$37:$242,MATCH('面板-总览'!$R57,'面板-景气指数'!$A$37:$A$242,0),MATCH('面板-总览'!V$2,'面板-景气指数'!$36:$36,0))</f>
        <v>0.7157654765684438</v>
      </c>
      <c r="W57" s="6">
        <f>INDEX('面板-景气指数'!$37:$242,MATCH('面板-总览'!$R57,'面板-景气指数'!$A$37:$A$242,0),MATCH('面板-总览'!W$2,'面板-景气指数'!$36:$36,0))</f>
        <v>0.72241698049423619</v>
      </c>
      <c r="X57" s="6">
        <f>INDEX('面板-景气指数'!$37:$242,MATCH('面板-总览'!$R57,'面板-景气指数'!$A$37:$A$242,0),MATCH('面板-总览'!X$2,'面板-景气指数'!$36:$36,0))</f>
        <v>0.65787024454869192</v>
      </c>
      <c r="Y57" s="6">
        <f>INDEX('面板-景气指数'!$37:$242,MATCH('面板-总览'!$R57,'面板-景气指数'!$A$37:$A$242,0),MATCH('面板-总览'!Y$2,'面板-景气指数'!$36:$36,0))</f>
        <v>0.66423255491997035</v>
      </c>
      <c r="Z57" s="6">
        <f>INDEX('面板-景气指数'!$37:$242,MATCH('面板-总览'!$R57,'面板-景气指数'!$A$37:$A$242,0),MATCH('面板-总览'!Z$2,'面板-景气指数'!$36:$36,0))</f>
        <v>0.69932635173577284</v>
      </c>
      <c r="AA57" s="6">
        <f>INDEX('面板-景气指数'!$37:$242,MATCH('面板-总览'!$R57,'面板-景气指数'!$A$37:$A$242,0),MATCH('面板-总览'!AA$2,'面板-景气指数'!$36:$36,0))</f>
        <v>0.76781756569938897</v>
      </c>
      <c r="AB57" s="6">
        <f>INDEX('面板-景气指数'!$37:$242,MATCH('面板-总览'!$R57,'面板-景气指数'!$A$37:$A$242,0),MATCH('面板-总览'!AB$2,'面板-景气指数'!$36:$36,0))</f>
        <v>0.77996404136449426</v>
      </c>
      <c r="AC57" s="6">
        <f>INDEX('面板-景气指数'!$37:$242,MATCH('面板-总览'!$R57,'面板-景气指数'!$A$37:$A$242,0),MATCH('面板-总览'!AC$2,'面板-景气指数'!$36:$36,0))</f>
        <v>0.7580795411306438</v>
      </c>
      <c r="AD57" s="6">
        <f>INDEX('面板-景气指数'!$37:$242,MATCH('面板-总览'!$R57,'面板-景气指数'!$A$37:$A$242,0),MATCH('面板-总览'!AD$2,'面板-景气指数'!$36:$36,0))</f>
        <v>0.72044757323679143</v>
      </c>
      <c r="AE57" s="6">
        <f>INDEX('面板-景气指数'!$37:$242,MATCH('面板-总览'!$R57,'面板-景气指数'!$A$37:$A$242,0),MATCH('面板-总览'!AE$2,'面板-景气指数'!$36:$36,0))</f>
        <v>0.72044757323679143</v>
      </c>
      <c r="AG57" s="11">
        <f t="shared" si="3"/>
        <v>-5.9516468127702837E-2</v>
      </c>
      <c r="AI57" s="5" t="s">
        <v>141</v>
      </c>
      <c r="AJ57" s="6">
        <f>INDEX('面板-景气指数'!$37:$242,MATCH('面板-总览'!$AI57,'面板-景气指数'!$A$37:$A$242,0),MATCH('面板-总览'!AJ$2,'面板-景气指数'!$36:$36,0))</f>
        <v>0.28499999999999998</v>
      </c>
      <c r="AK57" s="6">
        <f>INDEX('面板-景气指数'!$37:$242,MATCH('面板-总览'!$AI57,'面板-景气指数'!$A$37:$A$242,0),MATCH('面板-总览'!AK$2,'面板-景气指数'!$36:$36,0))</f>
        <v>0.14249999999999999</v>
      </c>
      <c r="AL57" s="6">
        <f>INDEX('面板-景气指数'!$37:$242,MATCH('面板-总览'!$AI57,'面板-景气指数'!$A$37:$A$242,0),MATCH('面板-总览'!AL$2,'面板-景气指数'!$36:$36,0))</f>
        <v>0.1275</v>
      </c>
      <c r="AM57" s="6">
        <f>INDEX('面板-景气指数'!$37:$242,MATCH('面板-总览'!$AI57,'面板-景气指数'!$A$37:$A$242,0),MATCH('面板-总览'!AM$2,'面板-景气指数'!$36:$36,0))</f>
        <v>0.16300000000000001</v>
      </c>
      <c r="AN57" s="6">
        <f>INDEX('面板-景气指数'!$37:$242,MATCH('面板-总览'!$AI57,'面板-景气指数'!$A$37:$A$242,0),MATCH('面板-总览'!AN$2,'面板-景气指数'!$36:$36,0))</f>
        <v>0.316</v>
      </c>
      <c r="AO57" s="6">
        <f>INDEX('面板-景气指数'!$37:$242,MATCH('面板-总览'!$AI57,'面板-景气指数'!$A$37:$A$242,0),MATCH('面板-总览'!AO$2,'面板-景气指数'!$36:$36,0))</f>
        <v>0.40249999999999997</v>
      </c>
      <c r="AP57" s="6">
        <f>INDEX('面板-景气指数'!$37:$242,MATCH('面板-总览'!$AI57,'面板-景气指数'!$A$37:$A$242,0),MATCH('面板-总览'!AP$2,'面板-景气指数'!$36:$36,0))</f>
        <v>0.443</v>
      </c>
      <c r="AQ57" s="6">
        <f>INDEX('面板-景气指数'!$37:$242,MATCH('面板-总览'!$AI57,'面板-景气指数'!$A$37:$A$242,0),MATCH('面板-总览'!AQ$2,'面板-景气指数'!$36:$36,0))</f>
        <v>0.50949999999999995</v>
      </c>
      <c r="AR57" s="6">
        <f>INDEX('面板-景气指数'!$37:$242,MATCH('面板-总览'!$AI57,'面板-景气指数'!$A$37:$A$242,0),MATCH('面板-总览'!AR$2,'面板-景气指数'!$36:$36,0))</f>
        <v>0.47400000000000003</v>
      </c>
      <c r="AS57" s="6">
        <f>INDEX('面板-景气指数'!$37:$242,MATCH('面板-总览'!$AI57,'面板-景气指数'!$A$37:$A$242,0),MATCH('面板-总览'!AS$2,'面板-景气指数'!$36:$36,0))</f>
        <v>0.50450000000000006</v>
      </c>
      <c r="AT57" s="6">
        <f>INDEX('面板-景气指数'!$37:$242,MATCH('面板-总览'!$AI57,'面板-景气指数'!$A$37:$A$242,0),MATCH('面板-总览'!AT$2,'面板-景气指数'!$36:$36,0))</f>
        <v>0.48899999999999999</v>
      </c>
      <c r="AU57" s="6">
        <f>INDEX('面板-景气指数'!$37:$242,MATCH('面板-总览'!$AI57,'面板-景气指数'!$A$37:$A$242,0),MATCH('面板-总览'!AU$2,'面板-景气指数'!$36:$36,0))</f>
        <v>0.54549999999999987</v>
      </c>
      <c r="AV57" s="6">
        <f>INDEX('面板-景气指数'!$37:$242,MATCH('面板-总览'!$AI57,'面板-景气指数'!$A$37:$A$242,0),MATCH('面板-总览'!AV$2,'面板-景气指数'!$36:$36,0))</f>
        <v>0.51500000000000001</v>
      </c>
      <c r="AX57" s="11">
        <f t="shared" si="2"/>
        <v>1.0499999999999954E-2</v>
      </c>
    </row>
    <row r="58" spans="18:50" ht="21" customHeight="1" x14ac:dyDescent="0.2">
      <c r="R58" s="5" t="s">
        <v>142</v>
      </c>
      <c r="S58" s="6">
        <f>INDEX('面板-景气指数'!$37:$242,MATCH('面板-总览'!$R58,'面板-景气指数'!$A$37:$A$242,0),MATCH('面板-总览'!S$2,'面板-景气指数'!$36:$36,0))</f>
        <v>0.40200000000000002</v>
      </c>
      <c r="T58" s="6">
        <f>INDEX('面板-景气指数'!$37:$242,MATCH('面板-总览'!$R58,'面板-景气指数'!$A$37:$A$242,0),MATCH('面板-总览'!T$2,'面板-景气指数'!$36:$36,0))</f>
        <v>0.26400000000000001</v>
      </c>
      <c r="U58" s="6">
        <f>INDEX('面板-景气指数'!$37:$242,MATCH('面板-总览'!$R58,'面板-景气指数'!$A$37:$A$242,0),MATCH('面板-总览'!U$2,'面板-景气指数'!$36:$36,0))</f>
        <v>0.20599999999999999</v>
      </c>
      <c r="V58" s="6">
        <f>INDEX('面板-景气指数'!$37:$242,MATCH('面板-总览'!$R58,'面板-景气指数'!$A$37:$A$242,0),MATCH('面板-总览'!V$2,'面板-景气指数'!$36:$36,0))</f>
        <v>9.0999999999999998E-2</v>
      </c>
      <c r="W58" s="6">
        <f>INDEX('面板-景气指数'!$37:$242,MATCH('面板-总览'!$R58,'面板-景气指数'!$A$37:$A$242,0),MATCH('面板-总览'!W$2,'面板-景气指数'!$36:$36,0))</f>
        <v>4.4999999999999991E-2</v>
      </c>
      <c r="X58" s="6">
        <f>INDEX('面板-景气指数'!$37:$242,MATCH('面板-总览'!$R58,'面板-景气指数'!$A$37:$A$242,0),MATCH('面板-总览'!X$2,'面板-景气指数'!$36:$36,0))</f>
        <v>1.0999999999999999E-2</v>
      </c>
      <c r="Y58" s="6">
        <f>INDEX('面板-景气指数'!$37:$242,MATCH('面板-总览'!$R58,'面板-景气指数'!$A$37:$A$242,0),MATCH('面板-总览'!Y$2,'面板-景气指数'!$36:$36,0))</f>
        <v>5.7000000000000002E-2</v>
      </c>
      <c r="Z58" s="6">
        <f>INDEX('面板-景气指数'!$37:$242,MATCH('面板-总览'!$R58,'面板-景气指数'!$A$37:$A$242,0),MATCH('面板-总览'!Z$2,'面板-景气指数'!$36:$36,0))</f>
        <v>0.27500000000000002</v>
      </c>
      <c r="AA58" s="6">
        <f>INDEX('面板-景气指数'!$37:$242,MATCH('面板-总览'!$R58,'面板-景气指数'!$A$37:$A$242,0),MATCH('面板-总览'!AA$2,'面板-景气指数'!$36:$36,0))</f>
        <v>0.63200000000000001</v>
      </c>
      <c r="AB58" s="6">
        <f>INDEX('面板-景气指数'!$37:$242,MATCH('面板-总览'!$R58,'面板-景气指数'!$A$37:$A$242,0),MATCH('面板-总览'!AB$2,'面板-景气指数'!$36:$36,0))</f>
        <v>0.78100000000000003</v>
      </c>
      <c r="AC58" s="6">
        <f>INDEX('面板-景气指数'!$37:$242,MATCH('面板-总览'!$R58,'面板-景气指数'!$A$37:$A$242,0),MATCH('面板-总览'!AC$2,'面板-景气指数'!$36:$36,0))</f>
        <v>0.65500000000000003</v>
      </c>
      <c r="AD58" s="6">
        <f>INDEX('面板-景气指数'!$37:$242,MATCH('面板-总览'!$R58,'面板-景气指数'!$A$37:$A$242,0),MATCH('面板-总览'!AD$2,'面板-景气指数'!$36:$36,0))</f>
        <v>0.65500000000000003</v>
      </c>
      <c r="AE58" s="6">
        <f>INDEX('面板-景气指数'!$37:$242,MATCH('面板-总览'!$R58,'面板-景气指数'!$A$37:$A$242,0),MATCH('面板-总览'!AE$2,'面板-景气指数'!$36:$36,0))</f>
        <v>0.65500000000000003</v>
      </c>
      <c r="AG58" s="11">
        <f t="shared" si="3"/>
        <v>-0.126</v>
      </c>
      <c r="AI58" s="5" t="s">
        <v>143</v>
      </c>
      <c r="AJ58" s="6">
        <f>INDEX('面板-景气指数'!$37:$242,MATCH('面板-总览'!$AI58,'面板-景气指数'!$A$37:$A$242,0),MATCH('面板-总览'!AJ$2,'面板-景气指数'!$36:$36,0))</f>
        <v>6.6142857142857114E-2</v>
      </c>
      <c r="AK58" s="6">
        <f>INDEX('面板-景气指数'!$37:$242,MATCH('面板-总览'!$AI58,'面板-景气指数'!$A$37:$A$242,0),MATCH('面板-总览'!AK$2,'面板-景气指数'!$36:$36,0))</f>
        <v>5.2999999999999978E-2</v>
      </c>
      <c r="AL58" s="6">
        <f>INDEX('面板-景气指数'!$37:$242,MATCH('面板-总览'!$AI58,'面板-景气指数'!$A$37:$A$242,0),MATCH('面板-总览'!AL$2,'面板-景气指数'!$36:$36,0))</f>
        <v>6.5999999999999934E-2</v>
      </c>
      <c r="AM58" s="6">
        <f>INDEX('面板-景气指数'!$37:$242,MATCH('面板-总览'!$AI58,'面板-景气指数'!$A$37:$A$242,0),MATCH('面板-总览'!AM$2,'面板-景气指数'!$36:$36,0))</f>
        <v>5.7428571428571364E-2</v>
      </c>
      <c r="AN58" s="6">
        <f>INDEX('面板-景气指数'!$37:$242,MATCH('面板-总览'!$AI58,'面板-景气指数'!$A$37:$A$242,0),MATCH('面板-总览'!AN$2,'面板-景气指数'!$36:$36,0))</f>
        <v>4.8857142857142793E-2</v>
      </c>
      <c r="AO58" s="6">
        <f>INDEX('面板-景气指数'!$37:$242,MATCH('面板-总览'!$AI58,'面板-景气指数'!$A$37:$A$242,0),MATCH('面板-总览'!AO$2,'面板-景气指数'!$36:$36,0))</f>
        <v>0.12899999999999986</v>
      </c>
      <c r="AP58" s="6">
        <f>INDEX('面板-景气指数'!$37:$242,MATCH('面板-总览'!$AI58,'面板-景气指数'!$A$37:$A$242,0),MATCH('面板-总览'!AP$2,'面板-景气指数'!$36:$36,0))</f>
        <v>0.15557142857142844</v>
      </c>
      <c r="AQ58" s="6">
        <f>INDEX('面板-景气指数'!$37:$242,MATCH('面板-总览'!$AI58,'面板-景气指数'!$A$37:$A$242,0),MATCH('面板-总览'!AQ$2,'面板-景气指数'!$36:$36,0))</f>
        <v>0.19928571428571418</v>
      </c>
      <c r="AR58" s="6">
        <f>INDEX('面板-景气指数'!$37:$242,MATCH('面板-总览'!$AI58,'面板-景气指数'!$A$37:$A$242,0),MATCH('面板-总览'!AR$2,'面板-景气指数'!$36:$36,0))</f>
        <v>0.31785714285714273</v>
      </c>
      <c r="AS58" s="6">
        <f>INDEX('面板-景气指数'!$37:$242,MATCH('面板-总览'!$AI58,'面板-景气指数'!$A$37:$A$242,0),MATCH('面板-总览'!AS$2,'面板-景气指数'!$36:$36,0))</f>
        <v>0.38814285714285701</v>
      </c>
      <c r="AT58" s="6">
        <f>INDEX('面板-景气指数'!$37:$242,MATCH('面板-总览'!$AI58,'面板-景气指数'!$A$37:$A$242,0),MATCH('面板-总览'!AT$2,'面板-景气指数'!$36:$36,0))</f>
        <v>0.48414285714285699</v>
      </c>
      <c r="AU58" s="6">
        <f>INDEX('面板-景气指数'!$37:$242,MATCH('面板-总览'!$AI58,'面板-景气指数'!$A$37:$A$242,0),MATCH('面板-总览'!AU$2,'面板-景气指数'!$36:$36,0))</f>
        <v>0.58871428571428575</v>
      </c>
      <c r="AV58" s="6">
        <f>INDEX('面板-景气指数'!$37:$242,MATCH('面板-总览'!$AI58,'面板-景气指数'!$A$37:$A$242,0),MATCH('面板-总览'!AV$2,'面板-景气指数'!$36:$36,0))</f>
        <v>0.63242857142857134</v>
      </c>
      <c r="AX58" s="11">
        <f t="shared" si="2"/>
        <v>0.24428571428571433</v>
      </c>
    </row>
    <row r="59" spans="18:50" ht="21" customHeight="1" x14ac:dyDescent="0.2">
      <c r="R59" s="5" t="s">
        <v>144</v>
      </c>
      <c r="S59" s="6">
        <f>INDEX('面板-景气指数'!$37:$242,MATCH('面板-总览'!$R59,'面板-景气指数'!$A$37:$A$242,0),MATCH('面板-总览'!S$2,'面板-景气指数'!$36:$36,0))</f>
        <v>0.26350000000000001</v>
      </c>
      <c r="T59" s="6">
        <f>INDEX('面板-景气指数'!$37:$242,MATCH('面板-总览'!$R59,'面板-景气指数'!$A$37:$A$242,0),MATCH('面板-总览'!T$2,'面板-景气指数'!$36:$36,0))</f>
        <v>0.20599999999999999</v>
      </c>
      <c r="U59" s="6">
        <f>INDEX('面板-景气指数'!$37:$242,MATCH('面板-总览'!$R59,'面板-景气指数'!$A$37:$A$242,0),MATCH('面板-总览'!U$2,'面板-景气指数'!$36:$36,0))</f>
        <v>0.14899999999999999</v>
      </c>
      <c r="V59" s="6">
        <f>INDEX('面板-景气指数'!$37:$242,MATCH('面板-总览'!$R59,'面板-景气指数'!$A$37:$A$242,0),MATCH('面板-总览'!V$2,'面板-景气指数'!$36:$36,0))</f>
        <v>0.1545</v>
      </c>
      <c r="W59" s="6">
        <f>INDEX('面板-景气指数'!$37:$242,MATCH('面板-总览'!$R59,'面板-景气指数'!$A$37:$A$242,0),MATCH('面板-总览'!W$2,'面板-景气指数'!$36:$36,0))</f>
        <v>0.24100000000000002</v>
      </c>
      <c r="X59" s="6">
        <f>INDEX('面板-景气指数'!$37:$242,MATCH('面板-总览'!$R59,'面板-景气指数'!$A$37:$A$242,0),MATCH('面板-总览'!X$2,'面板-景气指数'!$36:$36,0))</f>
        <v>0.29849999999999999</v>
      </c>
      <c r="Y59" s="6">
        <f>INDEX('面板-景气指数'!$37:$242,MATCH('面板-总览'!$R59,'面板-景气指数'!$A$37:$A$242,0),MATCH('面板-总览'!Y$2,'面板-景气指数'!$36:$36,0))</f>
        <v>0.373</v>
      </c>
      <c r="Z59" s="6">
        <f>INDEX('面板-景气指数'!$37:$242,MATCH('面板-总览'!$R59,'面板-景气指数'!$A$37:$A$242,0),MATCH('面板-总览'!Z$2,'面板-景气指数'!$36:$36,0))</f>
        <v>0.36149999999999999</v>
      </c>
      <c r="AA59" s="6">
        <f>INDEX('面板-景气指数'!$37:$242,MATCH('面板-总览'!$R59,'面板-景气指数'!$A$37:$A$242,0),MATCH('面板-总览'!AA$2,'面板-景气指数'!$36:$36,0))</f>
        <v>0.39599999999999996</v>
      </c>
      <c r="AB59" s="6">
        <f>INDEX('面板-景气指数'!$37:$242,MATCH('面板-总览'!$R59,'面板-景气指数'!$A$37:$A$242,0),MATCH('面板-总览'!AB$2,'面板-景气指数'!$36:$36,0))</f>
        <v>0.29249999999999998</v>
      </c>
      <c r="AC59" s="6">
        <f>INDEX('面板-景气指数'!$37:$242,MATCH('面板-总览'!$R59,'面板-景气指数'!$A$37:$A$242,0),MATCH('面板-总览'!AC$2,'面板-景气指数'!$36:$36,0))</f>
        <v>0.38450000000000001</v>
      </c>
      <c r="AD59" s="6">
        <f>INDEX('面板-景气指数'!$37:$242,MATCH('面板-总览'!$R59,'面板-景气指数'!$A$37:$A$242,0),MATCH('面板-总览'!AD$2,'面板-景气指数'!$36:$36,0))</f>
        <v>0.38450000000000001</v>
      </c>
      <c r="AE59" s="6">
        <f>INDEX('面板-景气指数'!$37:$242,MATCH('面板-总览'!$R59,'面板-景气指数'!$A$37:$A$242,0),MATCH('面板-总览'!AE$2,'面板-景气指数'!$36:$36,0))</f>
        <v>0.38450000000000001</v>
      </c>
      <c r="AG59" s="11">
        <f t="shared" si="3"/>
        <v>9.2000000000000026E-2</v>
      </c>
      <c r="AI59" s="5" t="s">
        <v>145</v>
      </c>
      <c r="AJ59" s="6">
        <f>INDEX('面板-景气指数'!$37:$242,MATCH('面板-总览'!$AI59,'面板-景气指数'!$A$37:$A$242,0),MATCH('面板-总览'!AJ$2,'面板-景气指数'!$36:$36,0))</f>
        <v>0.61075000000000002</v>
      </c>
      <c r="AK59" s="6">
        <f>INDEX('面板-景气指数'!$37:$242,MATCH('面板-总览'!$AI59,'面板-景气指数'!$A$37:$A$242,0),MATCH('面板-总览'!AK$2,'面板-景气指数'!$36:$36,0))</f>
        <v>0.60950000000000004</v>
      </c>
      <c r="AL59" s="6">
        <f>INDEX('面板-景气指数'!$37:$242,MATCH('面板-总览'!$AI59,'面板-景气指数'!$A$37:$A$242,0),MATCH('面板-总览'!AL$2,'面板-景气指数'!$36:$36,0))</f>
        <v>0.55049999999999999</v>
      </c>
      <c r="AM59" s="6">
        <f>INDEX('面板-景气指数'!$37:$242,MATCH('面板-总览'!$AI59,'面板-景气指数'!$A$37:$A$242,0),MATCH('面板-总览'!AM$2,'面板-景气指数'!$36:$36,0))</f>
        <v>0.48175000000000001</v>
      </c>
      <c r="AN59" s="6">
        <f>INDEX('面板-景气指数'!$37:$242,MATCH('面板-总览'!$AI59,'面板-景气指数'!$A$37:$A$242,0),MATCH('面板-总览'!AN$2,'面板-景气指数'!$36:$36,0))</f>
        <v>0.39224999999999999</v>
      </c>
      <c r="AO59" s="6">
        <f>INDEX('面板-景气指数'!$37:$242,MATCH('面板-总览'!$AI59,'面板-景气指数'!$A$37:$A$242,0),MATCH('面板-总览'!AO$2,'面板-景气指数'!$36:$36,0))</f>
        <v>0.53225</v>
      </c>
      <c r="AP59" s="6">
        <f>INDEX('面板-景气指数'!$37:$242,MATCH('面板-总览'!$AI59,'面板-景气指数'!$A$37:$A$242,0),MATCH('面板-总览'!AP$2,'面板-景气指数'!$36:$36,0))</f>
        <v>0.51924999999999999</v>
      </c>
      <c r="AQ59" s="6">
        <f>INDEX('面板-景气指数'!$37:$242,MATCH('面板-总览'!$AI59,'面板-景气指数'!$A$37:$A$242,0),MATCH('面板-总览'!AQ$2,'面板-景气指数'!$36:$36,0))</f>
        <v>0.56900000000000006</v>
      </c>
      <c r="AR59" s="6">
        <f>INDEX('面板-景气指数'!$37:$242,MATCH('面板-总览'!$AI59,'面板-景气指数'!$A$37:$A$242,0),MATCH('面板-总览'!AR$2,'面板-景气指数'!$36:$36,0))</f>
        <v>0.53075000000000006</v>
      </c>
      <c r="AS59" s="6">
        <f>INDEX('面板-景气指数'!$37:$242,MATCH('面板-总览'!$AI59,'面板-景气指数'!$A$37:$A$242,0),MATCH('面板-总览'!AS$2,'面板-景气指数'!$36:$36,0))</f>
        <v>0.68074999999999997</v>
      </c>
      <c r="AT59" s="6">
        <f>INDEX('面板-景气指数'!$37:$242,MATCH('面板-总览'!$AI59,'面板-景气指数'!$A$37:$A$242,0),MATCH('面板-总览'!AT$2,'面板-景气指数'!$36:$36,0))</f>
        <v>0.63449999999999995</v>
      </c>
      <c r="AU59" s="6">
        <f>INDEX('面板-景气指数'!$37:$242,MATCH('面板-总览'!$AI59,'面板-景气指数'!$A$37:$A$242,0),MATCH('面板-总览'!AU$2,'面板-景气指数'!$36:$36,0))</f>
        <v>0.60175000000000001</v>
      </c>
      <c r="AV59" s="6">
        <f>INDEX('面板-景气指数'!$37:$242,MATCH('面板-总览'!$AI59,'面板-景气指数'!$A$37:$A$242,0),MATCH('面板-总览'!AV$2,'面板-景气指数'!$36:$36,0))</f>
        <v>0.54674999999999996</v>
      </c>
      <c r="AX59" s="11">
        <f t="shared" si="2"/>
        <v>-0.13400000000000001</v>
      </c>
    </row>
    <row r="60" spans="18:50" ht="21" customHeight="1" x14ac:dyDescent="0.2">
      <c r="R60" s="5" t="s">
        <v>146</v>
      </c>
      <c r="S60" s="6">
        <f>INDEX('面板-景气指数'!$37:$242,MATCH('面板-总览'!$R60,'面板-景气指数'!$A$37:$A$242,0),MATCH('面板-总览'!S$2,'面板-景气指数'!$36:$36,0))</f>
        <v>0.65050000000000008</v>
      </c>
      <c r="T60" s="6">
        <f>INDEX('面板-景气指数'!$37:$242,MATCH('面板-总览'!$R60,'面板-景气指数'!$A$37:$A$242,0),MATCH('面板-总览'!T$2,'面板-景气指数'!$36:$36,0))</f>
        <v>0.61050000000000004</v>
      </c>
      <c r="U60" s="6">
        <f>INDEX('面板-景气指数'!$37:$242,MATCH('面板-总览'!$R60,'面板-景气指数'!$A$37:$A$242,0),MATCH('面板-总览'!U$2,'面板-景气指数'!$36:$36,0))</f>
        <v>0.61049999999999993</v>
      </c>
      <c r="V60" s="6">
        <f>INDEX('面板-景气指数'!$37:$242,MATCH('面板-总览'!$R60,'面板-景气指数'!$A$37:$A$242,0),MATCH('面板-总览'!V$2,'面板-景气指数'!$36:$36,0))</f>
        <v>0.49150000000000005</v>
      </c>
      <c r="W60" s="6">
        <f>INDEX('面板-景气指数'!$37:$242,MATCH('面板-总览'!$R60,'面板-景气指数'!$A$37:$A$242,0),MATCH('面板-总览'!W$2,'面板-景气指数'!$36:$36,0))</f>
        <v>0.53950000000000009</v>
      </c>
      <c r="X60" s="6">
        <f>INDEX('面板-景气指数'!$37:$242,MATCH('面板-总览'!$R60,'面板-景气指数'!$A$37:$A$242,0),MATCH('面板-总览'!X$2,'面板-景气指数'!$36:$36,0))</f>
        <v>0.64200000000000002</v>
      </c>
      <c r="Y60" s="6">
        <f>INDEX('面板-景气指数'!$37:$242,MATCH('面板-总览'!$R60,'面板-景气指数'!$A$37:$A$242,0),MATCH('面板-总览'!Y$2,'面板-景气指数'!$36:$36,0))</f>
        <v>0.78549999999999998</v>
      </c>
      <c r="Z60" s="6">
        <f>INDEX('面板-景气指数'!$37:$242,MATCH('面板-总览'!$R60,'面板-景气指数'!$A$37:$A$242,0),MATCH('面板-总览'!Z$2,'面板-景气指数'!$36:$36,0))</f>
        <v>0.87249999999999994</v>
      </c>
      <c r="AA60" s="6">
        <f>INDEX('面板-景气指数'!$37:$242,MATCH('面板-总览'!$R60,'面板-景气指数'!$A$37:$A$242,0),MATCH('面板-总览'!AA$2,'面板-景气指数'!$36:$36,0))</f>
        <v>0.87250000000000005</v>
      </c>
      <c r="AB60" s="6">
        <f>INDEX('面板-景气指数'!$37:$242,MATCH('面板-总览'!$R60,'面板-景气指数'!$A$37:$A$242,0),MATCH('面板-总览'!AB$2,'面板-景气指数'!$36:$36,0))</f>
        <v>0.94400000000000006</v>
      </c>
      <c r="AC60" s="6">
        <f>INDEX('面板-景气指数'!$37:$242,MATCH('面板-总览'!$R60,'面板-景气指数'!$A$37:$A$242,0),MATCH('面板-总览'!AC$2,'面板-景气指数'!$36:$36,0))</f>
        <v>0.91199999999999992</v>
      </c>
      <c r="AD60" s="6">
        <f>INDEX('面板-景气指数'!$37:$242,MATCH('面板-总览'!$R60,'面板-景气指数'!$A$37:$A$242,0),MATCH('面板-总览'!AD$2,'面板-景气指数'!$36:$36,0))</f>
        <v>0.86499999999999999</v>
      </c>
      <c r="AE60" s="6">
        <f>INDEX('面板-景气指数'!$37:$242,MATCH('面板-总览'!$R60,'面板-景气指数'!$A$37:$A$242,0),MATCH('面板-总览'!AE$2,'面板-景气指数'!$36:$36,0))</f>
        <v>0.86499999999999999</v>
      </c>
      <c r="AG60" s="11">
        <f t="shared" si="3"/>
        <v>-7.900000000000007E-2</v>
      </c>
      <c r="AI60" s="5" t="s">
        <v>147</v>
      </c>
      <c r="AJ60" s="6">
        <f>INDEX('面板-景气指数'!$37:$242,MATCH('面板-总览'!$AI60,'面板-景气指数'!$A$37:$A$242,0),MATCH('面板-总览'!AJ$2,'面板-景气指数'!$36:$36,0))</f>
        <v>0.58875</v>
      </c>
      <c r="AK60" s="6">
        <f>INDEX('面板-景气指数'!$37:$242,MATCH('面板-总览'!$AI60,'面板-景气指数'!$A$37:$A$242,0),MATCH('面板-总览'!AK$2,'面板-景气指数'!$36:$36,0))</f>
        <v>0.57850000000000001</v>
      </c>
      <c r="AL60" s="6">
        <f>INDEX('面板-景气指数'!$37:$242,MATCH('面板-总览'!$AI60,'面板-景气指数'!$A$37:$A$242,0),MATCH('面板-总览'!AL$2,'面板-景气指数'!$36:$36,0))</f>
        <v>0.54825000000000002</v>
      </c>
      <c r="AM60" s="6">
        <f>INDEX('面板-景气指数'!$37:$242,MATCH('面板-总览'!$AI60,'面板-景气指数'!$A$37:$A$242,0),MATCH('面板-总览'!AM$2,'面板-景气指数'!$36:$36,0))</f>
        <v>0.53275000000000006</v>
      </c>
      <c r="AN60" s="6">
        <f>INDEX('面板-景气指数'!$37:$242,MATCH('面板-总览'!$AI60,'面板-景气指数'!$A$37:$A$242,0),MATCH('面板-总览'!AN$2,'面板-景气指数'!$36:$36,0))</f>
        <v>0.52</v>
      </c>
      <c r="AO60" s="6">
        <f>INDEX('面板-景气指数'!$37:$242,MATCH('面板-总览'!$AI60,'面板-景气指数'!$A$37:$A$242,0),MATCH('面板-总览'!AO$2,'面板-景气指数'!$36:$36,0))</f>
        <v>0.51</v>
      </c>
      <c r="AP60" s="6">
        <f>INDEX('面板-景气指数'!$37:$242,MATCH('面板-总览'!$AI60,'面板-景气指数'!$A$37:$A$242,0),MATCH('面板-总览'!AP$2,'面板-景气指数'!$36:$36,0))</f>
        <v>0.50224999999999997</v>
      </c>
      <c r="AQ60" s="6">
        <f>INDEX('面板-景气指数'!$37:$242,MATCH('面板-总览'!$AI60,'面板-景气指数'!$A$37:$A$242,0),MATCH('面板-总览'!AQ$2,'面板-景气指数'!$36:$36,0))</f>
        <v>0.53500000000000003</v>
      </c>
      <c r="AR60" s="6">
        <f>INDEX('面板-景气指数'!$37:$242,MATCH('面板-总览'!$AI60,'面板-景气指数'!$A$37:$A$242,0),MATCH('面板-总览'!AR$2,'面板-景气指数'!$36:$36,0))</f>
        <v>0.5149999999999999</v>
      </c>
      <c r="AS60" s="6">
        <f>INDEX('面板-景气指数'!$37:$242,MATCH('面板-总览'!$AI60,'面板-景气指数'!$A$37:$A$242,0),MATCH('面板-总览'!AS$2,'面板-景气指数'!$36:$36,0))</f>
        <v>0.51500000000000001</v>
      </c>
      <c r="AT60" s="6">
        <f>INDEX('面板-景气指数'!$37:$242,MATCH('面板-总览'!$AI60,'面板-景气指数'!$A$37:$A$242,0),MATCH('面板-总览'!AT$2,'面板-景气指数'!$36:$36,0))</f>
        <v>0.52249999999999996</v>
      </c>
      <c r="AU60" s="6">
        <f>INDEX('面板-景气指数'!$37:$242,MATCH('面板-总览'!$AI60,'面板-景气指数'!$A$37:$A$242,0),MATCH('面板-总览'!AU$2,'面板-景气指数'!$36:$36,0))</f>
        <v>0.53549999999999998</v>
      </c>
      <c r="AV60" s="6">
        <f>INDEX('面板-景气指数'!$37:$242,MATCH('面板-总览'!$AI60,'面板-景气指数'!$A$37:$A$242,0),MATCH('面板-总览'!AV$2,'面板-景气指数'!$36:$36,0))</f>
        <v>0.54799999999999993</v>
      </c>
      <c r="AX60" s="11">
        <f t="shared" si="2"/>
        <v>3.2999999999999918E-2</v>
      </c>
    </row>
    <row r="61" spans="18:50" ht="21" customHeight="1" x14ac:dyDescent="0.2">
      <c r="R61" s="5" t="s">
        <v>148</v>
      </c>
      <c r="S61" s="6">
        <f>INDEX('面板-景气指数'!$37:$242,MATCH('面板-总览'!$R61,'面板-景气指数'!$A$37:$A$242,0),MATCH('面板-总览'!S$2,'面板-景气指数'!$36:$36,0))</f>
        <v>0.316</v>
      </c>
      <c r="T61" s="6">
        <f>INDEX('面板-景气指数'!$37:$242,MATCH('面板-总览'!$R61,'面板-景气指数'!$A$37:$A$242,0),MATCH('面板-总览'!T$2,'面板-景气指数'!$36:$36,0))</f>
        <v>0.40799999999999997</v>
      </c>
      <c r="U61" s="6">
        <f>INDEX('面板-景气指数'!$37:$242,MATCH('面板-总览'!$R61,'面板-景气指数'!$A$37:$A$242,0),MATCH('面板-总览'!U$2,'面板-景气指数'!$36:$36,0))</f>
        <v>0.44799999999999995</v>
      </c>
      <c r="V61" s="6">
        <f>INDEX('面板-景气指数'!$37:$242,MATCH('面板-总览'!$R61,'面板-景气指数'!$A$37:$A$242,0),MATCH('面板-总览'!V$2,'面板-景气指数'!$36:$36,0))</f>
        <v>0.5</v>
      </c>
      <c r="W61" s="6">
        <f>INDEX('面板-景气指数'!$37:$242,MATCH('面板-总览'!$R61,'面板-景气指数'!$A$37:$A$242,0),MATCH('面板-总览'!W$2,'面板-景气指数'!$36:$36,0))</f>
        <v>0.45900000000000002</v>
      </c>
      <c r="X61" s="6">
        <f>INDEX('面板-景气指数'!$37:$242,MATCH('面板-总览'!$R61,'面板-景气指数'!$A$37:$A$242,0),MATCH('面板-总览'!X$2,'面板-景气指数'!$36:$36,0))</f>
        <v>0.5</v>
      </c>
      <c r="Y61" s="6">
        <f>INDEX('面板-景气指数'!$37:$242,MATCH('面板-总览'!$R61,'面板-景气指数'!$A$37:$A$242,0),MATCH('面板-总览'!Y$2,'面板-景气指数'!$36:$36,0))</f>
        <v>0.47899999999999993</v>
      </c>
      <c r="Z61" s="6">
        <f>INDEX('面板-景气指数'!$37:$242,MATCH('面板-总览'!$R61,'面板-景气指数'!$A$37:$A$242,0),MATCH('面板-总览'!Z$2,'面板-景气指数'!$36:$36,0))</f>
        <v>0.48899999999999993</v>
      </c>
      <c r="AA61" s="6">
        <f>INDEX('面板-景气指数'!$37:$242,MATCH('面板-总览'!$R61,'面板-景气指数'!$A$37:$A$242,0),MATCH('面板-总览'!AA$2,'面板-景气指数'!$36:$36,0))</f>
        <v>0.52</v>
      </c>
      <c r="AB61" s="6">
        <f>INDEX('面板-景气指数'!$37:$242,MATCH('面板-总览'!$R61,'面板-景气指数'!$A$37:$A$242,0),MATCH('面板-总览'!AB$2,'面板-景气指数'!$36:$36,0))</f>
        <v>0.54</v>
      </c>
      <c r="AC61" s="6">
        <f>INDEX('面板-景气指数'!$37:$242,MATCH('面板-总览'!$R61,'面板-景气指数'!$A$37:$A$242,0),MATCH('面板-总览'!AC$2,'面板-景气指数'!$36:$36,0))</f>
        <v>0.42799999999999999</v>
      </c>
      <c r="AD61" s="6">
        <f>INDEX('面板-景气指数'!$37:$242,MATCH('面板-总览'!$R61,'面板-景气指数'!$A$37:$A$242,0),MATCH('面板-总览'!AD$2,'面板-景气指数'!$36:$36,0))</f>
        <v>0.377</v>
      </c>
      <c r="AE61" s="6">
        <f>INDEX('面板-景气指数'!$37:$242,MATCH('面板-总览'!$R61,'面板-景气指数'!$A$37:$A$242,0),MATCH('面板-总览'!AE$2,'面板-景气指数'!$36:$36,0))</f>
        <v>0.377</v>
      </c>
      <c r="AG61" s="11">
        <f t="shared" si="3"/>
        <v>-0.16300000000000003</v>
      </c>
      <c r="AI61" s="5" t="s">
        <v>149</v>
      </c>
      <c r="AJ61" s="6">
        <f>INDEX('面板-景气指数'!$37:$242,MATCH('面板-总览'!$AI61,'面板-景气指数'!$A$37:$A$242,0),MATCH('面板-总览'!AJ$2,'面板-景气指数'!$36:$36,0))</f>
        <v>0.81099999999999994</v>
      </c>
      <c r="AK61" s="6">
        <f>INDEX('面板-景气指数'!$37:$242,MATCH('面板-总览'!$AI61,'面板-景气指数'!$A$37:$A$242,0),MATCH('面板-总览'!AK$2,'面板-景气指数'!$36:$36,0))</f>
        <v>0.78499999999999992</v>
      </c>
      <c r="AL61" s="6">
        <f>INDEX('面板-景气指数'!$37:$242,MATCH('面板-总览'!$AI61,'面板-景气指数'!$A$37:$A$242,0),MATCH('面板-总览'!AL$2,'面板-景气指数'!$36:$36,0))</f>
        <v>0.73899999999999999</v>
      </c>
      <c r="AM61" s="6">
        <f>INDEX('面板-景气指数'!$37:$242,MATCH('面板-总览'!$AI61,'面板-景气指数'!$A$37:$A$242,0),MATCH('面板-总览'!AM$2,'面板-景气指数'!$36:$36,0))</f>
        <v>0.71399999999999997</v>
      </c>
      <c r="AN61" s="6">
        <f>INDEX('面板-景气指数'!$37:$242,MATCH('面板-总览'!$AI61,'面板-景气指数'!$A$37:$A$242,0),MATCH('面板-总览'!AN$2,'面板-景气指数'!$36:$36,0))</f>
        <v>0.61150000000000004</v>
      </c>
      <c r="AO61" s="6">
        <f>INDEX('面板-景气指数'!$37:$242,MATCH('面板-总览'!$AI61,'面板-景气指数'!$A$37:$A$242,0),MATCH('面板-总览'!AO$2,'面板-景气指数'!$36:$36,0))</f>
        <v>0.50950000000000006</v>
      </c>
      <c r="AP61" s="6">
        <f>INDEX('面板-景气指数'!$37:$242,MATCH('面板-总览'!$AI61,'面板-景气指数'!$A$37:$A$242,0),MATCH('面板-总览'!AP$2,'面板-景气指数'!$36:$36,0))</f>
        <v>0.43350000000000005</v>
      </c>
      <c r="AQ61" s="6">
        <f>INDEX('面板-景气指数'!$37:$242,MATCH('面板-总览'!$AI61,'面板-景气指数'!$A$37:$A$242,0),MATCH('面板-总览'!AQ$2,'面板-景气指数'!$36:$36,0))</f>
        <v>0.44350000000000006</v>
      </c>
      <c r="AR61" s="6">
        <f>INDEX('面板-景气指数'!$37:$242,MATCH('面板-总览'!$AI61,'面板-景气指数'!$A$37:$A$242,0),MATCH('面板-总览'!AR$2,'面板-景气指数'!$36:$36,0))</f>
        <v>0.36649999999999999</v>
      </c>
      <c r="AS61" s="6">
        <f>INDEX('面板-景气指数'!$37:$242,MATCH('面板-总览'!$AI61,'面板-景气指数'!$A$37:$A$242,0),MATCH('面板-总览'!AS$2,'面板-景气指数'!$36:$36,0))</f>
        <v>0.316</v>
      </c>
      <c r="AT61" s="6">
        <f>INDEX('面板-景气指数'!$37:$242,MATCH('面板-总览'!$AI61,'面板-景气指数'!$A$37:$A$242,0),MATCH('面板-总览'!AT$2,'面板-景气指数'!$36:$36,0))</f>
        <v>0.20349999999999999</v>
      </c>
      <c r="AU61" s="6">
        <f>INDEX('面板-景气指数'!$37:$242,MATCH('面板-总览'!$AI61,'面板-景气指数'!$A$37:$A$242,0),MATCH('面板-总览'!AU$2,'面板-景气指数'!$36:$36,0))</f>
        <v>0.12200000000000001</v>
      </c>
      <c r="AV61" s="6">
        <f>INDEX('面板-景气指数'!$37:$242,MATCH('面板-总览'!$AI61,'面板-景气指数'!$A$37:$A$242,0),MATCH('面板-总览'!AV$2,'面板-景气指数'!$36:$36,0))</f>
        <v>0.02</v>
      </c>
      <c r="AX61" s="11">
        <f t="shared" si="2"/>
        <v>-0.29599999999999999</v>
      </c>
    </row>
    <row r="62" spans="18:50" ht="21" customHeight="1" x14ac:dyDescent="0.2">
      <c r="R62" s="5" t="s">
        <v>150</v>
      </c>
      <c r="S62" s="6">
        <f>INDEX('面板-景气指数'!$37:$242,MATCH('面板-总览'!$R62,'面板-景气指数'!$A$37:$A$242,0),MATCH('面板-总览'!S$2,'面板-景气指数'!$36:$36,0))</f>
        <v>0.84066666666666645</v>
      </c>
      <c r="T62" s="6">
        <f>INDEX('面板-景气指数'!$37:$242,MATCH('面板-总览'!$R62,'面板-景气指数'!$A$37:$A$242,0),MATCH('面板-总览'!T$2,'面板-景气指数'!$36:$36,0))</f>
        <v>0.87933333333333319</v>
      </c>
      <c r="U62" s="6">
        <f>INDEX('面板-景气指数'!$37:$242,MATCH('面板-总览'!$R62,'面板-景气指数'!$A$37:$A$242,0),MATCH('面板-总览'!U$2,'面板-景气指数'!$36:$36,0))</f>
        <v>0.84133333333333304</v>
      </c>
      <c r="V62" s="6">
        <f>INDEX('面板-景气指数'!$37:$242,MATCH('面板-总览'!$R62,'面板-景气指数'!$A$37:$A$242,0),MATCH('面板-总览'!V$2,'面板-景气指数'!$36:$36,0))</f>
        <v>0.6736666666666663</v>
      </c>
      <c r="W62" s="6">
        <f>INDEX('面板-景气指数'!$37:$242,MATCH('面板-总览'!$R62,'面板-景气指数'!$A$37:$A$242,0),MATCH('面板-总览'!W$2,'面板-景气指数'!$36:$36,0))</f>
        <v>0.80233333333333312</v>
      </c>
      <c r="X62" s="6">
        <f>INDEX('面板-景气指数'!$37:$242,MATCH('面板-总览'!$R62,'面板-景气指数'!$A$37:$A$242,0),MATCH('面板-总览'!X$2,'面板-景气指数'!$36:$36,0))</f>
        <v>0.87999999999999978</v>
      </c>
      <c r="Y62" s="6">
        <f>INDEX('面板-景气指数'!$37:$242,MATCH('面板-总览'!$R62,'面板-景气指数'!$A$37:$A$242,0),MATCH('面板-总览'!Y$2,'面板-景气指数'!$36:$36,0))</f>
        <v>0.91099999999999981</v>
      </c>
      <c r="Z62" s="6">
        <f>INDEX('面板-景气指数'!$37:$242,MATCH('面板-总览'!$R62,'面板-景气指数'!$A$37:$A$242,0),MATCH('面板-总览'!Z$2,'面板-景气指数'!$36:$36,0))</f>
        <v>0.84199999999999975</v>
      </c>
      <c r="AA62" s="6">
        <f>INDEX('面板-景气指数'!$37:$242,MATCH('面板-总览'!$R62,'面板-景气指数'!$A$37:$A$242,0),MATCH('面板-总览'!AA$2,'面板-景气指数'!$36:$36,0))</f>
        <v>0.72666666666666646</v>
      </c>
      <c r="AB62" s="6">
        <f>INDEX('面板-景气指数'!$37:$242,MATCH('面板-总览'!$R62,'面板-景气指数'!$A$37:$A$242,0),MATCH('面板-总览'!AB$2,'面板-景气指数'!$36:$36,0))</f>
        <v>0.63466666666666627</v>
      </c>
      <c r="AC62" s="6">
        <f>INDEX('面板-景气指数'!$37:$242,MATCH('面板-总览'!$R62,'面板-景气指数'!$A$37:$A$242,0),MATCH('面板-总览'!AC$2,'面板-景气指数'!$36:$36,0))</f>
        <v>0.62599999999999978</v>
      </c>
      <c r="AD62" s="6">
        <f>INDEX('面板-景气指数'!$37:$242,MATCH('面板-总览'!$R62,'面板-景气指数'!$A$37:$A$242,0),MATCH('面板-总览'!AD$2,'面板-景气指数'!$36:$36,0))</f>
        <v>0.44499999999999973</v>
      </c>
      <c r="AE62" s="6">
        <f>INDEX('面板-景气指数'!$37:$242,MATCH('面板-总览'!$R62,'面板-景气指数'!$A$37:$A$242,0),MATCH('面板-总览'!AE$2,'面板-景气指数'!$36:$36,0))</f>
        <v>0.59233333333333305</v>
      </c>
      <c r="AG62" s="11">
        <f t="shared" si="3"/>
        <v>-4.2333333333333223E-2</v>
      </c>
      <c r="AI62" s="5" t="s">
        <v>151</v>
      </c>
      <c r="AJ62" s="6">
        <f>INDEX('面板-景气指数'!$37:$242,MATCH('面板-总览'!$AI62,'面板-景气指数'!$A$37:$A$242,0),MATCH('面板-总览'!AJ$2,'面板-景气指数'!$36:$36,0))</f>
        <v>0.70733333333333359</v>
      </c>
      <c r="AK62" s="6">
        <f>INDEX('面板-景气指数'!$37:$242,MATCH('面板-总览'!$AI62,'面板-景气指数'!$A$37:$A$242,0),MATCH('面板-总览'!AK$2,'面板-景气指数'!$36:$36,0))</f>
        <v>0.81166666666666676</v>
      </c>
      <c r="AL62" s="6">
        <f>INDEX('面板-景气指数'!$37:$242,MATCH('面板-总览'!$AI62,'面板-景气指数'!$A$37:$A$242,0),MATCH('面板-总览'!AL$2,'面板-景气指数'!$36:$36,0))</f>
        <v>0.79466666666666663</v>
      </c>
      <c r="AM62" s="6">
        <f>INDEX('面板-景气指数'!$37:$242,MATCH('面板-总览'!$AI62,'面板-景气指数'!$A$37:$A$242,0),MATCH('面板-总览'!AM$2,'面板-景气指数'!$36:$36,0))</f>
        <v>0.67033333333333323</v>
      </c>
      <c r="AN62" s="6">
        <f>INDEX('面板-景气指数'!$37:$242,MATCH('面板-总览'!$AI62,'面板-景气指数'!$A$37:$A$242,0),MATCH('面板-总览'!AN$2,'面板-景气指数'!$36:$36,0))</f>
        <v>0.61266666666666647</v>
      </c>
      <c r="AO62" s="6">
        <f>INDEX('面板-景气指数'!$37:$242,MATCH('面板-总览'!$AI62,'面板-景气指数'!$A$37:$A$242,0),MATCH('面板-总览'!AO$2,'面板-景气指数'!$36:$36,0))</f>
        <v>0.6486666666666665</v>
      </c>
      <c r="AP62" s="6">
        <f>INDEX('面板-景气指数'!$37:$242,MATCH('面板-总览'!$AI62,'面板-景气指数'!$A$37:$A$242,0),MATCH('面板-总览'!AP$2,'面板-景气指数'!$36:$36,0))</f>
        <v>0.63933333333333331</v>
      </c>
      <c r="AQ62" s="6">
        <f>INDEX('面板-景气指数'!$37:$242,MATCH('面板-总览'!$AI62,'面板-景气指数'!$A$37:$A$242,0),MATCH('面板-总览'!AQ$2,'面板-景气指数'!$36:$36,0))</f>
        <v>0.68700000000000006</v>
      </c>
      <c r="AR62" s="6">
        <f>INDEX('面板-景气指数'!$37:$242,MATCH('面板-总览'!$AI62,'面板-景气指数'!$A$37:$A$242,0),MATCH('面板-总览'!AR$2,'面板-景气指数'!$36:$36,0))</f>
        <v>0.69166666666666665</v>
      </c>
      <c r="AS62" s="6">
        <f>INDEX('面板-景气指数'!$37:$242,MATCH('面板-总览'!$AI62,'面板-景气指数'!$A$37:$A$242,0),MATCH('面板-总览'!AS$2,'面板-景气指数'!$36:$36,0))</f>
        <v>0.69000000000000006</v>
      </c>
      <c r="AT62" s="6">
        <f>INDEX('面板-景气指数'!$37:$242,MATCH('面板-总览'!$AI62,'面板-景气指数'!$A$37:$A$242,0),MATCH('面板-总览'!AT$2,'面板-景气指数'!$36:$36,0))</f>
        <v>0.51966666666666672</v>
      </c>
      <c r="AU62" s="6">
        <f>INDEX('面板-景气指数'!$37:$242,MATCH('面板-总览'!$AI62,'面板-景气指数'!$A$37:$A$242,0),MATCH('面板-总览'!AU$2,'面板-景气指数'!$36:$36,0))</f>
        <v>0.30099999999999999</v>
      </c>
      <c r="AV62" s="6">
        <f>INDEX('面板-景气指数'!$37:$242,MATCH('面板-总览'!$AI62,'面板-景气指数'!$A$37:$A$242,0),MATCH('面板-总览'!AV$2,'面板-景气指数'!$36:$36,0))</f>
        <v>4.9333333333333368E-2</v>
      </c>
      <c r="AX62" s="11">
        <f t="shared" si="2"/>
        <v>-0.64066666666666672</v>
      </c>
    </row>
    <row r="63" spans="18:50" ht="21" customHeight="1" x14ac:dyDescent="0.2">
      <c r="R63" s="5" t="s">
        <v>152</v>
      </c>
      <c r="S63" s="6">
        <f>INDEX('面板-景气指数'!$37:$242,MATCH('面板-总览'!$R63,'面板-景气指数'!$A$37:$A$242,0),MATCH('面板-总览'!S$2,'面板-景气指数'!$36:$36,0))</f>
        <v>0.89566666666666683</v>
      </c>
      <c r="T63" s="6">
        <f>INDEX('面板-景气指数'!$37:$242,MATCH('面板-总览'!$R63,'面板-景气指数'!$A$37:$A$242,0),MATCH('面板-总览'!T$2,'面板-景气指数'!$36:$36,0))</f>
        <v>0.93266666666666664</v>
      </c>
      <c r="U63" s="6">
        <f>INDEX('面板-景气指数'!$37:$242,MATCH('面板-总览'!$R63,'面板-景气指数'!$A$37:$A$242,0),MATCH('面板-总览'!U$2,'面板-景气指数'!$36:$36,0))</f>
        <v>0.91933333333333334</v>
      </c>
      <c r="V63" s="6">
        <f>INDEX('面板-景气指数'!$37:$242,MATCH('面板-总览'!$R63,'面板-景气指数'!$A$37:$A$242,0),MATCH('面板-总览'!V$2,'面板-景气指数'!$36:$36,0))</f>
        <v>0.79266666666666663</v>
      </c>
      <c r="W63" s="6">
        <f>INDEX('面板-景气指数'!$37:$242,MATCH('面板-总览'!$R63,'面板-景气指数'!$A$37:$A$242,0),MATCH('面板-总览'!W$2,'面板-景气指数'!$36:$36,0))</f>
        <v>0.72566666666666657</v>
      </c>
      <c r="X63" s="6">
        <f>INDEX('面板-景气指数'!$37:$242,MATCH('面板-总览'!$R63,'面板-景气指数'!$A$37:$A$242,0),MATCH('面板-总览'!X$2,'面板-景气指数'!$36:$36,0))</f>
        <v>0.73899999999999999</v>
      </c>
      <c r="Y63" s="6">
        <f>INDEX('面板-景气指数'!$37:$242,MATCH('面板-总览'!$R63,'面板-景气指数'!$A$37:$A$242,0),MATCH('面板-总览'!Y$2,'面板-景气指数'!$36:$36,0))</f>
        <v>0.75233333333333341</v>
      </c>
      <c r="Z63" s="6">
        <f>INDEX('面板-景气指数'!$37:$242,MATCH('面板-总览'!$R63,'面板-景气指数'!$A$37:$A$242,0),MATCH('面板-总览'!Z$2,'面板-景气指数'!$36:$36,0))</f>
        <v>0.79600000000000004</v>
      </c>
      <c r="AA63" s="6">
        <f>INDEX('面板-景气指数'!$37:$242,MATCH('面板-总览'!$R63,'面板-景气指数'!$A$37:$A$242,0),MATCH('面板-总览'!AA$2,'面板-景气指数'!$36:$36,0))</f>
        <v>0.80933333333333335</v>
      </c>
      <c r="AB63" s="6">
        <f>INDEX('面板-景气指数'!$37:$242,MATCH('面板-总览'!$R63,'面板-景气指数'!$A$37:$A$242,0),MATCH('面板-总览'!AB$2,'面板-景气指数'!$36:$36,0))</f>
        <v>0.82300000000000006</v>
      </c>
      <c r="AC63" s="6">
        <f>INDEX('面板-景气指数'!$37:$242,MATCH('面板-总览'!$R63,'面板-景气指数'!$A$37:$A$242,0),MATCH('面板-总览'!AC$2,'面板-景气指数'!$36:$36,0))</f>
        <v>0.79933333333333345</v>
      </c>
      <c r="AD63" s="6">
        <f>INDEX('面板-景气指数'!$37:$242,MATCH('面板-总览'!$R63,'面板-景气指数'!$A$37:$A$242,0),MATCH('面板-总览'!AD$2,'面板-景气指数'!$36:$36,0))</f>
        <v>0.77200000000000002</v>
      </c>
      <c r="AE63" s="6">
        <f>INDEX('面板-景气指数'!$37:$242,MATCH('面板-总览'!$R63,'面板-景气指数'!$A$37:$A$242,0),MATCH('面板-总览'!AE$2,'面板-景气指数'!$36:$36,0))</f>
        <v>0.77200000000000002</v>
      </c>
      <c r="AG63" s="11">
        <f t="shared" si="3"/>
        <v>-5.1000000000000045E-2</v>
      </c>
      <c r="AI63" s="5" t="s">
        <v>153</v>
      </c>
      <c r="AJ63" s="6">
        <f>INDEX('面板-景气指数'!$37:$242,MATCH('面板-总览'!$AI63,'面板-景气指数'!$A$37:$A$242,0),MATCH('面板-总览'!AJ$2,'面板-景气指数'!$36:$36,0))</f>
        <v>0.70150000000000001</v>
      </c>
      <c r="AK63" s="6">
        <f>INDEX('面板-景气指数'!$37:$242,MATCH('面板-总览'!$AI63,'面板-景气指数'!$A$37:$A$242,0),MATCH('面板-总览'!AK$2,'面板-景气指数'!$36:$36,0))</f>
        <v>0.89200000000000002</v>
      </c>
      <c r="AL63" s="6">
        <f>INDEX('面板-景气指数'!$37:$242,MATCH('面板-总览'!$AI63,'面板-景气指数'!$A$37:$A$242,0),MATCH('面板-总览'!AL$2,'面板-景气指数'!$36:$36,0))</f>
        <v>0.65050000000000008</v>
      </c>
      <c r="AM63" s="6">
        <f>INDEX('面板-景气指数'!$37:$242,MATCH('面板-总览'!$AI63,'面板-景气指数'!$A$37:$A$242,0),MATCH('面板-总览'!AM$2,'面板-景气指数'!$36:$36,0))</f>
        <v>0.76300000000000001</v>
      </c>
      <c r="AN63" s="6">
        <f>INDEX('面板-景气指数'!$37:$242,MATCH('面板-总览'!$AI63,'面板-景气指数'!$A$37:$A$242,0),MATCH('面板-总览'!AN$2,'面板-景气指数'!$36:$36,0))</f>
        <v>0.39750000000000002</v>
      </c>
      <c r="AO63" s="6">
        <f>INDEX('面板-景气指数'!$37:$242,MATCH('面板-总览'!$AI63,'面板-景气指数'!$A$37:$A$242,0),MATCH('面板-总览'!AO$2,'面板-景气指数'!$36:$36,0))</f>
        <v>0.51200000000000001</v>
      </c>
      <c r="AP63" s="6">
        <f>INDEX('面板-景气指数'!$37:$242,MATCH('面板-总览'!$AI63,'面板-景气指数'!$A$37:$A$242,0),MATCH('面板-总览'!AP$2,'面板-景气指数'!$36:$36,0))</f>
        <v>0.38699999999999996</v>
      </c>
      <c r="AQ63" s="6">
        <f>INDEX('面板-景气指数'!$37:$242,MATCH('面板-总览'!$AI63,'面板-景气指数'!$A$37:$A$242,0),MATCH('面板-总览'!AQ$2,'面板-景气指数'!$36:$36,0))</f>
        <v>0.60549999999999993</v>
      </c>
      <c r="AR63" s="6">
        <f>INDEX('面板-景气指数'!$37:$242,MATCH('面板-总览'!$AI63,'面板-景气指数'!$A$37:$A$242,0),MATCH('面板-总览'!AR$2,'面板-景气指数'!$36:$36,0))</f>
        <v>0.89250000000000007</v>
      </c>
      <c r="AS63" s="6">
        <f>INDEX('面板-景气指数'!$37:$242,MATCH('面板-总览'!$AI63,'面板-景气指数'!$A$37:$A$242,0),MATCH('面板-总览'!AS$2,'面板-景气指数'!$36:$36,0))</f>
        <v>0.8</v>
      </c>
      <c r="AT63" s="6">
        <f>INDEX('面板-景气指数'!$37:$242,MATCH('面板-总览'!$AI63,'面板-景气指数'!$A$37:$A$242,0),MATCH('面板-总览'!AT$2,'面板-景气指数'!$36:$36,0))</f>
        <v>0.71699999999999997</v>
      </c>
      <c r="AU63" s="6">
        <f>INDEX('面板-景气指数'!$37:$242,MATCH('面板-总览'!$AI63,'面板-景气指数'!$A$37:$A$242,0),MATCH('面板-总览'!AU$2,'面板-景气指数'!$36:$36,0))</f>
        <v>0.1055</v>
      </c>
      <c r="AV63" s="6">
        <f>INDEX('面板-景气指数'!$37:$242,MATCH('面板-总览'!$AI63,'面板-景气指数'!$A$37:$A$242,0),MATCH('面板-总览'!AV$2,'面板-景气指数'!$36:$36,0))</f>
        <v>0.17249999999999999</v>
      </c>
      <c r="AX63" s="11">
        <f t="shared" si="2"/>
        <v>-0.62750000000000006</v>
      </c>
    </row>
    <row r="64" spans="18:50" ht="21" customHeight="1" x14ac:dyDescent="0.2">
      <c r="R64" s="5" t="s">
        <v>154</v>
      </c>
      <c r="S64" s="6">
        <f>INDEX('面板-景气指数'!$37:$242,MATCH('面板-总览'!$R64,'面板-景气指数'!$A$37:$A$242,0),MATCH('面板-总览'!S$2,'面板-景气指数'!$36:$36,0))</f>
        <v>0.80049999999999999</v>
      </c>
      <c r="T64" s="6">
        <f>INDEX('面板-景气指数'!$37:$242,MATCH('面板-总览'!$R64,'面板-景气指数'!$A$37:$A$242,0),MATCH('面板-总览'!T$2,'面板-景气指数'!$36:$36,0))</f>
        <v>0.87199999999999989</v>
      </c>
      <c r="U64" s="6">
        <f>INDEX('面板-景气指数'!$37:$242,MATCH('面板-总览'!$R64,'面板-景气指数'!$A$37:$A$242,0),MATCH('面板-总览'!U$2,'面板-景气指数'!$36:$36,0))</f>
        <v>0.88200000000000001</v>
      </c>
      <c r="V64" s="6">
        <f>INDEX('面板-景气指数'!$37:$242,MATCH('面板-总览'!$R64,'面板-景气指数'!$A$37:$A$242,0),MATCH('面板-总览'!V$2,'面板-景气指数'!$36:$36,0))</f>
        <v>0.83100000000000007</v>
      </c>
      <c r="W64" s="6">
        <f>INDEX('面板-景气指数'!$37:$242,MATCH('面板-总览'!$R64,'面板-景气指数'!$A$37:$A$242,0),MATCH('面板-总览'!W$2,'面板-景气指数'!$36:$36,0))</f>
        <v>0.88200000000000001</v>
      </c>
      <c r="X64" s="6">
        <f>INDEX('面板-景气指数'!$37:$242,MATCH('面板-总览'!$R64,'面板-景气指数'!$A$37:$A$242,0),MATCH('面板-总览'!X$2,'面板-景气指数'!$36:$36,0))</f>
        <v>0.90250000000000008</v>
      </c>
      <c r="Y64" s="6">
        <f>INDEX('面板-景气指数'!$37:$242,MATCH('面板-总览'!$R64,'面板-景气指数'!$A$37:$A$242,0),MATCH('面板-总览'!Y$2,'面板-景气指数'!$36:$36,0))</f>
        <v>0.94850000000000001</v>
      </c>
      <c r="Z64" s="6">
        <f>INDEX('面板-景气指数'!$37:$242,MATCH('面板-总览'!$R64,'面板-景气指数'!$A$37:$A$242,0),MATCH('面板-总览'!Z$2,'面板-景气指数'!$36:$36,0))</f>
        <v>0.9385</v>
      </c>
      <c r="AA64" s="6">
        <f>INDEX('面板-景气指数'!$37:$242,MATCH('面板-总览'!$R64,'面板-景气指数'!$A$37:$A$242,0),MATCH('面板-总览'!AA$2,'面板-景气指数'!$36:$36,0))</f>
        <v>0.91799999999999993</v>
      </c>
      <c r="AB64" s="6">
        <f>INDEX('面板-景气指数'!$37:$242,MATCH('面板-总览'!$R64,'面板-景气指数'!$A$37:$A$242,0),MATCH('面板-总览'!AB$2,'面板-景气指数'!$36:$36,0))</f>
        <v>0.877</v>
      </c>
      <c r="AC64" s="6">
        <f>INDEX('面板-景气指数'!$37:$242,MATCH('面板-总览'!$R64,'面板-景气指数'!$A$37:$A$242,0),MATCH('面板-总览'!AC$2,'面板-景气指数'!$36:$36,0))</f>
        <v>0.83099999999999996</v>
      </c>
      <c r="AD64" s="6">
        <f>INDEX('面板-景气指数'!$37:$242,MATCH('面板-总览'!$R64,'面板-景气指数'!$A$37:$A$242,0),MATCH('面板-总览'!AD$2,'面板-景气指数'!$36:$36,0))</f>
        <v>0.7955000000000001</v>
      </c>
      <c r="AE64" s="6">
        <f>INDEX('面板-景气指数'!$37:$242,MATCH('面板-总览'!$R64,'面板-景气指数'!$A$37:$A$242,0),MATCH('面板-总览'!AE$2,'面板-景气指数'!$36:$36,0))</f>
        <v>0.81599999999999995</v>
      </c>
      <c r="AG64" s="11">
        <f t="shared" si="3"/>
        <v>-6.1000000000000054E-2</v>
      </c>
      <c r="AI64" s="5" t="s">
        <v>155</v>
      </c>
      <c r="AJ64" s="6">
        <f>INDEX('面板-景气指数'!$37:$242,MATCH('面板-总览'!$AI64,'面板-景气指数'!$A$37:$A$242,0),MATCH('面板-总览'!AJ$2,'面板-景气指数'!$36:$36,0))</f>
        <v>0.109</v>
      </c>
      <c r="AK64" s="6">
        <f>INDEX('面板-景气指数'!$37:$242,MATCH('面板-总览'!$AI64,'面板-景气指数'!$A$37:$A$242,0),MATCH('面板-总览'!AK$2,'面板-景气指数'!$36:$36,0))</f>
        <v>0.12199999999999998</v>
      </c>
      <c r="AL64" s="6">
        <f>INDEX('面板-景气指数'!$37:$242,MATCH('面板-总览'!$AI64,'面板-景气指数'!$A$37:$A$242,0),MATCH('面板-总览'!AL$2,'面板-景气指数'!$36:$36,0))</f>
        <v>0.1615</v>
      </c>
      <c r="AM64" s="6">
        <f>INDEX('面板-景气指数'!$37:$242,MATCH('面板-总览'!$AI64,'面板-景气指数'!$A$37:$A$242,0),MATCH('面板-总览'!AM$2,'面板-景气指数'!$36:$36,0))</f>
        <v>0.23350000000000001</v>
      </c>
      <c r="AN64" s="6">
        <f>INDEX('面板-景气指数'!$37:$242,MATCH('面板-总览'!$AI64,'面板-景气指数'!$A$37:$A$242,0),MATCH('面板-总览'!AN$2,'面板-景气指数'!$36:$36,0))</f>
        <v>0.27499999999999997</v>
      </c>
      <c r="AO64" s="6">
        <f>INDEX('面板-景气指数'!$37:$242,MATCH('面板-总览'!$AI64,'面板-景气指数'!$A$37:$A$242,0),MATCH('面板-总览'!AO$2,'面板-景气指数'!$36:$36,0))</f>
        <v>0.29899999999999999</v>
      </c>
      <c r="AP64" s="6">
        <f>INDEX('面板-景气指数'!$37:$242,MATCH('面板-总览'!$AI64,'面板-景气指数'!$A$37:$A$242,0),MATCH('面板-总览'!AP$2,'面板-景气指数'!$36:$36,0))</f>
        <v>0.318</v>
      </c>
      <c r="AQ64" s="6">
        <f>INDEX('面板-景气指数'!$37:$242,MATCH('面板-总览'!$AI64,'面板-景气指数'!$A$37:$A$242,0),MATCH('面板-总览'!AQ$2,'面板-景气指数'!$36:$36,0))</f>
        <v>0.28349999999999997</v>
      </c>
      <c r="AR64" s="6">
        <f>INDEX('面板-景气指数'!$37:$242,MATCH('面板-总览'!$AI64,'面板-景气指数'!$A$37:$A$242,0),MATCH('面板-总览'!AR$2,'面板-景气指数'!$36:$36,0))</f>
        <v>0.20399999999999999</v>
      </c>
      <c r="AS64" s="6">
        <f>INDEX('面板-景气指数'!$37:$242,MATCH('面板-总览'!$AI64,'面板-景气指数'!$A$37:$A$242,0),MATCH('面板-总览'!AS$2,'面板-景气指数'!$36:$36,0))</f>
        <v>0.2525</v>
      </c>
      <c r="AT64" s="6">
        <f>INDEX('面板-景气指数'!$37:$242,MATCH('面板-总览'!$AI64,'面板-景气指数'!$A$37:$A$242,0),MATCH('面板-总览'!AT$2,'面板-景气指数'!$36:$36,0))</f>
        <v>0.36000000000000004</v>
      </c>
      <c r="AU64" s="6">
        <f>INDEX('面板-景气指数'!$37:$242,MATCH('面板-总览'!$AI64,'面板-景气指数'!$A$37:$A$242,0),MATCH('面板-总览'!AU$2,'面板-景气指数'!$36:$36,0))</f>
        <v>0.52249999999999996</v>
      </c>
      <c r="AV64" s="6">
        <f>INDEX('面板-景气指数'!$37:$242,MATCH('面板-总览'!$AI64,'面板-景气指数'!$A$37:$A$242,0),MATCH('面板-总览'!AV$2,'面板-景气指数'!$36:$36,0))</f>
        <v>0.52249999999999996</v>
      </c>
      <c r="AX64" s="11">
        <f t="shared" si="2"/>
        <v>0.26999999999999996</v>
      </c>
    </row>
    <row r="65" spans="18:50" ht="21" customHeight="1" x14ac:dyDescent="0.2">
      <c r="R65" s="5" t="s">
        <v>156</v>
      </c>
      <c r="S65" s="6">
        <f>INDEX('面板-景气指数'!$37:$242,MATCH('面板-总览'!$R65,'面板-景气指数'!$A$37:$A$242,0),MATCH('面板-总览'!S$2,'面板-景气指数'!$36:$36,0))</f>
        <v>0.3024</v>
      </c>
      <c r="T65" s="6">
        <f>INDEX('面板-景气指数'!$37:$242,MATCH('面板-总览'!$R65,'面板-景气指数'!$A$37:$A$242,0),MATCH('面板-总览'!T$2,'面板-景气指数'!$36:$36,0))</f>
        <v>0.31079999999999997</v>
      </c>
      <c r="U65" s="6">
        <f>INDEX('面板-景气指数'!$37:$242,MATCH('面板-总览'!$R65,'面板-景气指数'!$A$37:$A$242,0),MATCH('面板-总览'!U$2,'面板-景气指数'!$36:$36,0))</f>
        <v>0.27139999999999997</v>
      </c>
      <c r="V65" s="6">
        <f>INDEX('面板-景气指数'!$37:$242,MATCH('面板-总览'!$R65,'面板-景气指数'!$A$37:$A$242,0),MATCH('面板-总览'!V$2,'面板-景气指数'!$36:$36,0))</f>
        <v>0.2792</v>
      </c>
      <c r="W65" s="6">
        <f>INDEX('面板-景气指数'!$37:$242,MATCH('面板-总览'!$R65,'面板-景气指数'!$A$37:$A$242,0),MATCH('面板-总览'!W$2,'面板-景气指数'!$36:$36,0))</f>
        <v>0.30180000000000001</v>
      </c>
      <c r="X65" s="6">
        <f>INDEX('面板-景气指数'!$37:$242,MATCH('面板-总览'!$R65,'面板-景气指数'!$A$37:$A$242,0),MATCH('面板-总览'!X$2,'面板-景气指数'!$36:$36,0))</f>
        <v>0.37319999999999992</v>
      </c>
      <c r="Y65" s="6">
        <f>INDEX('面板-景气指数'!$37:$242,MATCH('面板-总览'!$R65,'面板-景气指数'!$A$37:$A$242,0),MATCH('面板-总览'!Y$2,'面板-景气指数'!$36:$36,0))</f>
        <v>0.41220000000000001</v>
      </c>
      <c r="Z65" s="6">
        <f>INDEX('面板-景气指数'!$37:$242,MATCH('面板-总览'!$R65,'面板-景气指数'!$A$37:$A$242,0),MATCH('面板-总览'!Z$2,'面板-景气指数'!$36:$36,0))</f>
        <v>0.50219999999999998</v>
      </c>
      <c r="AA65" s="6">
        <f>INDEX('面板-景气指数'!$37:$242,MATCH('面板-总览'!$R65,'面板-景气指数'!$A$37:$A$242,0),MATCH('面板-总览'!AA$2,'面板-景气指数'!$36:$36,0))</f>
        <v>0.5756</v>
      </c>
      <c r="AB65" s="6">
        <f>INDEX('面板-景气指数'!$37:$242,MATCH('面板-总览'!$R65,'面板-景气指数'!$A$37:$A$242,0),MATCH('面板-总览'!AB$2,'面板-景气指数'!$36:$36,0))</f>
        <v>0.57179999999999986</v>
      </c>
      <c r="AC65" s="6">
        <f>INDEX('面板-景气指数'!$37:$242,MATCH('面板-总览'!$R65,'面板-景气指数'!$A$37:$A$242,0),MATCH('面板-总览'!AC$2,'面板-景气指数'!$36:$36,0))</f>
        <v>0.64999999999999991</v>
      </c>
      <c r="AD65" s="6">
        <f>INDEX('面板-景气指数'!$37:$242,MATCH('面板-总览'!$R65,'面板-景气指数'!$A$37:$A$242,0),MATCH('面板-总览'!AD$2,'面板-景气指数'!$36:$36,0))</f>
        <v>0.61339999999999995</v>
      </c>
      <c r="AE65" s="6">
        <f>INDEX('面板-景气指数'!$37:$242,MATCH('面板-总览'!$R65,'面板-景气指数'!$A$37:$A$242,0),MATCH('面板-总览'!AE$2,'面板-景气指数'!$36:$36,0))</f>
        <v>0.68919999999999992</v>
      </c>
      <c r="AG65" s="11">
        <f t="shared" si="3"/>
        <v>0.11740000000000006</v>
      </c>
      <c r="AI65" s="5" t="s">
        <v>157</v>
      </c>
      <c r="AJ65" s="6">
        <f>INDEX('面板-景气指数'!$37:$242,MATCH('面板-总览'!$AI65,'面板-景气指数'!$A$37:$A$242,0),MATCH('面板-总览'!AJ$2,'面板-景气指数'!$36:$36,0))</f>
        <v>0.62150000000000005</v>
      </c>
      <c r="AK65" s="6">
        <f>INDEX('面板-景气指数'!$37:$242,MATCH('面板-总览'!$AI65,'面板-景气指数'!$A$37:$A$242,0),MATCH('面板-总览'!AK$2,'面板-景气指数'!$36:$36,0))</f>
        <v>0.60650000000000004</v>
      </c>
      <c r="AL65" s="6">
        <f>INDEX('面板-景气指数'!$37:$242,MATCH('面板-总览'!$AI65,'面板-景气指数'!$A$37:$A$242,0),MATCH('面板-总览'!AL$2,'面板-景气指数'!$36:$36,0))</f>
        <v>0.59650000000000003</v>
      </c>
      <c r="AM65" s="6">
        <f>INDEX('面板-景气指数'!$37:$242,MATCH('面板-总览'!$AI65,'面板-景气指数'!$A$37:$A$242,0),MATCH('面板-总览'!AM$2,'面板-景气指数'!$36:$36,0))</f>
        <v>0.56599999999999995</v>
      </c>
      <c r="AN65" s="6">
        <f>INDEX('面板-景气指数'!$37:$242,MATCH('面板-总览'!$AI65,'面板-景气指数'!$A$37:$A$242,0),MATCH('面板-总览'!AN$2,'面板-景气指数'!$36:$36,0))</f>
        <v>0.52999999999999992</v>
      </c>
      <c r="AO65" s="6">
        <f>INDEX('面板-景气指数'!$37:$242,MATCH('面板-总览'!$AI65,'面板-景气指数'!$A$37:$A$242,0),MATCH('面板-总览'!AO$2,'面板-景气指数'!$36:$36,0))</f>
        <v>0.52500000000000002</v>
      </c>
      <c r="AP65" s="6">
        <f>INDEX('面板-景气指数'!$37:$242,MATCH('面板-总览'!$AI65,'面板-景气指数'!$A$37:$A$242,0),MATCH('面板-总览'!AP$2,'面板-景气指数'!$36:$36,0))</f>
        <v>0.55049999999999999</v>
      </c>
      <c r="AQ65" s="6">
        <f>INDEX('面板-景气指数'!$37:$242,MATCH('面板-总览'!$AI65,'面板-景气指数'!$A$37:$A$242,0),MATCH('面板-总览'!AQ$2,'面板-景气指数'!$36:$36,0))</f>
        <v>0.57100000000000006</v>
      </c>
      <c r="AR65" s="6">
        <f>INDEX('面板-景气指数'!$37:$242,MATCH('面板-总览'!$AI65,'面板-景气指数'!$A$37:$A$242,0),MATCH('面板-总览'!AR$2,'面板-景气指数'!$36:$36,0))</f>
        <v>0.61650000000000005</v>
      </c>
      <c r="AS65" s="6">
        <f>INDEX('面板-景气指数'!$37:$242,MATCH('面板-总览'!$AI65,'面板-景气指数'!$A$37:$A$242,0),MATCH('面板-总览'!AS$2,'面板-景气指数'!$36:$36,0))</f>
        <v>0.62750000000000006</v>
      </c>
      <c r="AT65" s="6">
        <f>INDEX('面板-景气指数'!$37:$242,MATCH('面板-总览'!$AI65,'面板-景气指数'!$A$37:$A$242,0),MATCH('面板-总览'!AT$2,'面板-景气指数'!$36:$36,0))</f>
        <v>0.55049999999999999</v>
      </c>
      <c r="AU65" s="6">
        <f>INDEX('面板-景气指数'!$37:$242,MATCH('面板-总览'!$AI65,'面板-景气指数'!$A$37:$A$242,0),MATCH('面板-总览'!AU$2,'面板-景气指数'!$36:$36,0))</f>
        <v>0.46899999999999997</v>
      </c>
      <c r="AV65" s="6">
        <f>INDEX('面板-景气指数'!$37:$242,MATCH('面板-总览'!$AI65,'面板-景气指数'!$A$37:$A$242,0),MATCH('面板-总览'!AV$2,'面板-景气指数'!$36:$36,0))</f>
        <v>0.46899999999999997</v>
      </c>
      <c r="AX65" s="11">
        <f t="shared" si="2"/>
        <v>-0.15850000000000009</v>
      </c>
    </row>
    <row r="66" spans="18:50" ht="21" customHeight="1" x14ac:dyDescent="0.2">
      <c r="R66" s="5" t="s">
        <v>158</v>
      </c>
      <c r="S66" s="6">
        <f>INDEX('面板-景气指数'!$37:$242,MATCH('面板-总览'!$R66,'面板-景气指数'!$A$37:$A$242,0),MATCH('面板-总览'!S$2,'面板-景气指数'!$36:$36,0))</f>
        <v>0.46239999999999998</v>
      </c>
      <c r="T66" s="6">
        <f>INDEX('面板-景气指数'!$37:$242,MATCH('面板-总览'!$R66,'面板-景气指数'!$A$37:$A$242,0),MATCH('面板-总览'!T$2,'面板-景气指数'!$36:$36,0))</f>
        <v>0.52</v>
      </c>
      <c r="U66" s="6">
        <f>INDEX('面板-景气指数'!$37:$242,MATCH('面板-总览'!$R66,'面板-景气指数'!$A$37:$A$242,0),MATCH('面板-总览'!U$2,'面板-景气指数'!$36:$36,0))</f>
        <v>0.47100000000000003</v>
      </c>
      <c r="V66" s="6">
        <f>INDEX('面板-景气指数'!$37:$242,MATCH('面板-总览'!$R66,'面板-景气指数'!$A$37:$A$242,0),MATCH('面板-总览'!V$2,'面板-景气指数'!$36:$36,0))</f>
        <v>0.4098</v>
      </c>
      <c r="W66" s="6">
        <f>INDEX('面板-景气指数'!$37:$242,MATCH('面板-总览'!$R66,'面板-景气指数'!$A$37:$A$242,0),MATCH('面板-总览'!W$2,'面板-景气指数'!$36:$36,0))</f>
        <v>0.41739999999999999</v>
      </c>
      <c r="X66" s="6">
        <f>INDEX('面板-景气指数'!$37:$242,MATCH('面板-总览'!$R66,'面板-景气指数'!$A$37:$A$242,0),MATCH('面板-总览'!X$2,'面板-景气指数'!$36:$36,0))</f>
        <v>0.43060000000000004</v>
      </c>
      <c r="Y66" s="6">
        <f>INDEX('面板-景气指数'!$37:$242,MATCH('面板-总览'!$R66,'面板-景气指数'!$A$37:$A$242,0),MATCH('面板-总览'!Y$2,'面板-景气指数'!$36:$36,0))</f>
        <v>0.44080000000000003</v>
      </c>
      <c r="Z66" s="6">
        <f>INDEX('面板-景气指数'!$37:$242,MATCH('面板-总览'!$R66,'面板-景气指数'!$A$37:$A$242,0),MATCH('面板-总览'!Z$2,'面板-景气指数'!$36:$36,0))</f>
        <v>0.47540000000000004</v>
      </c>
      <c r="AA66" s="6">
        <f>INDEX('面板-景气指数'!$37:$242,MATCH('面板-总览'!$R66,'面板-景气指数'!$A$37:$A$242,0),MATCH('面板-总览'!AA$2,'面板-景气指数'!$36:$36,0))</f>
        <v>0.51400000000000001</v>
      </c>
      <c r="AB66" s="6">
        <f>INDEX('面板-景气指数'!$37:$242,MATCH('面板-总览'!$R66,'面板-景气指数'!$A$37:$A$242,0),MATCH('面板-总览'!AB$2,'面板-景气指数'!$36:$36,0))</f>
        <v>0.55240000000000011</v>
      </c>
      <c r="AC66" s="6">
        <f>INDEX('面板-景气指数'!$37:$242,MATCH('面板-总览'!$R66,'面板-景气指数'!$A$37:$A$242,0),MATCH('面板-总览'!AC$2,'面板-景气指数'!$36:$36,0))</f>
        <v>0.65400000000000003</v>
      </c>
      <c r="AD66" s="6">
        <f>INDEX('面板-景气指数'!$37:$242,MATCH('面板-总览'!$R66,'面板-景气指数'!$A$37:$A$242,0),MATCH('面板-总览'!AD$2,'面板-景气指数'!$36:$36,0))</f>
        <v>0.66839999999999999</v>
      </c>
      <c r="AE66" s="6">
        <f>INDEX('面板-景气指数'!$37:$242,MATCH('面板-总览'!$R66,'面板-景气指数'!$A$37:$A$242,0),MATCH('面板-总览'!AE$2,'面板-景气指数'!$36:$36,0))</f>
        <v>0.69679999999999986</v>
      </c>
      <c r="AG66" s="11">
        <f t="shared" si="3"/>
        <v>0.14439999999999975</v>
      </c>
      <c r="AI66" s="5" t="s">
        <v>159</v>
      </c>
      <c r="AJ66" s="6">
        <f>INDEX('面板-景气指数'!$37:$242,MATCH('面板-总览'!$AI66,'面板-景气指数'!$A$37:$A$242,0),MATCH('面板-总览'!AJ$2,'面板-景气指数'!$36:$36,0))</f>
        <v>0.62199999999999989</v>
      </c>
      <c r="AK66" s="6">
        <f>INDEX('面板-景气指数'!$37:$242,MATCH('面板-总览'!$AI66,'面板-景气指数'!$A$37:$A$242,0),MATCH('面板-总览'!AK$2,'面板-景气指数'!$36:$36,0))</f>
        <v>0.71349999999999991</v>
      </c>
      <c r="AL66" s="6">
        <f>INDEX('面板-景气指数'!$37:$242,MATCH('面板-总览'!$AI66,'面板-景气指数'!$A$37:$A$242,0),MATCH('面板-总览'!AL$2,'面板-景气指数'!$36:$36,0))</f>
        <v>0.80049999999999988</v>
      </c>
      <c r="AM66" s="6">
        <f>INDEX('面板-景气指数'!$37:$242,MATCH('面板-总览'!$AI66,'面板-景气指数'!$A$37:$A$242,0),MATCH('面板-总览'!AM$2,'面板-景气指数'!$36:$36,0))</f>
        <v>0.78050000000000008</v>
      </c>
      <c r="AN66" s="6">
        <f>INDEX('面板-景气指数'!$37:$242,MATCH('面板-总览'!$AI66,'面板-景气指数'!$A$37:$A$242,0),MATCH('面板-总览'!AN$2,'面板-景气指数'!$36:$36,0))</f>
        <v>0.76500000000000001</v>
      </c>
      <c r="AO66" s="6">
        <f>INDEX('面板-景气指数'!$37:$242,MATCH('面板-总览'!$AI66,'面板-景气指数'!$A$37:$A$242,0),MATCH('面板-总览'!AO$2,'面板-景气指数'!$36:$36,0))</f>
        <v>0.77500000000000002</v>
      </c>
      <c r="AP66" s="6">
        <f>INDEX('面板-景气指数'!$37:$242,MATCH('面板-总览'!$AI66,'面板-景气指数'!$A$37:$A$242,0),MATCH('面板-总览'!AP$2,'面板-景气指数'!$36:$36,0))</f>
        <v>0.81549999999999989</v>
      </c>
      <c r="AQ66" s="6">
        <f>INDEX('面板-景气指数'!$37:$242,MATCH('面板-总览'!$AI66,'面板-景气指数'!$A$37:$A$242,0),MATCH('面板-总览'!AQ$2,'面板-景气指数'!$36:$36,0))</f>
        <v>0.83599999999999997</v>
      </c>
      <c r="AR66" s="6">
        <f>INDEX('面板-景气指数'!$37:$242,MATCH('面板-总览'!$AI66,'面板-景气指数'!$A$37:$A$242,0),MATCH('面板-总览'!AR$2,'面板-景气指数'!$36:$36,0))</f>
        <v>0.86699999999999999</v>
      </c>
      <c r="AS66" s="6">
        <f>INDEX('面板-景气指数'!$37:$242,MATCH('面板-总览'!$AI66,'面板-景气指数'!$A$37:$A$242,0),MATCH('面板-总览'!AS$2,'面板-景气指数'!$36:$36,0))</f>
        <v>0.88250000000000006</v>
      </c>
      <c r="AT66" s="6">
        <f>INDEX('面板-景气指数'!$37:$242,MATCH('面板-总览'!$AI66,'面板-景气指数'!$A$37:$A$242,0),MATCH('面板-总览'!AT$2,'面板-景气指数'!$36:$36,0))</f>
        <v>0.86150000000000004</v>
      </c>
      <c r="AU66" s="6">
        <f>INDEX('面板-景气指数'!$37:$242,MATCH('面板-总览'!$AI66,'面板-景气指数'!$A$37:$A$242,0),MATCH('面板-总览'!AU$2,'面板-景气指数'!$36:$36,0))</f>
        <v>0.81100000000000005</v>
      </c>
      <c r="AV66" s="6">
        <f>INDEX('面板-景气指数'!$37:$242,MATCH('面板-总览'!$AI66,'面板-景气指数'!$A$37:$A$242,0),MATCH('面板-总览'!AV$2,'面板-景气指数'!$36:$36,0))</f>
        <v>0.81100000000000005</v>
      </c>
      <c r="AX66" s="11">
        <f t="shared" si="2"/>
        <v>-7.1500000000000008E-2</v>
      </c>
    </row>
    <row r="67" spans="18:50" ht="21" customHeight="1" x14ac:dyDescent="0.2">
      <c r="R67" s="5" t="s">
        <v>160</v>
      </c>
      <c r="S67" s="6">
        <f>INDEX('面板-景气指数'!$37:$242,MATCH('面板-总览'!$R67,'面板-景气指数'!$A$37:$A$242,0),MATCH('面板-总览'!S$2,'面板-景气指数'!$36:$36,0))</f>
        <v>0.96899999999999986</v>
      </c>
      <c r="T67" s="6">
        <f>INDEX('面板-景气指数'!$37:$242,MATCH('面板-总览'!$R67,'面板-景气指数'!$A$37:$A$242,0),MATCH('面板-总览'!T$2,'面板-景气指数'!$36:$36,0))</f>
        <v>0.94800000000000006</v>
      </c>
      <c r="U67" s="6">
        <f>INDEX('面板-景气指数'!$37:$242,MATCH('面板-总览'!$R67,'面板-景气指数'!$A$37:$A$242,0),MATCH('面板-总览'!U$2,'面板-景气指数'!$36:$36,0))</f>
        <v>0.89600000000000002</v>
      </c>
      <c r="V67" s="6">
        <f>INDEX('面板-景气指数'!$37:$242,MATCH('面板-总览'!$R67,'面板-景气指数'!$A$37:$A$242,0),MATCH('面板-总览'!V$2,'面板-景气指数'!$36:$36,0))</f>
        <v>0.69</v>
      </c>
      <c r="W67" s="6">
        <f>INDEX('面板-景气指数'!$37:$242,MATCH('面板-总览'!$R67,'面板-景气指数'!$A$37:$A$242,0),MATCH('面板-总览'!W$2,'面板-景气指数'!$36:$36,0))</f>
        <v>0.47400000000000003</v>
      </c>
      <c r="X67" s="6">
        <f>INDEX('面板-景气指数'!$37:$242,MATCH('面板-总览'!$R67,'面板-景气指数'!$A$37:$A$242,0),MATCH('面板-总览'!X$2,'面板-景气指数'!$36:$36,0))</f>
        <v>0.48399999999999999</v>
      </c>
      <c r="Y67" s="6">
        <f>INDEX('面板-景气指数'!$37:$242,MATCH('面板-总览'!$R67,'面板-景气指数'!$A$37:$A$242,0),MATCH('面板-总览'!Y$2,'面板-景气指数'!$36:$36,0))</f>
        <v>0.72099999999999997</v>
      </c>
      <c r="Z67" s="6">
        <f>INDEX('面板-景气指数'!$37:$242,MATCH('面板-总览'!$R67,'面板-景气指数'!$A$37:$A$242,0),MATCH('面板-总览'!Z$2,'面板-景气指数'!$36:$36,0))</f>
        <v>0.73099999999999998</v>
      </c>
      <c r="AA67" s="6">
        <f>INDEX('面板-景气指数'!$37:$242,MATCH('面板-总览'!$R67,'面板-景气指数'!$A$37:$A$242,0),MATCH('面板-总览'!AA$2,'面板-景气指数'!$36:$36,0))</f>
        <v>0.82399999999999995</v>
      </c>
      <c r="AB67" s="6">
        <f>INDEX('面板-景气指数'!$37:$242,MATCH('面板-总览'!$R67,'面板-景气指数'!$A$37:$A$242,0),MATCH('面板-总览'!AB$2,'面板-景气指数'!$36:$36,0))</f>
        <v>0.87599999999999989</v>
      </c>
      <c r="AC67" s="6">
        <f>INDEX('面板-景气指数'!$37:$242,MATCH('面板-总览'!$R67,'面板-景气指数'!$A$37:$A$242,0),MATCH('面板-总览'!AC$2,'面板-景气指数'!$36:$36,0))</f>
        <v>0.90700000000000003</v>
      </c>
      <c r="AD67" s="6">
        <f>INDEX('面板-景气指数'!$37:$242,MATCH('面板-总览'!$R67,'面板-景气指数'!$A$37:$A$242,0),MATCH('面板-总览'!AD$2,'面板-景气指数'!$36:$36,0))</f>
        <v>0.90700000000000003</v>
      </c>
      <c r="AE67" s="6">
        <f>INDEX('面板-景气指数'!$37:$242,MATCH('面板-总览'!$R67,'面板-景气指数'!$A$37:$A$242,0),MATCH('面板-总览'!AE$2,'面板-景气指数'!$36:$36,0))</f>
        <v>0.90700000000000003</v>
      </c>
      <c r="AG67" s="11">
        <f t="shared" si="3"/>
        <v>3.1000000000000139E-2</v>
      </c>
      <c r="AI67" s="5" t="s">
        <v>161</v>
      </c>
      <c r="AJ67" s="6">
        <f>INDEX('面板-景气指数'!$37:$242,MATCH('面板-总览'!$AI67,'面板-景气指数'!$A$37:$A$242,0),MATCH('面板-总览'!AJ$2,'面板-景气指数'!$36:$36,0))</f>
        <v>0.61950000000000005</v>
      </c>
      <c r="AK67" s="6">
        <f>INDEX('面板-景气指数'!$37:$242,MATCH('面板-总览'!$AI67,'面板-景气指数'!$A$37:$A$242,0),MATCH('面板-总览'!AK$2,'面板-景气指数'!$36:$36,0))</f>
        <v>0.66775000000000007</v>
      </c>
      <c r="AL67" s="6">
        <f>INDEX('面板-景气指数'!$37:$242,MATCH('面板-总览'!$AI67,'面板-景气指数'!$A$37:$A$242,0),MATCH('面板-总览'!AL$2,'面板-景气指数'!$36:$36,0))</f>
        <v>0.65249999999999997</v>
      </c>
      <c r="AM67" s="6">
        <f>INDEX('面板-景气指数'!$37:$242,MATCH('面板-总览'!$AI67,'面板-景气指数'!$A$37:$A$242,0),MATCH('面板-总览'!AM$2,'面板-景气指数'!$36:$36,0))</f>
        <v>0.62975000000000003</v>
      </c>
      <c r="AN67" s="6">
        <f>INDEX('面板-景气指数'!$37:$242,MATCH('面板-总览'!$AI67,'面板-景气指数'!$A$37:$A$242,0),MATCH('面板-总览'!AN$2,'面板-景气指数'!$36:$36,0))</f>
        <v>0.60925000000000007</v>
      </c>
      <c r="AO67" s="6">
        <f>INDEX('面板-景气指数'!$37:$242,MATCH('面板-总览'!$AI67,'面板-景气指数'!$A$37:$A$242,0),MATCH('面板-总览'!AO$2,'面板-景气指数'!$36:$36,0))</f>
        <v>0.627</v>
      </c>
      <c r="AP67" s="6">
        <f>INDEX('面板-景气指数'!$37:$242,MATCH('面板-总览'!$AI67,'面板-景气指数'!$A$37:$A$242,0),MATCH('面板-总览'!AP$2,'面板-景气指数'!$36:$36,0))</f>
        <v>0.66024999999999989</v>
      </c>
      <c r="AQ67" s="6">
        <f>INDEX('面板-景气指数'!$37:$242,MATCH('面板-总览'!$AI67,'面板-景气指数'!$A$37:$A$242,0),MATCH('面板-总览'!AQ$2,'面板-景气指数'!$36:$36,0))</f>
        <v>0.67525000000000002</v>
      </c>
      <c r="AR67" s="6">
        <f>INDEX('面板-景气指数'!$37:$242,MATCH('面板-总览'!$AI67,'面板-景气指数'!$A$37:$A$242,0),MATCH('面板-总览'!AR$2,'面板-景气指数'!$36:$36,0))</f>
        <v>0.71650000000000003</v>
      </c>
      <c r="AS67" s="6">
        <f>INDEX('面板-景气指数'!$37:$242,MATCH('面板-总览'!$AI67,'面板-景气指数'!$A$37:$A$242,0),MATCH('面板-总览'!AS$2,'面板-景气指数'!$36:$36,0))</f>
        <v>0.78299999999999992</v>
      </c>
      <c r="AT67" s="6">
        <f>INDEX('面板-景气指数'!$37:$242,MATCH('面板-总览'!$AI67,'面板-景气指数'!$A$37:$A$242,0),MATCH('面板-总览'!AT$2,'面板-景气指数'!$36:$36,0))</f>
        <v>0.79800000000000004</v>
      </c>
      <c r="AU67" s="6">
        <f>INDEX('面板-景气指数'!$37:$242,MATCH('面板-总览'!$AI67,'面板-景气指数'!$A$37:$A$242,0),MATCH('面板-总览'!AU$2,'面板-景气指数'!$36:$36,0))</f>
        <v>0.81574999999999998</v>
      </c>
      <c r="AV67" s="6">
        <f>INDEX('面板-景气指数'!$37:$242,MATCH('面板-总览'!$AI67,'面板-景气指数'!$A$37:$A$242,0),MATCH('面板-总览'!AV$2,'面板-景气指数'!$36:$36,0))</f>
        <v>0.82600000000000007</v>
      </c>
      <c r="AX67" s="11">
        <f t="shared" si="2"/>
        <v>4.3000000000000149E-2</v>
      </c>
    </row>
    <row r="68" spans="18:50" ht="21" customHeight="1" x14ac:dyDescent="0.2">
      <c r="R68" s="5" t="s">
        <v>162</v>
      </c>
      <c r="S68" s="6">
        <f>INDEX('面板-景气指数'!$37:$242,MATCH('面板-总览'!$R68,'面板-景气指数'!$A$37:$A$242,0),MATCH('面板-总览'!S$2,'面板-景气指数'!$36:$36,0))</f>
        <v>0.49687500000000001</v>
      </c>
      <c r="T68" s="6">
        <f>INDEX('面板-景气指数'!$37:$242,MATCH('面板-总览'!$R68,'面板-景气指数'!$A$37:$A$242,0),MATCH('面板-总览'!T$2,'面板-景气指数'!$36:$36,0))</f>
        <v>0.5162500000000001</v>
      </c>
      <c r="U68" s="6">
        <f>INDEX('面板-景气指数'!$37:$242,MATCH('面板-总览'!$R68,'面板-景气指数'!$A$37:$A$242,0),MATCH('面板-总览'!U$2,'面板-景气指数'!$36:$36,0))</f>
        <v>0.53474999999999995</v>
      </c>
      <c r="V68" s="6">
        <f>INDEX('面板-景气指数'!$37:$242,MATCH('面板-总览'!$R68,'面板-景气指数'!$A$37:$A$242,0),MATCH('面板-总览'!V$2,'面板-景气指数'!$36:$36,0))</f>
        <v>0.55224999999999991</v>
      </c>
      <c r="W68" s="6">
        <f>INDEX('面板-景气指数'!$37:$242,MATCH('面板-总览'!$R68,'面板-景气指数'!$A$37:$A$242,0),MATCH('面板-总览'!W$2,'面板-景气指数'!$36:$36,0))</f>
        <v>0.5949374999999999</v>
      </c>
      <c r="X68" s="6">
        <f>INDEX('面板-景气指数'!$37:$242,MATCH('面板-总览'!$R68,'面板-景气指数'!$A$37:$A$242,0),MATCH('面板-总览'!X$2,'面板-景气指数'!$36:$36,0))</f>
        <v>0.64037500000000003</v>
      </c>
      <c r="Y68" s="6">
        <f>INDEX('面板-景气指数'!$37:$242,MATCH('面板-总览'!$R68,'面板-景气指数'!$A$37:$A$242,0),MATCH('面板-总览'!Y$2,'面板-景气指数'!$36:$36,0))</f>
        <v>0.64918750000000003</v>
      </c>
      <c r="Z68" s="6">
        <f>INDEX('面板-景气指数'!$37:$242,MATCH('面板-总览'!$R68,'面板-景气指数'!$A$37:$A$242,0),MATCH('面板-总览'!Z$2,'面板-景气指数'!$36:$36,0))</f>
        <v>0.64181250000000012</v>
      </c>
      <c r="AA68" s="6">
        <f>INDEX('面板-景气指数'!$37:$242,MATCH('面板-总览'!$R68,'面板-景气指数'!$A$37:$A$242,0),MATCH('面板-总览'!AA$2,'面板-景气指数'!$36:$36,0))</f>
        <v>0.63524999999999998</v>
      </c>
      <c r="AB68" s="6">
        <f>INDEX('面板-景气指数'!$37:$242,MATCH('面板-总览'!$R68,'面板-景气指数'!$A$37:$A$242,0),MATCH('面板-总览'!AB$2,'面板-景气指数'!$36:$36,0))</f>
        <v>0.61824999999999997</v>
      </c>
      <c r="AC68" s="6">
        <f>INDEX('面板-景气指数'!$37:$242,MATCH('面板-总览'!$R68,'面板-景气指数'!$A$37:$A$242,0),MATCH('面板-总览'!AC$2,'面板-景气指数'!$36:$36,0))</f>
        <v>0.5300625000000001</v>
      </c>
      <c r="AD68" s="6">
        <f>INDEX('面板-景气指数'!$37:$242,MATCH('面板-总览'!$R68,'面板-景气指数'!$A$37:$A$242,0),MATCH('面板-总览'!AD$2,'面板-景气指数'!$36:$36,0))</f>
        <v>0.34487500000000004</v>
      </c>
      <c r="AE68" s="6">
        <f>INDEX('面板-景气指数'!$37:$242,MATCH('面板-总览'!$R68,'面板-景气指数'!$A$37:$A$242,0),MATCH('面板-总览'!AE$2,'面板-景气指数'!$36:$36,0))</f>
        <v>0.25868749999999996</v>
      </c>
      <c r="AG68" s="11">
        <f t="shared" si="3"/>
        <v>-0.35956250000000001</v>
      </c>
      <c r="AI68" s="5" t="s">
        <v>163</v>
      </c>
      <c r="AJ68" s="6">
        <f>INDEX('面板-景气指数'!$37:$242,MATCH('面板-总览'!$AI68,'面板-景气指数'!$A$37:$A$242,0),MATCH('面板-总览'!AJ$2,'面板-景气指数'!$36:$36,0))</f>
        <v>0.29599999999999999</v>
      </c>
      <c r="AK68" s="6">
        <f>INDEX('面板-景气指数'!$37:$242,MATCH('面板-总览'!$AI68,'面板-景气指数'!$A$37:$A$242,0),MATCH('面板-总览'!AK$2,'面板-景气指数'!$36:$36,0))</f>
        <v>0.34033333333333332</v>
      </c>
      <c r="AL68" s="6">
        <f>INDEX('面板-景气指数'!$37:$242,MATCH('面板-总览'!$AI68,'面板-景气指数'!$A$37:$A$242,0),MATCH('面板-总览'!AL$2,'面板-景气指数'!$36:$36,0))</f>
        <v>0.3846666666666666</v>
      </c>
      <c r="AM68" s="6">
        <f>INDEX('面板-景气指数'!$37:$242,MATCH('面板-总览'!$AI68,'面板-景气指数'!$A$37:$A$242,0),MATCH('面板-总览'!AM$2,'面板-景气指数'!$36:$36,0))</f>
        <v>0.42166666666666669</v>
      </c>
      <c r="AN68" s="6">
        <f>INDEX('面板-景气指数'!$37:$242,MATCH('面板-总览'!$AI68,'面板-景气指数'!$A$37:$A$242,0),MATCH('面板-总览'!AN$2,'面板-景气指数'!$36:$36,0))</f>
        <v>0.4253333333333334</v>
      </c>
      <c r="AO68" s="6">
        <f>INDEX('面板-景气指数'!$37:$242,MATCH('面板-总览'!$AI68,'面板-景气指数'!$A$37:$A$242,0),MATCH('面板-总览'!AO$2,'面板-景气指数'!$36:$36,0))</f>
        <v>0.41166666666666674</v>
      </c>
      <c r="AP68" s="6">
        <f>INDEX('面板-景气指数'!$37:$242,MATCH('面板-总览'!$AI68,'面板-景气指数'!$A$37:$A$242,0),MATCH('面板-总览'!AP$2,'面板-景气指数'!$36:$36,0))</f>
        <v>0.38100000000000001</v>
      </c>
      <c r="AQ68" s="6">
        <f>INDEX('面板-景气指数'!$37:$242,MATCH('面板-总览'!$AI68,'面板-景气指数'!$A$37:$A$242,0),MATCH('面板-总览'!AQ$2,'面板-景气指数'!$36:$36,0))</f>
        <v>0.36066666666666669</v>
      </c>
      <c r="AR68" s="6">
        <f>INDEX('面板-景气指数'!$37:$242,MATCH('面板-总览'!$AI68,'面板-景气指数'!$A$37:$A$242,0),MATCH('面板-总览'!AR$2,'面板-景气指数'!$36:$36,0))</f>
        <v>0.34366666666666668</v>
      </c>
      <c r="AS68" s="6">
        <f>INDEX('面板-景气指数'!$37:$242,MATCH('面板-总览'!$AI68,'面板-景气指数'!$A$37:$A$242,0),MATCH('面板-总览'!AS$2,'面板-景气指数'!$36:$36,0))</f>
        <v>0.36066666666666658</v>
      </c>
      <c r="AT68" s="6">
        <f>INDEX('面板-景气指数'!$37:$242,MATCH('面板-总览'!$AI68,'面板-景气指数'!$A$37:$A$242,0),MATCH('面板-总览'!AT$2,'面板-景气指数'!$36:$36,0))</f>
        <v>0.44899999999999995</v>
      </c>
      <c r="AU68" s="6">
        <f>INDEX('面板-景气指数'!$37:$242,MATCH('面板-总览'!$AI68,'面板-景气指数'!$A$37:$A$242,0),MATCH('面板-总览'!AU$2,'面板-景气指数'!$36:$36,0))</f>
        <v>0.46933333333333338</v>
      </c>
      <c r="AV68" s="6">
        <f>INDEX('面板-景气指数'!$37:$242,MATCH('面板-总览'!$AI68,'面板-景气指数'!$A$37:$A$242,0),MATCH('面板-总览'!AV$2,'面板-景气指数'!$36:$36,0))</f>
        <v>0.47299999999999992</v>
      </c>
      <c r="AX68" s="11">
        <f t="shared" ref="AX68:AX71" si="4">AV68-AS68</f>
        <v>0.11233333333333334</v>
      </c>
    </row>
    <row r="69" spans="18:50" ht="21" customHeight="1" x14ac:dyDescent="0.2">
      <c r="R69" s="5" t="s">
        <v>164</v>
      </c>
      <c r="S69" s="6">
        <f>INDEX('面板-景气指数'!$37:$242,MATCH('面板-总览'!$R69,'面板-景气指数'!$A$37:$A$242,0),MATCH('面板-总览'!S$2,'面板-景气指数'!$36:$36,0))</f>
        <v>0.153</v>
      </c>
      <c r="T69" s="6">
        <f>INDEX('面板-景气指数'!$37:$242,MATCH('面板-总览'!$R69,'面板-景气指数'!$A$37:$A$242,0),MATCH('面板-总览'!T$2,'面板-景气指数'!$36:$36,0))</f>
        <v>0.14199999999999999</v>
      </c>
      <c r="U69" s="6">
        <f>INDEX('面板-景气指数'!$37:$242,MATCH('面板-总览'!$R69,'面板-景气指数'!$A$37:$A$242,0),MATCH('面板-总览'!U$2,'面板-景气指数'!$36:$36,0))</f>
        <v>8.1000000000000003E-2</v>
      </c>
      <c r="V69" s="6">
        <f>INDEX('面板-景气指数'!$37:$242,MATCH('面板-总览'!$R69,'面板-景气指数'!$A$37:$A$242,0),MATCH('面板-总览'!V$2,'面板-景气指数'!$36:$36,0))</f>
        <v>7.0999999999999994E-2</v>
      </c>
      <c r="W69" s="6">
        <f>INDEX('面板-景气指数'!$37:$242,MATCH('面板-总览'!$R69,'面板-景气指数'!$A$37:$A$242,0),MATCH('面板-总览'!W$2,'面板-景气指数'!$36:$36,0))</f>
        <v>0.01</v>
      </c>
      <c r="X69" s="6">
        <f>INDEX('面板-景气指数'!$37:$242,MATCH('面板-总览'!$R69,'面板-景气指数'!$A$37:$A$242,0),MATCH('面板-总览'!X$2,'面板-景气指数'!$36:$36,0))</f>
        <v>0</v>
      </c>
      <c r="Y69" s="6">
        <f>INDEX('面板-景气指数'!$37:$242,MATCH('面板-总览'!$R69,'面板-景气指数'!$A$37:$A$242,0),MATCH('面板-总览'!Y$2,'面板-景气指数'!$36:$36,0))</f>
        <v>9.0999999999999998E-2</v>
      </c>
      <c r="Z69" s="6">
        <f>INDEX('面板-景气指数'!$37:$242,MATCH('面板-总览'!$R69,'面板-景气指数'!$A$37:$A$242,0),MATCH('面板-总览'!Z$2,'面板-景气指数'!$36:$36,0))</f>
        <v>0.10199999999999999</v>
      </c>
      <c r="AA69" s="6">
        <f>INDEX('面板-景气指数'!$37:$242,MATCH('面板-总览'!$R69,'面板-景气指数'!$A$37:$A$242,0),MATCH('面板-总览'!AA$2,'面板-景气指数'!$36:$36,0))</f>
        <v>0.13200000000000001</v>
      </c>
      <c r="AB69" s="6">
        <f>INDEX('面板-景气指数'!$37:$242,MATCH('面板-总览'!$R69,'面板-景气指数'!$A$37:$A$242,0),MATCH('面板-总览'!AB$2,'面板-景气指数'!$36:$36,0))</f>
        <v>6.1000000000000006E-2</v>
      </c>
      <c r="AC69" s="6">
        <f>INDEX('面板-景气指数'!$37:$242,MATCH('面板-总览'!$R69,'面板-景气指数'!$A$37:$A$242,0),MATCH('面板-总览'!AC$2,'面板-景气指数'!$36:$36,0))</f>
        <v>2.9999999999999995E-2</v>
      </c>
      <c r="AD69" s="6">
        <f>INDEX('面板-景气指数'!$37:$242,MATCH('面板-总览'!$R69,'面板-景气指数'!$A$37:$A$242,0),MATCH('面板-总览'!AD$2,'面板-景气指数'!$36:$36,0))</f>
        <v>0.04</v>
      </c>
      <c r="AE69" s="6">
        <f>INDEX('面板-景气指数'!$37:$242,MATCH('面板-总览'!$R69,'面板-景气指数'!$A$37:$A$242,0),MATCH('面板-总览'!AE$2,'面板-景气指数'!$36:$36,0))</f>
        <v>0.04</v>
      </c>
      <c r="AG69" s="11">
        <f t="shared" si="3"/>
        <v>-2.1000000000000005E-2</v>
      </c>
      <c r="AI69" s="5" t="s">
        <v>165</v>
      </c>
      <c r="AJ69" s="6">
        <f>INDEX('面板-景气指数'!$37:$242,MATCH('面板-总览'!$AI69,'面板-景气指数'!$A$37:$A$242,0),MATCH('面板-总览'!AJ$2,'面板-景气指数'!$36:$36,0))</f>
        <v>0.17440000000000003</v>
      </c>
      <c r="AK69" s="6">
        <f>INDEX('面板-景气指数'!$37:$242,MATCH('面板-总览'!$AI69,'面板-景气指数'!$A$37:$A$242,0),MATCH('面板-总览'!AK$2,'面板-景气指数'!$36:$36,0))</f>
        <v>0.1084</v>
      </c>
      <c r="AL69" s="6">
        <f>INDEX('面板-景气指数'!$37:$242,MATCH('面板-总览'!$AI69,'面板-景气指数'!$A$37:$A$242,0),MATCH('面板-总览'!AL$2,'面板-景气指数'!$36:$36,0))</f>
        <v>9.3999999999999986E-2</v>
      </c>
      <c r="AM69" s="6">
        <f>INDEX('面板-景气指数'!$37:$242,MATCH('面板-总览'!$AI69,'面板-景气指数'!$A$37:$A$242,0),MATCH('面板-总览'!AM$2,'面板-景气指数'!$36:$36,0))</f>
        <v>0.21039999999999998</v>
      </c>
      <c r="AN69" s="6">
        <f>INDEX('面板-景气指数'!$37:$242,MATCH('面板-总览'!$AI69,'面板-景气指数'!$A$37:$A$242,0),MATCH('面板-总览'!AN$2,'面板-景气指数'!$36:$36,0))</f>
        <v>0.38739999999999997</v>
      </c>
      <c r="AO69" s="6">
        <f>INDEX('面板-景气指数'!$37:$242,MATCH('面板-总览'!$AI69,'面板-景气指数'!$A$37:$A$242,0),MATCH('面板-总览'!AO$2,'面板-景气指数'!$36:$36,0))</f>
        <v>0.46360000000000001</v>
      </c>
      <c r="AP69" s="6">
        <f>INDEX('面板-景气指数'!$37:$242,MATCH('面板-总览'!$AI69,'面板-景气指数'!$A$37:$A$242,0),MATCH('面板-总览'!AP$2,'面板-景气指数'!$36:$36,0))</f>
        <v>0.50040000000000007</v>
      </c>
      <c r="AQ69" s="6">
        <f>INDEX('面板-景气指数'!$37:$242,MATCH('面板-总览'!$AI69,'面板-景气指数'!$A$37:$A$242,0),MATCH('面板-总览'!AQ$2,'面板-景气指数'!$36:$36,0))</f>
        <v>0.51080000000000003</v>
      </c>
      <c r="AR69" s="6">
        <f>INDEX('面板-景气指数'!$37:$242,MATCH('面板-总览'!$AI69,'面板-景气指数'!$A$37:$A$242,0),MATCH('面板-总览'!AR$2,'面板-景气指数'!$36:$36,0))</f>
        <v>0.48599999999999999</v>
      </c>
      <c r="AS69" s="6">
        <f>INDEX('面板-景气指数'!$37:$242,MATCH('面板-总览'!$AI69,'面板-景气指数'!$A$37:$A$242,0),MATCH('面板-总览'!AS$2,'面板-景气指数'!$36:$36,0))</f>
        <v>0.45959999999999995</v>
      </c>
      <c r="AT69" s="6">
        <f>INDEX('面板-景气指数'!$37:$242,MATCH('面板-总览'!$AI69,'面板-景气指数'!$A$37:$A$242,0),MATCH('面板-总览'!AT$2,'面板-景气指数'!$36:$36,0))</f>
        <v>0.43099999999999994</v>
      </c>
      <c r="AU69" s="6">
        <f>INDEX('面板-景气指数'!$37:$242,MATCH('面板-总览'!$AI69,'面板-景气指数'!$A$37:$A$242,0),MATCH('面板-总览'!AU$2,'面板-景气指数'!$36:$36,0))</f>
        <v>0.50740000000000007</v>
      </c>
      <c r="AV69" s="6">
        <f>INDEX('面板-景气指数'!$37:$242,MATCH('面板-总览'!$AI69,'面板-景气指数'!$A$37:$A$242,0),MATCH('面板-总览'!AV$2,'面板-景气指数'!$36:$36,0))</f>
        <v>0.46260000000000001</v>
      </c>
      <c r="AX69" s="11">
        <f t="shared" si="4"/>
        <v>3.0000000000000582E-3</v>
      </c>
    </row>
    <row r="70" spans="18:50" ht="21" customHeight="1" x14ac:dyDescent="0.2">
      <c r="R70" s="5" t="s">
        <v>166</v>
      </c>
      <c r="S70" s="6">
        <f>INDEX('面板-景气指数'!$37:$242,MATCH('面板-总览'!$R70,'面板-景气指数'!$A$37:$A$242,0),MATCH('面板-总览'!S$2,'面板-景气指数'!$36:$36,0))</f>
        <v>0.42799999999999999</v>
      </c>
      <c r="T70" s="6">
        <f>INDEX('面板-景气指数'!$37:$242,MATCH('面板-总览'!$R70,'面板-景气指数'!$A$37:$A$242,0),MATCH('面板-总览'!T$2,'面板-景气指数'!$36:$36,0))</f>
        <v>0.33100000000000002</v>
      </c>
      <c r="U70" s="6">
        <f>INDEX('面板-景气指数'!$37:$242,MATCH('面板-总览'!$R70,'面板-景气指数'!$A$37:$A$242,0),MATCH('面板-总览'!U$2,'面板-景气指数'!$36:$36,0))</f>
        <v>0.23399999999999996</v>
      </c>
      <c r="V70" s="6">
        <f>INDEX('面板-景气指数'!$37:$242,MATCH('面板-总览'!$R70,'面板-景气指数'!$A$37:$A$242,0),MATCH('面板-总览'!V$2,'面板-景气指数'!$36:$36,0))</f>
        <v>0.14250000000000002</v>
      </c>
      <c r="W70" s="6">
        <f>INDEX('面板-景气指数'!$37:$242,MATCH('面板-总览'!$R70,'面板-景气指数'!$A$37:$A$242,0),MATCH('面板-总览'!W$2,'面板-景气指数'!$36:$36,0))</f>
        <v>9.6500000000000002E-2</v>
      </c>
      <c r="X70" s="6">
        <f>INDEX('面板-景气指数'!$37:$242,MATCH('面板-总览'!$R70,'面板-景气指数'!$A$37:$A$242,0),MATCH('面板-总览'!X$2,'面板-景气指数'!$36:$36,0))</f>
        <v>6.0999999999999999E-2</v>
      </c>
      <c r="Y70" s="6">
        <f>INDEX('面板-景气指数'!$37:$242,MATCH('面板-总览'!$R70,'面板-景气指数'!$A$37:$A$242,0),MATCH('面板-总览'!Y$2,'面板-景气指数'!$36:$36,0))</f>
        <v>7.6499999999999999E-2</v>
      </c>
      <c r="Z70" s="6">
        <f>INDEX('面板-景气指数'!$37:$242,MATCH('面板-总览'!$R70,'面板-景气指数'!$A$37:$A$242,0),MATCH('面板-总览'!Z$2,'面板-景气指数'!$36:$36,0))</f>
        <v>5.5500000000000001E-2</v>
      </c>
      <c r="AA70" s="6">
        <f>INDEX('面板-景气指数'!$37:$242,MATCH('面板-总览'!$R70,'面板-景气指数'!$A$37:$A$242,0),MATCH('面板-总览'!AA$2,'面板-景气指数'!$36:$36,0))</f>
        <v>8.1500000000000003E-2</v>
      </c>
      <c r="AB70" s="6">
        <f>INDEX('面板-景气指数'!$37:$242,MATCH('面板-总览'!$R70,'面板-景气指数'!$A$37:$A$242,0),MATCH('面板-总览'!AB$2,'面板-景气指数'!$36:$36,0))</f>
        <v>9.6500000000000002E-2</v>
      </c>
      <c r="AC70" s="6">
        <f>INDEX('面板-景气指数'!$37:$242,MATCH('面板-总览'!$R70,'面板-景气指数'!$A$37:$A$242,0),MATCH('面板-总览'!AC$2,'面板-景气指数'!$36:$36,0))</f>
        <v>0.14749999999999999</v>
      </c>
      <c r="AD70" s="6">
        <f>INDEX('面板-景气指数'!$37:$242,MATCH('面板-总览'!$R70,'面板-景气指数'!$A$37:$A$242,0),MATCH('面板-总览'!AD$2,'面板-景气指数'!$36:$36,0))</f>
        <v>0.1525</v>
      </c>
      <c r="AE70" s="6">
        <f>INDEX('面板-景气指数'!$37:$242,MATCH('面板-总览'!$R70,'面板-景气指数'!$A$37:$A$242,0),MATCH('面板-总览'!AE$2,'面板-景气指数'!$36:$36,0))</f>
        <v>0.16300000000000001</v>
      </c>
      <c r="AG70" s="11">
        <f t="shared" si="3"/>
        <v>6.6500000000000004E-2</v>
      </c>
      <c r="AI70" s="5" t="s">
        <v>167</v>
      </c>
      <c r="AJ70" s="6">
        <f>INDEX('面板-景气指数'!$37:$242,MATCH('面板-总览'!$AI70,'面板-景气指数'!$A$37:$A$242,0),MATCH('面板-总览'!AJ$2,'面板-景气指数'!$36:$36,0))</f>
        <v>0.71400000000000008</v>
      </c>
      <c r="AK70" s="6">
        <f>INDEX('面板-景气指数'!$37:$242,MATCH('面板-总览'!$AI70,'面板-景气指数'!$A$37:$A$242,0),MATCH('面板-总览'!AK$2,'面板-景气指数'!$36:$36,0))</f>
        <v>0.67299999999999993</v>
      </c>
      <c r="AL70" s="6">
        <f>INDEX('面板-景气指数'!$37:$242,MATCH('面板-总览'!$AI70,'面板-景气指数'!$A$37:$A$242,0),MATCH('面板-总览'!AL$2,'面板-景气指数'!$36:$36,0))</f>
        <v>0.6885</v>
      </c>
      <c r="AM70" s="6">
        <f>INDEX('面板-景气指数'!$37:$242,MATCH('面板-总览'!$AI70,'面板-景气指数'!$A$37:$A$242,0),MATCH('面板-总览'!AM$2,'面板-景气指数'!$36:$36,0))</f>
        <v>0.68799999999999994</v>
      </c>
      <c r="AN70" s="6">
        <f>INDEX('面板-景气指数'!$37:$242,MATCH('面板-总览'!$AI70,'面板-景气指数'!$A$37:$A$242,0),MATCH('面板-总览'!AN$2,'面板-景气指数'!$36:$36,0))</f>
        <v>0.64249999999999996</v>
      </c>
      <c r="AO70" s="6">
        <f>INDEX('面板-景气指数'!$37:$242,MATCH('面板-总览'!$AI70,'面板-景气指数'!$A$37:$A$242,0),MATCH('面板-总览'!AO$2,'面板-景气指数'!$36:$36,0))</f>
        <v>0.58150000000000002</v>
      </c>
      <c r="AP70" s="6">
        <f>INDEX('面板-景气指数'!$37:$242,MATCH('面板-总览'!$AI70,'面板-景气指数'!$A$37:$A$242,0),MATCH('面板-总览'!AP$2,'面板-景气指数'!$36:$36,0))</f>
        <v>0.51500000000000001</v>
      </c>
      <c r="AQ70" s="6">
        <f>INDEX('面板-景气指数'!$37:$242,MATCH('面板-总览'!$AI70,'面板-景气指数'!$A$37:$A$242,0),MATCH('面板-总览'!AQ$2,'面板-景气指数'!$36:$36,0))</f>
        <v>0.4534999999999999</v>
      </c>
      <c r="AR70" s="6">
        <f>INDEX('面板-景气指数'!$37:$242,MATCH('面板-总览'!$AI70,'面板-景气指数'!$A$37:$A$242,0),MATCH('面板-总览'!AR$2,'面板-景气指数'!$36:$36,0))</f>
        <v>0.41249999999999998</v>
      </c>
      <c r="AS70" s="6">
        <f>INDEX('面板-景气指数'!$37:$242,MATCH('面板-总览'!$AI70,'面板-景气指数'!$A$37:$A$242,0),MATCH('面板-总览'!AS$2,'面板-景气指数'!$36:$36,0))</f>
        <v>0.45850000000000002</v>
      </c>
      <c r="AT70" s="6">
        <f>INDEX('面板-景气指数'!$37:$242,MATCH('面板-总览'!$AI70,'面板-景气指数'!$A$37:$A$242,0),MATCH('面板-总览'!AT$2,'面板-景气指数'!$36:$36,0))</f>
        <v>0.34650000000000003</v>
      </c>
      <c r="AU70" s="6">
        <f>INDEX('面板-景气指数'!$37:$242,MATCH('面板-总览'!$AI70,'面板-景气指数'!$A$37:$A$242,0),MATCH('面板-总览'!AU$2,'面板-景气指数'!$36:$36,0))</f>
        <v>0.20400000000000001</v>
      </c>
      <c r="AV70" s="6">
        <f>INDEX('面板-景气指数'!$37:$242,MATCH('面板-总览'!$AI70,'面板-景气指数'!$A$37:$A$242,0),MATCH('面板-总览'!AV$2,'面板-景气指数'!$36:$36,0))</f>
        <v>0.20400000000000001</v>
      </c>
      <c r="AX70" s="11">
        <f t="shared" si="4"/>
        <v>-0.2545</v>
      </c>
    </row>
    <row r="71" spans="18:50" ht="21" customHeight="1" x14ac:dyDescent="0.2">
      <c r="R71" s="5" t="s">
        <v>168</v>
      </c>
      <c r="S71" s="6">
        <f>INDEX('面板-景气指数'!$37:$242,MATCH('面板-总览'!$R71,'面板-景气指数'!$A$37:$A$242,0),MATCH('面板-总览'!S$2,'面板-景气指数'!$36:$36,0))</f>
        <v>0.69299999999999995</v>
      </c>
      <c r="T71" s="6">
        <f>INDEX('面板-景气指数'!$37:$242,MATCH('面板-总览'!$R71,'面板-景气指数'!$A$37:$A$242,0),MATCH('面板-总览'!T$2,'面板-景气指数'!$36:$36,0))</f>
        <v>0.81599999999999995</v>
      </c>
      <c r="U71" s="6">
        <f>INDEX('面板-景气指数'!$37:$242,MATCH('面板-总览'!$R71,'面板-景气指数'!$A$37:$A$242,0),MATCH('面板-总览'!U$2,'面板-景气指数'!$36:$36,0))</f>
        <v>0.72399999999999998</v>
      </c>
      <c r="V71" s="6">
        <f>INDEX('面板-景气指数'!$37:$242,MATCH('面板-总览'!$R71,'面板-景气指数'!$A$37:$A$242,0),MATCH('面板-总览'!V$2,'面板-景气指数'!$36:$36,0))</f>
        <v>0.255</v>
      </c>
      <c r="W71" s="6">
        <f>INDEX('面板-景气指数'!$37:$242,MATCH('面板-总览'!$R71,'面板-景气指数'!$A$37:$A$242,0),MATCH('面板-总览'!W$2,'面板-景气指数'!$36:$36,0))</f>
        <v>0.224</v>
      </c>
      <c r="X71" s="6">
        <f>INDEX('面板-景气指数'!$37:$242,MATCH('面板-总览'!$R71,'面板-景气指数'!$A$37:$A$242,0),MATCH('面板-总览'!X$2,'面板-景气指数'!$36:$36,0))</f>
        <v>0.17299999999999999</v>
      </c>
      <c r="Y71" s="6">
        <f>INDEX('面板-景气指数'!$37:$242,MATCH('面板-总览'!$R71,'面板-景气指数'!$A$37:$A$242,0),MATCH('面板-总览'!Y$2,'面板-景气指数'!$36:$36,0))</f>
        <v>0.255</v>
      </c>
      <c r="Z71" s="6">
        <f>INDEX('面板-景气指数'!$37:$242,MATCH('面板-总览'!$R71,'面板-景气指数'!$A$37:$A$242,0),MATCH('面板-总览'!Z$2,'面板-景气指数'!$36:$36,0))</f>
        <v>0.13199999999999998</v>
      </c>
      <c r="AA71" s="6">
        <f>INDEX('面板-景气指数'!$37:$242,MATCH('面板-总览'!$R71,'面板-景气指数'!$A$37:$A$242,0),MATCH('面板-总览'!AA$2,'面板-景气指数'!$36:$36,0))</f>
        <v>0.183</v>
      </c>
      <c r="AB71" s="6">
        <f>INDEX('面板-景气指数'!$37:$242,MATCH('面板-总览'!$R71,'面板-景气指数'!$A$37:$A$242,0),MATCH('面板-总览'!AB$2,'面板-景气指数'!$36:$36,0))</f>
        <v>0.193</v>
      </c>
      <c r="AC71" s="6">
        <f>INDEX('面板-景气指数'!$37:$242,MATCH('面板-总览'!$R71,'面板-景气指数'!$A$37:$A$242,0),MATCH('面板-总览'!AC$2,'面板-景气指数'!$36:$36,0))</f>
        <v>0.38700000000000001</v>
      </c>
      <c r="AD71" s="6">
        <f>INDEX('面板-景气指数'!$37:$242,MATCH('面板-总览'!$R71,'面板-景气指数'!$A$37:$A$242,0),MATCH('面板-总览'!AD$2,'面板-景气指数'!$36:$36,0))</f>
        <v>0.23400000000000001</v>
      </c>
      <c r="AE71" s="6">
        <f>INDEX('面板-景气指数'!$37:$242,MATCH('面板-总览'!$R71,'面板-景气指数'!$A$37:$A$242,0),MATCH('面板-总览'!AE$2,'面板-景气指数'!$36:$36,0))</f>
        <v>0.23400000000000001</v>
      </c>
      <c r="AG71" s="11">
        <f t="shared" si="3"/>
        <v>4.1000000000000009E-2</v>
      </c>
      <c r="AI71" s="5" t="s">
        <v>169</v>
      </c>
      <c r="AJ71" s="6">
        <f>INDEX('面板-景气指数'!$37:$242,MATCH('面板-总览'!$AI71,'面板-景气指数'!$A$37:$A$242,0),MATCH('面板-总览'!AJ$2,'面板-景气指数'!$36:$36,0))</f>
        <v>0.26600000000000001</v>
      </c>
      <c r="AK71" s="6">
        <f>INDEX('面板-景气指数'!$37:$242,MATCH('面板-总览'!$AI71,'面板-景气指数'!$A$37:$A$242,0),MATCH('面板-总览'!AK$2,'面板-景气指数'!$36:$36,0))</f>
        <v>0.20250000000000001</v>
      </c>
      <c r="AL71" s="6">
        <f>INDEX('面板-景气指数'!$37:$242,MATCH('面板-总览'!$AI71,'面板-景气指数'!$A$37:$A$242,0),MATCH('面板-总览'!AL$2,'面板-景气指数'!$36:$36,0))</f>
        <v>9.35E-2</v>
      </c>
      <c r="AM71" s="6">
        <f>INDEX('面板-景气指数'!$37:$242,MATCH('面板-总览'!$AI71,'面板-景气指数'!$A$37:$A$242,0),MATCH('面板-总览'!AM$2,'面板-景气指数'!$36:$36,0))</f>
        <v>7.3999999999999996E-2</v>
      </c>
      <c r="AN71" s="6">
        <f>INDEX('面板-景气指数'!$37:$242,MATCH('面板-总览'!$AI71,'面板-景气指数'!$A$37:$A$242,0),MATCH('面板-总览'!AN$2,'面板-景气指数'!$36:$36,0))</f>
        <v>0.13999999999999999</v>
      </c>
      <c r="AO71" s="6">
        <f>INDEX('面板-景气指数'!$37:$242,MATCH('面板-总览'!$AI71,'面板-景气指数'!$A$37:$A$242,0),MATCH('面板-总览'!AO$2,'面板-景气指数'!$36:$36,0))</f>
        <v>0.18000000000000002</v>
      </c>
      <c r="AP71" s="6">
        <f>INDEX('面板-景气指数'!$37:$242,MATCH('面板-总览'!$AI71,'面板-景气指数'!$A$37:$A$242,0),MATCH('面板-总览'!AP$2,'面板-景气指数'!$36:$36,0))</f>
        <v>0.25650000000000001</v>
      </c>
      <c r="AQ71" s="6">
        <f>INDEX('面板-景气指数'!$37:$242,MATCH('面板-总览'!$AI71,'面板-景气指数'!$A$37:$A$242,0),MATCH('面板-总览'!AQ$2,'面板-景气指数'!$36:$36,0))</f>
        <v>0.34349999999999997</v>
      </c>
      <c r="AR71" s="6">
        <f>INDEX('面板-景气指数'!$37:$242,MATCH('面板-总览'!$AI71,'面板-景气指数'!$A$37:$A$242,0),MATCH('面板-总览'!AR$2,'面板-景气指数'!$36:$36,0))</f>
        <v>0.40949999999999998</v>
      </c>
      <c r="AS71" s="6">
        <f>INDEX('面板-景气指数'!$37:$242,MATCH('面板-总览'!$AI71,'面板-景气指数'!$A$37:$A$242,0),MATCH('面板-总览'!AS$2,'面板-景气指数'!$36:$36,0))</f>
        <v>0.42800000000000005</v>
      </c>
      <c r="AT71" s="6">
        <f>INDEX('面板-景气指数'!$37:$242,MATCH('面板-总览'!$AI71,'面板-景气指数'!$A$37:$A$242,0),MATCH('面板-总览'!AT$2,'面板-景气指数'!$36:$36,0))</f>
        <v>3.4500000000000003E-2</v>
      </c>
      <c r="AU71" s="6">
        <f>INDEX('面板-景气指数'!$37:$242,MATCH('面板-总览'!$AI71,'面板-景气指数'!$A$37:$A$242,0),MATCH('面板-总览'!AU$2,'面板-景气指数'!$36:$36,0))</f>
        <v>0</v>
      </c>
      <c r="AV71" s="6">
        <f>INDEX('面板-景气指数'!$37:$242,MATCH('面板-总览'!$AI71,'面板-景气指数'!$A$37:$A$242,0),MATCH('面板-总览'!AV$2,'面板-景气指数'!$36:$36,0))</f>
        <v>0</v>
      </c>
      <c r="AX71" s="11">
        <f t="shared" si="4"/>
        <v>-0.42800000000000005</v>
      </c>
    </row>
    <row r="72" spans="18:50" ht="21" customHeight="1" x14ac:dyDescent="0.2">
      <c r="R72" s="5" t="s">
        <v>170</v>
      </c>
      <c r="S72" s="6">
        <f>INDEX('面板-景气指数'!$37:$242,MATCH('面板-总览'!$R72,'面板-景气指数'!$A$37:$A$242,0),MATCH('面板-总览'!S$2,'面板-景气指数'!$36:$36,0))</f>
        <v>0.3805</v>
      </c>
      <c r="T72" s="6">
        <f>INDEX('面板-景气指数'!$37:$242,MATCH('面板-总览'!$R72,'面板-景气指数'!$A$37:$A$242,0),MATCH('面板-总览'!T$2,'面板-景气指数'!$36:$36,0))</f>
        <v>0.31900000000000006</v>
      </c>
      <c r="U72" s="6">
        <f>INDEX('面板-景气指数'!$37:$242,MATCH('面板-总览'!$R72,'面板-景气指数'!$A$37:$A$242,0),MATCH('面板-总览'!U$2,'面板-景气指数'!$36:$36,0))</f>
        <v>0.18049999999999999</v>
      </c>
      <c r="V72" s="6">
        <f>INDEX('面板-景气指数'!$37:$242,MATCH('面板-总览'!$R72,'面板-景气指数'!$A$37:$A$242,0),MATCH('面板-总览'!V$2,'面板-景气指数'!$36:$36,0))</f>
        <v>9.1500000000000012E-2</v>
      </c>
      <c r="W72" s="6">
        <f>INDEX('面板-景气指数'!$37:$242,MATCH('面板-总览'!$R72,'面板-景气指数'!$A$37:$A$242,0),MATCH('面板-总览'!W$2,'面板-景气指数'!$36:$36,0))</f>
        <v>6.8500000000000005E-2</v>
      </c>
      <c r="X72" s="6">
        <f>INDEX('面板-景气指数'!$37:$242,MATCH('面板-总览'!$R72,'面板-景气指数'!$A$37:$A$242,0),MATCH('面板-总览'!X$2,'面板-景气指数'!$36:$36,0))</f>
        <v>9.6500000000000002E-2</v>
      </c>
      <c r="Y72" s="6">
        <f>INDEX('面板-景气指数'!$37:$242,MATCH('面板-总览'!$R72,'面板-景气指数'!$A$37:$A$242,0),MATCH('面板-总览'!Y$2,'面板-景气指数'!$36:$36,0))</f>
        <v>0.14750000000000002</v>
      </c>
      <c r="Z72" s="6">
        <f>INDEX('面板-景气指数'!$37:$242,MATCH('面板-总览'!$R72,'面板-景气指数'!$A$37:$A$242,0),MATCH('面板-总览'!Z$2,'面板-景气指数'!$36:$36,0))</f>
        <v>0.17099999999999999</v>
      </c>
      <c r="AA72" s="6">
        <f>INDEX('面板-景气指数'!$37:$242,MATCH('面板-总览'!$R72,'面板-景气指数'!$A$37:$A$242,0),MATCH('面板-总览'!AA$2,'面板-景气指数'!$36:$36,0))</f>
        <v>0.153</v>
      </c>
      <c r="AB72" s="6">
        <f>INDEX('面板-景气指数'!$37:$242,MATCH('面板-总览'!$R72,'面板-景气指数'!$A$37:$A$242,0),MATCH('面板-总览'!AB$2,'面板-景气指数'!$36:$36,0))</f>
        <v>0.18149999999999999</v>
      </c>
      <c r="AC72" s="6">
        <f>INDEX('面板-景气指数'!$37:$242,MATCH('面板-总览'!$R72,'面板-景气指数'!$A$37:$A$242,0),MATCH('面板-总览'!AC$2,'面板-景气指数'!$36:$36,0))</f>
        <v>0.12249999999999998</v>
      </c>
      <c r="AD72" s="6">
        <f>INDEX('面板-景气指数'!$37:$242,MATCH('面板-总览'!$R72,'面板-景气指数'!$A$37:$A$242,0),MATCH('面板-总览'!AD$2,'面板-景气指数'!$36:$36,0))</f>
        <v>0.14799999999999999</v>
      </c>
      <c r="AE72" s="6">
        <f>INDEX('面板-景气指数'!$37:$242,MATCH('面板-总览'!$R72,'面板-景气指数'!$A$37:$A$242,0),MATCH('面板-总览'!AE$2,'面板-景气指数'!$36:$36,0))</f>
        <v>0.14799999999999999</v>
      </c>
      <c r="AG72" s="11">
        <f t="shared" si="3"/>
        <v>-3.3500000000000002E-2</v>
      </c>
    </row>
    <row r="73" spans="18:50" ht="21" customHeight="1" x14ac:dyDescent="0.2">
      <c r="R73" s="5" t="s">
        <v>171</v>
      </c>
      <c r="S73" s="6">
        <f>INDEX('面板-景气指数'!$37:$242,MATCH('面板-总览'!$R73,'面板-景气指数'!$A$37:$A$242,0),MATCH('面板-总览'!S$2,'面板-景气指数'!$36:$36,0))</f>
        <v>0.7296666666666668</v>
      </c>
      <c r="T73" s="6">
        <f>INDEX('面板-景气指数'!$37:$242,MATCH('面板-总览'!$R73,'面板-景气指数'!$A$37:$A$242,0),MATCH('面板-总览'!T$2,'面板-景气指数'!$36:$36,0))</f>
        <v>0.77383333333333337</v>
      </c>
      <c r="U73" s="6">
        <f>INDEX('面板-景气指数'!$37:$242,MATCH('面板-总览'!$R73,'面板-景气指数'!$A$37:$A$242,0),MATCH('面板-总览'!U$2,'面板-景气指数'!$36:$36,0))</f>
        <v>0.75650000000000006</v>
      </c>
      <c r="V73" s="6">
        <f>INDEX('面板-景气指数'!$37:$242,MATCH('面板-总览'!$R73,'面板-景气指数'!$A$37:$A$242,0),MATCH('面板-总览'!V$2,'面板-景气指数'!$36:$36,0))</f>
        <v>0.65066666666666673</v>
      </c>
      <c r="W73" s="6">
        <f>INDEX('面板-景气指数'!$37:$242,MATCH('面板-总览'!$R73,'面板-景气指数'!$A$37:$A$242,0),MATCH('面板-总览'!W$2,'面板-景气指数'!$36:$36,0))</f>
        <v>0.5581666666666667</v>
      </c>
      <c r="X73" s="6">
        <f>INDEX('面板-景气指数'!$37:$242,MATCH('面板-总览'!$R73,'面板-景气指数'!$A$37:$A$242,0),MATCH('面板-总览'!X$2,'面板-景气指数'!$36:$36,0))</f>
        <v>0.45416666666666677</v>
      </c>
      <c r="Y73" s="6">
        <f>INDEX('面板-景气指数'!$37:$242,MATCH('面板-总览'!$R73,'面板-景气指数'!$A$37:$A$242,0),MATCH('面板-总览'!Y$2,'面板-景气指数'!$36:$36,0))</f>
        <v>0.41616666666666668</v>
      </c>
      <c r="Z73" s="6">
        <f>INDEX('面板-景气指数'!$37:$242,MATCH('面板-总览'!$R73,'面板-景气指数'!$A$37:$A$242,0),MATCH('面板-总览'!Z$2,'面板-景气指数'!$36:$36,0))</f>
        <v>0.30116666666666669</v>
      </c>
      <c r="AA73" s="6">
        <f>INDEX('面板-景气指数'!$37:$242,MATCH('面板-总览'!$R73,'面板-景气指数'!$A$37:$A$242,0),MATCH('面板-总览'!AA$2,'面板-景气指数'!$36:$36,0))</f>
        <v>0.23383333333333334</v>
      </c>
      <c r="AB73" s="6">
        <f>INDEX('面板-景气指数'!$37:$242,MATCH('面板-总览'!$R73,'面板-景气指数'!$A$37:$A$242,0),MATCH('面板-总览'!AB$2,'面板-景气指数'!$36:$36,0))</f>
        <v>0.17633333333333337</v>
      </c>
      <c r="AC73" s="6">
        <f>INDEX('面板-景气指数'!$37:$242,MATCH('面板-总览'!$R73,'面板-景气指数'!$A$37:$A$242,0),MATCH('面板-总览'!AC$2,'面板-景气指数'!$36:$36,0))</f>
        <v>0.13933333333333334</v>
      </c>
      <c r="AD73" s="6">
        <f>INDEX('面板-景气指数'!$37:$242,MATCH('面板-总览'!$R73,'面板-景气指数'!$A$37:$A$242,0),MATCH('面板-总览'!AD$2,'面板-景气指数'!$36:$36,0))</f>
        <v>0.15066666666666667</v>
      </c>
      <c r="AE73" s="6">
        <f>INDEX('面板-景气指数'!$37:$242,MATCH('面板-总览'!$R73,'面板-景气指数'!$A$37:$A$242,0),MATCH('面板-总览'!AE$2,'面板-景气指数'!$36:$36,0))</f>
        <v>0.10433333333333333</v>
      </c>
      <c r="AG73" s="11">
        <f t="shared" si="3"/>
        <v>-7.2000000000000036E-2</v>
      </c>
    </row>
    <row r="74" spans="18:50" ht="21" customHeight="1" x14ac:dyDescent="0.2">
      <c r="R74" s="5" t="s">
        <v>172</v>
      </c>
      <c r="S74" s="6">
        <f>INDEX('面板-景气指数'!$37:$242,MATCH('面板-总览'!$R74,'面板-景气指数'!$A$37:$A$242,0),MATCH('面板-总览'!S$2,'面板-景气指数'!$36:$36,0))</f>
        <v>0.33629999999999965</v>
      </c>
      <c r="T74" s="6">
        <f>INDEX('面板-景气指数'!$37:$242,MATCH('面板-总览'!$R74,'面板-景气指数'!$A$37:$A$242,0),MATCH('面板-总览'!T$2,'面板-景气指数'!$36:$36,0))</f>
        <v>0.29849999999999971</v>
      </c>
      <c r="U74" s="6">
        <f>INDEX('面板-景气指数'!$37:$242,MATCH('面板-总览'!$R74,'面板-景气指数'!$A$37:$A$242,0),MATCH('面板-总览'!U$2,'面板-景气指数'!$36:$36,0))</f>
        <v>0.21409999999999979</v>
      </c>
      <c r="V74" s="6">
        <f>INDEX('面板-景气指数'!$37:$242,MATCH('面板-总览'!$R74,'面板-景气指数'!$A$37:$A$242,0),MATCH('面板-总览'!V$2,'面板-景气指数'!$36:$36,0))</f>
        <v>0.18719999999999981</v>
      </c>
      <c r="W74" s="6">
        <f>INDEX('面板-景气指数'!$37:$242,MATCH('面板-总览'!$R74,'面板-景气指数'!$A$37:$A$242,0),MATCH('面板-总览'!W$2,'面板-景气指数'!$36:$36,0))</f>
        <v>0.23919999999999986</v>
      </c>
      <c r="X74" s="6">
        <f>INDEX('面板-景气指数'!$37:$242,MATCH('面板-总览'!$R74,'面板-景气指数'!$A$37:$A$242,0),MATCH('面板-总览'!X$2,'面板-景气指数'!$36:$36,0))</f>
        <v>0.29539999999999988</v>
      </c>
      <c r="Y74" s="6">
        <f>INDEX('面板-景气指数'!$37:$242,MATCH('面板-总览'!$R74,'面板-景气指数'!$A$37:$A$242,0),MATCH('面板-总览'!Y$2,'面板-景气指数'!$36:$36,0))</f>
        <v>0.30789999999999995</v>
      </c>
      <c r="Z74" s="6">
        <f>INDEX('面板-景气指数'!$37:$242,MATCH('面板-总览'!$R74,'面板-景气指数'!$A$37:$A$242,0),MATCH('面板-总览'!Z$2,'面板-景气指数'!$36:$36,0))</f>
        <v>0.25760000000000005</v>
      </c>
      <c r="AA74" s="6">
        <f>INDEX('面板-景气指数'!$37:$242,MATCH('面板-总览'!$R74,'面板-景气指数'!$A$37:$A$242,0),MATCH('面板-总览'!AA$2,'面板-景气指数'!$36:$36,0))</f>
        <v>0.23640000000000003</v>
      </c>
      <c r="AB74" s="6">
        <f>INDEX('面板-景气指数'!$37:$242,MATCH('面板-总览'!$R74,'面板-景气指数'!$A$37:$A$242,0),MATCH('面板-总览'!AB$2,'面板-景气指数'!$36:$36,0))</f>
        <v>0.22389999999999996</v>
      </c>
      <c r="AC74" s="6">
        <f>INDEX('面板-景气指数'!$37:$242,MATCH('面板-总览'!$R74,'面板-景气指数'!$A$37:$A$242,0),MATCH('面板-总览'!AC$2,'面板-景气指数'!$36:$36,0))</f>
        <v>0.20649999999999991</v>
      </c>
      <c r="AD74" s="6">
        <f>INDEX('面板-景气指数'!$37:$242,MATCH('面板-总览'!$R74,'面板-景气指数'!$A$37:$A$242,0),MATCH('面板-总览'!AD$2,'面板-景气指数'!$36:$36,0))</f>
        <v>0.20149999999999993</v>
      </c>
      <c r="AE74" s="6">
        <f>INDEX('面板-景气指数'!$37:$242,MATCH('面板-总览'!$R74,'面板-景气指数'!$A$37:$A$242,0),MATCH('面板-总览'!AE$2,'面板-景气指数'!$36:$36,0))</f>
        <v>0.19429999999999992</v>
      </c>
      <c r="AG74" s="11">
        <f t="shared" si="3"/>
        <v>-2.9600000000000043E-2</v>
      </c>
    </row>
    <row r="75" spans="18:50" ht="21" customHeight="1" x14ac:dyDescent="0.2">
      <c r="R75" s="5" t="s">
        <v>173</v>
      </c>
      <c r="S75" s="6">
        <f>INDEX('面板-景气指数'!$37:$242,MATCH('面板-总览'!$R75,'面板-景气指数'!$A$37:$A$242,0),MATCH('面板-总览'!S$2,'面板-景气指数'!$36:$36,0))</f>
        <v>9.0999999999999998E-2</v>
      </c>
      <c r="T75" s="6">
        <f>INDEX('面板-景气指数'!$37:$242,MATCH('面板-总览'!$R75,'面板-景气指数'!$A$37:$A$242,0),MATCH('面板-总览'!T$2,'面板-景气指数'!$36:$36,0))</f>
        <v>8.1000000000000003E-2</v>
      </c>
      <c r="U75" s="6">
        <f>INDEX('面板-景气指数'!$37:$242,MATCH('面板-总览'!$R75,'面板-景气指数'!$A$37:$A$242,0),MATCH('面板-总览'!U$2,'面板-景气指数'!$36:$36,0))</f>
        <v>5.0999999999999997E-2</v>
      </c>
      <c r="V75" s="6">
        <f>INDEX('面板-景气指数'!$37:$242,MATCH('面板-总览'!$R75,'面板-景气指数'!$A$37:$A$242,0),MATCH('面板-总览'!V$2,'面板-景气指数'!$36:$36,0))</f>
        <v>6.1000000000000006E-2</v>
      </c>
      <c r="W75" s="6">
        <f>INDEX('面板-景气指数'!$37:$242,MATCH('面板-总览'!$R75,'面板-景气指数'!$A$37:$A$242,0),MATCH('面板-总览'!W$2,'面板-景气指数'!$36:$36,0))</f>
        <v>0.17299999999999999</v>
      </c>
      <c r="X75" s="6">
        <f>INDEX('面板-景气指数'!$37:$242,MATCH('面板-总览'!$R75,'面板-景气指数'!$A$37:$A$242,0),MATCH('面板-总览'!X$2,'面板-景气指数'!$36:$36,0))</f>
        <v>0.23400000000000001</v>
      </c>
      <c r="Y75" s="6">
        <f>INDEX('面板-景气指数'!$37:$242,MATCH('面板-总览'!$R75,'面板-景气指数'!$A$37:$A$242,0),MATCH('面板-总览'!Y$2,'面板-景气指数'!$36:$36,0))</f>
        <v>0.27500000000000002</v>
      </c>
      <c r="Z75" s="6">
        <f>INDEX('面板-景气指数'!$37:$242,MATCH('面板-总览'!$R75,'面板-景气指数'!$A$37:$A$242,0),MATCH('面板-总览'!Z$2,'面板-景气指数'!$36:$36,0))</f>
        <v>0.24400000000000002</v>
      </c>
      <c r="AA75" s="6">
        <f>INDEX('面板-景气指数'!$37:$242,MATCH('面板-总览'!$R75,'面板-景气指数'!$A$37:$A$242,0),MATCH('面板-总览'!AA$2,'面板-景气指数'!$36:$36,0))</f>
        <v>0.153</v>
      </c>
      <c r="AB75" s="6">
        <f>INDEX('面板-景气指数'!$37:$242,MATCH('面板-总览'!$R75,'面板-景气指数'!$A$37:$A$242,0),MATCH('面板-总览'!AB$2,'面板-景气指数'!$36:$36,0))</f>
        <v>0.183</v>
      </c>
      <c r="AC75" s="6">
        <f>INDEX('面板-景气指数'!$37:$242,MATCH('面板-总览'!$R75,'面板-景气指数'!$A$37:$A$242,0),MATCH('面板-总览'!AC$2,'面板-景气指数'!$36:$36,0))</f>
        <v>0.214</v>
      </c>
      <c r="AD75" s="6">
        <f>INDEX('面板-景气指数'!$37:$242,MATCH('面板-总览'!$R75,'面板-景气指数'!$A$37:$A$242,0),MATCH('面板-总览'!AD$2,'面板-景气指数'!$36:$36,0))</f>
        <v>0.32600000000000001</v>
      </c>
      <c r="AE75" s="6">
        <f>INDEX('面板-景气指数'!$37:$242,MATCH('面板-总览'!$R75,'面板-景气指数'!$A$37:$A$242,0),MATCH('面板-总览'!AE$2,'面板-景气指数'!$36:$36,0))</f>
        <v>0.33600000000000002</v>
      </c>
      <c r="AG75" s="11">
        <f t="shared" si="3"/>
        <v>0.15300000000000002</v>
      </c>
    </row>
    <row r="76" spans="18:50" ht="21" customHeight="1" x14ac:dyDescent="0.2">
      <c r="R76" s="5" t="s">
        <v>174</v>
      </c>
      <c r="S76" s="6">
        <f>INDEX('面板-景气指数'!$37:$242,MATCH('面板-总览'!$R76,'面板-景气指数'!$A$37:$A$242,0),MATCH('面板-总览'!S$2,'面板-景气指数'!$36:$36,0))</f>
        <v>0.20399999999999999</v>
      </c>
      <c r="T76" s="6">
        <f>INDEX('面板-景气指数'!$37:$242,MATCH('面板-总览'!$R76,'面板-景气指数'!$A$37:$A$242,0),MATCH('面板-总览'!T$2,'面板-景气指数'!$36:$36,0))</f>
        <v>0.10199999999999999</v>
      </c>
      <c r="U76" s="6">
        <f>INDEX('面板-景气指数'!$37:$242,MATCH('面板-总览'!$R76,'面板-景气指数'!$A$37:$A$242,0),MATCH('面板-总览'!U$2,'面板-景气指数'!$36:$36,0))</f>
        <v>0.214</v>
      </c>
      <c r="V76" s="6">
        <f>INDEX('面板-景气指数'!$37:$242,MATCH('面板-总览'!$R76,'面板-景气指数'!$A$37:$A$242,0),MATCH('面板-总览'!V$2,'面板-景气指数'!$36:$36,0))</f>
        <v>0.34599999999999997</v>
      </c>
      <c r="W76" s="6">
        <f>INDEX('面板-景气指数'!$37:$242,MATCH('面板-总览'!$R76,'面板-景气指数'!$A$37:$A$242,0),MATCH('面板-总览'!W$2,'面板-景气指数'!$36:$36,0))</f>
        <v>0.48899999999999999</v>
      </c>
      <c r="X76" s="6">
        <f>INDEX('面板-景气指数'!$37:$242,MATCH('面板-总览'!$R76,'面板-景气指数'!$A$37:$A$242,0),MATCH('面板-总览'!X$2,'面板-景气指数'!$36:$36,0))</f>
        <v>0.44800000000000001</v>
      </c>
      <c r="Y76" s="6">
        <f>INDEX('面板-景气指数'!$37:$242,MATCH('面板-总览'!$R76,'面板-景气指数'!$A$37:$A$242,0),MATCH('面板-总览'!Y$2,'面板-景气指数'!$36:$36,0))</f>
        <v>0.26500000000000001</v>
      </c>
      <c r="Z76" s="6">
        <f>INDEX('面板-景气指数'!$37:$242,MATCH('面板-总览'!$R76,'面板-景气指数'!$A$37:$A$242,0),MATCH('面板-总览'!Z$2,'面板-景气指数'!$36:$36,0))</f>
        <v>7.0999999999999994E-2</v>
      </c>
      <c r="AA76" s="6">
        <f>INDEX('面板-景气指数'!$37:$242,MATCH('面板-总览'!$R76,'面板-景气指数'!$A$37:$A$242,0),MATCH('面板-总览'!AA$2,'面板-景气指数'!$36:$36,0))</f>
        <v>0.03</v>
      </c>
      <c r="AB76" s="6">
        <f>INDEX('面板-景气指数'!$37:$242,MATCH('面板-总览'!$R76,'面板-景气指数'!$A$37:$A$242,0),MATCH('面板-总览'!AB$2,'面板-景气指数'!$36:$36,0))</f>
        <v>0.01</v>
      </c>
      <c r="AC76" s="6">
        <f>INDEX('面板-景气指数'!$37:$242,MATCH('面板-总览'!$R76,'面板-景气指数'!$A$37:$A$242,0),MATCH('面板-总览'!AC$2,'面板-景气指数'!$36:$36,0))</f>
        <v>0</v>
      </c>
      <c r="AD76" s="6">
        <f>INDEX('面板-景气指数'!$37:$242,MATCH('面板-总览'!$R76,'面板-景气指数'!$A$37:$A$242,0),MATCH('面板-总览'!AD$2,'面板-景气指数'!$36:$36,0))</f>
        <v>0.02</v>
      </c>
      <c r="AE76" s="6">
        <f>INDEX('面板-景气指数'!$37:$242,MATCH('面板-总览'!$R76,'面板-景气指数'!$A$37:$A$242,0),MATCH('面板-总览'!AE$2,'面板-景气指数'!$36:$36,0))</f>
        <v>0.04</v>
      </c>
      <c r="AG76" s="11">
        <f t="shared" si="3"/>
        <v>0.03</v>
      </c>
    </row>
    <row r="77" spans="18:50" ht="21" customHeight="1" x14ac:dyDescent="0.2">
      <c r="R77" s="5" t="s">
        <v>175</v>
      </c>
      <c r="S77" s="6">
        <f>INDEX('面板-景气指数'!$37:$242,MATCH('面板-总览'!$R77,'面板-景气指数'!$A$37:$A$242,0),MATCH('面板-总览'!S$2,'面板-景气指数'!$36:$36,0))</f>
        <v>0.33658866585063979</v>
      </c>
      <c r="T77" s="6">
        <f>INDEX('面板-景气指数'!$37:$242,MATCH('面板-总览'!$R77,'面板-景气指数'!$A$37:$A$242,0),MATCH('面板-总览'!T$2,'面板-景气指数'!$36:$36,0))</f>
        <v>0.22450545483634082</v>
      </c>
      <c r="U77" s="6">
        <f>INDEX('面板-景气指数'!$37:$242,MATCH('面板-总览'!$R77,'面板-景气指数'!$A$37:$A$242,0),MATCH('面板-总览'!U$2,'面板-景气指数'!$36:$36,0))</f>
        <v>0.14526282381742123</v>
      </c>
      <c r="V77" s="6">
        <f>INDEX('面板-景气指数'!$37:$242,MATCH('面板-总览'!$R77,'面板-景气指数'!$A$37:$A$242,0),MATCH('面板-总览'!V$2,'面板-景气指数'!$36:$36,0))</f>
        <v>9.4351930016584623E-2</v>
      </c>
      <c r="W77" s="6">
        <f>INDEX('面板-景气指数'!$37:$242,MATCH('面板-总览'!$R77,'面板-景气指数'!$A$37:$A$242,0),MATCH('面板-总览'!W$2,'面板-景气指数'!$36:$36,0))</f>
        <v>7.5133105879188505E-2</v>
      </c>
      <c r="X77" s="6">
        <f>INDEX('面板-景气指数'!$37:$242,MATCH('面板-总览'!$R77,'面板-景气指数'!$A$37:$A$242,0),MATCH('面板-总览'!X$2,'面板-景气指数'!$36:$36,0))</f>
        <v>8.3929686194542844E-2</v>
      </c>
      <c r="Y77" s="6">
        <f>INDEX('面板-景气指数'!$37:$242,MATCH('面板-总览'!$R77,'面板-景气指数'!$A$37:$A$242,0),MATCH('面板-总览'!Y$2,'面板-景气指数'!$36:$36,0))</f>
        <v>8.2726266509897159E-2</v>
      </c>
      <c r="Z77" s="6">
        <f>INDEX('面板-景气指数'!$37:$242,MATCH('面板-总览'!$R77,'面板-景气指数'!$A$37:$A$242,0),MATCH('面板-总览'!Z$2,'面板-景气指数'!$36:$36,0))</f>
        <v>0.10090558574733705</v>
      </c>
      <c r="AA77" s="6">
        <f>INDEX('面板-景气指数'!$37:$242,MATCH('面板-总览'!$R77,'面板-景气指数'!$A$37:$A$242,0),MATCH('面板-总览'!AA$2,'面板-景气指数'!$36:$36,0))</f>
        <v>0.11363716031073379</v>
      </c>
      <c r="AB77" s="6">
        <f>INDEX('面板-景气指数'!$37:$242,MATCH('面板-总览'!$R77,'面板-景气指数'!$A$37:$A$242,0),MATCH('面板-总览'!AB$2,'面板-景气指数'!$36:$36,0))</f>
        <v>0.12123032094144248</v>
      </c>
      <c r="AC77" s="6">
        <f>INDEX('面板-景气指数'!$37:$242,MATCH('面板-总览'!$R77,'面板-景气指数'!$A$37:$A$242,0),MATCH('面板-总览'!AC$2,'面板-景气指数'!$36:$36,0))</f>
        <v>8.2473245526044389E-2</v>
      </c>
      <c r="AD77" s="6">
        <f>INDEX('面板-景气指数'!$37:$242,MATCH('面板-总览'!$R77,'面板-景气指数'!$A$37:$A$242,0),MATCH('面板-总览'!AD$2,'面板-景气指数'!$36:$36,0))</f>
        <v>7.4610259053936992E-2</v>
      </c>
      <c r="AE77" s="6">
        <f>INDEX('面板-景气指数'!$37:$242,MATCH('面板-总览'!$R77,'面板-景气指数'!$A$37:$A$242,0),MATCH('面板-总览'!AE$2,'面板-景气指数'!$36:$36,0))</f>
        <v>7.0058003727980087E-2</v>
      </c>
      <c r="AG77" s="11">
        <f t="shared" si="3"/>
        <v>-5.1172317213462395E-2</v>
      </c>
    </row>
    <row r="78" spans="18:50" ht="21" customHeight="1" x14ac:dyDescent="0.2">
      <c r="R78" s="5" t="s">
        <v>176</v>
      </c>
      <c r="S78" s="6">
        <f>INDEX('面板-景气指数'!$37:$242,MATCH('面板-总览'!$R78,'面板-景气指数'!$A$37:$A$242,0),MATCH('面板-总览'!S$2,'面板-景气指数'!$36:$36,0))</f>
        <v>0.12878391959799002</v>
      </c>
      <c r="T78" s="6">
        <f>INDEX('面板-景气指数'!$37:$242,MATCH('面板-总览'!$R78,'面板-景气指数'!$A$37:$A$242,0),MATCH('面板-总览'!T$2,'面板-景气指数'!$36:$36,0))</f>
        <v>0.13083919597989954</v>
      </c>
      <c r="U78" s="6">
        <f>INDEX('面板-景气指数'!$37:$242,MATCH('面板-总览'!$R78,'面板-景气指数'!$A$37:$A$242,0),MATCH('面板-总览'!U$2,'面板-景气指数'!$36:$36,0))</f>
        <v>0.12740703517587948</v>
      </c>
      <c r="V78" s="6">
        <f>INDEX('面板-景气指数'!$37:$242,MATCH('面板-总览'!$R78,'面板-景气指数'!$A$37:$A$242,0),MATCH('面板-总览'!V$2,'面板-景气指数'!$36:$36,0))</f>
        <v>0.12943718592964829</v>
      </c>
      <c r="W78" s="6">
        <f>INDEX('面板-景气指数'!$37:$242,MATCH('面板-总览'!$R78,'面板-景气指数'!$A$37:$A$242,0),MATCH('面板-总览'!W$2,'面板-景气指数'!$36:$36,0))</f>
        <v>0.12467839195979907</v>
      </c>
      <c r="X78" s="6">
        <f>INDEX('面板-景气指数'!$37:$242,MATCH('面板-总览'!$R78,'面板-景气指数'!$A$37:$A$242,0),MATCH('面板-总览'!X$2,'面板-景气指数'!$36:$36,0))</f>
        <v>0.14887437185929658</v>
      </c>
      <c r="Y78" s="6">
        <f>INDEX('面板-景气指数'!$37:$242,MATCH('面板-总览'!$R78,'面板-景气指数'!$A$37:$A$242,0),MATCH('面板-总览'!Y$2,'面板-景气指数'!$36:$36,0))</f>
        <v>0.16936180904522621</v>
      </c>
      <c r="Z78" s="6">
        <f>INDEX('面板-景气指数'!$37:$242,MATCH('面板-总览'!$R78,'面板-景气指数'!$A$37:$A$242,0),MATCH('面板-总览'!Z$2,'面板-景气指数'!$36:$36,0))</f>
        <v>0.21008040201005032</v>
      </c>
      <c r="AA78" s="6">
        <f>INDEX('面板-景气指数'!$37:$242,MATCH('面板-总览'!$R78,'面板-景气指数'!$A$37:$A$242,0),MATCH('面板-总览'!AA$2,'面板-景气指数'!$36:$36,0))</f>
        <v>0.24273869346733679</v>
      </c>
      <c r="AB78" s="6">
        <f>INDEX('面板-景气指数'!$37:$242,MATCH('面板-总览'!$R78,'面板-景气指数'!$A$37:$A$242,0),MATCH('面板-总览'!AB$2,'面板-景气指数'!$36:$36,0))</f>
        <v>0.25792964824120612</v>
      </c>
      <c r="AC78" s="6">
        <f>INDEX('面板-景气指数'!$37:$242,MATCH('面板-总览'!$R78,'面板-景气指数'!$A$37:$A$242,0),MATCH('面板-总览'!AC$2,'面板-景气指数'!$36:$36,0))</f>
        <v>0.29084422110552771</v>
      </c>
      <c r="AD78" s="6">
        <f>INDEX('面板-景气指数'!$37:$242,MATCH('面板-总览'!$R78,'面板-景气指数'!$A$37:$A$242,0),MATCH('面板-总览'!AD$2,'面板-景气指数'!$36:$36,0))</f>
        <v>0.36622613065326626</v>
      </c>
      <c r="AE78" s="6">
        <f>INDEX('面板-景气指数'!$37:$242,MATCH('面板-总览'!$R78,'面板-景气指数'!$A$37:$A$242,0),MATCH('面板-总览'!AE$2,'面板-景气指数'!$36:$36,0))</f>
        <v>0.36108542713567832</v>
      </c>
      <c r="AG78" s="11">
        <f t="shared" si="3"/>
        <v>0.10315577889447219</v>
      </c>
    </row>
    <row r="79" spans="18:50" ht="21" customHeight="1" x14ac:dyDescent="0.2">
      <c r="R79" s="5" t="s">
        <v>177</v>
      </c>
      <c r="S79" s="6">
        <f>INDEX('面板-景气指数'!$37:$242,MATCH('面板-总览'!$R79,'面板-景气指数'!$A$37:$A$242,0),MATCH('面板-总览'!S$2,'面板-景气指数'!$36:$36,0))</f>
        <v>0.67889808917197414</v>
      </c>
      <c r="T79" s="6">
        <f>INDEX('面板-景气指数'!$37:$242,MATCH('面板-总览'!$R79,'面板-景气指数'!$A$37:$A$242,0),MATCH('面板-总览'!T$2,'面板-景气指数'!$36:$36,0))</f>
        <v>0.72347133757961746</v>
      </c>
      <c r="U79" s="6">
        <f>INDEX('面板-景气指数'!$37:$242,MATCH('面板-总览'!$R79,'面板-景气指数'!$A$37:$A$242,0),MATCH('面板-总览'!U$2,'面板-景气指数'!$36:$36,0))</f>
        <v>0.73838853503184687</v>
      </c>
      <c r="V79" s="6">
        <f>INDEX('面板-景气指数'!$37:$242,MATCH('面板-总览'!$R79,'面板-景气指数'!$A$37:$A$242,0),MATCH('面板-总览'!V$2,'面板-景气指数'!$36:$36,0))</f>
        <v>0.67672611464968124</v>
      </c>
      <c r="W79" s="6">
        <f>INDEX('面板-景气指数'!$37:$242,MATCH('面板-总览'!$R79,'面板-景气指数'!$A$37:$A$242,0),MATCH('面板-总览'!W$2,'面板-景气指数'!$36:$36,0))</f>
        <v>0.69303821656050935</v>
      </c>
      <c r="X79" s="6">
        <f>INDEX('面板-景气指数'!$37:$242,MATCH('面板-总览'!$R79,'面板-景气指数'!$A$37:$A$242,0),MATCH('面板-总览'!X$2,'面板-景气指数'!$36:$36,0))</f>
        <v>0.69368152866242028</v>
      </c>
      <c r="Y79" s="6">
        <f>INDEX('面板-景气指数'!$37:$242,MATCH('面板-总览'!$R79,'面板-景气指数'!$A$37:$A$242,0),MATCH('面板-总览'!Y$2,'面板-景气指数'!$36:$36,0))</f>
        <v>0.68773885350318464</v>
      </c>
      <c r="Z79" s="6">
        <f>INDEX('面板-景气指数'!$37:$242,MATCH('面板-总览'!$R79,'面板-景气指数'!$A$37:$A$242,0),MATCH('面板-总览'!Z$2,'面板-景气指数'!$36:$36,0))</f>
        <v>0.72024840764331199</v>
      </c>
      <c r="AA79" s="6">
        <f>INDEX('面板-景气指数'!$37:$242,MATCH('面板-总览'!$R79,'面板-景气指数'!$A$37:$A$242,0),MATCH('面板-总览'!AA$2,'面板-景气指数'!$36:$36,0))</f>
        <v>0.73202547770700632</v>
      </c>
      <c r="AB79" s="6">
        <f>INDEX('面板-景气指数'!$37:$242,MATCH('面板-总览'!$R79,'面板-景气指数'!$A$37:$A$242,0),MATCH('面板-总览'!AB$2,'面板-景气指数'!$36:$36,0))</f>
        <v>0.75178980891719738</v>
      </c>
      <c r="AC79" s="6">
        <f>INDEX('面板-景气指数'!$37:$242,MATCH('面板-总览'!$R79,'面板-景气指数'!$A$37:$A$242,0),MATCH('面板-总览'!AC$2,'面板-景气指数'!$36:$36,0))</f>
        <v>0.79961146496815272</v>
      </c>
      <c r="AD79" s="6">
        <f>INDEX('面板-景气指数'!$37:$242,MATCH('面板-总览'!$R79,'面板-景气指数'!$A$37:$A$242,0),MATCH('面板-总览'!AD$2,'面板-景气指数'!$36:$36,0))</f>
        <v>0.79736942675159217</v>
      </c>
      <c r="AE79" s="6">
        <f>INDEX('面板-景气指数'!$37:$242,MATCH('面板-总览'!$R79,'面板-景气指数'!$A$37:$A$242,0),MATCH('面板-总览'!AE$2,'面板-景气指数'!$36:$36,0))</f>
        <v>0.79322292993630561</v>
      </c>
      <c r="AG79" s="11">
        <f t="shared" si="3"/>
        <v>4.1433121019108232E-2</v>
      </c>
    </row>
    <row r="80" spans="18:50" ht="21" customHeight="1" x14ac:dyDescent="0.2">
      <c r="R80" s="5" t="s">
        <v>178</v>
      </c>
      <c r="S80" s="6">
        <f>INDEX('面板-景气指数'!$37:$242,MATCH('面板-总览'!$R80,'面板-景气指数'!$A$37:$A$242,0),MATCH('面板-总览'!S$2,'面板-景气指数'!$36:$36,0))</f>
        <v>0.28395511292663544</v>
      </c>
      <c r="T80" s="6">
        <f>INDEX('面板-景气指数'!$37:$242,MATCH('面板-总览'!$R80,'面板-景气指数'!$A$37:$A$242,0),MATCH('面板-总览'!T$2,'面板-景气指数'!$36:$36,0))</f>
        <v>0.28903845301189457</v>
      </c>
      <c r="U80" s="6">
        <f>INDEX('面板-景气指数'!$37:$242,MATCH('面板-总览'!$R80,'面板-景气指数'!$A$37:$A$242,0),MATCH('面板-总览'!U$2,'面板-景气指数'!$36:$36,0))</f>
        <v>0.27421000182256994</v>
      </c>
      <c r="V80" s="6">
        <f>INDEX('面板-景气指数'!$37:$242,MATCH('面板-总览'!$R80,'面板-景气指数'!$A$37:$A$242,0),MATCH('面板-总览'!V$2,'面板-景气指数'!$36:$36,0))</f>
        <v>0.25121327553355222</v>
      </c>
      <c r="W80" s="6">
        <f>INDEX('面板-景气指数'!$37:$242,MATCH('面板-总览'!$R80,'面板-景气指数'!$A$37:$A$242,0),MATCH('面板-总览'!W$2,'面板-景气指数'!$36:$36,0))</f>
        <v>0.20967513475706337</v>
      </c>
      <c r="X80" s="6">
        <f>INDEX('面板-景气指数'!$37:$242,MATCH('面板-总览'!$R80,'面板-景气指数'!$A$37:$A$242,0),MATCH('面板-总览'!X$2,'面板-景气指数'!$36:$36,0))</f>
        <v>0.19266669609218784</v>
      </c>
      <c r="Y80" s="6">
        <f>INDEX('面板-景气指数'!$37:$242,MATCH('面板-总览'!$R80,'面板-景气指数'!$A$37:$A$242,0),MATCH('面板-总览'!Y$2,'面板-景气指数'!$36:$36,0))</f>
        <v>0.18964150845900976</v>
      </c>
      <c r="Z80" s="6">
        <f>INDEX('面板-景气指数'!$37:$242,MATCH('面板-总览'!$R80,'面板-景气指数'!$A$37:$A$242,0),MATCH('面板-总览'!Z$2,'面板-景气指数'!$36:$36,0))</f>
        <v>0.20330917500956119</v>
      </c>
      <c r="AA80" s="6">
        <f>INDEX('面板-景气指数'!$37:$242,MATCH('面板-总览'!$R80,'面板-景气指数'!$A$37:$A$242,0),MATCH('面板-总览'!AA$2,'面板-景气指数'!$36:$36,0))</f>
        <v>0.22600143914831841</v>
      </c>
      <c r="AB80" s="6">
        <f>INDEX('面板-景气指数'!$37:$242,MATCH('面板-总览'!$R80,'面板-景气指数'!$A$37:$A$242,0),MATCH('面板-总览'!AB$2,'面板-景气指数'!$36:$36,0))</f>
        <v>0.23981416334295128</v>
      </c>
      <c r="AC80" s="6">
        <f>INDEX('面板-景气指数'!$37:$242,MATCH('面板-总览'!$R80,'面板-景气指数'!$A$37:$A$242,0),MATCH('面板-总览'!AC$2,'面板-景气指数'!$36:$36,0))</f>
        <v>0.24724421558309573</v>
      </c>
      <c r="AD80" s="6">
        <f>INDEX('面板-景气指数'!$37:$242,MATCH('面板-总览'!$R80,'面板-景气指数'!$A$37:$A$242,0),MATCH('面板-总览'!AD$2,'面板-景气指数'!$36:$36,0))</f>
        <v>0.23562403567226362</v>
      </c>
      <c r="AE80" s="6">
        <f>INDEX('面板-景气指数'!$37:$242,MATCH('面板-总览'!$R80,'面板-景气指数'!$A$37:$A$242,0),MATCH('面板-总览'!AE$2,'面板-景气指数'!$36:$36,0))</f>
        <v>0.24029169730483804</v>
      </c>
      <c r="AG80" s="11">
        <f t="shared" si="3"/>
        <v>4.7753396188676689E-4</v>
      </c>
    </row>
    <row r="81" spans="18:33" ht="21" customHeight="1" x14ac:dyDescent="0.2">
      <c r="R81" s="5" t="s">
        <v>179</v>
      </c>
      <c r="S81" s="6">
        <f>INDEX('面板-景气指数'!$37:$242,MATCH('面板-总览'!$R81,'面板-景气指数'!$A$37:$A$242,0),MATCH('面板-总览'!S$2,'面板-景气指数'!$36:$36,0))</f>
        <v>0.54500000000000004</v>
      </c>
      <c r="T81" s="6">
        <f>INDEX('面板-景气指数'!$37:$242,MATCH('面板-总览'!$R81,'面板-景气指数'!$A$37:$A$242,0),MATCH('面板-总览'!T$2,'面板-景气指数'!$36:$36,0))</f>
        <v>0.5</v>
      </c>
      <c r="U81" s="6">
        <f>INDEX('面板-景气指数'!$37:$242,MATCH('面板-总览'!$R81,'面板-景气指数'!$A$37:$A$242,0),MATCH('面板-总览'!U$2,'面板-景气指数'!$36:$36,0))</f>
        <v>0.45400000000000001</v>
      </c>
      <c r="V81" s="6">
        <f>INDEX('面板-景气指数'!$37:$242,MATCH('面板-总览'!$R81,'面板-景气指数'!$A$37:$A$242,0),MATCH('面板-总览'!V$2,'面板-景气指数'!$36:$36,0))</f>
        <v>0.40899999999999997</v>
      </c>
      <c r="W81" s="6">
        <f>INDEX('面板-景气指数'!$37:$242,MATCH('面板-总览'!$R81,'面板-景气指数'!$A$37:$A$242,0),MATCH('面板-总览'!W$2,'面板-景气指数'!$36:$36,0))</f>
        <v>0</v>
      </c>
      <c r="X81" s="6">
        <f>INDEX('面板-景气指数'!$37:$242,MATCH('面板-总览'!$R81,'面板-景气指数'!$A$37:$A$242,0),MATCH('面板-总览'!X$2,'面板-景气指数'!$36:$36,0))</f>
        <v>4.4999999999999998E-2</v>
      </c>
      <c r="Y81" s="6">
        <f>INDEX('面板-景气指数'!$37:$242,MATCH('面板-总览'!$R81,'面板-景气指数'!$A$37:$A$242,0),MATCH('面板-总览'!Y$2,'面板-景气指数'!$36:$36,0))</f>
        <v>0.09</v>
      </c>
      <c r="Z81" s="6">
        <f>INDEX('面板-景气指数'!$37:$242,MATCH('面板-总览'!$R81,'面板-景气指数'!$A$37:$A$242,0),MATCH('面板-总览'!Z$2,'面板-景气指数'!$36:$36,0))</f>
        <v>0.09</v>
      </c>
      <c r="AA81" s="6">
        <f>INDEX('面板-景气指数'!$37:$242,MATCH('面板-总览'!$R81,'面板-景气指数'!$A$37:$A$242,0),MATCH('面板-总览'!AA$2,'面板-景气指数'!$36:$36,0))</f>
        <v>0.09</v>
      </c>
      <c r="AB81" s="6">
        <f>INDEX('面板-景气指数'!$37:$242,MATCH('面板-总览'!$R81,'面板-景气指数'!$A$37:$A$242,0),MATCH('面板-总览'!AB$2,'面板-景气指数'!$36:$36,0))</f>
        <v>0.09</v>
      </c>
      <c r="AC81" s="6">
        <f>INDEX('面板-景气指数'!$37:$242,MATCH('面板-总览'!$R81,'面板-景气指数'!$A$37:$A$242,0),MATCH('面板-总览'!AC$2,'面板-景气指数'!$36:$36,0))</f>
        <v>0.09</v>
      </c>
      <c r="AD81" s="6">
        <f>INDEX('面板-景气指数'!$37:$242,MATCH('面板-总览'!$R81,'面板-景气指数'!$A$37:$A$242,0),MATCH('面板-总览'!AD$2,'面板-景气指数'!$36:$36,0))</f>
        <v>0.09</v>
      </c>
      <c r="AE81" s="6">
        <f>INDEX('面板-景气指数'!$37:$242,MATCH('面板-总览'!$R81,'面板-景气指数'!$A$37:$A$242,0),MATCH('面板-总览'!AE$2,'面板-景气指数'!$36:$36,0))</f>
        <v>0.09</v>
      </c>
      <c r="AG81" s="11">
        <f t="shared" si="3"/>
        <v>0</v>
      </c>
    </row>
    <row r="82" spans="18:33" ht="21" customHeight="1" x14ac:dyDescent="0.2">
      <c r="R82" s="5" t="s">
        <v>180</v>
      </c>
      <c r="S82" s="6">
        <f>INDEX('面板-景气指数'!$37:$242,MATCH('面板-总览'!$R82,'面板-景气指数'!$A$37:$A$242,0),MATCH('面板-总览'!S$2,'面板-景气指数'!$36:$36,0))</f>
        <v>0.87616666666666654</v>
      </c>
      <c r="T82" s="6">
        <f>INDEX('面板-景气指数'!$37:$242,MATCH('面板-总览'!$R82,'面板-景气指数'!$A$37:$A$242,0),MATCH('面板-总览'!T$2,'面板-景气指数'!$36:$36,0))</f>
        <v>0.91600000000000004</v>
      </c>
      <c r="U82" s="6">
        <f>INDEX('面板-景气指数'!$37:$242,MATCH('面板-总览'!$R82,'面板-景气指数'!$A$37:$A$242,0),MATCH('面板-总览'!U$2,'面板-景气指数'!$36:$36,0))</f>
        <v>0.90800000000000003</v>
      </c>
      <c r="V82" s="6">
        <f>INDEX('面板-景气指数'!$37:$242,MATCH('面板-总览'!$R82,'面板-景气指数'!$A$37:$A$242,0),MATCH('面板-总览'!V$2,'面板-景气指数'!$36:$36,0))</f>
        <v>0.84700000000000009</v>
      </c>
      <c r="W82" s="6">
        <f>INDEX('面板-景气指数'!$37:$242,MATCH('面板-总览'!$R82,'面板-景气指数'!$A$37:$A$242,0),MATCH('面板-总览'!W$2,'面板-景气指数'!$36:$36,0))</f>
        <v>0.76449999999999996</v>
      </c>
      <c r="X82" s="6">
        <f>INDEX('面板-景气指数'!$37:$242,MATCH('面板-总览'!$R82,'面板-景气指数'!$A$37:$A$242,0),MATCH('面板-总览'!X$2,'面板-景气指数'!$36:$36,0))</f>
        <v>0.72066666666666657</v>
      </c>
      <c r="Y82" s="6">
        <f>INDEX('面板-景气指数'!$37:$242,MATCH('面板-总览'!$R82,'面板-景气指数'!$A$37:$A$242,0),MATCH('面板-总览'!Y$2,'面板-景气指数'!$36:$36,0))</f>
        <v>0.7004999999999999</v>
      </c>
      <c r="Z82" s="6">
        <f>INDEX('面板-景气指数'!$37:$242,MATCH('面板-总览'!$R82,'面板-景气指数'!$A$37:$A$242,0),MATCH('面板-总览'!Z$2,'面板-景气指数'!$36:$36,0))</f>
        <v>0.7131666666666665</v>
      </c>
      <c r="AA82" s="6">
        <f>INDEX('面板-景气指数'!$37:$242,MATCH('面板-总览'!$R82,'面板-景气指数'!$A$37:$A$242,0),MATCH('面板-总览'!AA$2,'面板-景气指数'!$36:$36,0))</f>
        <v>0.72749999999999981</v>
      </c>
      <c r="AB82" s="6">
        <f>INDEX('面板-景气指数'!$37:$242,MATCH('面板-总览'!$R82,'面板-景气指数'!$A$37:$A$242,0),MATCH('面板-总览'!AB$2,'面板-景气指数'!$36:$36,0))</f>
        <v>0.76649999999999985</v>
      </c>
      <c r="AC82" s="6">
        <f>INDEX('面板-景气指数'!$37:$242,MATCH('面板-总览'!$R82,'面板-景气指数'!$A$37:$A$242,0),MATCH('面板-总览'!AC$2,'面板-景气指数'!$36:$36,0))</f>
        <v>0.7576666666666666</v>
      </c>
      <c r="AD82" s="6">
        <f>INDEX('面板-景气指数'!$37:$242,MATCH('面板-总览'!$R82,'面板-景气指数'!$A$37:$A$242,0),MATCH('面板-总览'!AD$2,'面板-景气指数'!$36:$36,0))</f>
        <v>0.7546666666666666</v>
      </c>
      <c r="AE82" s="6">
        <f>INDEX('面板-景气指数'!$37:$242,MATCH('面板-总览'!$R82,'面板-景气指数'!$A$37:$A$242,0),MATCH('面板-总览'!AE$2,'面板-景气指数'!$36:$36,0))</f>
        <v>0.77233333333333332</v>
      </c>
      <c r="AG82" s="11">
        <f t="shared" si="3"/>
        <v>5.833333333333468E-3</v>
      </c>
    </row>
    <row r="83" spans="18:33" ht="21" customHeight="1" x14ac:dyDescent="0.2">
      <c r="R83" s="5" t="s">
        <v>181</v>
      </c>
      <c r="S83" s="6">
        <f>INDEX('面板-景气指数'!$37:$242,MATCH('面板-总览'!$R83,'面板-景气指数'!$A$37:$A$242,0),MATCH('面板-总览'!S$2,'面板-景气指数'!$36:$36,0))</f>
        <v>0.47566666666666679</v>
      </c>
      <c r="T83" s="6">
        <f>INDEX('面板-景气指数'!$37:$242,MATCH('面板-总览'!$R83,'面板-景气指数'!$A$37:$A$242,0),MATCH('面板-总览'!T$2,'面板-景气指数'!$36:$36,0))</f>
        <v>0.56291666666666662</v>
      </c>
      <c r="U83" s="6">
        <f>INDEX('面板-景气指数'!$37:$242,MATCH('面板-总览'!$R83,'面板-景气指数'!$A$37:$A$242,0),MATCH('面板-总览'!U$2,'面板-景气指数'!$36:$36,0))</f>
        <v>0.54441666666666677</v>
      </c>
      <c r="V83" s="6">
        <f>INDEX('面板-景气指数'!$37:$242,MATCH('面板-总览'!$R83,'面板-景气指数'!$A$37:$A$242,0),MATCH('面板-总览'!V$2,'面板-景气指数'!$36:$36,0))</f>
        <v>0.56333333333333324</v>
      </c>
      <c r="W83" s="6">
        <f>INDEX('面板-景气指数'!$37:$242,MATCH('面板-总览'!$R83,'面板-景气指数'!$A$37:$A$242,0),MATCH('面板-总览'!W$2,'面板-景气指数'!$36:$36,0))</f>
        <v>0.46650000000000003</v>
      </c>
      <c r="X83" s="6">
        <f>INDEX('面板-景气指数'!$37:$242,MATCH('面板-总览'!$R83,'面板-景气指数'!$A$37:$A$242,0),MATCH('面板-总览'!X$2,'面板-景气指数'!$36:$36,0))</f>
        <v>0.45466666666666661</v>
      </c>
      <c r="Y83" s="6">
        <f>INDEX('面板-景气指数'!$37:$242,MATCH('面板-总览'!$R83,'面板-景气指数'!$A$37:$A$242,0),MATCH('面板-总览'!Y$2,'面板-景气指数'!$36:$36,0))</f>
        <v>0.36691666666666667</v>
      </c>
      <c r="Z83" s="6">
        <f>INDEX('面板-景气指数'!$37:$242,MATCH('面板-总览'!$R83,'面板-景气指数'!$A$37:$A$242,0),MATCH('面板-总览'!Z$2,'面板-景气指数'!$36:$36,0))</f>
        <v>0.44275000000000003</v>
      </c>
      <c r="AA83" s="6">
        <f>INDEX('面板-景气指数'!$37:$242,MATCH('面板-总览'!$R83,'面板-景气指数'!$A$37:$A$242,0),MATCH('面板-总览'!AA$2,'面板-景气指数'!$36:$36,0))</f>
        <v>0.52849999999999986</v>
      </c>
      <c r="AB83" s="6">
        <f>INDEX('面板-景气指数'!$37:$242,MATCH('面板-总览'!$R83,'面板-景气指数'!$A$37:$A$242,0),MATCH('面板-总览'!AB$2,'面板-景气指数'!$36:$36,0))</f>
        <v>0.50183333333333324</v>
      </c>
      <c r="AC83" s="6">
        <f>INDEX('面板-景气指数'!$37:$242,MATCH('面板-总览'!$R83,'面板-景气指数'!$A$37:$A$242,0),MATCH('面板-总览'!AC$2,'面板-景气指数'!$36:$36,0))</f>
        <v>0.5183333333333332</v>
      </c>
      <c r="AD83" s="6">
        <f>INDEX('面板-景气指数'!$37:$242,MATCH('面板-总览'!$R83,'面板-景气指数'!$A$37:$A$242,0),MATCH('面板-总览'!AD$2,'面板-景气指数'!$36:$36,0))</f>
        <v>0.26758333333333351</v>
      </c>
      <c r="AE83" s="6">
        <f>INDEX('面板-景气指数'!$37:$242,MATCH('面板-总览'!$R83,'面板-景气指数'!$A$37:$A$242,0),MATCH('面板-总览'!AE$2,'面板-景气指数'!$36:$36,0))</f>
        <v>0.25475000000000009</v>
      </c>
      <c r="AG83" s="11">
        <f t="shared" si="3"/>
        <v>-0.24708333333333315</v>
      </c>
    </row>
    <row r="84" spans="18:33" ht="21" customHeight="1" x14ac:dyDescent="0.2">
      <c r="R84" s="5" t="s">
        <v>182</v>
      </c>
      <c r="S84" s="6">
        <f>INDEX('面板-景气指数'!$37:$242,MATCH('面板-总览'!$R84,'面板-景气指数'!$A$37:$A$242,0),MATCH('面板-总览'!S$2,'面板-景气指数'!$36:$36,0))</f>
        <v>0.73399999999999999</v>
      </c>
      <c r="T84" s="6">
        <f>INDEX('面板-景气指数'!$37:$242,MATCH('面板-总览'!$R84,'面板-景气指数'!$A$37:$A$242,0),MATCH('面板-总览'!T$2,'面板-景气指数'!$36:$36,0))</f>
        <v>0.214</v>
      </c>
      <c r="U84" s="6">
        <f>INDEX('面板-景气指数'!$37:$242,MATCH('面板-总览'!$R84,'面板-景气指数'!$A$37:$A$242,0),MATCH('面板-总览'!U$2,'面板-景气指数'!$36:$36,0))</f>
        <v>0.12199999999999998</v>
      </c>
      <c r="V84" s="6">
        <f>INDEX('面板-景气指数'!$37:$242,MATCH('面板-总览'!$R84,'面板-景气指数'!$A$37:$A$242,0),MATCH('面板-总览'!V$2,'面板-景气指数'!$36:$36,0))</f>
        <v>0.12199999999999998</v>
      </c>
      <c r="W84" s="6">
        <f>INDEX('面板-景气指数'!$37:$242,MATCH('面板-总览'!$R84,'面板-景气指数'!$A$37:$A$242,0),MATCH('面板-总览'!W$2,'面板-景气指数'!$36:$36,0))</f>
        <v>8.1000000000000003E-2</v>
      </c>
      <c r="X84" s="6">
        <f>INDEX('面板-景气指数'!$37:$242,MATCH('面板-总览'!$R84,'面板-景气指数'!$A$37:$A$242,0),MATCH('面板-总览'!X$2,'面板-景气指数'!$36:$36,0))</f>
        <v>5.1000000000000004E-2</v>
      </c>
      <c r="Y84" s="6">
        <f>INDEX('面板-景气指数'!$37:$242,MATCH('面板-总览'!$R84,'面板-景气指数'!$A$37:$A$242,0),MATCH('面板-总览'!Y$2,'面板-景气指数'!$36:$36,0))</f>
        <v>9.0999999999999998E-2</v>
      </c>
      <c r="Z84" s="6">
        <f>INDEX('面板-景气指数'!$37:$242,MATCH('面板-总览'!$R84,'面板-景气指数'!$A$37:$A$242,0),MATCH('面板-总览'!Z$2,'面板-景气指数'!$36:$36,0))</f>
        <v>0.17299999999999999</v>
      </c>
      <c r="AA84" s="6">
        <f>INDEX('面板-景气指数'!$37:$242,MATCH('面板-总览'!$R84,'面板-景气指数'!$A$37:$A$242,0),MATCH('面板-总览'!AA$2,'面板-景气指数'!$36:$36,0))</f>
        <v>0.02</v>
      </c>
      <c r="AB84" s="6">
        <f>INDEX('面板-景气指数'!$37:$242,MATCH('面板-总览'!$R84,'面板-景气指数'!$A$37:$A$242,0),MATCH('面板-总览'!AB$2,'面板-景气指数'!$36:$36,0))</f>
        <v>0.01</v>
      </c>
      <c r="AC84" s="6">
        <f>INDEX('面板-景气指数'!$37:$242,MATCH('面板-总览'!$R84,'面板-景气指数'!$A$37:$A$242,0),MATCH('面板-总览'!AC$2,'面板-景气指数'!$36:$36,0))</f>
        <v>0</v>
      </c>
      <c r="AD84" s="6">
        <f>INDEX('面板-景气指数'!$37:$242,MATCH('面板-总览'!$R84,'面板-景气指数'!$A$37:$A$242,0),MATCH('面板-总览'!AD$2,'面板-景气指数'!$36:$36,0))</f>
        <v>0.03</v>
      </c>
      <c r="AE84" s="6">
        <f>INDEX('面板-景气指数'!$37:$242,MATCH('面板-总览'!$R84,'面板-景气指数'!$A$37:$A$242,0),MATCH('面板-总览'!AE$2,'面板-景气指数'!$36:$36,0))</f>
        <v>0.03</v>
      </c>
      <c r="AG84" s="11">
        <f t="shared" si="3"/>
        <v>1.9999999999999997E-2</v>
      </c>
    </row>
    <row r="85" spans="18:33" ht="21" customHeight="1" x14ac:dyDescent="0.2">
      <c r="R85" s="5" t="s">
        <v>183</v>
      </c>
      <c r="S85" s="6">
        <f>INDEX('面板-景气指数'!$37:$242,MATCH('面板-总览'!$R85,'面板-景气指数'!$A$37:$A$242,0),MATCH('面板-总览'!S$2,'面板-景气指数'!$36:$36,0))</f>
        <v>0.33080000000000009</v>
      </c>
      <c r="T85" s="6">
        <f>INDEX('面板-景气指数'!$37:$242,MATCH('面板-总览'!$R85,'面板-景气指数'!$A$37:$A$242,0),MATCH('面板-总览'!T$2,'面板-景气指数'!$36:$36,0))</f>
        <v>0.35680000000000006</v>
      </c>
      <c r="U85" s="6">
        <f>INDEX('面板-景气指数'!$37:$242,MATCH('面板-总览'!$R85,'面板-景气指数'!$A$37:$A$242,0),MATCH('面板-总览'!U$2,'面板-景气指数'!$36:$36,0))</f>
        <v>0.32760000000000006</v>
      </c>
      <c r="V85" s="6">
        <f>INDEX('面板-景气指数'!$37:$242,MATCH('面板-总览'!$R85,'面板-景气指数'!$A$37:$A$242,0),MATCH('面板-总览'!V$2,'面板-景气指数'!$36:$36,0))</f>
        <v>0.33279999999999993</v>
      </c>
      <c r="W85" s="6">
        <f>INDEX('面板-景气指数'!$37:$242,MATCH('面板-总览'!$R85,'面板-景气指数'!$A$37:$A$242,0),MATCH('面板-总览'!W$2,'面板-景气指数'!$36:$36,0))</f>
        <v>0.64379999999999971</v>
      </c>
      <c r="X85" s="6">
        <f>INDEX('面板-景气指数'!$37:$242,MATCH('面板-总览'!$R85,'面板-景气指数'!$A$37:$A$242,0),MATCH('面板-总览'!X$2,'面板-景气指数'!$36:$36,0))</f>
        <v>0.66299999999999981</v>
      </c>
      <c r="Y85" s="6">
        <f>INDEX('面板-景气指数'!$37:$242,MATCH('面板-总览'!$R85,'面板-景气指数'!$A$37:$A$242,0),MATCH('面板-总览'!Y$2,'面板-景气指数'!$36:$36,0))</f>
        <v>0.75679999999999981</v>
      </c>
      <c r="Z85" s="6">
        <f>INDEX('面板-景气指数'!$37:$242,MATCH('面板-总览'!$R85,'面板-景气指数'!$A$37:$A$242,0),MATCH('面板-总览'!Z$2,'面板-景气指数'!$36:$36,0))</f>
        <v>0.73579999999999979</v>
      </c>
      <c r="AA85" s="6">
        <f>INDEX('面板-景气指数'!$37:$242,MATCH('面板-总览'!$R85,'面板-景气指数'!$A$37:$A$242,0),MATCH('面板-总览'!AA$2,'面板-景气指数'!$36:$36,0))</f>
        <v>0.70679999999999987</v>
      </c>
      <c r="AB85" s="6">
        <f>INDEX('面板-景气指数'!$37:$242,MATCH('面板-总览'!$R85,'面板-景气指数'!$A$37:$A$242,0),MATCH('面板-总览'!AB$2,'面板-景气指数'!$36:$36,0))</f>
        <v>0.72839999999999994</v>
      </c>
      <c r="AC85" s="6">
        <f>INDEX('面板-景气指数'!$37:$242,MATCH('面板-总览'!$R85,'面板-景气指数'!$A$37:$A$242,0),MATCH('面板-总览'!AC$2,'面板-景气指数'!$36:$36,0))</f>
        <v>0.74959999999999993</v>
      </c>
      <c r="AD85" s="6">
        <f>INDEX('面板-景气指数'!$37:$242,MATCH('面板-总览'!$R85,'面板-景气指数'!$A$37:$A$242,0),MATCH('面板-总览'!AD$2,'面板-景气指数'!$36:$36,0))</f>
        <v>0.73859999999999992</v>
      </c>
      <c r="AE85" s="6">
        <f>INDEX('面板-景气指数'!$37:$242,MATCH('面板-总览'!$R85,'面板-景气指数'!$A$37:$A$242,0),MATCH('面板-总览'!AE$2,'面板-景气指数'!$36:$36,0))</f>
        <v>0.69699999999999995</v>
      </c>
      <c r="AG85" s="11">
        <f t="shared" si="3"/>
        <v>-3.1399999999999983E-2</v>
      </c>
    </row>
    <row r="86" spans="18:33" ht="21" customHeight="1" x14ac:dyDescent="0.2">
      <c r="R86" s="5" t="s">
        <v>184</v>
      </c>
      <c r="S86" s="6">
        <f>INDEX('面板-景气指数'!$37:$242,MATCH('面板-总览'!$R86,'面板-景气指数'!$A$37:$A$242,0),MATCH('面板-总览'!S$2,'面板-景气指数'!$36:$36,0))</f>
        <v>0.70587500000000025</v>
      </c>
      <c r="T86" s="6">
        <f>INDEX('面板-景气指数'!$37:$242,MATCH('面板-总览'!$R86,'面板-景气指数'!$A$37:$A$242,0),MATCH('面板-总览'!T$2,'面板-景气指数'!$36:$36,0))</f>
        <v>0.8317500000000001</v>
      </c>
      <c r="U86" s="6">
        <f>INDEX('面板-景气指数'!$37:$242,MATCH('面板-总览'!$R86,'面板-景气指数'!$A$37:$A$242,0),MATCH('面板-总览'!U$2,'面板-景气指数'!$36:$36,0))</f>
        <v>0.7586250000000001</v>
      </c>
      <c r="V86" s="6">
        <f>INDEX('面板-景气指数'!$37:$242,MATCH('面板-总览'!$R86,'面板-景气指数'!$A$37:$A$242,0),MATCH('面板-总览'!V$2,'面板-景气指数'!$36:$36,0))</f>
        <v>0.69349999999999989</v>
      </c>
      <c r="W86" s="6">
        <f>INDEX('面板-景气指数'!$37:$242,MATCH('面板-总览'!$R86,'面板-景气指数'!$A$37:$A$242,0),MATCH('面板-总览'!W$2,'面板-景气指数'!$36:$36,0))</f>
        <v>0.5588749999999999</v>
      </c>
      <c r="X86" s="6">
        <f>INDEX('面板-景气指数'!$37:$242,MATCH('面板-总览'!$R86,'面板-景气指数'!$A$37:$A$242,0),MATCH('面板-总览'!X$2,'面板-景气指数'!$36:$36,0))</f>
        <v>0.61449999999999994</v>
      </c>
      <c r="Y86" s="6">
        <f>INDEX('面板-景气指数'!$37:$242,MATCH('面板-总览'!$R86,'面板-景气指数'!$A$37:$A$242,0),MATCH('面板-总览'!Y$2,'面板-景气指数'!$36:$36,0))</f>
        <v>0.57625000000000004</v>
      </c>
      <c r="Z86" s="6">
        <f>INDEX('面板-景气指数'!$37:$242,MATCH('面板-总览'!$R86,'面板-景气指数'!$A$37:$A$242,0),MATCH('面板-总览'!Z$2,'面板-景气指数'!$36:$36,0))</f>
        <v>0.66662500000000002</v>
      </c>
      <c r="AA86" s="6">
        <f>INDEX('面板-景气指数'!$37:$242,MATCH('面板-总览'!$R86,'面板-景气指数'!$A$37:$A$242,0),MATCH('面板-总览'!AA$2,'面板-景气指数'!$36:$36,0))</f>
        <v>0.74187500000000006</v>
      </c>
      <c r="AB86" s="6">
        <f>INDEX('面板-景气指数'!$37:$242,MATCH('面板-总览'!$R86,'面板-景气指数'!$A$37:$A$242,0),MATCH('面板-总览'!AB$2,'面板-景气指数'!$36:$36,0))</f>
        <v>0.71750000000000014</v>
      </c>
      <c r="AC86" s="6">
        <f>INDEX('面板-景气指数'!$37:$242,MATCH('面板-总览'!$R86,'面板-景气指数'!$A$37:$A$242,0),MATCH('面板-总览'!AC$2,'面板-景气指数'!$36:$36,0))</f>
        <v>0.56900000000000006</v>
      </c>
      <c r="AD86" s="6">
        <f>INDEX('面板-景气指数'!$37:$242,MATCH('面板-总览'!$R86,'面板-景气指数'!$A$37:$A$242,0),MATCH('面板-总览'!AD$2,'面板-景气指数'!$36:$36,0))</f>
        <v>0.2521250000000001</v>
      </c>
      <c r="AE86" s="6">
        <f>INDEX('面板-景气指数'!$37:$242,MATCH('面板-总览'!$R86,'面板-景气指数'!$A$37:$A$242,0),MATCH('面板-总览'!AE$2,'面板-景气指数'!$36:$36,0))</f>
        <v>8.0125000000000002E-2</v>
      </c>
      <c r="AG86" s="11">
        <f t="shared" si="3"/>
        <v>-0.63737500000000014</v>
      </c>
    </row>
    <row r="87" spans="18:33" ht="21" customHeight="1" x14ac:dyDescent="0.2">
      <c r="R87" s="5" t="s">
        <v>185</v>
      </c>
      <c r="S87" s="6">
        <f>INDEX('面板-景气指数'!$37:$242,MATCH('面板-总览'!$R87,'面板-景气指数'!$A$37:$A$242,0),MATCH('面板-总览'!S$2,'面板-景气指数'!$36:$36,0))</f>
        <v>0.84599999999999997</v>
      </c>
      <c r="T87" s="6">
        <f>INDEX('面板-景气指数'!$37:$242,MATCH('面板-总览'!$R87,'面板-景气指数'!$A$37:$A$242,0),MATCH('面板-总览'!T$2,'面板-景气指数'!$36:$36,0))</f>
        <v>0.82599999999999996</v>
      </c>
      <c r="U87" s="6">
        <f>INDEX('面板-景气指数'!$37:$242,MATCH('面板-总览'!$R87,'面板-景气指数'!$A$37:$A$242,0),MATCH('面板-总览'!U$2,'面板-景气指数'!$36:$36,0))</f>
        <v>0.77500000000000002</v>
      </c>
      <c r="V87" s="6">
        <f>INDEX('面板-景气指数'!$37:$242,MATCH('面板-总览'!$R87,'面板-景气指数'!$A$37:$A$242,0),MATCH('面板-总览'!V$2,'面板-景气指数'!$36:$36,0))</f>
        <v>0.72399999999999998</v>
      </c>
      <c r="W87" s="6">
        <f>INDEX('面板-景气指数'!$37:$242,MATCH('面板-总览'!$R87,'面板-景气指数'!$A$37:$A$242,0),MATCH('面板-总览'!W$2,'面板-景气指数'!$36:$36,0))</f>
        <v>0.73399999999999999</v>
      </c>
      <c r="X87" s="6">
        <f>INDEX('面板-景气指数'!$37:$242,MATCH('面板-总览'!$R87,'面板-景气指数'!$A$37:$A$242,0),MATCH('面板-总览'!X$2,'面板-景气指数'!$36:$36,0))</f>
        <v>0.755</v>
      </c>
      <c r="Y87" s="6">
        <f>INDEX('面板-景气指数'!$37:$242,MATCH('面板-总览'!$R87,'面板-景气指数'!$A$37:$A$242,0),MATCH('面板-总览'!Y$2,'面板-景气指数'!$36:$36,0))</f>
        <v>0.74399999999999999</v>
      </c>
      <c r="Z87" s="6">
        <f>INDEX('面板-景气指数'!$37:$242,MATCH('面板-总览'!$R87,'面板-景气指数'!$A$37:$A$242,0),MATCH('面板-总览'!Z$2,'面板-景气指数'!$36:$36,0))</f>
        <v>0.70399999999999996</v>
      </c>
      <c r="AA87" s="6">
        <f>INDEX('面板-景气指数'!$37:$242,MATCH('面板-总览'!$R87,'面板-景气指数'!$A$37:$A$242,0),MATCH('面板-总览'!AA$2,'面板-景气指数'!$36:$36,0))</f>
        <v>0.64200000000000002</v>
      </c>
      <c r="AB87" s="6">
        <f>INDEX('面板-景气指数'!$37:$242,MATCH('面板-总览'!$R87,'面板-景气指数'!$A$37:$A$242,0),MATCH('面板-总览'!AB$2,'面板-景气指数'!$36:$36,0))</f>
        <v>0.56100000000000005</v>
      </c>
      <c r="AC87" s="6">
        <f>INDEX('面板-景气指数'!$37:$242,MATCH('面板-总览'!$R87,'面板-景气指数'!$A$37:$A$242,0),MATCH('面板-总览'!AC$2,'面板-景气指数'!$36:$36,0))</f>
        <v>0.51</v>
      </c>
      <c r="AD87" s="6">
        <f>INDEX('面板-景气指数'!$37:$242,MATCH('面板-总览'!$R87,'面板-景气指数'!$A$37:$A$242,0),MATCH('面板-总览'!AD$2,'面板-景气指数'!$36:$36,0))</f>
        <v>0.42799999999999999</v>
      </c>
      <c r="AE87" s="6">
        <f>INDEX('面板-景气指数'!$37:$242,MATCH('面板-总览'!$R87,'面板-景气指数'!$A$37:$A$242,0),MATCH('面板-总览'!AE$2,'面板-景气指数'!$36:$36,0))</f>
        <v>0.44800000000000001</v>
      </c>
      <c r="AG87" s="11">
        <f t="shared" si="3"/>
        <v>-0.11300000000000004</v>
      </c>
    </row>
    <row r="88" spans="18:33" ht="21" customHeight="1" x14ac:dyDescent="0.2">
      <c r="R88" s="5" t="s">
        <v>186</v>
      </c>
      <c r="S88" s="6">
        <f>INDEX('面板-景气指数'!$37:$242,MATCH('面板-总览'!$R88,'面板-景气指数'!$A$37:$A$242,0),MATCH('面板-总览'!S$2,'面板-景气指数'!$36:$36,0))</f>
        <v>0.51350000000000007</v>
      </c>
      <c r="T88" s="6">
        <f>INDEX('面板-景气指数'!$37:$242,MATCH('面板-总览'!$R88,'面板-景气指数'!$A$37:$A$242,0),MATCH('面板-总览'!T$2,'面板-景气指数'!$36:$36,0))</f>
        <v>0.48699999999999999</v>
      </c>
      <c r="U88" s="6">
        <f>INDEX('面板-景气指数'!$37:$242,MATCH('面板-总览'!$R88,'面板-景气指数'!$A$37:$A$242,0),MATCH('面板-总览'!U$2,'面板-景气指数'!$36:$36,0))</f>
        <v>0.47649999999999998</v>
      </c>
      <c r="V88" s="6">
        <f>INDEX('面板-景气指数'!$37:$242,MATCH('面板-总览'!$R88,'面板-景气指数'!$A$37:$A$242,0),MATCH('面板-总览'!V$2,'面板-景气指数'!$36:$36,0))</f>
        <v>0.49100000000000005</v>
      </c>
      <c r="W88" s="6">
        <f>INDEX('面板-景气指数'!$37:$242,MATCH('面板-总览'!$R88,'面板-景气指数'!$A$37:$A$242,0),MATCH('面板-总览'!W$2,'面板-景气指数'!$36:$36,0))</f>
        <v>0.4955</v>
      </c>
      <c r="X88" s="6">
        <f>INDEX('面板-景气指数'!$37:$242,MATCH('面板-总览'!$R88,'面板-景气指数'!$A$37:$A$242,0),MATCH('面板-总览'!X$2,'面板-景气指数'!$36:$36,0))</f>
        <v>0.5</v>
      </c>
      <c r="Y88" s="6">
        <f>INDEX('面板-景气指数'!$37:$242,MATCH('面板-总览'!$R88,'面板-景气指数'!$A$37:$A$242,0),MATCH('面板-总览'!Y$2,'面板-景气指数'!$36:$36,0))</f>
        <v>0.49900000000000005</v>
      </c>
      <c r="Z88" s="6">
        <f>INDEX('面板-景气指数'!$37:$242,MATCH('面板-总览'!$R88,'面板-景气指数'!$A$37:$A$242,0),MATCH('面板-总览'!Z$2,'面板-景气指数'!$36:$36,0))</f>
        <v>0.49850000000000005</v>
      </c>
      <c r="AA88" s="6">
        <f>INDEX('面板-景气指数'!$37:$242,MATCH('面板-总览'!$R88,'面板-景气指数'!$A$37:$A$242,0),MATCH('面板-总览'!AA$2,'面板-景气指数'!$36:$36,0))</f>
        <v>0.5</v>
      </c>
      <c r="AB88" s="6">
        <f>INDEX('面板-景气指数'!$37:$242,MATCH('面板-总览'!$R88,'面板-景气指数'!$A$37:$A$242,0),MATCH('面板-总览'!AB$2,'面板-景气指数'!$36:$36,0))</f>
        <v>0.5</v>
      </c>
      <c r="AC88" s="6">
        <f>INDEX('面板-景气指数'!$37:$242,MATCH('面板-总览'!$R88,'面板-景气指数'!$A$37:$A$242,0),MATCH('面板-总览'!AC$2,'面板-景气指数'!$36:$36,0))</f>
        <v>0.5</v>
      </c>
      <c r="AD88" s="6">
        <f>INDEX('面板-景气指数'!$37:$242,MATCH('面板-总览'!$R88,'面板-景气指数'!$A$37:$A$242,0),MATCH('面板-总览'!AD$2,'面板-景气指数'!$36:$36,0))</f>
        <v>0.5</v>
      </c>
      <c r="AE88" s="6">
        <f>INDEX('面板-景气指数'!$37:$242,MATCH('面板-总览'!$R88,'面板-景气指数'!$A$37:$A$242,0),MATCH('面板-总览'!AE$2,'面板-景气指数'!$36:$36,0))</f>
        <v>0.5</v>
      </c>
      <c r="AG88" s="11">
        <f t="shared" si="3"/>
        <v>0</v>
      </c>
    </row>
    <row r="89" spans="18:33" ht="21" customHeight="1" x14ac:dyDescent="0.2">
      <c r="R89" s="5" t="s">
        <v>187</v>
      </c>
      <c r="S89" s="6">
        <f>INDEX('面板-景气指数'!$37:$242,MATCH('面板-总览'!$R89,'面板-景气指数'!$A$37:$A$242,0),MATCH('面板-总览'!S$2,'面板-景气指数'!$36:$36,0))</f>
        <v>0.54349999999999998</v>
      </c>
      <c r="T89" s="6">
        <f>INDEX('面板-景气指数'!$37:$242,MATCH('面板-总览'!$R89,'面板-景气指数'!$A$37:$A$242,0),MATCH('面板-总览'!T$2,'面板-景气指数'!$36:$36,0))</f>
        <v>0.55299999999999994</v>
      </c>
      <c r="U89" s="6">
        <f>INDEX('面板-景气指数'!$37:$242,MATCH('面板-总览'!$R89,'面板-景气指数'!$A$37:$A$242,0),MATCH('面板-总览'!U$2,'面板-景气指数'!$36:$36,0))</f>
        <v>0.5575</v>
      </c>
      <c r="V89" s="6">
        <f>INDEX('面板-景气指数'!$37:$242,MATCH('面板-总览'!$R89,'面板-景气指数'!$A$37:$A$242,0),MATCH('面板-总览'!V$2,'面板-景气指数'!$36:$36,0))</f>
        <v>0.5465000000000001</v>
      </c>
      <c r="W89" s="6">
        <f>INDEX('面板-景气指数'!$37:$242,MATCH('面板-总览'!$R89,'面板-景气指数'!$A$37:$A$242,0),MATCH('面板-总览'!W$2,'面板-景气指数'!$36:$36,0))</f>
        <v>0.52449999999999997</v>
      </c>
      <c r="X89" s="6">
        <f>INDEX('面板-景气指数'!$37:$242,MATCH('面板-总览'!$R89,'面板-景气指数'!$A$37:$A$242,0),MATCH('面板-总览'!X$2,'面板-景气指数'!$36:$36,0))</f>
        <v>0.51350000000000007</v>
      </c>
      <c r="Y89" s="6">
        <f>INDEX('面板-景气指数'!$37:$242,MATCH('面板-总览'!$R89,'面板-景气指数'!$A$37:$A$242,0),MATCH('面板-总览'!Y$2,'面板-景气指数'!$36:$36,0))</f>
        <v>0.52150000000000007</v>
      </c>
      <c r="Z89" s="6">
        <f>INDEX('面板-景气指数'!$37:$242,MATCH('面板-总览'!$R89,'面板-景气指数'!$A$37:$A$242,0),MATCH('面板-总览'!Z$2,'面板-景气指数'!$36:$36,0))</f>
        <v>0.50900000000000001</v>
      </c>
      <c r="AA89" s="6">
        <f>INDEX('面板-景气指数'!$37:$242,MATCH('面板-总览'!$R89,'面板-景气指数'!$A$37:$A$242,0),MATCH('面板-总览'!AA$2,'面板-景气指数'!$36:$36,0))</f>
        <v>0.5</v>
      </c>
      <c r="AB89" s="6">
        <f>INDEX('面板-景气指数'!$37:$242,MATCH('面板-总览'!$R89,'面板-景气指数'!$A$37:$A$242,0),MATCH('面板-总览'!AB$2,'面板-景气指数'!$36:$36,0))</f>
        <v>0.5</v>
      </c>
      <c r="AC89" s="6">
        <f>INDEX('面板-景气指数'!$37:$242,MATCH('面板-总览'!$R89,'面板-景气指数'!$A$37:$A$242,0),MATCH('面板-总览'!AC$2,'面板-景气指数'!$36:$36,0))</f>
        <v>0.5</v>
      </c>
      <c r="AD89" s="6">
        <f>INDEX('面板-景气指数'!$37:$242,MATCH('面板-总览'!$R89,'面板-景气指数'!$A$37:$A$242,0),MATCH('面板-总览'!AD$2,'面板-景气指数'!$36:$36,0))</f>
        <v>0.5</v>
      </c>
      <c r="AE89" s="6">
        <f>INDEX('面板-景气指数'!$37:$242,MATCH('面板-总览'!$R89,'面板-景气指数'!$A$37:$A$242,0),MATCH('面板-总览'!AE$2,'面板-景气指数'!$36:$36,0))</f>
        <v>0.5</v>
      </c>
      <c r="AG89" s="11">
        <f t="shared" si="3"/>
        <v>0</v>
      </c>
    </row>
    <row r="90" spans="18:33" ht="21" customHeight="1" x14ac:dyDescent="0.2">
      <c r="R90" s="5" t="s">
        <v>188</v>
      </c>
      <c r="S90" s="6">
        <f>INDEX('面板-景气指数'!$37:$242,MATCH('面板-总览'!$R90,'面板-景气指数'!$A$37:$A$242,0),MATCH('面板-总览'!S$2,'面板-景气指数'!$36:$36,0))</f>
        <v>0.22700000000000001</v>
      </c>
      <c r="T90" s="6">
        <f>INDEX('面板-景气指数'!$37:$242,MATCH('面板-总览'!$R90,'面板-景气指数'!$A$37:$A$242,0),MATCH('面板-总览'!T$2,'面板-景气指数'!$36:$36,0))</f>
        <v>0.23799999999999999</v>
      </c>
      <c r="U90" s="6">
        <f>INDEX('面板-景气指数'!$37:$242,MATCH('面板-总览'!$R90,'面板-景气指数'!$A$37:$A$242,0),MATCH('面板-总览'!U$2,'面板-景气指数'!$36:$36,0))</f>
        <v>0.249</v>
      </c>
      <c r="V90" s="6">
        <f>INDEX('面板-景气指数'!$37:$242,MATCH('面板-总览'!$R90,'面板-景气指数'!$A$37:$A$242,0),MATCH('面板-总览'!V$2,'面板-景气指数'!$36:$36,0))</f>
        <v>0.2</v>
      </c>
      <c r="W90" s="6">
        <f>INDEX('面板-景气指数'!$37:$242,MATCH('面板-总览'!$R90,'面板-景气指数'!$A$37:$A$242,0),MATCH('面板-总览'!W$2,'面板-景气指数'!$36:$36,0))</f>
        <v>0.18450000000000003</v>
      </c>
      <c r="X90" s="6">
        <f>INDEX('面板-景气指数'!$37:$242,MATCH('面板-总览'!$R90,'面板-景气指数'!$A$37:$A$242,0),MATCH('面板-总览'!X$2,'面板-景气指数'!$36:$36,0))</f>
        <v>0.16850000000000001</v>
      </c>
      <c r="Y90" s="6">
        <f>INDEX('面板-景气指数'!$37:$242,MATCH('面板-总览'!$R90,'面板-景气指数'!$A$37:$A$242,0),MATCH('面板-总览'!Y$2,'面板-景气指数'!$36:$36,0))</f>
        <v>0.27449999999999997</v>
      </c>
      <c r="Z90" s="6">
        <f>INDEX('面板-景气指数'!$37:$242,MATCH('面板-总览'!$R90,'面板-景气指数'!$A$37:$A$242,0),MATCH('面板-总览'!Z$2,'面板-景气指数'!$36:$36,0))</f>
        <v>0.32500000000000007</v>
      </c>
      <c r="AA90" s="6">
        <f>INDEX('面板-景气指数'!$37:$242,MATCH('面板-总览'!$R90,'面板-景气指数'!$A$37:$A$242,0),MATCH('面板-总览'!AA$2,'面板-景气指数'!$36:$36,0))</f>
        <v>0.32700000000000001</v>
      </c>
      <c r="AB90" s="6">
        <f>INDEX('面板-景气指数'!$37:$242,MATCH('面板-总览'!$R90,'面板-景气指数'!$A$37:$A$242,0),MATCH('面板-总览'!AB$2,'面板-景气指数'!$36:$36,0))</f>
        <v>0.33250000000000002</v>
      </c>
      <c r="AC90" s="6">
        <f>INDEX('面板-景气指数'!$37:$242,MATCH('面板-总览'!$R90,'面板-景气指数'!$A$37:$A$242,0),MATCH('面板-总览'!AC$2,'面板-景气指数'!$36:$36,0))</f>
        <v>0.33250000000000002</v>
      </c>
      <c r="AD90" s="6">
        <f>INDEX('面板-景气指数'!$37:$242,MATCH('面板-总览'!$R90,'面板-景气指数'!$A$37:$A$242,0),MATCH('面板-总览'!AD$2,'面板-景气指数'!$36:$36,0))</f>
        <v>0.33250000000000002</v>
      </c>
      <c r="AE90" s="6">
        <f>INDEX('面板-景气指数'!$37:$242,MATCH('面板-总览'!$R90,'面板-景气指数'!$A$37:$A$242,0),MATCH('面板-总览'!AE$2,'面板-景气指数'!$36:$36,0))</f>
        <v>0.33250000000000002</v>
      </c>
      <c r="AG90" s="11">
        <f t="shared" si="3"/>
        <v>0</v>
      </c>
    </row>
    <row r="91" spans="18:33" ht="21" customHeight="1" x14ac:dyDescent="0.2">
      <c r="R91" s="5" t="s">
        <v>189</v>
      </c>
      <c r="S91" s="6">
        <f>INDEX('面板-景气指数'!$37:$242,MATCH('面板-总览'!$R91,'面板-景气指数'!$A$37:$A$242,0),MATCH('面板-总览'!S$2,'面板-景气指数'!$36:$36,0))</f>
        <v>0.34249999999999997</v>
      </c>
      <c r="T91" s="6">
        <f>INDEX('面板-景气指数'!$37:$242,MATCH('面板-总览'!$R91,'面板-景气指数'!$A$37:$A$242,0),MATCH('面板-总览'!T$2,'面板-景气指数'!$36:$36,0))</f>
        <v>0.33850000000000002</v>
      </c>
      <c r="U91" s="6">
        <f>INDEX('面板-景气指数'!$37:$242,MATCH('面板-总览'!$R91,'面板-景气指数'!$A$37:$A$242,0),MATCH('面板-总览'!U$2,'面板-景气指数'!$36:$36,0))</f>
        <v>0.33850000000000002</v>
      </c>
      <c r="V91" s="6">
        <f>INDEX('面板-景气指数'!$37:$242,MATCH('面板-总览'!$R91,'面板-景气指数'!$A$37:$A$242,0),MATCH('面板-总览'!V$2,'面板-景气指数'!$36:$36,0))</f>
        <v>0.39050000000000001</v>
      </c>
      <c r="W91" s="6">
        <f>INDEX('面板-景气指数'!$37:$242,MATCH('面板-总览'!$R91,'面板-景气指数'!$A$37:$A$242,0),MATCH('面板-总览'!W$2,'面板-景气指数'!$36:$36,0))</f>
        <v>0.40150000000000002</v>
      </c>
      <c r="X91" s="6">
        <f>INDEX('面板-景气指数'!$37:$242,MATCH('面板-总览'!$R91,'面板-景气指数'!$A$37:$A$242,0),MATCH('面板-总览'!X$2,'面板-景气指数'!$36:$36,0))</f>
        <v>0.41750000000000004</v>
      </c>
      <c r="Y91" s="6">
        <f>INDEX('面板-景气指数'!$37:$242,MATCH('面板-总览'!$R91,'面板-景气指数'!$A$37:$A$242,0),MATCH('面板-总览'!Y$2,'面板-景气指数'!$36:$36,0))</f>
        <v>0.38250000000000001</v>
      </c>
      <c r="Z91" s="6">
        <f>INDEX('面板-景气指数'!$37:$242,MATCH('面板-总览'!$R91,'面板-景气指数'!$A$37:$A$242,0),MATCH('面板-总览'!Z$2,'面板-景气指数'!$36:$36,0))</f>
        <v>0.34250000000000003</v>
      </c>
      <c r="AA91" s="6">
        <f>INDEX('面板-景气指数'!$37:$242,MATCH('面板-总览'!$R91,'面板-景气指数'!$A$37:$A$242,0),MATCH('面板-总览'!AA$2,'面板-景气指数'!$36:$36,0))</f>
        <v>0.32250000000000001</v>
      </c>
      <c r="AB91" s="6">
        <f>INDEX('面板-景气指数'!$37:$242,MATCH('面板-总览'!$R91,'面板-景气指数'!$A$37:$A$242,0),MATCH('面板-总览'!AB$2,'面板-景气指数'!$36:$36,0))</f>
        <v>0.32250000000000001</v>
      </c>
      <c r="AC91" s="6">
        <f>INDEX('面板-景气指数'!$37:$242,MATCH('面板-总览'!$R91,'面板-景气指数'!$A$37:$A$242,0),MATCH('面板-总览'!AC$2,'面板-景气指数'!$36:$36,0))</f>
        <v>0.32250000000000001</v>
      </c>
      <c r="AD91" s="6">
        <f>INDEX('面板-景气指数'!$37:$242,MATCH('面板-总览'!$R91,'面板-景气指数'!$A$37:$A$242,0),MATCH('面板-总览'!AD$2,'面板-景气指数'!$36:$36,0))</f>
        <v>0.32250000000000001</v>
      </c>
      <c r="AE91" s="6">
        <f>INDEX('面板-景气指数'!$37:$242,MATCH('面板-总览'!$R91,'面板-景气指数'!$A$37:$A$242,0),MATCH('面板-总览'!AE$2,'面板-景气指数'!$36:$36,0))</f>
        <v>0.32250000000000001</v>
      </c>
      <c r="AG91" s="11">
        <f t="shared" si="3"/>
        <v>0</v>
      </c>
    </row>
    <row r="92" spans="18:33" ht="21" customHeight="1" x14ac:dyDescent="0.2">
      <c r="R92" s="5" t="s">
        <v>190</v>
      </c>
      <c r="S92" s="6">
        <f>INDEX('面板-景气指数'!$37:$242,MATCH('面板-总览'!$R92,'面板-景气指数'!$A$37:$A$242,0),MATCH('面板-总览'!S$2,'面板-景气指数'!$36:$36,0))</f>
        <v>0.46279999999999993</v>
      </c>
      <c r="T92" s="6">
        <f>INDEX('面板-景气指数'!$37:$242,MATCH('面板-总览'!$R92,'面板-景气指数'!$A$37:$A$242,0),MATCH('面板-总览'!T$2,'面板-景气指数'!$36:$36,0))</f>
        <v>0.54039999999999999</v>
      </c>
      <c r="U92" s="6">
        <f>INDEX('面板-景气指数'!$37:$242,MATCH('面板-总览'!$R92,'面板-景气指数'!$A$37:$A$242,0),MATCH('面板-总览'!U$2,'面板-景气指数'!$36:$36,0))</f>
        <v>0.55280000000000007</v>
      </c>
      <c r="V92" s="6">
        <f>INDEX('面板-景气指数'!$37:$242,MATCH('面板-总览'!$R92,'面板-景气指数'!$A$37:$A$242,0),MATCH('面板-总览'!V$2,'面板-景气指数'!$36:$36,0))</f>
        <v>0.5504</v>
      </c>
      <c r="W92" s="6">
        <f>INDEX('面板-景气指数'!$37:$242,MATCH('面板-总览'!$R92,'面板-景气指数'!$A$37:$A$242,0),MATCH('面板-总览'!W$2,'面板-景气指数'!$36:$36,0))</f>
        <v>0.47920000000000001</v>
      </c>
      <c r="X92" s="6">
        <f>INDEX('面板-景气指数'!$37:$242,MATCH('面板-总览'!$R92,'面板-景气指数'!$A$37:$A$242,0),MATCH('面板-总览'!X$2,'面板-景气指数'!$36:$36,0))</f>
        <v>0.48940000000000006</v>
      </c>
      <c r="Y92" s="6">
        <f>INDEX('面板-景气指数'!$37:$242,MATCH('面板-总览'!$R92,'面板-景气指数'!$A$37:$A$242,0),MATCH('面板-总览'!Y$2,'面板-景气指数'!$36:$36,0))</f>
        <v>0.45639999999999997</v>
      </c>
      <c r="Z92" s="6">
        <f>INDEX('面板-景气指数'!$37:$242,MATCH('面板-总览'!$R92,'面板-景气指数'!$A$37:$A$242,0),MATCH('面板-总览'!Z$2,'面板-景气指数'!$36:$36,0))</f>
        <v>0.45239999999999997</v>
      </c>
      <c r="AA92" s="6">
        <f>INDEX('面板-景气指数'!$37:$242,MATCH('面板-总览'!$R92,'面板-景气指数'!$A$37:$A$242,0),MATCH('面板-总览'!AA$2,'面板-景气指数'!$36:$36,0))</f>
        <v>0.4526</v>
      </c>
      <c r="AB92" s="6">
        <f>INDEX('面板-景气指数'!$37:$242,MATCH('面板-总览'!$R92,'面板-景气指数'!$A$37:$A$242,0),MATCH('面板-总览'!AB$2,'面板-景气指数'!$36:$36,0))</f>
        <v>0.36899999999999999</v>
      </c>
      <c r="AC92" s="6">
        <f>INDEX('面板-景气指数'!$37:$242,MATCH('面板-总览'!$R92,'面板-景气指数'!$A$37:$A$242,0),MATCH('面板-总览'!AC$2,'面板-景气指数'!$36:$36,0))</f>
        <v>0.41359999999999997</v>
      </c>
      <c r="AD92" s="6">
        <f>INDEX('面板-景气指数'!$37:$242,MATCH('面板-总览'!$R92,'面板-景气指数'!$A$37:$A$242,0),MATCH('面板-总览'!AD$2,'面板-景气指数'!$36:$36,0))</f>
        <v>0.38140000000000002</v>
      </c>
      <c r="AE92" s="6">
        <f>INDEX('面板-景气指数'!$37:$242,MATCH('面板-总览'!$R92,'面板-景气指数'!$A$37:$A$242,0),MATCH('面板-总览'!AE$2,'面板-景气指数'!$36:$36,0))</f>
        <v>0.40579999999999994</v>
      </c>
      <c r="AG92" s="11">
        <f t="shared" si="3"/>
        <v>3.6799999999999944E-2</v>
      </c>
    </row>
    <row r="93" spans="18:33" ht="21" customHeight="1" x14ac:dyDescent="0.2">
      <c r="R93" s="5" t="s">
        <v>191</v>
      </c>
      <c r="S93" s="6">
        <f>INDEX('面板-景气指数'!$37:$242,MATCH('面板-总览'!$R93,'面板-景气指数'!$A$37:$A$242,0),MATCH('面板-总览'!S$2,'面板-景气指数'!$36:$36,0))</f>
        <v>0.50587500000000007</v>
      </c>
      <c r="T93" s="6">
        <f>INDEX('面板-景气指数'!$37:$242,MATCH('面板-总览'!$R93,'面板-景气指数'!$A$37:$A$242,0),MATCH('面板-总览'!T$2,'面板-景气指数'!$36:$36,0))</f>
        <v>0.55075000000000007</v>
      </c>
      <c r="U93" s="6">
        <f>INDEX('面板-景气指数'!$37:$242,MATCH('面板-总览'!$R93,'面板-景气指数'!$A$37:$A$242,0),MATCH('面板-总览'!U$2,'面板-景气指数'!$36:$36,0))</f>
        <v>0.59900000000000009</v>
      </c>
      <c r="V93" s="6">
        <f>INDEX('面板-景气指数'!$37:$242,MATCH('面板-总览'!$R93,'面板-景气指数'!$A$37:$A$242,0),MATCH('面板-总览'!V$2,'面板-景气指数'!$36:$36,0))</f>
        <v>0.61537500000000001</v>
      </c>
      <c r="W93" s="6">
        <f>INDEX('面板-景气指数'!$37:$242,MATCH('面板-总览'!$R93,'面板-景气指数'!$A$37:$A$242,0),MATCH('面板-总览'!W$2,'面板-景气指数'!$36:$36,0))</f>
        <v>0.614375</v>
      </c>
      <c r="X93" s="6">
        <f>INDEX('面板-景气指数'!$37:$242,MATCH('面板-总览'!$R93,'面板-景气指数'!$A$37:$A$242,0),MATCH('面板-总览'!X$2,'面板-景气指数'!$36:$36,0))</f>
        <v>0.59362500000000007</v>
      </c>
      <c r="Y93" s="6">
        <f>INDEX('面板-景气指数'!$37:$242,MATCH('面板-总览'!$R93,'面板-景气指数'!$A$37:$A$242,0),MATCH('面板-总览'!Y$2,'面板-景气指数'!$36:$36,0))</f>
        <v>0.5392499999999999</v>
      </c>
      <c r="Z93" s="6">
        <f>INDEX('面板-景气指数'!$37:$242,MATCH('面板-总览'!$R93,'面板-景气指数'!$A$37:$A$242,0),MATCH('面板-总览'!Z$2,'面板-景气指数'!$36:$36,0))</f>
        <v>0.51624999999999988</v>
      </c>
      <c r="AA93" s="6">
        <f>INDEX('面板-景气指数'!$37:$242,MATCH('面板-总览'!$R93,'面板-景气指数'!$A$37:$A$242,0),MATCH('面板-总览'!AA$2,'面板-景气指数'!$36:$36,0))</f>
        <v>0.48149999999999998</v>
      </c>
      <c r="AB93" s="6">
        <f>INDEX('面板-景气指数'!$37:$242,MATCH('面板-总览'!$R93,'面板-景气指数'!$A$37:$A$242,0),MATCH('面板-总览'!AB$2,'面板-景气指数'!$36:$36,0))</f>
        <v>0.50075000000000003</v>
      </c>
      <c r="AC93" s="6">
        <f>INDEX('面板-景气指数'!$37:$242,MATCH('面板-总览'!$R93,'面板-景气指数'!$A$37:$A$242,0),MATCH('面板-总览'!AC$2,'面板-景气指数'!$36:$36,0))</f>
        <v>0.50362499999999999</v>
      </c>
      <c r="AD93" s="6">
        <f>INDEX('面板-景气指数'!$37:$242,MATCH('面板-总览'!$R93,'面板-景气指数'!$A$37:$A$242,0),MATCH('面板-总览'!AD$2,'面板-景气指数'!$36:$36,0))</f>
        <v>0.50612500000000005</v>
      </c>
      <c r="AE93" s="6">
        <f>INDEX('面板-景气指数'!$37:$242,MATCH('面板-总览'!$R93,'面板-景气指数'!$A$37:$A$242,0),MATCH('面板-总览'!AE$2,'面板-景气指数'!$36:$36,0))</f>
        <v>0.48699999999999999</v>
      </c>
      <c r="AG93" s="11">
        <f t="shared" si="3"/>
        <v>-1.375000000000004E-2</v>
      </c>
    </row>
    <row r="94" spans="18:33" ht="21" customHeight="1" x14ac:dyDescent="0.2">
      <c r="R94" s="5" t="s">
        <v>192</v>
      </c>
      <c r="S94" s="6">
        <f>INDEX('面板-景气指数'!$37:$242,MATCH('面板-总览'!$R94,'面板-景气指数'!$A$37:$A$242,0),MATCH('面板-总览'!S$2,'面板-景气指数'!$36:$36,0))</f>
        <v>0.47800000000000009</v>
      </c>
      <c r="T94" s="6">
        <f>INDEX('面板-景气指数'!$37:$242,MATCH('面板-总览'!$R94,'面板-景气指数'!$A$37:$A$242,0),MATCH('面板-总览'!T$2,'面板-景气指数'!$36:$36,0))</f>
        <v>0.41149999999999992</v>
      </c>
      <c r="U94" s="6">
        <f>INDEX('面板-景气指数'!$37:$242,MATCH('面板-总览'!$R94,'面板-景气指数'!$A$37:$A$242,0),MATCH('面板-总览'!U$2,'面板-景气指数'!$36:$36,0))</f>
        <v>0.33224999999999988</v>
      </c>
      <c r="V94" s="6">
        <f>INDEX('面板-景气指数'!$37:$242,MATCH('面板-总览'!$R94,'面板-景气指数'!$A$37:$A$242,0),MATCH('面板-总览'!V$2,'面板-景气指数'!$36:$36,0))</f>
        <v>0.24049999999999988</v>
      </c>
      <c r="W94" s="6">
        <f>INDEX('面板-景气指数'!$37:$242,MATCH('面板-总览'!$R94,'面板-景气指数'!$A$37:$A$242,0),MATCH('面板-总览'!W$2,'面板-景气指数'!$36:$36,0))</f>
        <v>0.19737499999999994</v>
      </c>
      <c r="X94" s="6">
        <f>INDEX('面板-景气指数'!$37:$242,MATCH('面板-总览'!$R94,'面板-景气指数'!$A$37:$A$242,0),MATCH('面板-总览'!X$2,'面板-景气指数'!$36:$36,0))</f>
        <v>0.1974999999999999</v>
      </c>
      <c r="Y94" s="6">
        <f>INDEX('面板-景气指数'!$37:$242,MATCH('面板-总览'!$R94,'面板-景气指数'!$A$37:$A$242,0),MATCH('面板-总览'!Y$2,'面板-景气指数'!$36:$36,0))</f>
        <v>0.20087499999999989</v>
      </c>
      <c r="Z94" s="6">
        <f>INDEX('面板-景气指数'!$37:$242,MATCH('面板-总览'!$R94,'面板-景气指数'!$A$37:$A$242,0),MATCH('面板-总览'!Z$2,'面板-景气指数'!$36:$36,0))</f>
        <v>0.20862499999999995</v>
      </c>
      <c r="AA94" s="6">
        <f>INDEX('面板-景气指数'!$37:$242,MATCH('面板-总览'!$R94,'面板-景气指数'!$A$37:$A$242,0),MATCH('面板-总览'!AA$2,'面板-景气指数'!$36:$36,0))</f>
        <v>0.24700000000000003</v>
      </c>
      <c r="AB94" s="6">
        <f>INDEX('面板-景气指数'!$37:$242,MATCH('面板-总览'!$R94,'面板-景气指数'!$A$37:$A$242,0),MATCH('面板-总览'!AB$2,'面板-景气指数'!$36:$36,0))</f>
        <v>0.22025000000000003</v>
      </c>
      <c r="AC94" s="6">
        <f>INDEX('面板-景气指数'!$37:$242,MATCH('面板-总览'!$R94,'面板-景气指数'!$A$37:$A$242,0),MATCH('面板-总览'!AC$2,'面板-景气指数'!$36:$36,0))</f>
        <v>0.15274999999999997</v>
      </c>
      <c r="AD94" s="6">
        <f>INDEX('面板-景气指数'!$37:$242,MATCH('面板-总览'!$R94,'面板-景气指数'!$A$37:$A$242,0),MATCH('面板-总览'!AD$2,'面板-景气指数'!$36:$36,0))</f>
        <v>0.1045</v>
      </c>
      <c r="AE94" s="6">
        <f>INDEX('面板-景气指数'!$37:$242,MATCH('面板-总览'!$R94,'面板-景气指数'!$A$37:$A$242,0),MATCH('面板-总览'!AE$2,'面板-景气指数'!$36:$36,0))</f>
        <v>0.12737500000000002</v>
      </c>
      <c r="AG94" s="11">
        <f t="shared" si="3"/>
        <v>-9.2875000000000013E-2</v>
      </c>
    </row>
    <row r="95" spans="18:33" ht="21" customHeight="1" x14ac:dyDescent="0.2">
      <c r="R95" s="5" t="s">
        <v>193</v>
      </c>
      <c r="S95" s="6">
        <f>INDEX('面板-景气指数'!$37:$242,MATCH('面板-总览'!$R95,'面板-景气指数'!$A$37:$A$242,0),MATCH('面板-总览'!S$2,'面板-景气指数'!$36:$36,0))</f>
        <v>0.29499999999999998</v>
      </c>
      <c r="T95" s="6">
        <f>INDEX('面板-景气指数'!$37:$242,MATCH('面板-总览'!$R95,'面板-景气指数'!$A$37:$A$242,0),MATCH('面板-总览'!T$2,'面板-景气指数'!$36:$36,0))</f>
        <v>0.32600000000000001</v>
      </c>
      <c r="U95" s="6">
        <f>INDEX('面板-景气指数'!$37:$242,MATCH('面板-总览'!$R95,'面板-景气指数'!$A$37:$A$242,0),MATCH('面板-总览'!U$2,'面板-景气指数'!$36:$36,0))</f>
        <v>0.26500000000000001</v>
      </c>
      <c r="V95" s="6">
        <f>INDEX('面板-景气指数'!$37:$242,MATCH('面板-总览'!$R95,'面板-景气指数'!$A$37:$A$242,0),MATCH('面板-总览'!V$2,'面板-景气指数'!$36:$36,0))</f>
        <v>0.224</v>
      </c>
      <c r="W95" s="6">
        <f>INDEX('面板-景气指数'!$37:$242,MATCH('面板-总览'!$R95,'面板-景气指数'!$A$37:$A$242,0),MATCH('面板-总览'!W$2,'面板-景气指数'!$36:$36,0))</f>
        <v>0.193</v>
      </c>
      <c r="X95" s="6">
        <f>INDEX('面板-景气指数'!$37:$242,MATCH('面板-总览'!$R95,'面板-景气指数'!$A$37:$A$242,0),MATCH('面板-总览'!X$2,'面板-景气指数'!$36:$36,0))</f>
        <v>0.15299999999999997</v>
      </c>
      <c r="Y95" s="6">
        <f>INDEX('面板-景气指数'!$37:$242,MATCH('面板-总览'!$R95,'面板-景气指数'!$A$37:$A$242,0),MATCH('面板-总览'!Y$2,'面板-景气指数'!$36:$36,0))</f>
        <v>0.112</v>
      </c>
      <c r="Z95" s="6">
        <f>INDEX('面板-景气指数'!$37:$242,MATCH('面板-总览'!$R95,'面板-景气指数'!$A$37:$A$242,0),MATCH('面板-总览'!Z$2,'面板-景气指数'!$36:$36,0))</f>
        <v>1.9999999999999997E-2</v>
      </c>
      <c r="AA95" s="6">
        <f>INDEX('面板-景气指数'!$37:$242,MATCH('面板-总览'!$R95,'面板-景气指数'!$A$37:$A$242,0),MATCH('面板-总览'!AA$2,'面板-景气指数'!$36:$36,0))</f>
        <v>1.9999999999999997E-2</v>
      </c>
      <c r="AB95" s="6">
        <f>INDEX('面板-景气指数'!$37:$242,MATCH('面板-总览'!$R95,'面板-景气指数'!$A$37:$A$242,0),MATCH('面板-总览'!AB$2,'面板-景气指数'!$36:$36,0))</f>
        <v>1.9999999999999997E-2</v>
      </c>
      <c r="AC95" s="6">
        <f>INDEX('面板-景气指数'!$37:$242,MATCH('面板-总览'!$R95,'面板-景气指数'!$A$37:$A$242,0),MATCH('面板-总览'!AC$2,'面板-景气指数'!$36:$36,0))</f>
        <v>1.9999999999999997E-2</v>
      </c>
      <c r="AD95" s="6">
        <f>INDEX('面板-景气指数'!$37:$242,MATCH('面板-总览'!$R95,'面板-景气指数'!$A$37:$A$242,0),MATCH('面板-总览'!AD$2,'面板-景气指数'!$36:$36,0))</f>
        <v>1.9999999999999997E-2</v>
      </c>
      <c r="AE95" s="6">
        <f>INDEX('面板-景气指数'!$37:$242,MATCH('面板-总览'!$R95,'面板-景气指数'!$A$37:$A$242,0),MATCH('面板-总览'!AE$2,'面板-景气指数'!$36:$36,0))</f>
        <v>1.9999999999999997E-2</v>
      </c>
      <c r="AG95" s="11">
        <f t="shared" si="3"/>
        <v>0</v>
      </c>
    </row>
    <row r="96" spans="18:33" ht="21" customHeight="1" x14ac:dyDescent="0.2">
      <c r="R96" s="5" t="s">
        <v>194</v>
      </c>
      <c r="S96" s="6">
        <f>INDEX('面板-景气指数'!$37:$242,MATCH('面板-总览'!$R96,'面板-景气指数'!$A$37:$A$242,0),MATCH('面板-总览'!S$2,'面板-景气指数'!$36:$36,0))</f>
        <v>0.26849816639861285</v>
      </c>
      <c r="T96" s="6">
        <f>INDEX('面板-景气指数'!$37:$242,MATCH('面板-总览'!$R96,'面板-景气指数'!$A$37:$A$242,0),MATCH('面板-总览'!T$2,'面板-景气指数'!$36:$36,0))</f>
        <v>0.34788493073744448</v>
      </c>
      <c r="U96" s="6">
        <f>INDEX('面板-景气指数'!$37:$242,MATCH('面板-总览'!$R96,'面板-景气指数'!$A$37:$A$242,0),MATCH('面板-总览'!U$2,'面板-景气指数'!$36:$36,0))</f>
        <v>0.39909003498928625</v>
      </c>
      <c r="V96" s="6">
        <f>INDEX('面板-景气指数'!$37:$242,MATCH('面板-总览'!$R96,'面板-景气指数'!$A$37:$A$242,0),MATCH('面板-总览'!V$2,'面板-景气指数'!$36:$36,0))</f>
        <v>0.44094728194865845</v>
      </c>
      <c r="W96" s="6">
        <f>INDEX('面板-景气指数'!$37:$242,MATCH('面板-总览'!$R96,'面板-景气指数'!$A$37:$A$242,0),MATCH('面板-总览'!W$2,'面板-景气指数'!$36:$36,0))</f>
        <v>0.44786230141890693</v>
      </c>
      <c r="X96" s="6">
        <f>INDEX('面板-景气指数'!$37:$242,MATCH('面板-总览'!$R96,'面板-景气指数'!$A$37:$A$242,0),MATCH('面板-总览'!X$2,'面板-景气指数'!$36:$36,0))</f>
        <v>0.4668427894062685</v>
      </c>
      <c r="Y96" s="6">
        <f>INDEX('面板-景气指数'!$37:$242,MATCH('面板-总览'!$R96,'面板-景气指数'!$A$37:$A$242,0),MATCH('面板-总览'!Y$2,'面板-景气指数'!$36:$36,0))</f>
        <v>0.47221586633523088</v>
      </c>
      <c r="Z96" s="6">
        <f>INDEX('面板-景气指数'!$37:$242,MATCH('面板-总览'!$R96,'面板-景气指数'!$A$37:$A$242,0),MATCH('面板-总览'!Z$2,'面板-景气指数'!$36:$36,0))</f>
        <v>0.47514480786175595</v>
      </c>
      <c r="AA96" s="6">
        <f>INDEX('面板-景气指数'!$37:$242,MATCH('面板-总览'!$R96,'面板-景气指数'!$A$37:$A$242,0),MATCH('面板-总览'!AA$2,'面板-景气指数'!$36:$36,0))</f>
        <v>0.47239438982132176</v>
      </c>
      <c r="AB96" s="6">
        <f>INDEX('面板-景气指数'!$37:$242,MATCH('面板-总览'!$R96,'面板-景气指数'!$A$37:$A$242,0),MATCH('面板-总览'!AB$2,'面板-景气指数'!$36:$36,0))</f>
        <v>0.49441400879665159</v>
      </c>
      <c r="AC96" s="6">
        <f>INDEX('面板-景气指数'!$37:$242,MATCH('面板-总览'!$R96,'面板-景气指数'!$A$37:$A$242,0),MATCH('面板-总览'!AC$2,'面板-景气指数'!$36:$36,0))</f>
        <v>0.59700932644792903</v>
      </c>
      <c r="AD96" s="6">
        <f>INDEX('面板-景气指数'!$37:$242,MATCH('面板-总览'!$R96,'面板-景气指数'!$A$37:$A$242,0),MATCH('面板-总览'!AD$2,'面板-景气指数'!$36:$36,0))</f>
        <v>0.6580292723743425</v>
      </c>
      <c r="AE96" s="6">
        <f>INDEX('面板-景气指数'!$37:$242,MATCH('面板-总览'!$R96,'面板-景气指数'!$A$37:$A$242,0),MATCH('面板-总览'!AE$2,'面板-景气指数'!$36:$36,0))</f>
        <v>0.65705335318125146</v>
      </c>
      <c r="AG96" s="11">
        <f t="shared" si="3"/>
        <v>0.16263934438459987</v>
      </c>
    </row>
    <row r="97" spans="18:33" ht="21" customHeight="1" x14ac:dyDescent="0.2">
      <c r="R97" s="5" t="s">
        <v>195</v>
      </c>
      <c r="S97" s="6">
        <f>INDEX('面板-景气指数'!$37:$242,MATCH('面板-总览'!$R97,'面板-景气指数'!$A$37:$A$242,0),MATCH('面板-总览'!S$2,'面板-景气指数'!$36:$36,0))</f>
        <v>6.1000000000000006E-2</v>
      </c>
      <c r="T97" s="6">
        <f>INDEX('面板-景气指数'!$37:$242,MATCH('面板-总览'!$R97,'面板-景气指数'!$A$37:$A$242,0),MATCH('面板-总览'!T$2,'面板-景气指数'!$36:$36,0))</f>
        <v>0.01</v>
      </c>
      <c r="U97" s="6">
        <f>INDEX('面板-景气指数'!$37:$242,MATCH('面板-总览'!$R97,'面板-景气指数'!$A$37:$A$242,0),MATCH('面板-总览'!U$2,'面板-景气指数'!$36:$36,0))</f>
        <v>0</v>
      </c>
      <c r="V97" s="6">
        <f>INDEX('面板-景气指数'!$37:$242,MATCH('面板-总览'!$R97,'面板-景气指数'!$A$37:$A$242,0),MATCH('面板-总览'!V$2,'面板-景气指数'!$36:$36,0))</f>
        <v>0.04</v>
      </c>
      <c r="W97" s="6">
        <f>INDEX('面板-景气指数'!$37:$242,MATCH('面板-总览'!$R97,'面板-景气指数'!$A$37:$A$242,0),MATCH('面板-总览'!W$2,'面板-景气指数'!$36:$36,0))</f>
        <v>0.02</v>
      </c>
      <c r="X97" s="6">
        <f>INDEX('面板-景气指数'!$37:$242,MATCH('面板-总览'!$R97,'面板-景气指数'!$A$37:$A$242,0),MATCH('面板-总览'!X$2,'面板-景气指数'!$36:$36,0))</f>
        <v>2.9999999999999995E-2</v>
      </c>
      <c r="Y97" s="6">
        <f>INDEX('面板-景气指数'!$37:$242,MATCH('面板-总览'!$R97,'面板-景气指数'!$A$37:$A$242,0),MATCH('面板-总览'!Y$2,'面板-景气指数'!$36:$36,0))</f>
        <v>5.0999999999999997E-2</v>
      </c>
      <c r="Z97" s="6">
        <f>INDEX('面板-景气指数'!$37:$242,MATCH('面板-总览'!$R97,'面板-景气指数'!$A$37:$A$242,0),MATCH('面板-总览'!Z$2,'面板-景气指数'!$36:$36,0))</f>
        <v>0.10199999999999999</v>
      </c>
      <c r="AA97" s="6">
        <f>INDEX('面板-景气指数'!$37:$242,MATCH('面板-总览'!$R97,'面板-景气指数'!$A$37:$A$242,0),MATCH('面板-总览'!AA$2,'面板-景气指数'!$36:$36,0))</f>
        <v>0.316</v>
      </c>
      <c r="AB97" s="6">
        <f>INDEX('面板-景气指数'!$37:$242,MATCH('面板-总览'!$R97,'面板-景气指数'!$A$37:$A$242,0),MATCH('面板-总览'!AB$2,'面板-景气指数'!$36:$36,0))</f>
        <v>0.35699999999999998</v>
      </c>
      <c r="AC97" s="6">
        <f>INDEX('面板-景气指数'!$37:$242,MATCH('面板-总览'!$R97,'面板-景气指数'!$A$37:$A$242,0),MATCH('面板-总览'!AC$2,'面板-景气指数'!$36:$36,0))</f>
        <v>0.214</v>
      </c>
      <c r="AD97" s="6">
        <f>INDEX('面板-景气指数'!$37:$242,MATCH('面板-总览'!$R97,'面板-景气指数'!$A$37:$A$242,0),MATCH('面板-总览'!AD$2,'面板-景气指数'!$36:$36,0))</f>
        <v>0.20399999999999999</v>
      </c>
      <c r="AE97" s="6">
        <f>INDEX('面板-景气指数'!$37:$242,MATCH('面板-总览'!$R97,'面板-景气指数'!$A$37:$A$242,0),MATCH('面板-总览'!AE$2,'面板-景气指数'!$36:$36,0))</f>
        <v>0.14199999999999999</v>
      </c>
      <c r="AG97" s="11">
        <f t="shared" si="3"/>
        <v>-0.215</v>
      </c>
    </row>
    <row r="98" spans="18:33" ht="21" customHeight="1" x14ac:dyDescent="0.2">
      <c r="R98" s="5" t="s">
        <v>196</v>
      </c>
      <c r="S98" s="6">
        <f>INDEX('面板-景气指数'!$37:$242,MATCH('面板-总览'!$R98,'面板-景气指数'!$A$37:$A$242,0),MATCH('面板-总览'!S$2,'面板-景气指数'!$36:$36,0))</f>
        <v>0.30449999999999999</v>
      </c>
      <c r="T98" s="6">
        <f>INDEX('面板-景气指数'!$37:$242,MATCH('面板-总览'!$R98,'面板-景气指数'!$A$37:$A$242,0),MATCH('面板-总览'!T$2,'面板-景气指数'!$36:$36,0))</f>
        <v>0.35649999999999998</v>
      </c>
      <c r="U98" s="6">
        <f>INDEX('面板-景气指数'!$37:$242,MATCH('面板-总览'!$R98,'面板-景气指数'!$A$37:$A$242,0),MATCH('面板-总览'!U$2,'面板-景气指数'!$36:$36,0))</f>
        <v>0.24375000000000002</v>
      </c>
      <c r="V98" s="6">
        <f>INDEX('面板-景气指数'!$37:$242,MATCH('面板-总览'!$R98,'面板-景气指数'!$A$37:$A$242,0),MATCH('面板-总览'!V$2,'面板-景气指数'!$36:$36,0))</f>
        <v>0.21324999999999997</v>
      </c>
      <c r="W98" s="6">
        <f>INDEX('面板-景气指数'!$37:$242,MATCH('面板-总览'!$R98,'面板-景气指数'!$A$37:$A$242,0),MATCH('面板-总览'!W$2,'面板-景气指数'!$36:$36,0))</f>
        <v>0.22399999999999998</v>
      </c>
      <c r="X98" s="6">
        <f>INDEX('面板-景气指数'!$37:$242,MATCH('面板-总览'!$R98,'面板-景气指数'!$A$37:$A$242,0),MATCH('面板-总览'!X$2,'面板-景气指数'!$36:$36,0))</f>
        <v>0.26150000000000001</v>
      </c>
      <c r="Y98" s="6">
        <f>INDEX('面板-景气指数'!$37:$242,MATCH('面板-总览'!$R98,'面板-景气指数'!$A$37:$A$242,0),MATCH('面板-总览'!Y$2,'面板-景气指数'!$36:$36,0))</f>
        <v>0.31700000000000006</v>
      </c>
      <c r="Z98" s="6">
        <f>INDEX('面板-景气指数'!$37:$242,MATCH('面板-总览'!$R98,'面板-景气指数'!$A$37:$A$242,0),MATCH('面板-总览'!Z$2,'面板-景气指数'!$36:$36,0))</f>
        <v>0.40175</v>
      </c>
      <c r="AA98" s="6">
        <f>INDEX('面板-景气指数'!$37:$242,MATCH('面板-总览'!$R98,'面板-景气指数'!$A$37:$A$242,0),MATCH('面板-总览'!AA$2,'面板-景气指数'!$36:$36,0))</f>
        <v>0.36200000000000004</v>
      </c>
      <c r="AB98" s="6">
        <f>INDEX('面板-景气指数'!$37:$242,MATCH('面板-总览'!$R98,'面板-景气指数'!$A$37:$A$242,0),MATCH('面板-总览'!AB$2,'面板-景气指数'!$36:$36,0))</f>
        <v>0.38125000000000009</v>
      </c>
      <c r="AC98" s="6">
        <f>INDEX('面板-景气指数'!$37:$242,MATCH('面板-总览'!$R98,'面板-景气指数'!$A$37:$A$242,0),MATCH('面板-总览'!AC$2,'面板-景气指数'!$36:$36,0))</f>
        <v>0.42450000000000004</v>
      </c>
      <c r="AD98" s="6">
        <f>INDEX('面板-景气指数'!$37:$242,MATCH('面板-总览'!$R98,'面板-景气指数'!$A$37:$A$242,0),MATCH('面板-总览'!AD$2,'面板-景气指数'!$36:$36,0))</f>
        <v>0.45974999999999999</v>
      </c>
      <c r="AE98" s="6">
        <f>INDEX('面板-景气指数'!$37:$242,MATCH('面板-总览'!$R98,'面板-景气指数'!$A$37:$A$242,0),MATCH('面板-总览'!AE$2,'面板-景气指数'!$36:$36,0))</f>
        <v>0.45974999999999999</v>
      </c>
      <c r="AG98" s="11">
        <f t="shared" si="3"/>
        <v>7.8499999999999903E-2</v>
      </c>
    </row>
    <row r="99" spans="18:33" ht="21" customHeight="1" x14ac:dyDescent="0.2">
      <c r="R99" s="5" t="s">
        <v>197</v>
      </c>
      <c r="S99" s="6">
        <f>INDEX('面板-景气指数'!$37:$242,MATCH('面板-总览'!$R99,'面板-景气指数'!$A$37:$A$242,0),MATCH('面板-总览'!S$2,'面板-景气指数'!$36:$36,0))</f>
        <v>0.62175000000000002</v>
      </c>
      <c r="T99" s="6">
        <f>INDEX('面板-景气指数'!$37:$242,MATCH('面板-总览'!$R99,'面板-景气指数'!$A$37:$A$242,0),MATCH('面板-总览'!T$2,'面板-景气指数'!$36:$36,0))</f>
        <v>0.66</v>
      </c>
      <c r="U99" s="6">
        <f>INDEX('面板-景气指数'!$37:$242,MATCH('面板-总览'!$R99,'面板-景气指数'!$A$37:$A$242,0),MATCH('面板-总览'!U$2,'面板-景气指数'!$36:$36,0))</f>
        <v>0.69850000000000001</v>
      </c>
      <c r="V99" s="6">
        <f>INDEX('面板-景气指数'!$37:$242,MATCH('面板-总览'!$R99,'面板-景气指数'!$A$37:$A$242,0),MATCH('面板-总览'!V$2,'面板-景气指数'!$36:$36,0))</f>
        <v>0.67325000000000002</v>
      </c>
      <c r="W99" s="6">
        <f>INDEX('面板-景气指数'!$37:$242,MATCH('面板-总览'!$R99,'面板-景气指数'!$A$37:$A$242,0),MATCH('面板-总览'!W$2,'面板-景气指数'!$36:$36,0))</f>
        <v>0.64750000000000008</v>
      </c>
      <c r="X99" s="6">
        <f>INDEX('面板-景气指数'!$37:$242,MATCH('面板-总览'!$R99,'面板-景气指数'!$A$37:$A$242,0),MATCH('面板-总览'!X$2,'面板-景气指数'!$36:$36,0))</f>
        <v>0.65</v>
      </c>
      <c r="Y99" s="6">
        <f>INDEX('面板-景气指数'!$37:$242,MATCH('面板-总览'!$R99,'面板-景气指数'!$A$37:$A$242,0),MATCH('面板-总览'!Y$2,'面板-景气指数'!$36:$36,0))</f>
        <v>0.68300000000000005</v>
      </c>
      <c r="Z99" s="6">
        <f>INDEX('面板-景气指数'!$37:$242,MATCH('面板-总览'!$R99,'面板-景气指数'!$A$37:$A$242,0),MATCH('面板-总览'!Z$2,'面板-景气指数'!$36:$36,0))</f>
        <v>0.70350000000000001</v>
      </c>
      <c r="AA99" s="6">
        <f>INDEX('面板-景气指数'!$37:$242,MATCH('面板-总览'!$R99,'面板-景气指数'!$A$37:$A$242,0),MATCH('面板-总览'!AA$2,'面板-景气指数'!$36:$36,0))</f>
        <v>0.74175000000000002</v>
      </c>
      <c r="AB99" s="6">
        <f>INDEX('面板-景气指数'!$37:$242,MATCH('面板-总览'!$R99,'面板-景气指数'!$A$37:$A$242,0),MATCH('面板-总览'!AB$2,'面板-景气指数'!$36:$36,0))</f>
        <v>0.75499999999999989</v>
      </c>
      <c r="AC99" s="6">
        <f>INDEX('面板-景气指数'!$37:$242,MATCH('面板-总览'!$R99,'面板-景气指数'!$A$37:$A$242,0),MATCH('面板-总览'!AC$2,'面板-景气指数'!$36:$36,0))</f>
        <v>0.70600000000000007</v>
      </c>
      <c r="AD99" s="6">
        <f>INDEX('面板-景气指数'!$37:$242,MATCH('面板-总览'!$R99,'面板-景气指数'!$A$37:$A$242,0),MATCH('面板-总览'!AD$2,'面板-景气指数'!$36:$36,0))</f>
        <v>0.64</v>
      </c>
      <c r="AE99" s="6">
        <f>INDEX('面板-景气指数'!$37:$242,MATCH('面板-总览'!$R99,'面板-景气指数'!$A$37:$A$242,0),MATCH('面板-总览'!AE$2,'面板-景气指数'!$36:$36,0))</f>
        <v>0.64</v>
      </c>
      <c r="AG99" s="11">
        <f t="shared" si="3"/>
        <v>-0.11499999999999988</v>
      </c>
    </row>
    <row r="100" spans="18:33" ht="21" customHeight="1" x14ac:dyDescent="0.2">
      <c r="R100" s="5" t="s">
        <v>198</v>
      </c>
      <c r="S100" s="6">
        <f>INDEX('面板-景气指数'!$37:$242,MATCH('面板-总览'!$R100,'面板-景气指数'!$A$37:$A$242,0),MATCH('面板-总览'!S$2,'面板-景气指数'!$36:$36,0))</f>
        <v>0.89700000000000002</v>
      </c>
      <c r="T100" s="6">
        <f>INDEX('面板-景气指数'!$37:$242,MATCH('面板-总览'!$R100,'面板-景气指数'!$A$37:$A$242,0),MATCH('面板-总览'!T$2,'面板-景气指数'!$36:$36,0))</f>
        <v>0.91800000000000004</v>
      </c>
      <c r="U100" s="6">
        <f>INDEX('面板-景气指数'!$37:$242,MATCH('面板-总览'!$R100,'面板-景气指数'!$A$37:$A$242,0),MATCH('面板-总览'!U$2,'面板-景气指数'!$36:$36,0))</f>
        <v>0.95899999999999985</v>
      </c>
      <c r="V100" s="6">
        <f>INDEX('面板-景气指数'!$37:$242,MATCH('面板-总览'!$R100,'面板-景气指数'!$A$37:$A$242,0),MATCH('面板-总览'!V$2,'面板-景气指数'!$36:$36,0))</f>
        <v>0.97899999999999987</v>
      </c>
      <c r="W100" s="6">
        <f>INDEX('面板-景气指数'!$37:$242,MATCH('面板-总览'!$R100,'面板-景气指数'!$A$37:$A$242,0),MATCH('面板-总览'!W$2,'面板-景气指数'!$36:$36,0))</f>
        <v>0.94800000000000006</v>
      </c>
      <c r="X100" s="6">
        <f>INDEX('面板-景气指数'!$37:$242,MATCH('面板-总览'!$R100,'面板-景气指数'!$A$37:$A$242,0),MATCH('面板-总览'!X$2,'面板-景气指数'!$36:$36,0))</f>
        <v>0.92800000000000005</v>
      </c>
      <c r="Y100" s="6">
        <f>INDEX('面板-景气指数'!$37:$242,MATCH('面板-总览'!$R100,'面板-景气指数'!$A$37:$A$242,0),MATCH('面板-总览'!Y$2,'面板-景气指数'!$36:$36,0))</f>
        <v>0.93800000000000006</v>
      </c>
      <c r="Z100" s="6">
        <f>INDEX('面板-景气指数'!$37:$242,MATCH('面板-总览'!$R100,'面板-景气指数'!$A$37:$A$242,0),MATCH('面板-总览'!Z$2,'面板-景气指数'!$36:$36,0))</f>
        <v>0.96899999999999986</v>
      </c>
      <c r="AA100" s="6">
        <f>INDEX('面板-景气指数'!$37:$242,MATCH('面板-总览'!$R100,'面板-景气指数'!$A$37:$A$242,0),MATCH('面板-总览'!AA$2,'面板-景气指数'!$36:$36,0))</f>
        <v>0.98899999999999988</v>
      </c>
      <c r="AB100" s="6">
        <f>INDEX('面板-景气指数'!$37:$242,MATCH('面板-总览'!$R100,'面板-景气指数'!$A$37:$A$242,0),MATCH('面板-总览'!AB$2,'面板-景气指数'!$36:$36,0))</f>
        <v>1</v>
      </c>
      <c r="AC100" s="6">
        <f>INDEX('面板-景气指数'!$37:$242,MATCH('面板-总览'!$R100,'面板-景气指数'!$A$37:$A$242,0),MATCH('面板-总览'!AC$2,'面板-景气指数'!$36:$36,0))</f>
        <v>0.90800000000000003</v>
      </c>
      <c r="AD100" s="6">
        <f>INDEX('面板-景气指数'!$37:$242,MATCH('面板-总览'!$R100,'面板-景气指数'!$A$37:$A$242,0),MATCH('面板-总览'!AD$2,'面板-景气指数'!$36:$36,0))</f>
        <v>0.82599999999999996</v>
      </c>
      <c r="AE100" s="6">
        <f>INDEX('面板-景气指数'!$37:$242,MATCH('面板-总览'!$R100,'面板-景气指数'!$A$37:$A$242,0),MATCH('面板-总览'!AE$2,'面板-景气指数'!$36:$36,0))</f>
        <v>0.82599999999999996</v>
      </c>
      <c r="AG100" s="11">
        <f t="shared" si="3"/>
        <v>-0.17400000000000004</v>
      </c>
    </row>
    <row r="101" spans="18:33" ht="21" customHeight="1" x14ac:dyDescent="0.2">
      <c r="R101" s="5" t="s">
        <v>199</v>
      </c>
      <c r="S101" s="6">
        <f>INDEX('面板-景气指数'!$37:$242,MATCH('面板-总览'!$R101,'面板-景气指数'!$A$37:$A$242,0),MATCH('面板-总览'!S$2,'面板-景气指数'!$36:$36,0))</f>
        <v>0.61950000000000005</v>
      </c>
      <c r="T101" s="6">
        <f>INDEX('面板-景气指数'!$37:$242,MATCH('面板-总览'!$R101,'面板-景气指数'!$A$37:$A$242,0),MATCH('面板-总览'!T$2,'面板-景气指数'!$36:$36,0))</f>
        <v>0.66775000000000007</v>
      </c>
      <c r="U101" s="6">
        <f>INDEX('面板-景气指数'!$37:$242,MATCH('面板-总览'!$R101,'面板-景气指数'!$A$37:$A$242,0),MATCH('面板-总览'!U$2,'面板-景气指数'!$36:$36,0))</f>
        <v>0.65249999999999997</v>
      </c>
      <c r="V101" s="6">
        <f>INDEX('面板-景气指数'!$37:$242,MATCH('面板-总览'!$R101,'面板-景气指数'!$A$37:$A$242,0),MATCH('面板-总览'!V$2,'面板-景气指数'!$36:$36,0))</f>
        <v>0.62975000000000003</v>
      </c>
      <c r="W101" s="6">
        <f>INDEX('面板-景气指数'!$37:$242,MATCH('面板-总览'!$R101,'面板-景气指数'!$A$37:$A$242,0),MATCH('面板-总览'!W$2,'面板-景气指数'!$36:$36,0))</f>
        <v>0.60925000000000007</v>
      </c>
      <c r="X101" s="6">
        <f>INDEX('面板-景气指数'!$37:$242,MATCH('面板-总览'!$R101,'面板-景气指数'!$A$37:$A$242,0),MATCH('面板-总览'!X$2,'面板-景气指数'!$36:$36,0))</f>
        <v>0.627</v>
      </c>
      <c r="Y101" s="6">
        <f>INDEX('面板-景气指数'!$37:$242,MATCH('面板-总览'!$R101,'面板-景气指数'!$A$37:$A$242,0),MATCH('面板-总览'!Y$2,'面板-景气指数'!$36:$36,0))</f>
        <v>0.66024999999999989</v>
      </c>
      <c r="Z101" s="6">
        <f>INDEX('面板-景气指数'!$37:$242,MATCH('面板-总览'!$R101,'面板-景气指数'!$A$37:$A$242,0),MATCH('面板-总览'!Z$2,'面板-景气指数'!$36:$36,0))</f>
        <v>0.67525000000000002</v>
      </c>
      <c r="AA101" s="6">
        <f>INDEX('面板-景气指数'!$37:$242,MATCH('面板-总览'!$R101,'面板-景气指数'!$A$37:$A$242,0),MATCH('面板-总览'!AA$2,'面板-景气指数'!$36:$36,0))</f>
        <v>0.71650000000000003</v>
      </c>
      <c r="AB101" s="6">
        <f>INDEX('面板-景气指数'!$37:$242,MATCH('面板-总览'!$R101,'面板-景气指数'!$A$37:$A$242,0),MATCH('面板-总览'!AB$2,'面板-景气指数'!$36:$36,0))</f>
        <v>0.78299999999999992</v>
      </c>
      <c r="AC101" s="6">
        <f>INDEX('面板-景气指数'!$37:$242,MATCH('面板-总览'!$R101,'面板-景气指数'!$A$37:$A$242,0),MATCH('面板-总览'!AC$2,'面板-景气指数'!$36:$36,0))</f>
        <v>0.79800000000000004</v>
      </c>
      <c r="AD101" s="6">
        <f>INDEX('面板-景气指数'!$37:$242,MATCH('面板-总览'!$R101,'面板-景气指数'!$A$37:$A$242,0),MATCH('面板-总览'!AD$2,'面板-景气指数'!$36:$36,0))</f>
        <v>0.81574999999999998</v>
      </c>
      <c r="AE101" s="6">
        <f>INDEX('面板-景气指数'!$37:$242,MATCH('面板-总览'!$R101,'面板-景气指数'!$A$37:$A$242,0),MATCH('面板-总览'!AE$2,'面板-景气指数'!$36:$36,0))</f>
        <v>0.82600000000000007</v>
      </c>
      <c r="AG101" s="11">
        <f t="shared" si="3"/>
        <v>4.3000000000000149E-2</v>
      </c>
    </row>
  </sheetData>
  <mergeCells count="5">
    <mergeCell ref="O2:P2"/>
    <mergeCell ref="AF2:AG2"/>
    <mergeCell ref="AW2:AX2"/>
    <mergeCell ref="O37:P37"/>
    <mergeCell ref="AF52:AG52"/>
  </mergeCells>
  <phoneticPr fontId="4" type="noConversion"/>
  <conditionalFormatting sqref="P3:P31">
    <cfRule type="iconSet" priority="2">
      <iconSet iconSet="3Arrows">
        <cfvo type="percent" val="0"/>
        <cfvo type="num" val="-0.03" gte="0"/>
        <cfvo type="num" val="0.03"/>
      </iconSet>
    </cfRule>
  </conditionalFormatting>
  <conditionalFormatting sqref="S3:AE50 S53:AE101 AJ3:AV71 B3:N31">
    <cfRule type="colorScale" priority="1">
      <colorScale>
        <cfvo type="num" val="0"/>
        <cfvo type="num" val="0.5"/>
        <cfvo type="num" val="1"/>
        <color rgb="FF5A8AC6"/>
        <color rgb="FFFCFCFF"/>
        <color rgb="FFF8696B"/>
      </colorScale>
    </cfRule>
  </conditionalFormatting>
  <conditionalFormatting sqref="AG3:AG50 AG53:AG101">
    <cfRule type="iconSet" priority="3">
      <iconSet iconSet="3Arrows">
        <cfvo type="percent" val="0"/>
        <cfvo type="num" val="-0.03" gte="0"/>
        <cfvo type="num" val="0.03"/>
      </iconSet>
    </cfRule>
  </conditionalFormatting>
  <conditionalFormatting sqref="AX3:AX71">
    <cfRule type="iconSet" priority="4">
      <iconSet iconSet="3Arrows">
        <cfvo type="percent" val="0"/>
        <cfvo type="num" val="-0.03" gte="0"/>
        <cfvo type="num" val="0.03"/>
      </iconSet>
    </cfRule>
  </conditionalFormatting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CC24-70ED-4B8B-9365-AF93679AB486}">
  <sheetPr>
    <tabColor rgb="FFC00000"/>
  </sheetPr>
  <dimension ref="A2:G61"/>
  <sheetViews>
    <sheetView showGridLines="0" zoomScaleNormal="100" workbookViewId="0">
      <selection activeCell="D34" sqref="D34"/>
    </sheetView>
  </sheetViews>
  <sheetFormatPr defaultColWidth="8.625" defaultRowHeight="12.75" x14ac:dyDescent="0.2"/>
  <cols>
    <col min="1" max="1" width="100.625" style="23" customWidth="1"/>
    <col min="2" max="2" width="1.625" style="22" customWidth="1"/>
    <col min="3" max="3" width="8.125" style="22" bestFit="1" customWidth="1"/>
    <col min="4" max="4" width="12.375" style="19" bestFit="1" customWidth="1"/>
    <col min="5" max="6" width="10.625" style="29" customWidth="1"/>
    <col min="7" max="7" width="15.875" style="29" bestFit="1" customWidth="1"/>
    <col min="8" max="16384" width="8.625" style="19"/>
  </cols>
  <sheetData>
    <row r="2" spans="1:7" s="22" customFormat="1" x14ac:dyDescent="0.2">
      <c r="A2" s="18"/>
      <c r="B2" s="19"/>
      <c r="C2" s="20" t="s">
        <v>200</v>
      </c>
      <c r="D2" s="20" t="s">
        <v>201</v>
      </c>
      <c r="E2" s="21" t="s">
        <v>202</v>
      </c>
      <c r="F2" s="21" t="s">
        <v>203</v>
      </c>
      <c r="G2" s="21" t="s">
        <v>204</v>
      </c>
    </row>
    <row r="3" spans="1:7" x14ac:dyDescent="0.2">
      <c r="B3" s="19"/>
      <c r="C3" s="24" t="s">
        <v>205</v>
      </c>
      <c r="D3" s="25" t="s">
        <v>5</v>
      </c>
      <c r="E3" s="26">
        <f>INDEX('面板-景气指数'!F:F,MATCH(景气时钟!D3,'面板-景气指数'!A:A,0))</f>
        <v>0.63639999999999997</v>
      </c>
      <c r="F3" s="27">
        <f>INDEX('面板-景气指数'!C:C,MATCH(景气时钟!D3,'面板-景气指数'!A:A,0))</f>
        <v>19.375000000000004</v>
      </c>
      <c r="G3" s="27">
        <f t="shared" ref="G3:G61" si="0">F3</f>
        <v>19.375000000000004</v>
      </c>
    </row>
    <row r="4" spans="1:7" x14ac:dyDescent="0.2">
      <c r="B4" s="19"/>
      <c r="C4" s="24" t="s">
        <v>8</v>
      </c>
      <c r="D4" s="25" t="s">
        <v>8</v>
      </c>
      <c r="E4" s="26">
        <f>INDEX('面板-景气指数'!F:F,MATCH(景气时钟!D4,'面板-景气指数'!A:A,0))</f>
        <v>0.64833333333333398</v>
      </c>
      <c r="F4" s="27">
        <f>INDEX('面板-景气指数'!C:C,MATCH(景气时钟!D4,'面板-景气指数'!A:A,0))</f>
        <v>-6.966666666666665</v>
      </c>
      <c r="G4" s="27">
        <f t="shared" si="0"/>
        <v>-6.966666666666665</v>
      </c>
    </row>
    <row r="5" spans="1:7" x14ac:dyDescent="0.2">
      <c r="B5" s="19"/>
      <c r="C5" s="24" t="s">
        <v>206</v>
      </c>
      <c r="D5" s="25" t="s">
        <v>206</v>
      </c>
      <c r="E5" s="26">
        <f>INDEX('面板-景气指数'!F:F,MATCH(景气时钟!D5,'面板-景气指数'!A:A,0))</f>
        <v>0.51100625101558872</v>
      </c>
      <c r="F5" s="27">
        <f>INDEX('面板-景气指数'!C:C,MATCH(景气时钟!D5,'面板-景气指数'!A:A,0))</f>
        <v>3.6041529255237736</v>
      </c>
      <c r="G5" s="27">
        <f t="shared" si="0"/>
        <v>3.6041529255237736</v>
      </c>
    </row>
    <row r="6" spans="1:7" x14ac:dyDescent="0.2">
      <c r="B6" s="19"/>
      <c r="C6" s="24" t="s">
        <v>207</v>
      </c>
      <c r="D6" s="25" t="s">
        <v>207</v>
      </c>
      <c r="E6" s="26">
        <f>INDEX('面板-景气指数'!F:F,MATCH(景气时钟!D6,'面板-景气指数'!A:A,0))</f>
        <v>0.64749999999999996</v>
      </c>
      <c r="F6" s="27">
        <f>INDEX('面板-景气指数'!C:C,MATCH(景气时钟!D6,'面板-景气指数'!A:A,0))</f>
        <v>1.5000000000000013</v>
      </c>
      <c r="G6" s="27">
        <f t="shared" si="0"/>
        <v>1.5000000000000013</v>
      </c>
    </row>
    <row r="7" spans="1:7" x14ac:dyDescent="0.2">
      <c r="B7" s="19"/>
      <c r="C7" s="24" t="s">
        <v>208</v>
      </c>
      <c r="D7" s="25" t="s">
        <v>208</v>
      </c>
      <c r="E7" s="26">
        <f>INDEX('面板-景气指数'!F:F,MATCH(景气时钟!D7,'面板-景气指数'!A:A,0))</f>
        <v>0.40250000000000002</v>
      </c>
      <c r="F7" s="27">
        <f>INDEX('面板-景气指数'!C:C,MATCH(景气时钟!D7,'面板-景气指数'!A:A,0))</f>
        <v>-7.6749999999999927</v>
      </c>
      <c r="G7" s="27">
        <f t="shared" si="0"/>
        <v>-7.6749999999999927</v>
      </c>
    </row>
    <row r="8" spans="1:7" x14ac:dyDescent="0.2">
      <c r="B8" s="19"/>
      <c r="C8" s="24" t="s">
        <v>209</v>
      </c>
      <c r="D8" s="25" t="s">
        <v>209</v>
      </c>
      <c r="E8" s="26">
        <f>INDEX('面板-景气指数'!F:F,MATCH(景气时钟!D8,'面板-景气指数'!A:A,0))</f>
        <v>0.17233333333333334</v>
      </c>
      <c r="F8" s="27">
        <f>INDEX('面板-景气指数'!C:C,MATCH(景气时钟!D8,'面板-景气指数'!A:A,0))</f>
        <v>5.333333333333333</v>
      </c>
      <c r="G8" s="27">
        <f t="shared" si="0"/>
        <v>5.333333333333333</v>
      </c>
    </row>
    <row r="9" spans="1:7" x14ac:dyDescent="0.2">
      <c r="B9" s="19"/>
      <c r="C9" s="24" t="s">
        <v>210</v>
      </c>
      <c r="D9" s="25" t="s">
        <v>14</v>
      </c>
      <c r="E9" s="26">
        <f>INDEX('面板-景气指数'!F:F,MATCH(景气时钟!D9,'面板-景气指数'!A:A,0))</f>
        <v>0.29217727371569763</v>
      </c>
      <c r="F9" s="27">
        <f>INDEX('面板-景气指数'!C:C,MATCH(景气时钟!D9,'面板-景气指数'!A:A,0))</f>
        <v>-4.6615933026952492</v>
      </c>
      <c r="G9" s="27">
        <f t="shared" si="0"/>
        <v>-4.6615933026952492</v>
      </c>
    </row>
    <row r="10" spans="1:7" x14ac:dyDescent="0.2">
      <c r="B10" s="19"/>
      <c r="C10" s="24" t="s">
        <v>17</v>
      </c>
      <c r="D10" s="25" t="s">
        <v>17</v>
      </c>
      <c r="E10" s="26">
        <f>INDEX('面板-景气指数'!F:F,MATCH(景气时钟!D10,'面板-景气指数'!A:A,0))</f>
        <v>0.23806671746836505</v>
      </c>
      <c r="F10" s="27">
        <f>INDEX('面板-景气指数'!C:C,MATCH(景气时钟!D10,'面板-景气指数'!A:A,0))</f>
        <v>-11.230179477390939</v>
      </c>
      <c r="G10" s="27">
        <f t="shared" si="0"/>
        <v>-11.230179477390939</v>
      </c>
    </row>
    <row r="11" spans="1:7" x14ac:dyDescent="0.2">
      <c r="B11" s="19"/>
      <c r="C11" s="24" t="s">
        <v>211</v>
      </c>
      <c r="D11" s="25" t="s">
        <v>32</v>
      </c>
      <c r="E11" s="26">
        <f>INDEX('面板-景气指数'!F:F,MATCH(景气时钟!D11,'面板-景气指数'!A:A,0))</f>
        <v>0.11322437831309613</v>
      </c>
      <c r="F11" s="27">
        <f>INDEX('面板-景气指数'!C:C,MATCH(景气时钟!D11,'面板-景气指数'!A:A,0))</f>
        <v>-2.2662999427954205</v>
      </c>
      <c r="G11" s="27">
        <f t="shared" si="0"/>
        <v>-2.2662999427954205</v>
      </c>
    </row>
    <row r="12" spans="1:7" x14ac:dyDescent="0.2">
      <c r="B12" s="19"/>
      <c r="C12" s="24" t="s">
        <v>212</v>
      </c>
      <c r="D12" s="25" t="s">
        <v>41</v>
      </c>
      <c r="E12" s="26">
        <f>INDEX('面板-景气指数'!F:F,MATCH(景气时钟!D12,'面板-景气指数'!A:A,0))</f>
        <v>0.76413109973610982</v>
      </c>
      <c r="F12" s="27">
        <f>INDEX('面板-景气指数'!C:C,MATCH(景气时钟!D12,'面板-景气指数'!A:A,0))</f>
        <v>9.8842874996168391</v>
      </c>
      <c r="G12" s="27">
        <f t="shared" si="0"/>
        <v>9.8842874996168391</v>
      </c>
    </row>
    <row r="13" spans="1:7" x14ac:dyDescent="0.2">
      <c r="B13" s="19"/>
      <c r="C13" s="24" t="s">
        <v>44</v>
      </c>
      <c r="D13" s="25" t="s">
        <v>44</v>
      </c>
      <c r="E13" s="26">
        <f>INDEX('面板-景气指数'!F:F,MATCH(景气时钟!D13,'面板-景气指数'!A:A,0))</f>
        <v>0.36739999999999995</v>
      </c>
      <c r="F13" s="27">
        <f>INDEX('面板-景气指数'!C:C,MATCH(景气时钟!D13,'面板-景气指数'!A:A,0))</f>
        <v>-52.00500000000001</v>
      </c>
      <c r="G13" s="27">
        <f t="shared" si="0"/>
        <v>-52.00500000000001</v>
      </c>
    </row>
    <row r="14" spans="1:7" x14ac:dyDescent="0.2">
      <c r="B14" s="19"/>
      <c r="C14" s="24" t="s">
        <v>213</v>
      </c>
      <c r="D14" s="25" t="s">
        <v>47</v>
      </c>
      <c r="E14" s="26">
        <f>INDEX('面板-景气指数'!F:F,MATCH(景气时钟!D14,'面板-景气指数'!A:A,0))</f>
        <v>0.69497447789524913</v>
      </c>
      <c r="F14" s="27">
        <f>INDEX('面板-景气指数'!C:C,MATCH(景气时钟!D14,'面板-景气指数'!A:A,0))</f>
        <v>-5.1492743359848987</v>
      </c>
      <c r="G14" s="28">
        <v>-30</v>
      </c>
    </row>
    <row r="15" spans="1:7" x14ac:dyDescent="0.2">
      <c r="B15" s="19"/>
      <c r="C15" s="24" t="s">
        <v>214</v>
      </c>
      <c r="D15" s="25" t="s">
        <v>53</v>
      </c>
      <c r="E15" s="26">
        <f>INDEX('面板-景气指数'!F:F,MATCH(景气时钟!D15,'面板-景气指数'!A:A,0))</f>
        <v>0.44206455468493067</v>
      </c>
      <c r="F15" s="27">
        <f>INDEX('面板-景气指数'!C:C,MATCH(景气时钟!D15,'面板-景气指数'!A:A,0))</f>
        <v>-8.8321356634750607</v>
      </c>
      <c r="G15" s="27">
        <f t="shared" si="0"/>
        <v>-8.8321356634750607</v>
      </c>
    </row>
    <row r="16" spans="1:7" x14ac:dyDescent="0.2">
      <c r="B16" s="19"/>
      <c r="C16" s="24" t="s">
        <v>215</v>
      </c>
      <c r="D16" s="25" t="s">
        <v>56</v>
      </c>
      <c r="E16" s="26">
        <f>INDEX('面板-景气指数'!F:F,MATCH(景气时钟!D16,'面板-景气指数'!A:A,0))</f>
        <v>0.79312489260904795</v>
      </c>
      <c r="F16" s="27">
        <f>INDEX('面板-景气指数'!C:C,MATCH(景气时钟!D16,'面板-景气指数'!A:A,0))</f>
        <v>-5.5801111956601757</v>
      </c>
      <c r="G16" s="27">
        <f t="shared" si="0"/>
        <v>-5.5801111956601757</v>
      </c>
    </row>
    <row r="17" spans="2:7" x14ac:dyDescent="0.2">
      <c r="B17" s="19"/>
      <c r="C17" s="24" t="s">
        <v>216</v>
      </c>
      <c r="D17" s="25" t="s">
        <v>59</v>
      </c>
      <c r="E17" s="26">
        <f>INDEX('面板-景气指数'!F:F,MATCH(景气时钟!D17,'面板-景气指数'!A:A,0))</f>
        <v>0.18454490187981673</v>
      </c>
      <c r="F17" s="27">
        <f>INDEX('面板-景气指数'!C:C,MATCH(景气时钟!D17,'面板-景气指数'!A:A,0))</f>
        <v>-0.19110063965216695</v>
      </c>
      <c r="G17" s="27">
        <f t="shared" si="0"/>
        <v>-0.19110063965216695</v>
      </c>
    </row>
    <row r="18" spans="2:7" x14ac:dyDescent="0.2">
      <c r="B18" s="19"/>
      <c r="C18" s="24" t="s">
        <v>65</v>
      </c>
      <c r="D18" s="25" t="s">
        <v>65</v>
      </c>
      <c r="E18" s="26">
        <f>INDEX('面板-景气指数'!F:F,MATCH(景气时钟!D18,'面板-景气指数'!A:A,0))</f>
        <v>0.39883642522078722</v>
      </c>
      <c r="F18" s="27">
        <f>INDEX('面板-景气指数'!C:C,MATCH(景气时钟!D18,'面板-景气指数'!A:A,0))</f>
        <v>12.135549645960515</v>
      </c>
      <c r="G18" s="27">
        <f t="shared" si="0"/>
        <v>12.135549645960515</v>
      </c>
    </row>
    <row r="19" spans="2:7" x14ac:dyDescent="0.2">
      <c r="B19" s="19"/>
      <c r="C19" s="24" t="s">
        <v>217</v>
      </c>
      <c r="D19" s="25" t="s">
        <v>218</v>
      </c>
      <c r="E19" s="26">
        <f>INDEX('面板-景气指数'!F:F,MATCH(景气时钟!D19,'面板-景气指数'!A:A,0))</f>
        <v>0.22698744031100149</v>
      </c>
      <c r="F19" s="27">
        <f>INDEX('面板-景气指数'!C:C,MATCH(景气时钟!D19,'面板-景气指数'!A:A,0))</f>
        <v>-35.100465903177835</v>
      </c>
      <c r="G19" s="27">
        <f t="shared" si="0"/>
        <v>-35.100465903177835</v>
      </c>
    </row>
    <row r="20" spans="2:7" x14ac:dyDescent="0.2">
      <c r="B20" s="19"/>
      <c r="C20" s="24" t="s">
        <v>219</v>
      </c>
      <c r="D20" s="25" t="s">
        <v>66</v>
      </c>
      <c r="E20" s="26">
        <f>INDEX('面板-景气指数'!F:F,MATCH(景气时钟!D20,'面板-景气指数'!A:A,0))</f>
        <v>0.29649999999999999</v>
      </c>
      <c r="F20" s="27">
        <f>INDEX('面板-景气指数'!C:C,MATCH(景气时钟!D20,'面板-景气指数'!A:A,0))</f>
        <v>9.6</v>
      </c>
      <c r="G20" s="27">
        <f t="shared" si="0"/>
        <v>9.6</v>
      </c>
    </row>
    <row r="21" spans="2:7" x14ac:dyDescent="0.2">
      <c r="B21" s="19"/>
      <c r="C21" s="24" t="s">
        <v>220</v>
      </c>
      <c r="D21" s="25" t="s">
        <v>221</v>
      </c>
      <c r="E21" s="26">
        <f>INDEX('面板-景气指数'!F:F,MATCH(景气时钟!D21,'面板-景气指数'!A:A,0))</f>
        <v>0.21399999999999997</v>
      </c>
      <c r="F21" s="27">
        <f>INDEX('面板-景气指数'!C:C,MATCH(景气时钟!D21,'面板-景气指数'!A:A,0))</f>
        <v>-13.750000000000007</v>
      </c>
      <c r="G21" s="27">
        <f t="shared" si="0"/>
        <v>-13.750000000000007</v>
      </c>
    </row>
    <row r="22" spans="2:7" x14ac:dyDescent="0.2">
      <c r="B22" s="19"/>
      <c r="C22" s="24" t="s">
        <v>222</v>
      </c>
      <c r="D22" s="25" t="s">
        <v>223</v>
      </c>
      <c r="E22" s="26">
        <f>INDEX('面板-景气指数'!F:F,MATCH(景气时钟!D22,'面板-景气指数'!A:A,0))</f>
        <v>0.91800000000000004</v>
      </c>
      <c r="F22" s="27">
        <f>INDEX('面板-景气指数'!C:C,MATCH(景气时钟!D22,'面板-景气指数'!A:A,0))</f>
        <v>1.0000000000000009</v>
      </c>
      <c r="G22" s="27">
        <f t="shared" si="0"/>
        <v>1.0000000000000009</v>
      </c>
    </row>
    <row r="23" spans="2:7" x14ac:dyDescent="0.2">
      <c r="B23" s="19"/>
      <c r="C23" s="24" t="s">
        <v>77</v>
      </c>
      <c r="D23" s="25" t="s">
        <v>77</v>
      </c>
      <c r="E23" s="26">
        <f>INDEX('面板-景气指数'!F:F,MATCH(景气时钟!D23,'面板-景气指数'!A:A,0))</f>
        <v>0.48442182682747492</v>
      </c>
      <c r="F23" s="27">
        <f>INDEX('面板-景气指数'!C:C,MATCH(景气时钟!D23,'面板-景气指数'!A:A,0))</f>
        <v>0</v>
      </c>
      <c r="G23" s="27">
        <f t="shared" si="0"/>
        <v>0</v>
      </c>
    </row>
    <row r="24" spans="2:7" x14ac:dyDescent="0.2">
      <c r="B24" s="19"/>
      <c r="C24" s="24" t="s">
        <v>224</v>
      </c>
      <c r="D24" s="25" t="s">
        <v>83</v>
      </c>
      <c r="E24" s="26">
        <f>INDEX('面板-景气指数'!F:F,MATCH(景气时钟!D24,'面板-景气指数'!A:A,0))</f>
        <v>0.12599833667704846</v>
      </c>
      <c r="F24" s="27">
        <f>INDEX('面板-景气指数'!C:C,MATCH(景气时钟!D24,'面板-景气指数'!A:A,0))</f>
        <v>-9.1684242317866129</v>
      </c>
      <c r="G24" s="27">
        <f t="shared" si="0"/>
        <v>-9.1684242317866129</v>
      </c>
    </row>
    <row r="25" spans="2:7" x14ac:dyDescent="0.2">
      <c r="B25" s="19"/>
      <c r="C25" s="24" t="s">
        <v>86</v>
      </c>
      <c r="D25" s="25" t="s">
        <v>86</v>
      </c>
      <c r="E25" s="26">
        <f>INDEX('面板-景气指数'!F:F,MATCH(景气时钟!D25,'面板-景气指数'!A:A,0))</f>
        <v>0.5854522381843178</v>
      </c>
      <c r="F25" s="27">
        <f>INDEX('面板-景气指数'!C:C,MATCH(景气时钟!D25,'面板-景气指数'!A:A,0))</f>
        <v>11.01410974405923</v>
      </c>
      <c r="G25" s="27">
        <f t="shared" si="0"/>
        <v>11.01410974405923</v>
      </c>
    </row>
    <row r="26" spans="2:7" x14ac:dyDescent="0.2">
      <c r="B26" s="19"/>
      <c r="C26" s="24" t="s">
        <v>225</v>
      </c>
      <c r="D26" s="25" t="s">
        <v>225</v>
      </c>
      <c r="E26" s="26">
        <f>INDEX('面板-景气指数'!F:F,MATCH(景气时钟!D26,'面板-景气指数'!A:A,0))</f>
        <v>0.27550000000000002</v>
      </c>
      <c r="F26" s="27">
        <f>INDEX('面板-景气指数'!C:C,MATCH(景气时钟!D26,'面板-景气指数'!A:A,0))</f>
        <v>2.5500000000000025</v>
      </c>
      <c r="G26" s="27">
        <f t="shared" si="0"/>
        <v>2.5500000000000025</v>
      </c>
    </row>
    <row r="27" spans="2:7" x14ac:dyDescent="0.2">
      <c r="B27" s="19"/>
      <c r="C27" s="24" t="s">
        <v>226</v>
      </c>
      <c r="D27" s="25" t="s">
        <v>226</v>
      </c>
      <c r="E27" s="26">
        <f>INDEX('面板-景气指数'!F:F,MATCH(景气时钟!D27,'面板-景气指数'!A:A,0))</f>
        <v>0.27102500000000007</v>
      </c>
      <c r="F27" s="27">
        <f>INDEX('面板-景气指数'!C:C,MATCH(景气时钟!D27,'面板-景气指数'!A:A,0))</f>
        <v>-2.3024999999999904</v>
      </c>
      <c r="G27" s="27">
        <f t="shared" si="0"/>
        <v>-2.3024999999999904</v>
      </c>
    </row>
    <row r="28" spans="2:7" x14ac:dyDescent="0.2">
      <c r="B28" s="19"/>
      <c r="C28" s="24" t="s">
        <v>191</v>
      </c>
      <c r="D28" s="25" t="s">
        <v>227</v>
      </c>
      <c r="E28" s="26">
        <f>INDEX('面板-景气指数'!F:F,MATCH(景气时钟!D28,'面板-景气指数'!A:A,0))</f>
        <v>0.48699999999999999</v>
      </c>
      <c r="F28" s="27">
        <f>INDEX('面板-景气指数'!C:C,MATCH(景气时钟!D28,'面板-景气指数'!A:A,0))</f>
        <v>-1.375000000000004</v>
      </c>
      <c r="G28" s="27">
        <f t="shared" si="0"/>
        <v>-1.375000000000004</v>
      </c>
    </row>
    <row r="29" spans="2:7" x14ac:dyDescent="0.2">
      <c r="B29" s="19"/>
      <c r="C29" s="24" t="s">
        <v>228</v>
      </c>
      <c r="D29" s="25" t="s">
        <v>229</v>
      </c>
      <c r="E29" s="26">
        <f>INDEX('面板-景气指数'!F:F,MATCH(景气时钟!D29,'面板-景气指数'!A:A,0))</f>
        <v>0.52309367217256164</v>
      </c>
      <c r="F29" s="27">
        <f>INDEX('面板-景气指数'!C:C,MATCH(景气时钟!D29,'面板-景气指数'!A:A,0))</f>
        <v>8.9161491690676939</v>
      </c>
      <c r="G29" s="27">
        <f t="shared" si="0"/>
        <v>8.9161491690676939</v>
      </c>
    </row>
    <row r="30" spans="2:7" x14ac:dyDescent="0.2">
      <c r="B30" s="19"/>
      <c r="C30" s="24" t="s">
        <v>230</v>
      </c>
      <c r="D30" s="25" t="s">
        <v>230</v>
      </c>
      <c r="E30" s="26">
        <f>INDEX('面板-景气指数'!F:F,MATCH(景气时钟!D30,'面板-景气指数'!A:A,0))</f>
        <v>0.78856249999999994</v>
      </c>
      <c r="F30" s="27">
        <f>INDEX('面板-景气指数'!C:C,MATCH(景气时钟!D30,'面板-景气指数'!A:A,0))</f>
        <v>8.8687500000000021</v>
      </c>
      <c r="G30" s="28">
        <v>-30</v>
      </c>
    </row>
    <row r="31" spans="2:7" x14ac:dyDescent="0.2">
      <c r="B31" s="19"/>
      <c r="C31" s="24" t="s">
        <v>231</v>
      </c>
      <c r="D31" s="25" t="s">
        <v>231</v>
      </c>
      <c r="E31" s="26">
        <f>INDEX('面板-景气指数'!F:F,MATCH(景气时钟!D31,'面板-景气指数'!A:A,0))</f>
        <v>0.76724999999999999</v>
      </c>
      <c r="F31" s="27">
        <f>INDEX('面板-景气指数'!C:C,MATCH(景气时钟!D31,'面板-景气指数'!A:A,0))</f>
        <v>-2.6000000000000023</v>
      </c>
      <c r="G31" s="27">
        <f t="shared" si="0"/>
        <v>-2.6000000000000023</v>
      </c>
    </row>
    <row r="32" spans="2:7" x14ac:dyDescent="0.2">
      <c r="B32" s="19"/>
      <c r="C32" s="24" t="s">
        <v>232</v>
      </c>
      <c r="D32" s="25" t="s">
        <v>232</v>
      </c>
      <c r="E32" s="26">
        <f>INDEX('面板-景气指数'!F:F,MATCH(景气时钟!D32,'面板-景气指数'!A:A,0))</f>
        <v>0.31762500000000005</v>
      </c>
      <c r="F32" s="27">
        <f>INDEX('面板-景气指数'!C:C,MATCH(景气时钟!D32,'面板-景气指数'!A:A,0))</f>
        <v>-0.36249999999999893</v>
      </c>
      <c r="G32" s="27">
        <f t="shared" si="0"/>
        <v>-0.36249999999999893</v>
      </c>
    </row>
    <row r="33" spans="2:7" x14ac:dyDescent="0.2">
      <c r="B33" s="19"/>
      <c r="C33" s="24" t="s">
        <v>233</v>
      </c>
      <c r="D33" s="25" t="s">
        <v>234</v>
      </c>
      <c r="E33" s="26">
        <f>INDEX('面板-景气指数'!F:F,MATCH(景气时钟!D33,'面板-景气指数'!A:A,0))</f>
        <v>0.26499999999999996</v>
      </c>
      <c r="F33" s="27">
        <f>INDEX('面板-景气指数'!C:C,MATCH(景气时钟!D33,'面板-景气指数'!A:A,0))</f>
        <v>-5.8833333333333346</v>
      </c>
      <c r="G33" s="27">
        <f t="shared" si="0"/>
        <v>-5.8833333333333346</v>
      </c>
    </row>
    <row r="34" spans="2:7" x14ac:dyDescent="0.2">
      <c r="B34" s="19"/>
      <c r="C34" s="24" t="s">
        <v>235</v>
      </c>
      <c r="D34" s="25" t="s">
        <v>235</v>
      </c>
      <c r="E34" s="26">
        <f>INDEX('面板-景气指数'!F:F,MATCH(景气时钟!D34,'面板-景气指数'!A:A,0))</f>
        <v>0.11700000000000001</v>
      </c>
      <c r="F34" s="27">
        <f>INDEX('面板-景气指数'!C:C,MATCH(景气时钟!D34,'面板-景气指数'!A:A,0))</f>
        <v>1.5</v>
      </c>
      <c r="G34" s="27">
        <f t="shared" si="0"/>
        <v>1.5</v>
      </c>
    </row>
    <row r="35" spans="2:7" x14ac:dyDescent="0.2">
      <c r="B35" s="19"/>
      <c r="C35" s="24" t="s">
        <v>236</v>
      </c>
      <c r="D35" s="25" t="s">
        <v>236</v>
      </c>
      <c r="E35" s="26">
        <f>INDEX('面板-景气指数'!F:F,MATCH(景气时钟!D35,'面板-景气指数'!A:A,0))</f>
        <v>0.34635714285714303</v>
      </c>
      <c r="F35" s="27">
        <f>INDEX('面板-景气指数'!C:C,MATCH(景气时钟!D35,'面板-景气指数'!A:A,0))</f>
        <v>-19.521428571428544</v>
      </c>
      <c r="G35" s="27">
        <f t="shared" si="0"/>
        <v>-19.521428571428544</v>
      </c>
    </row>
    <row r="36" spans="2:7" x14ac:dyDescent="0.2">
      <c r="B36" s="19"/>
      <c r="C36" s="24" t="s">
        <v>94</v>
      </c>
      <c r="D36" s="25" t="s">
        <v>237</v>
      </c>
      <c r="E36" s="26">
        <f>INDEX('面板-景气指数'!F:F,MATCH(景气时钟!D36,'面板-景气指数'!A:A,0))</f>
        <v>0.70650000000000002</v>
      </c>
      <c r="F36" s="27">
        <f>INDEX('面板-景气指数'!C:C,MATCH(景气时钟!D36,'面板-景气指数'!A:A,0))</f>
        <v>2.0750000000000046</v>
      </c>
      <c r="G36" s="27">
        <f t="shared" si="0"/>
        <v>2.0750000000000046</v>
      </c>
    </row>
    <row r="37" spans="2:7" x14ac:dyDescent="0.2">
      <c r="B37" s="19"/>
      <c r="C37" s="24" t="s">
        <v>96</v>
      </c>
      <c r="D37" s="25" t="s">
        <v>238</v>
      </c>
      <c r="E37" s="26">
        <f>INDEX('面板-景气指数'!F:F,MATCH(景气时钟!D37,'面板-景气指数'!A:A,0))</f>
        <v>7.1000000000000008E-2</v>
      </c>
      <c r="F37" s="27">
        <f>INDEX('面板-景气指数'!C:C,MATCH(景气时钟!D37,'面板-景气指数'!A:A,0))</f>
        <v>5.1000000000000005</v>
      </c>
      <c r="G37" s="27">
        <f t="shared" si="0"/>
        <v>5.1000000000000005</v>
      </c>
    </row>
    <row r="38" spans="2:7" x14ac:dyDescent="0.2">
      <c r="B38" s="19"/>
      <c r="C38" s="24" t="s">
        <v>239</v>
      </c>
      <c r="D38" s="25" t="s">
        <v>98</v>
      </c>
      <c r="E38" s="26">
        <f>INDEX('面板-景气指数'!F:F,MATCH(景气时钟!D38,'面板-景气指数'!A:A,0))</f>
        <v>0.193</v>
      </c>
      <c r="F38" s="27">
        <f>INDEX('面板-景气指数'!C:C,MATCH(景气时钟!D38,'面板-景气指数'!A:A,0))</f>
        <v>-19.400000000000002</v>
      </c>
      <c r="G38" s="28">
        <v>30</v>
      </c>
    </row>
    <row r="39" spans="2:7" x14ac:dyDescent="0.2">
      <c r="B39" s="19"/>
      <c r="C39" s="24" t="s">
        <v>196</v>
      </c>
      <c r="D39" s="25" t="s">
        <v>196</v>
      </c>
      <c r="E39" s="26">
        <f>INDEX('面板-景气指数'!F:F,MATCH(景气时钟!D39,'面板-景气指数'!A:A,0))</f>
        <v>0.45974999999999999</v>
      </c>
      <c r="F39" s="27">
        <f>INDEX('面板-景气指数'!C:C,MATCH(景气时钟!D39,'面板-景气指数'!A:A,0))</f>
        <v>7.8499999999999908</v>
      </c>
      <c r="G39" s="27">
        <f t="shared" si="0"/>
        <v>7.8499999999999908</v>
      </c>
    </row>
    <row r="40" spans="2:7" x14ac:dyDescent="0.2">
      <c r="B40" s="19"/>
      <c r="C40" s="24" t="s">
        <v>197</v>
      </c>
      <c r="D40" s="25" t="s">
        <v>197</v>
      </c>
      <c r="E40" s="26">
        <f>INDEX('面板-景气指数'!F:F,MATCH(景气时钟!D40,'面板-景气指数'!A:A,0))</f>
        <v>0.64</v>
      </c>
      <c r="F40" s="27">
        <f>INDEX('面板-景气指数'!C:C,MATCH(景气时钟!D40,'面板-景气指数'!A:A,0))</f>
        <v>-11.499999999999988</v>
      </c>
      <c r="G40" s="27">
        <f t="shared" si="0"/>
        <v>-11.499999999999988</v>
      </c>
    </row>
    <row r="41" spans="2:7" x14ac:dyDescent="0.2">
      <c r="B41" s="19"/>
      <c r="C41" s="24" t="s">
        <v>198</v>
      </c>
      <c r="D41" s="25" t="s">
        <v>198</v>
      </c>
      <c r="E41" s="26">
        <f>INDEX('面板-景气指数'!F:F,MATCH(景气时钟!D41,'面板-景气指数'!A:A,0))</f>
        <v>0.82599999999999996</v>
      </c>
      <c r="F41" s="27">
        <f>INDEX('面板-景气指数'!C:C,MATCH(景气时钟!D41,'面板-景气指数'!A:A,0))</f>
        <v>-17.400000000000006</v>
      </c>
      <c r="G41" s="27">
        <f t="shared" si="0"/>
        <v>-17.400000000000006</v>
      </c>
    </row>
    <row r="42" spans="2:7" x14ac:dyDescent="0.2">
      <c r="B42" s="19"/>
      <c r="C42" s="24" t="s">
        <v>199</v>
      </c>
      <c r="D42" s="25" t="s">
        <v>199</v>
      </c>
      <c r="E42" s="26">
        <f>INDEX('面板-景气指数'!F:F,MATCH(景气时钟!D42,'面板-景气指数'!A:A,0))</f>
        <v>0.82600000000000007</v>
      </c>
      <c r="F42" s="27">
        <f>INDEX('面板-景气指数'!C:C,MATCH(景气时钟!D42,'面板-景气指数'!A:A,0))</f>
        <v>4.3000000000000149</v>
      </c>
      <c r="G42" s="27">
        <f t="shared" si="0"/>
        <v>4.3000000000000149</v>
      </c>
    </row>
    <row r="43" spans="2:7" x14ac:dyDescent="0.2">
      <c r="B43" s="19"/>
      <c r="C43" s="24" t="s">
        <v>100</v>
      </c>
      <c r="D43" s="25" t="s">
        <v>100</v>
      </c>
      <c r="E43" s="26">
        <f>INDEX('面板-景气指数'!F:F,MATCH(景气时钟!D43,'面板-景气指数'!A:A,0))</f>
        <v>0.48635714285714288</v>
      </c>
      <c r="F43" s="27">
        <f>INDEX('面板-景气指数'!C:C,MATCH(景气时钟!D43,'面板-景气指数'!A:A,0))</f>
        <v>6.9071428571428566</v>
      </c>
      <c r="G43" s="27">
        <f t="shared" si="0"/>
        <v>6.9071428571428566</v>
      </c>
    </row>
    <row r="44" spans="2:7" x14ac:dyDescent="0.2">
      <c r="B44" s="19"/>
      <c r="C44" s="24" t="s">
        <v>102</v>
      </c>
      <c r="D44" s="25" t="s">
        <v>102</v>
      </c>
      <c r="E44" s="26">
        <f>INDEX('面板-景气指数'!F:F,MATCH(景气时钟!D44,'面板-景气指数'!A:A,0))</f>
        <v>0.28299999999999997</v>
      </c>
      <c r="F44" s="27">
        <f>INDEX('面板-景气指数'!C:C,MATCH(景气时钟!D44,'面板-景气指数'!A:A,0))</f>
        <v>13.049999999999997</v>
      </c>
      <c r="G44" s="28">
        <v>30</v>
      </c>
    </row>
    <row r="45" spans="2:7" x14ac:dyDescent="0.2">
      <c r="B45" s="19"/>
      <c r="C45" s="24" t="s">
        <v>240</v>
      </c>
      <c r="D45" s="25" t="s">
        <v>104</v>
      </c>
      <c r="E45" s="26">
        <f>INDEX('面板-景气指数'!F:F,MATCH(景气时钟!D45,'面板-景气指数'!A:A,0))</f>
        <v>0.47959999999999992</v>
      </c>
      <c r="F45" s="27">
        <f>INDEX('面板-景气指数'!C:C,MATCH(景气时钟!D45,'面板-景气指数'!A:A,0))</f>
        <v>3.4500000000000028</v>
      </c>
      <c r="G45" s="27">
        <f t="shared" si="0"/>
        <v>3.4500000000000028</v>
      </c>
    </row>
    <row r="46" spans="2:7" x14ac:dyDescent="0.2">
      <c r="B46" s="19"/>
      <c r="C46" s="24" t="s">
        <v>241</v>
      </c>
      <c r="D46" s="25" t="s">
        <v>106</v>
      </c>
      <c r="E46" s="26">
        <f>INDEX('面板-景气指数'!F:F,MATCH(景气时钟!D46,'面板-景气指数'!A:A,0))</f>
        <v>0.60127272727272729</v>
      </c>
      <c r="F46" s="27">
        <f>INDEX('面板-景气指数'!C:C,MATCH(景气时钟!D46,'面板-景气指数'!A:A,0))</f>
        <v>10.672727272727279</v>
      </c>
      <c r="G46" s="27">
        <f t="shared" si="0"/>
        <v>10.672727272727279</v>
      </c>
    </row>
    <row r="47" spans="2:7" x14ac:dyDescent="0.2">
      <c r="B47" s="19"/>
      <c r="C47" s="24" t="s">
        <v>242</v>
      </c>
      <c r="D47" s="25" t="s">
        <v>84</v>
      </c>
      <c r="E47" s="26">
        <f>INDEX('面板-景气指数'!F:F,MATCH(景气时钟!D47,'面板-景气指数'!A:A,0))</f>
        <v>0.39873333333333338</v>
      </c>
      <c r="F47" s="27">
        <f>INDEX('面板-景气指数'!C:C,MATCH(景气时钟!D47,'面板-景气指数'!A:A,0))</f>
        <v>-17.246666666666666</v>
      </c>
      <c r="G47" s="27">
        <f t="shared" si="0"/>
        <v>-17.246666666666666</v>
      </c>
    </row>
    <row r="48" spans="2:7" x14ac:dyDescent="0.2">
      <c r="B48" s="19"/>
      <c r="C48" s="24" t="s">
        <v>243</v>
      </c>
      <c r="D48" s="25" t="s">
        <v>87</v>
      </c>
      <c r="E48" s="26">
        <f>INDEX('面板-景气指数'!F:F,MATCH(景气时钟!D48,'面板-景气指数'!A:A,0))</f>
        <v>0.55800000000000027</v>
      </c>
      <c r="F48" s="27">
        <f>INDEX('面板-景气指数'!C:C,MATCH(景气时钟!D48,'面板-景气指数'!A:A,0))</f>
        <v>-4.3999999999999932</v>
      </c>
      <c r="G48" s="27">
        <f t="shared" si="0"/>
        <v>-4.3999999999999932</v>
      </c>
    </row>
    <row r="49" spans="2:7" x14ac:dyDescent="0.2">
      <c r="B49" s="19"/>
      <c r="C49" s="24" t="s">
        <v>90</v>
      </c>
      <c r="D49" s="25" t="s">
        <v>90</v>
      </c>
      <c r="E49" s="26">
        <f>INDEX('面板-景气指数'!F:F,MATCH(景气时钟!D49,'面板-景气指数'!A:A,0))</f>
        <v>0.3349583333333333</v>
      </c>
      <c r="F49" s="27">
        <f>INDEX('面板-景气指数'!C:C,MATCH(景气时钟!D49,'面板-景气指数'!A:A,0))</f>
        <v>3.6666666666666625</v>
      </c>
      <c r="G49" s="27">
        <f t="shared" si="0"/>
        <v>3.6666666666666625</v>
      </c>
    </row>
    <row r="50" spans="2:7" x14ac:dyDescent="0.2">
      <c r="C50" s="24" t="s">
        <v>244</v>
      </c>
      <c r="D50" s="25" t="s">
        <v>244</v>
      </c>
      <c r="E50" s="26">
        <f>INDEX('面板-景气指数'!F:F,MATCH(景气时钟!D50,'面板-景气指数'!A:A,0))</f>
        <v>0.36108542713567832</v>
      </c>
      <c r="F50" s="27">
        <f>INDEX('面板-景气指数'!C:C,MATCH(景气时钟!D50,'面板-景气指数'!A:A,0))</f>
        <v>10.315577889447219</v>
      </c>
      <c r="G50" s="27">
        <f t="shared" si="0"/>
        <v>10.315577889447219</v>
      </c>
    </row>
    <row r="51" spans="2:7" x14ac:dyDescent="0.2">
      <c r="C51" s="24" t="s">
        <v>245</v>
      </c>
      <c r="D51" s="25" t="s">
        <v>246</v>
      </c>
      <c r="E51" s="26">
        <f>INDEX('面板-景气指数'!F:F,MATCH(景气时钟!D51,'面板-景气指数'!A:A,0))</f>
        <v>0.79322292993630561</v>
      </c>
      <c r="F51" s="27">
        <f>INDEX('面板-景气指数'!C:C,MATCH(景气时钟!D51,'面板-景气指数'!A:A,0))</f>
        <v>4.1433121019108228</v>
      </c>
      <c r="G51" s="27">
        <f t="shared" si="0"/>
        <v>4.1433121019108228</v>
      </c>
    </row>
    <row r="52" spans="2:7" x14ac:dyDescent="0.2">
      <c r="C52" s="24" t="s">
        <v>247</v>
      </c>
      <c r="D52" s="25" t="s">
        <v>248</v>
      </c>
      <c r="E52" s="26">
        <f>INDEX('面板-景气指数'!F:F,MATCH(景气时钟!D52,'面板-景气指数'!A:A,0))</f>
        <v>0.77233333333333332</v>
      </c>
      <c r="F52" s="27">
        <f>INDEX('面板-景气指数'!C:C,MATCH(景气时钟!D52,'面板-景气指数'!A:A,0))</f>
        <v>0.5833333333333468</v>
      </c>
      <c r="G52" s="27">
        <f t="shared" si="0"/>
        <v>0.5833333333333468</v>
      </c>
    </row>
    <row r="53" spans="2:7" x14ac:dyDescent="0.2">
      <c r="C53" s="24" t="s">
        <v>249</v>
      </c>
      <c r="D53" s="25" t="s">
        <v>249</v>
      </c>
      <c r="E53" s="26">
        <f>INDEX('面板-景气指数'!F:F,MATCH(景气时钟!D53,'面板-景气指数'!A:A,0))</f>
        <v>0.24029169730483804</v>
      </c>
      <c r="F53" s="27">
        <f>INDEX('面板-景气指数'!C:C,MATCH(景气时钟!D53,'面板-景气指数'!A:A,0))</f>
        <v>4.7753396188676689E-2</v>
      </c>
      <c r="G53" s="27">
        <f t="shared" si="0"/>
        <v>4.7753396188676689E-2</v>
      </c>
    </row>
    <row r="54" spans="2:7" x14ac:dyDescent="0.2">
      <c r="C54" s="24" t="s">
        <v>250</v>
      </c>
      <c r="D54" s="25" t="s">
        <v>251</v>
      </c>
      <c r="E54" s="26">
        <f>INDEX('面板-景气指数'!F:F,MATCH(景气时钟!D54,'面板-景气指数'!A:A,0))</f>
        <v>0.09</v>
      </c>
      <c r="F54" s="27">
        <f>INDEX('面板-景气指数'!C:C,MATCH(景气时钟!D54,'面板-景气指数'!A:A,0))</f>
        <v>0</v>
      </c>
      <c r="G54" s="27">
        <f t="shared" si="0"/>
        <v>0</v>
      </c>
    </row>
    <row r="55" spans="2:7" x14ac:dyDescent="0.2">
      <c r="C55" s="24" t="s">
        <v>252</v>
      </c>
      <c r="D55" s="25" t="s">
        <v>181</v>
      </c>
      <c r="E55" s="26">
        <f>INDEX('面板-景气指数'!F:F,MATCH(景气时钟!D55,'面板-景气指数'!A:A,0))</f>
        <v>0.25475000000000009</v>
      </c>
      <c r="F55" s="27">
        <f>INDEX('面板-景气指数'!C:C,MATCH(景气时钟!D55,'面板-景气指数'!A:A,0))</f>
        <v>-24.708333333333314</v>
      </c>
      <c r="G55" s="27">
        <f t="shared" si="0"/>
        <v>-24.708333333333314</v>
      </c>
    </row>
    <row r="56" spans="2:7" x14ac:dyDescent="0.2">
      <c r="C56" s="24" t="s">
        <v>182</v>
      </c>
      <c r="D56" s="25" t="s">
        <v>182</v>
      </c>
      <c r="E56" s="26">
        <f>INDEX('面板-景气指数'!F:F,MATCH(景气时钟!D56,'面板-景气指数'!A:A,0))</f>
        <v>0.03</v>
      </c>
      <c r="F56" s="27">
        <f>INDEX('面板-景气指数'!C:C,MATCH(景气时钟!D56,'面板-景气指数'!A:A,0))</f>
        <v>1.9999999999999998</v>
      </c>
      <c r="G56" s="27">
        <f t="shared" si="0"/>
        <v>1.9999999999999998</v>
      </c>
    </row>
    <row r="57" spans="2:7" x14ac:dyDescent="0.2">
      <c r="C57" s="24" t="s">
        <v>183</v>
      </c>
      <c r="D57" s="25" t="s">
        <v>183</v>
      </c>
      <c r="E57" s="26">
        <f>INDEX('面板-景气指数'!F:F,MATCH(景气时钟!D57,'面板-景气指数'!A:A,0))</f>
        <v>0.69699999999999995</v>
      </c>
      <c r="F57" s="27">
        <f>INDEX('面板-景气指数'!C:C,MATCH(景气时钟!D57,'面板-景气指数'!A:A,0))</f>
        <v>-3.1399999999999983</v>
      </c>
      <c r="G57" s="27">
        <f t="shared" si="0"/>
        <v>-3.1399999999999983</v>
      </c>
    </row>
    <row r="58" spans="2:7" x14ac:dyDescent="0.2">
      <c r="C58" s="24" t="s">
        <v>184</v>
      </c>
      <c r="D58" s="25" t="s">
        <v>184</v>
      </c>
      <c r="E58" s="26">
        <f>INDEX('面板-景气指数'!F:F,MATCH(景气时钟!D58,'面板-景气指数'!A:A,0))</f>
        <v>8.0125000000000002E-2</v>
      </c>
      <c r="F58" s="27">
        <f>INDEX('面板-景气指数'!C:C,MATCH(景气时钟!D58,'面板-景气指数'!A:A,0))</f>
        <v>-63.737500000000011</v>
      </c>
      <c r="G58" s="28">
        <v>-30</v>
      </c>
    </row>
    <row r="59" spans="2:7" x14ac:dyDescent="0.2">
      <c r="C59" s="24" t="s">
        <v>185</v>
      </c>
      <c r="D59" s="25" t="s">
        <v>185</v>
      </c>
      <c r="E59" s="26">
        <f>INDEX('面板-景气指数'!F:F,MATCH(景气时钟!D59,'面板-景气指数'!A:A,0))</f>
        <v>0.44800000000000001</v>
      </c>
      <c r="F59" s="27">
        <f>INDEX('面板-景气指数'!C:C,MATCH(景气时钟!D59,'面板-景气指数'!A:A,0))</f>
        <v>-11.300000000000004</v>
      </c>
      <c r="G59" s="27">
        <f t="shared" si="0"/>
        <v>-11.300000000000004</v>
      </c>
    </row>
    <row r="60" spans="2:7" x14ac:dyDescent="0.2">
      <c r="C60" s="24" t="s">
        <v>253</v>
      </c>
      <c r="D60" s="25" t="s">
        <v>253</v>
      </c>
      <c r="E60" s="26">
        <f>INDEX('面板-景气指数'!F:F,MATCH(景气时钟!D60,'面板-景气指数'!A:A,0))</f>
        <v>0.16300000000000001</v>
      </c>
      <c r="F60" s="27">
        <f>INDEX('面板-景气指数'!C:C,MATCH(景气时钟!D60,'面板-景气指数'!A:A,0))</f>
        <v>6.65</v>
      </c>
      <c r="G60" s="27">
        <f t="shared" si="0"/>
        <v>6.65</v>
      </c>
    </row>
    <row r="61" spans="2:7" x14ac:dyDescent="0.2">
      <c r="C61" s="24" t="s">
        <v>254</v>
      </c>
      <c r="D61" s="25" t="s">
        <v>255</v>
      </c>
      <c r="E61" s="26">
        <f>INDEX('面板-景气指数'!F:F,MATCH(景气时钟!D61,'面板-景气指数'!A:A,0))</f>
        <v>0.25868749999999996</v>
      </c>
      <c r="F61" s="27">
        <f>INDEX('面板-景气指数'!C:C,MATCH(景气时钟!D61,'面板-景气指数'!A:A,0))</f>
        <v>-35.956249999999997</v>
      </c>
      <c r="G61" s="27">
        <f t="shared" si="0"/>
        <v>-35.956249999999997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EA5C-FC33-4507-903A-64764F812D56}">
  <sheetPr>
    <tabColor rgb="FFC00000"/>
  </sheetPr>
  <dimension ref="A2:K40"/>
  <sheetViews>
    <sheetView showGridLines="0" workbookViewId="0">
      <selection activeCell="D34" sqref="D34"/>
    </sheetView>
  </sheetViews>
  <sheetFormatPr defaultColWidth="8.625" defaultRowHeight="12.75" x14ac:dyDescent="0.2"/>
  <cols>
    <col min="1" max="1" width="100.625" style="36" customWidth="1"/>
    <col min="2" max="2" width="2.125" style="32" customWidth="1"/>
    <col min="3" max="3" width="19.125" style="32" customWidth="1"/>
    <col min="4" max="4" width="12.125" style="32" customWidth="1"/>
    <col min="5" max="5" width="10.625" style="32" customWidth="1"/>
    <col min="6" max="6" width="20.375" style="32" customWidth="1"/>
    <col min="7" max="7" width="16.75" style="32" customWidth="1"/>
    <col min="8" max="8" width="13.875" style="32" customWidth="1"/>
    <col min="9" max="10" width="10.625" style="32" customWidth="1"/>
    <col min="11" max="11" width="13.125" style="32" customWidth="1"/>
    <col min="12" max="16384" width="8.625" style="32"/>
  </cols>
  <sheetData>
    <row r="2" spans="3:10" x14ac:dyDescent="0.2">
      <c r="C2" s="30" t="s">
        <v>256</v>
      </c>
      <c r="D2" s="30" t="s">
        <v>257</v>
      </c>
      <c r="E2" s="31" t="s">
        <v>258</v>
      </c>
      <c r="F2" s="31" t="s">
        <v>259</v>
      </c>
      <c r="G2" s="31" t="s">
        <v>260</v>
      </c>
      <c r="H2" s="31" t="s">
        <v>261</v>
      </c>
      <c r="I2" s="31" t="s">
        <v>262</v>
      </c>
      <c r="J2" s="31" t="s">
        <v>263</v>
      </c>
    </row>
    <row r="3" spans="3:10" x14ac:dyDescent="0.2">
      <c r="C3" s="33" t="s">
        <v>264</v>
      </c>
      <c r="D3" s="33" t="s">
        <v>5</v>
      </c>
      <c r="E3" s="34">
        <v>22.688655672163918</v>
      </c>
      <c r="F3" s="34">
        <v>74.099999999999994</v>
      </c>
      <c r="G3" s="34">
        <v>99</v>
      </c>
      <c r="H3" s="34">
        <v>12.879372334386229</v>
      </c>
      <c r="I3" s="34">
        <f>INDEX('面板-景气指数'!B:B,MATCH('安全边际（一级行业）'!D3,'面板-景气指数'!A:A,0))</f>
        <v>-1.7350000000000088</v>
      </c>
      <c r="J3" s="34">
        <f>INDEX('面板-景气指数'!F:F,MATCH('安全边际（一级行业）'!D3,'面板-景气指数'!A:A,0))*100</f>
        <v>63.639999999999993</v>
      </c>
    </row>
    <row r="4" spans="3:10" x14ac:dyDescent="0.2">
      <c r="C4" s="33" t="s">
        <v>8</v>
      </c>
      <c r="D4" s="33" t="s">
        <v>8</v>
      </c>
      <c r="E4" s="34">
        <v>67.6911544227886</v>
      </c>
      <c r="F4" s="34">
        <v>100</v>
      </c>
      <c r="G4" s="34">
        <v>83.1</v>
      </c>
      <c r="H4" s="34">
        <v>3.8752834545147996</v>
      </c>
      <c r="I4" s="34">
        <f>INDEX('面板-景气指数'!B:B,MATCH('安全边际（一级行业）'!D4,'面板-景气指数'!A:A,0))</f>
        <v>-17.333333333333336</v>
      </c>
      <c r="J4" s="34">
        <f>INDEX('面板-景气指数'!F:F,MATCH('安全边际（一级行业）'!D4,'面板-景气指数'!A:A,0))*100</f>
        <v>64.8333333333334</v>
      </c>
    </row>
    <row r="5" spans="3:10" x14ac:dyDescent="0.2">
      <c r="C5" s="33" t="s">
        <v>265</v>
      </c>
      <c r="D5" s="33" t="s">
        <v>11</v>
      </c>
      <c r="E5" s="34">
        <v>24.562718640679659</v>
      </c>
      <c r="F5" s="34">
        <v>87</v>
      </c>
      <c r="G5" s="34">
        <v>90.8</v>
      </c>
      <c r="H5" s="34">
        <v>-3.3165809277376779</v>
      </c>
      <c r="I5" s="34">
        <f>INDEX('面板-景气指数'!B:B,MATCH('安全边际（一级行业）'!D5,'面板-景气指数'!A:A,0))</f>
        <v>19.40217637284864</v>
      </c>
      <c r="J5" s="34">
        <f>INDEX('面板-景气指数'!F:F,MATCH('安全边际（一级行业）'!D5,'面板-景气指数'!A:A,0))*100</f>
        <v>48.655130732944357</v>
      </c>
    </row>
    <row r="6" spans="3:10" x14ac:dyDescent="0.2">
      <c r="C6" s="33" t="s">
        <v>266</v>
      </c>
      <c r="D6" s="33" t="s">
        <v>14</v>
      </c>
      <c r="E6" s="34">
        <v>5.7971014492753623</v>
      </c>
      <c r="F6" s="34">
        <v>12.9</v>
      </c>
      <c r="G6" s="34">
        <v>99</v>
      </c>
      <c r="H6" s="34">
        <v>-18.58469916045372</v>
      </c>
      <c r="I6" s="34">
        <f>INDEX('面板-景气指数'!B:B,MATCH('安全边际（一级行业）'!D6,'面板-景气指数'!A:A,0))</f>
        <v>-15.124452704997204</v>
      </c>
      <c r="J6" s="34">
        <f>INDEX('面板-景气指数'!F:F,MATCH('安全边际（一级行业）'!D6,'面板-景气指数'!A:A,0))*100</f>
        <v>29.217727371569762</v>
      </c>
    </row>
    <row r="7" spans="3:10" x14ac:dyDescent="0.2">
      <c r="C7" s="33" t="s">
        <v>267</v>
      </c>
      <c r="D7" s="33" t="s">
        <v>20</v>
      </c>
      <c r="E7" s="34">
        <v>0.57471264367816088</v>
      </c>
      <c r="F7" s="34">
        <v>3.2</v>
      </c>
      <c r="G7" s="34">
        <v>20.399999999999999</v>
      </c>
      <c r="H7" s="34">
        <v>-17.698488381973888</v>
      </c>
      <c r="I7" s="34">
        <f>INDEX('面板-景气指数'!B:B,MATCH('安全边际（一级行业）'!D7,'面板-景气指数'!A:A,0))</f>
        <v>16.09181365329011</v>
      </c>
      <c r="J7" s="34">
        <f>INDEX('面板-景气指数'!F:F,MATCH('安全边际（一级行业）'!D7,'面板-景气指数'!A:A,0))*100</f>
        <v>26.686984816800052</v>
      </c>
    </row>
    <row r="8" spans="3:10" x14ac:dyDescent="0.2">
      <c r="C8" s="33" t="s">
        <v>17</v>
      </c>
      <c r="D8" s="33" t="s">
        <v>17</v>
      </c>
      <c r="E8" s="34">
        <v>9.0204897551224388</v>
      </c>
      <c r="F8" s="34">
        <v>87</v>
      </c>
      <c r="G8" s="34">
        <v>56.2</v>
      </c>
      <c r="H8" s="34">
        <v>-5.0037372311269923</v>
      </c>
      <c r="I8" s="34">
        <f>INDEX('面板-景气指数'!B:B,MATCH('安全边际（一级行业）'!D8,'面板-景气指数'!A:A,0))</f>
        <v>17.489146849367298</v>
      </c>
      <c r="J8" s="34">
        <f>INDEX('面板-景气指数'!F:F,MATCH('安全边际（一级行业）'!D8,'面板-景气指数'!A:A,0))*100</f>
        <v>23.806671746836507</v>
      </c>
    </row>
    <row r="9" spans="3:10" x14ac:dyDescent="0.2">
      <c r="C9" s="33" t="s">
        <v>268</v>
      </c>
      <c r="D9" s="33" t="s">
        <v>26</v>
      </c>
      <c r="E9" s="34">
        <v>3.1234382808595704</v>
      </c>
      <c r="F9" s="34">
        <v>57.999999999999993</v>
      </c>
      <c r="G9" s="34">
        <v>79.3</v>
      </c>
      <c r="H9" s="34">
        <v>-32.145563169333805</v>
      </c>
      <c r="I9" s="34">
        <f>INDEX('面板-景气指数'!B:B,MATCH('安全边际（一级行业）'!D9,'面板-景气指数'!A:A,0))</f>
        <v>-15.378718314600819</v>
      </c>
      <c r="J9" s="34">
        <f>INDEX('面板-景气指数'!F:F,MATCH('安全边际（一级行业）'!D9,'面板-景气指数'!A:A,0))*100</f>
        <v>45.549044215383191</v>
      </c>
    </row>
    <row r="10" spans="3:10" x14ac:dyDescent="0.2">
      <c r="C10" s="33" t="s">
        <v>269</v>
      </c>
      <c r="D10" s="33" t="s">
        <v>29</v>
      </c>
      <c r="E10" s="34">
        <v>3.1984007996001997</v>
      </c>
      <c r="F10" s="34">
        <v>70.899999999999991</v>
      </c>
      <c r="G10" s="34">
        <v>18.399999999999999</v>
      </c>
      <c r="H10" s="34">
        <v>-20.632431890020577</v>
      </c>
      <c r="I10" s="34">
        <f>INDEX('面板-景气指数'!B:B,MATCH('安全边际（一级行业）'!D10,'面板-景气指数'!A:A,0))</f>
        <v>-27.304578269657643</v>
      </c>
      <c r="J10" s="34">
        <f>INDEX('面板-景气指数'!F:F,MATCH('安全边际（一级行业）'!D10,'面板-景气指数'!A:A,0))*100</f>
        <v>30.929650990134327</v>
      </c>
    </row>
    <row r="11" spans="3:10" x14ac:dyDescent="0.2">
      <c r="C11" s="33" t="s">
        <v>270</v>
      </c>
      <c r="D11" s="33" t="s">
        <v>23</v>
      </c>
      <c r="E11" s="34">
        <v>28.860569715142432</v>
      </c>
      <c r="F11" s="34">
        <v>54.800000000000004</v>
      </c>
      <c r="G11" s="34">
        <v>99.2</v>
      </c>
      <c r="H11" s="34">
        <v>-2.2993607319011344</v>
      </c>
      <c r="I11" s="34">
        <f>INDEX('面板-景气指数'!B:B,MATCH('安全边际（一级行业）'!D11,'面板-景气指数'!A:A,0))</f>
        <v>13.275310151974889</v>
      </c>
      <c r="J11" s="34">
        <f>INDEX('面板-景气指数'!F:F,MATCH('安全边际（一级行业）'!D11,'面板-景气指数'!A:A,0))*100</f>
        <v>51.855580461091435</v>
      </c>
    </row>
    <row r="12" spans="3:10" x14ac:dyDescent="0.2">
      <c r="C12" s="33" t="s">
        <v>44</v>
      </c>
      <c r="D12" s="33" t="s">
        <v>44</v>
      </c>
      <c r="E12" s="34">
        <v>55.597201399300346</v>
      </c>
      <c r="F12" s="34">
        <v>35.4</v>
      </c>
      <c r="G12" s="34">
        <v>79.5</v>
      </c>
      <c r="H12" s="34">
        <v>5.7138545644171979</v>
      </c>
      <c r="I12" s="34">
        <f>INDEX('面板-景气指数'!B:B,MATCH('安全边际（一级行业）'!D12,'面板-景气指数'!A:A,0))</f>
        <v>-21.310000000000006</v>
      </c>
      <c r="J12" s="34">
        <f>INDEX('面板-景气指数'!F:F,MATCH('安全边际（一级行业）'!D12,'面板-景气指数'!A:A,0))*100</f>
        <v>36.739999999999995</v>
      </c>
    </row>
    <row r="13" spans="3:10" x14ac:dyDescent="0.2">
      <c r="C13" s="33" t="s">
        <v>271</v>
      </c>
      <c r="D13" s="33" t="s">
        <v>35</v>
      </c>
      <c r="E13" s="34">
        <v>7.0464767616191901</v>
      </c>
      <c r="F13" s="34">
        <v>41.9</v>
      </c>
      <c r="G13" s="34">
        <v>30.3</v>
      </c>
      <c r="H13" s="34">
        <v>7.2472471028049767</v>
      </c>
      <c r="I13" s="34">
        <f>INDEX('面板-景气指数'!B:B,MATCH('安全边际（一级行业）'!D13,'面板-景气指数'!A:A,0))</f>
        <v>-2.9707052271491783</v>
      </c>
      <c r="J13" s="34">
        <f>INDEX('面板-景气指数'!F:F,MATCH('安全边际（一级行业）'!D13,'面板-景气指数'!A:A,0))*100</f>
        <v>36.871466261115934</v>
      </c>
    </row>
    <row r="14" spans="3:10" x14ac:dyDescent="0.2">
      <c r="C14" s="33" t="s">
        <v>272</v>
      </c>
      <c r="D14" s="33" t="s">
        <v>38</v>
      </c>
      <c r="E14" s="34">
        <v>13.568215892053972</v>
      </c>
      <c r="F14" s="34">
        <v>41.9</v>
      </c>
      <c r="G14" s="34">
        <v>15</v>
      </c>
      <c r="H14" s="34">
        <v>-14.631421630573394</v>
      </c>
      <c r="I14" s="34">
        <f>INDEX('面板-景气指数'!B:B,MATCH('安全边际（一级行业）'!D14,'面板-景气指数'!A:A,0))</f>
        <v>-4.4539480179619062</v>
      </c>
      <c r="J14" s="34">
        <f>INDEX('面板-景气指数'!F:F,MATCH('安全边际（一级行业）'!D14,'面板-景气指数'!A:A,0))*100</f>
        <v>22.473957654466236</v>
      </c>
    </row>
    <row r="15" spans="3:10" x14ac:dyDescent="0.2">
      <c r="C15" s="33" t="s">
        <v>273</v>
      </c>
      <c r="D15" s="33" t="s">
        <v>32</v>
      </c>
      <c r="E15" s="34">
        <v>3.1734132933533234</v>
      </c>
      <c r="F15" s="34">
        <v>74.099999999999994</v>
      </c>
      <c r="G15" s="34">
        <v>26.5</v>
      </c>
      <c r="H15" s="34">
        <v>-13.945718339512103</v>
      </c>
      <c r="I15" s="34">
        <f>INDEX('面板-景气指数'!B:B,MATCH('安全边际（一级行业）'!D15,'面板-景气指数'!A:A,0))</f>
        <v>-62.003792853953769</v>
      </c>
      <c r="J15" s="34">
        <f>INDEX('面板-景气指数'!F:F,MATCH('安全边际（一级行业）'!D15,'面板-景气指数'!A:A,0))*100</f>
        <v>11.322437831309614</v>
      </c>
    </row>
    <row r="16" spans="3:10" x14ac:dyDescent="0.2">
      <c r="C16" s="33" t="s">
        <v>274</v>
      </c>
      <c r="D16" s="33" t="s">
        <v>53</v>
      </c>
      <c r="E16" s="34">
        <v>43.678160919540232</v>
      </c>
      <c r="F16" s="34">
        <v>12.9</v>
      </c>
      <c r="G16" s="34">
        <v>0.7</v>
      </c>
      <c r="H16" s="34">
        <v>-25.459806838393007</v>
      </c>
      <c r="I16" s="34">
        <f>INDEX('面板-景气指数'!B:B,MATCH('安全边际（一级行业）'!D16,'面板-景气指数'!A:A,0))</f>
        <v>27.103443190556796</v>
      </c>
      <c r="J16" s="34">
        <f>INDEX('面板-景气指数'!F:F,MATCH('安全边际（一级行业）'!D16,'面板-景气指数'!A:A,0))*100</f>
        <v>44.206455468493068</v>
      </c>
    </row>
    <row r="17" spans="3:10" x14ac:dyDescent="0.2">
      <c r="C17" s="33" t="s">
        <v>275</v>
      </c>
      <c r="D17" s="33" t="s">
        <v>56</v>
      </c>
      <c r="E17" s="34">
        <v>36.58170914542729</v>
      </c>
      <c r="F17" s="34">
        <v>0</v>
      </c>
      <c r="G17" s="34">
        <v>0.8</v>
      </c>
      <c r="H17" s="34">
        <v>-13.624084574315177</v>
      </c>
      <c r="I17" s="34">
        <f>INDEX('面板-景气指数'!B:B,MATCH('安全边际（一级行业）'!D17,'面板-景气指数'!A:A,0))</f>
        <v>50.118216676076166</v>
      </c>
      <c r="J17" s="34">
        <f>INDEX('面板-景气指数'!F:F,MATCH('安全边际（一级行业）'!D17,'面板-景气指数'!A:A,0))*100</f>
        <v>79.312489260904798</v>
      </c>
    </row>
    <row r="18" spans="3:10" x14ac:dyDescent="0.2">
      <c r="C18" s="33" t="s">
        <v>276</v>
      </c>
      <c r="D18" s="33" t="s">
        <v>47</v>
      </c>
      <c r="E18" s="34">
        <v>15.217391304347828</v>
      </c>
      <c r="F18" s="34">
        <v>48.3</v>
      </c>
      <c r="G18" s="34">
        <v>48.2</v>
      </c>
      <c r="H18" s="34">
        <v>28.735235512115942</v>
      </c>
      <c r="I18" s="34">
        <f>INDEX('面板-景气指数'!B:B,MATCH('安全边际（一级行业）'!D18,'面板-景气指数'!A:A,0))</f>
        <v>45.561406029182407</v>
      </c>
      <c r="J18" s="34">
        <f>INDEX('面板-景气指数'!F:F,MATCH('安全边际（一级行业）'!D18,'面板-景气指数'!A:A,0))*100</f>
        <v>69.497447789524912</v>
      </c>
    </row>
    <row r="19" spans="3:10" x14ac:dyDescent="0.2">
      <c r="C19" s="33" t="s">
        <v>277</v>
      </c>
      <c r="D19" s="33" t="s">
        <v>59</v>
      </c>
      <c r="E19" s="34">
        <v>20.139930034982509</v>
      </c>
      <c r="F19" s="34">
        <v>96.7</v>
      </c>
      <c r="G19" s="34">
        <v>78.3</v>
      </c>
      <c r="H19" s="34">
        <v>-22.611891108035053</v>
      </c>
      <c r="I19" s="34">
        <f>INDEX('面板-景气指数'!B:B,MATCH('安全边际（一级行业）'!D19,'面板-景气指数'!A:A,0))</f>
        <v>-10.138097193963505</v>
      </c>
      <c r="J19" s="34">
        <f>INDEX('面板-景气指数'!F:F,MATCH('安全边际（一级行业）'!D19,'面板-景气指数'!A:A,0))*100</f>
        <v>18.454490187981673</v>
      </c>
    </row>
    <row r="20" spans="3:10" x14ac:dyDescent="0.2">
      <c r="C20" s="33" t="s">
        <v>278</v>
      </c>
      <c r="D20" s="33" t="s">
        <v>41</v>
      </c>
      <c r="E20" s="34">
        <v>14.442778610694655</v>
      </c>
      <c r="F20" s="34">
        <v>93.5</v>
      </c>
      <c r="G20" s="34">
        <v>99.7</v>
      </c>
      <c r="H20" s="34">
        <v>6.2869649598741972</v>
      </c>
      <c r="I20" s="34">
        <f>INDEX('面板-景气指数'!B:B,MATCH('安全边际（一级行业）'!D20,'面板-景气指数'!A:A,0))</f>
        <v>46.96564744270443</v>
      </c>
      <c r="J20" s="34">
        <f>INDEX('面板-景气指数'!F:F,MATCH('安全边际（一级行业）'!D20,'面板-景气指数'!A:A,0))*100</f>
        <v>76.413109973610986</v>
      </c>
    </row>
    <row r="21" spans="3:10" x14ac:dyDescent="0.2">
      <c r="C21" s="33" t="s">
        <v>279</v>
      </c>
      <c r="D21" s="33" t="s">
        <v>50</v>
      </c>
      <c r="E21" s="34">
        <v>48.875562218890558</v>
      </c>
      <c r="F21" s="34">
        <v>57.999999999999993</v>
      </c>
      <c r="G21" s="34">
        <v>42.4</v>
      </c>
      <c r="H21" s="34">
        <v>-3.131727664155004</v>
      </c>
      <c r="I21" s="34">
        <f>INDEX('面板-景气指数'!B:B,MATCH('安全边际（一级行业）'!D21,'面板-景气指数'!A:A,0))</f>
        <v>-16.084432566043187</v>
      </c>
      <c r="J21" s="34">
        <f>INDEX('面板-景气指数'!F:F,MATCH('安全边际（一级行业）'!D21,'面板-景气指数'!A:A,0))*100</f>
        <v>20.139872167346589</v>
      </c>
    </row>
    <row r="22" spans="3:10" x14ac:dyDescent="0.2">
      <c r="C22" s="33" t="s">
        <v>280</v>
      </c>
      <c r="D22" s="33" t="s">
        <v>83</v>
      </c>
      <c r="E22" s="34">
        <v>0.52473763118440786</v>
      </c>
      <c r="F22" s="34">
        <v>38.700000000000003</v>
      </c>
      <c r="G22" s="34">
        <v>15.5</v>
      </c>
      <c r="H22" s="34">
        <v>-24.31312707149177</v>
      </c>
      <c r="I22" s="34">
        <f>INDEX('面板-景气指数'!B:B,MATCH('安全边际（一级行业）'!D22,'面板-景气指数'!A:A,0))</f>
        <v>-16.657371016819056</v>
      </c>
      <c r="J22" s="34">
        <f>INDEX('面板-景气指数'!F:F,MATCH('安全边际（一级行业）'!D22,'面板-景气指数'!A:A,0))*100</f>
        <v>12.599833667704846</v>
      </c>
    </row>
    <row r="23" spans="3:10" x14ac:dyDescent="0.2">
      <c r="C23" s="33" t="s">
        <v>77</v>
      </c>
      <c r="D23" s="33" t="s">
        <v>77</v>
      </c>
      <c r="E23" s="34">
        <v>7.1214392803598203</v>
      </c>
      <c r="F23" s="34">
        <v>12.9</v>
      </c>
      <c r="G23" s="34">
        <v>59.8</v>
      </c>
      <c r="H23" s="34">
        <v>16.035982723096854</v>
      </c>
      <c r="I23" s="34">
        <f>INDEX('面板-景气指数'!B:B,MATCH('安全边际（一级行业）'!D23,'面板-景气指数'!A:A,0))</f>
        <v>-2.7637086885644924</v>
      </c>
      <c r="J23" s="34">
        <f>INDEX('面板-景气指数'!F:F,MATCH('安全边际（一级行业）'!D23,'面板-景气指数'!A:A,0))*100</f>
        <v>48.442182682747493</v>
      </c>
    </row>
    <row r="24" spans="3:10" x14ac:dyDescent="0.2">
      <c r="C24" s="33" t="s">
        <v>281</v>
      </c>
      <c r="D24" s="33" t="s">
        <v>80</v>
      </c>
      <c r="E24" s="34">
        <v>0.7496251874062968</v>
      </c>
      <c r="F24" s="34">
        <v>9.6</v>
      </c>
      <c r="G24" s="34">
        <v>36.700000000000003</v>
      </c>
      <c r="H24" s="34">
        <v>6.8884200074469604</v>
      </c>
      <c r="I24" s="34">
        <f>INDEX('面板-景气指数'!B:B,MATCH('安全边际（一级行业）'!D24,'面板-景气指数'!A:A,0))</f>
        <v>13.126202779151958</v>
      </c>
      <c r="J24" s="34">
        <f>INDEX('面板-景气指数'!F:F,MATCH('安全边际（一级行业）'!D24,'面板-景气指数'!A:A,0))*100</f>
        <v>47.380063718141216</v>
      </c>
    </row>
    <row r="25" spans="3:10" x14ac:dyDescent="0.2">
      <c r="C25" s="33" t="s">
        <v>65</v>
      </c>
      <c r="D25" s="33" t="s">
        <v>65</v>
      </c>
      <c r="E25" s="34">
        <v>65.847548328839878</v>
      </c>
      <c r="F25" s="34">
        <v>22.5</v>
      </c>
      <c r="G25" s="34">
        <v>10.7</v>
      </c>
      <c r="H25" s="34">
        <v>0.51534527869121494</v>
      </c>
      <c r="I25" s="34">
        <f>INDEX('面板-景气指数'!B:B,MATCH('安全边际（一级行业）'!D25,'面板-景气指数'!A:A,0))</f>
        <v>22.596714222770554</v>
      </c>
      <c r="J25" s="34">
        <f>INDEX('面板-景气指数'!F:F,MATCH('安全边际（一级行业）'!D25,'面板-景气指数'!A:A,0))*100</f>
        <v>39.883642522078723</v>
      </c>
    </row>
    <row r="26" spans="3:10" x14ac:dyDescent="0.2">
      <c r="C26" s="33" t="s">
        <v>68</v>
      </c>
      <c r="D26" s="33" t="s">
        <v>68</v>
      </c>
      <c r="E26" s="34">
        <v>65.517060407564458</v>
      </c>
      <c r="F26" s="34">
        <v>3.2</v>
      </c>
      <c r="G26" s="34">
        <v>100</v>
      </c>
      <c r="H26" s="34">
        <v>38.149286498353455</v>
      </c>
      <c r="I26" s="34">
        <f>INDEX('面板-景气指数'!B:B,MATCH('安全边际（一级行业）'!D26,'面板-景气指数'!A:A,0))</f>
        <v>58.726499999999994</v>
      </c>
      <c r="J26" s="34">
        <f>INDEX('面板-景气指数'!F:F,MATCH('安全边际（一级行业）'!D26,'面板-景气指数'!A:A,0))*100</f>
        <v>73.033499999999989</v>
      </c>
    </row>
    <row r="27" spans="3:10" x14ac:dyDescent="0.2">
      <c r="C27" s="33" t="s">
        <v>71</v>
      </c>
      <c r="D27" s="33" t="s">
        <v>71</v>
      </c>
      <c r="E27" s="34">
        <v>23.638180909545227</v>
      </c>
      <c r="F27" s="34">
        <v>90.3</v>
      </c>
      <c r="G27" s="34">
        <v>100</v>
      </c>
      <c r="H27" s="34">
        <v>29.628971841901318</v>
      </c>
      <c r="I27" s="34">
        <f>INDEX('面板-景气指数'!B:B,MATCH('安全边际（一级行业）'!D27,'面板-景气指数'!A:A,0))</f>
        <v>-14.30569625599068</v>
      </c>
      <c r="J27" s="34">
        <f>INDEX('面板-景气指数'!F:F,MATCH('安全边际（一级行业）'!D27,'面板-景气指数'!A:A,0))*100</f>
        <v>19.661303935491013</v>
      </c>
    </row>
    <row r="28" spans="3:10" x14ac:dyDescent="0.2">
      <c r="C28" s="33" t="s">
        <v>62</v>
      </c>
      <c r="D28" s="33" t="s">
        <v>62</v>
      </c>
      <c r="E28" s="34">
        <v>51.603932475822177</v>
      </c>
      <c r="F28" s="34">
        <v>45.1</v>
      </c>
      <c r="G28" s="34">
        <v>66.3</v>
      </c>
      <c r="H28" s="34">
        <v>-4.2782226264556851</v>
      </c>
      <c r="I28" s="34">
        <f>INDEX('面板-景气指数'!B:B,MATCH('安全边际（一级行业）'!D28,'面板-景气指数'!A:A,0))</f>
        <v>33.490071265508533</v>
      </c>
      <c r="J28" s="34">
        <f>INDEX('面板-景气指数'!F:F,MATCH('安全边际（一级行业）'!D28,'面板-景气指数'!A:A,0))*100</f>
        <v>53.801433709008442</v>
      </c>
    </row>
    <row r="29" spans="3:10" x14ac:dyDescent="0.2">
      <c r="C29" s="33" t="s">
        <v>282</v>
      </c>
      <c r="D29" s="33" t="s">
        <v>86</v>
      </c>
      <c r="E29" s="34">
        <v>35.43228385807096</v>
      </c>
      <c r="F29" s="34">
        <v>77.400000000000006</v>
      </c>
      <c r="G29" s="34">
        <v>54</v>
      </c>
      <c r="H29" s="34">
        <v>6.0430374913268414</v>
      </c>
      <c r="I29" s="34">
        <f>INDEX('面板-景气指数'!B:B,MATCH('安全边际（一级行业）'!D29,'面板-景气指数'!A:A,0))</f>
        <v>31.056183968747963</v>
      </c>
      <c r="J29" s="34">
        <f>INDEX('面板-景气指数'!F:F,MATCH('安全边际（一级行业）'!D29,'面板-景气指数'!A:A,0))*100</f>
        <v>58.545223818431779</v>
      </c>
    </row>
    <row r="30" spans="3:10" x14ac:dyDescent="0.2">
      <c r="C30" s="33" t="s">
        <v>283</v>
      </c>
      <c r="D30" s="33" t="s">
        <v>89</v>
      </c>
      <c r="E30" s="34">
        <v>3.2233883058470769</v>
      </c>
      <c r="F30" s="34">
        <v>54.800000000000004</v>
      </c>
      <c r="G30" s="34">
        <v>27</v>
      </c>
      <c r="H30" s="34">
        <v>-9.828333606946515</v>
      </c>
      <c r="I30" s="34">
        <f>INDEX('面板-景气指数'!B:B,MATCH('安全边际（一级行业）'!D30,'面板-景气指数'!A:A,0))</f>
        <v>33.848960240003379</v>
      </c>
      <c r="J30" s="34">
        <f>INDEX('面板-景气指数'!F:F,MATCH('安全边际（一级行业）'!D30,'面板-景气指数'!A:A,0))*100</f>
        <v>54.915539128618519</v>
      </c>
    </row>
    <row r="31" spans="3:10" x14ac:dyDescent="0.2">
      <c r="C31" s="33" t="s">
        <v>284</v>
      </c>
      <c r="D31" s="33" t="s">
        <v>284</v>
      </c>
      <c r="E31" s="34">
        <v>3.073463268365817</v>
      </c>
      <c r="F31" s="34">
        <v>61.199999999999996</v>
      </c>
      <c r="G31" s="34">
        <v>97.5</v>
      </c>
      <c r="H31" s="34">
        <v>-3.870658032737273</v>
      </c>
      <c r="I31" s="34">
        <f>INDEX('面板-景气指数'!B:B,MATCH('安全边际（一级行业）'!D31,'面板-景气指数'!A:A,0))</f>
        <v>-11.07749999999999</v>
      </c>
      <c r="J31" s="34">
        <f>INDEX('面板-景气指数'!F:F,MATCH('安全边际（一级行业）'!D31,'面板-景气指数'!A:A,0))*100</f>
        <v>27.102500000000006</v>
      </c>
    </row>
    <row r="32" spans="3:10" x14ac:dyDescent="0.2">
      <c r="C32" s="33" t="s">
        <v>285</v>
      </c>
      <c r="D32" s="33" t="s">
        <v>285</v>
      </c>
      <c r="E32" s="34">
        <v>1.5242378810594703</v>
      </c>
      <c r="F32" s="34">
        <v>28.999999999999996</v>
      </c>
      <c r="G32" s="34">
        <v>59.3</v>
      </c>
      <c r="H32" s="34">
        <v>-12.743841993286908</v>
      </c>
      <c r="I32" s="34">
        <f>INDEX('面板-景气指数'!B:B,MATCH('安全边际（一级行业）'!D32,'面板-景气指数'!A:A,0))</f>
        <v>14.3</v>
      </c>
      <c r="J32" s="34">
        <f>INDEX('面板-景气指数'!F:F,MATCH('安全边际（一级行业）'!D32,'面板-景气指数'!A:A,0))*100</f>
        <v>27.55</v>
      </c>
    </row>
    <row r="35" spans="3:11" x14ac:dyDescent="0.2">
      <c r="C35" s="35"/>
      <c r="D35" s="35"/>
      <c r="E35" s="35"/>
      <c r="F35" s="35"/>
      <c r="G35" s="35"/>
      <c r="H35" s="35"/>
      <c r="I35" s="35"/>
      <c r="J35" s="35"/>
      <c r="K35" s="35"/>
    </row>
    <row r="40" spans="3:11" x14ac:dyDescent="0.2">
      <c r="C40" s="32" t="s">
        <v>286</v>
      </c>
    </row>
  </sheetData>
  <phoneticPr fontId="4" type="noConversion"/>
  <pageMargins left="0.69930555555555596" right="0.69930555555555596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E478-8C30-4595-AC75-975595ABC92E}">
  <sheetPr>
    <tabColor rgb="FFC00000"/>
  </sheetPr>
  <dimension ref="A2:H53"/>
  <sheetViews>
    <sheetView showGridLines="0" workbookViewId="0">
      <selection activeCell="D34" sqref="D34"/>
    </sheetView>
  </sheetViews>
  <sheetFormatPr defaultColWidth="8.625" defaultRowHeight="12.75" x14ac:dyDescent="0.2"/>
  <cols>
    <col min="1" max="1" width="100.625" style="36" customWidth="1"/>
    <col min="2" max="2" width="2.125" style="32" customWidth="1"/>
    <col min="3" max="3" width="19.125" style="32" customWidth="1"/>
    <col min="4" max="4" width="12.125" style="32" customWidth="1"/>
    <col min="5" max="5" width="10.625" style="32" customWidth="1"/>
    <col min="6" max="6" width="18.125" style="32" bestFit="1" customWidth="1"/>
    <col min="7" max="8" width="10.625" style="32" customWidth="1"/>
    <col min="9" max="16384" width="8.625" style="32"/>
  </cols>
  <sheetData>
    <row r="2" spans="2:8" x14ac:dyDescent="0.2">
      <c r="B2" s="37"/>
      <c r="C2" s="30" t="s">
        <v>256</v>
      </c>
      <c r="D2" s="30" t="s">
        <v>257</v>
      </c>
      <c r="E2" s="38" t="s">
        <v>258</v>
      </c>
      <c r="F2" s="31" t="s">
        <v>287</v>
      </c>
      <c r="G2" s="31" t="s">
        <v>262</v>
      </c>
      <c r="H2" s="31" t="s">
        <v>263</v>
      </c>
    </row>
    <row r="3" spans="2:8" x14ac:dyDescent="0.2">
      <c r="C3" s="33" t="s">
        <v>264</v>
      </c>
      <c r="D3" s="33" t="s">
        <v>5</v>
      </c>
      <c r="E3" s="39">
        <v>22.688655672163918</v>
      </c>
      <c r="F3" s="34">
        <v>12.879372334386229</v>
      </c>
      <c r="G3" s="34">
        <f>INDEX('面板-景气指数'!B:B,MATCH(安全边际!D3,'面板-景气指数'!A:A,0))</f>
        <v>-1.7350000000000088</v>
      </c>
      <c r="H3" s="34">
        <f>INDEX('面板-景气指数'!F:F,MATCH(安全边际!D3,'面板-景气指数'!A:A,0))*100</f>
        <v>63.639999999999993</v>
      </c>
    </row>
    <row r="4" spans="2:8" x14ac:dyDescent="0.2">
      <c r="C4" s="33" t="s">
        <v>8</v>
      </c>
      <c r="D4" s="33" t="s">
        <v>8</v>
      </c>
      <c r="E4" s="39">
        <v>67.6911544227886</v>
      </c>
      <c r="F4" s="34">
        <v>3.8752834545147996</v>
      </c>
      <c r="G4" s="34">
        <f>INDEX('面板-景气指数'!B:B,MATCH(安全边际!D4,'面板-景气指数'!A:A,0))</f>
        <v>-17.333333333333336</v>
      </c>
      <c r="H4" s="34">
        <f>INDEX('面板-景气指数'!F:F,MATCH(安全边际!D4,'面板-景气指数'!A:A,0))*100</f>
        <v>64.8333333333334</v>
      </c>
    </row>
    <row r="5" spans="2:8" x14ac:dyDescent="0.2">
      <c r="C5" s="33" t="s">
        <v>269</v>
      </c>
      <c r="D5" s="33" t="s">
        <v>29</v>
      </c>
      <c r="E5" s="39">
        <v>3.1984007996001997</v>
      </c>
      <c r="F5" s="34">
        <v>-20.632431890020577</v>
      </c>
      <c r="G5" s="34">
        <f>INDEX('面板-景气指数'!B:B,MATCH(安全边际!D5,'面板-景气指数'!A:A,0))</f>
        <v>-27.304578269657643</v>
      </c>
      <c r="H5" s="34">
        <f>INDEX('面板-景气指数'!F:F,MATCH(安全边际!D5,'面板-景气指数'!A:A,0))*100</f>
        <v>30.929650990134327</v>
      </c>
    </row>
    <row r="6" spans="2:8" x14ac:dyDescent="0.2">
      <c r="C6" s="33" t="s">
        <v>278</v>
      </c>
      <c r="D6" s="33" t="s">
        <v>41</v>
      </c>
      <c r="E6" s="39">
        <v>14.442778610694655</v>
      </c>
      <c r="F6" s="34">
        <v>6.2869649598741972</v>
      </c>
      <c r="G6" s="34">
        <f>INDEX('面板-景气指数'!B:B,MATCH(安全边际!D6,'面板-景气指数'!A:A,0))</f>
        <v>46.96564744270443</v>
      </c>
      <c r="H6" s="34">
        <f>INDEX('面板-景气指数'!F:F,MATCH(安全边际!D6,'面板-景气指数'!A:A,0))*100</f>
        <v>76.413109973610986</v>
      </c>
    </row>
    <row r="7" spans="2:8" x14ac:dyDescent="0.2">
      <c r="C7" s="33" t="s">
        <v>276</v>
      </c>
      <c r="D7" s="33" t="s">
        <v>47</v>
      </c>
      <c r="E7" s="39">
        <v>15.217391304347828</v>
      </c>
      <c r="F7" s="34">
        <v>28.735235512115942</v>
      </c>
      <c r="G7" s="34">
        <f>INDEX('面板-景气指数'!B:B,MATCH(安全边际!D7,'面板-景气指数'!A:A,0))</f>
        <v>45.561406029182407</v>
      </c>
      <c r="H7" s="34">
        <f>INDEX('面板-景气指数'!F:F,MATCH(安全边际!D7,'面板-景气指数'!A:A,0))*100</f>
        <v>69.497447789524912</v>
      </c>
    </row>
    <row r="8" spans="2:8" x14ac:dyDescent="0.2">
      <c r="C8" s="33" t="s">
        <v>44</v>
      </c>
      <c r="D8" s="33" t="s">
        <v>44</v>
      </c>
      <c r="E8" s="39">
        <v>55.597201399300346</v>
      </c>
      <c r="F8" s="34">
        <v>5.7138545644171979</v>
      </c>
      <c r="G8" s="34">
        <f>INDEX('面板-景气指数'!B:B,MATCH(安全边际!D8,'面板-景气指数'!A:A,0))</f>
        <v>-21.310000000000006</v>
      </c>
      <c r="H8" s="34">
        <f>INDEX('面板-景气指数'!F:F,MATCH(安全边际!D8,'面板-景气指数'!A:A,0))*100</f>
        <v>36.739999999999995</v>
      </c>
    </row>
    <row r="9" spans="2:8" x14ac:dyDescent="0.2">
      <c r="C9" s="33" t="s">
        <v>279</v>
      </c>
      <c r="D9" s="33" t="s">
        <v>50</v>
      </c>
      <c r="E9" s="39">
        <v>48.875562218890558</v>
      </c>
      <c r="F9" s="34">
        <v>-3.131727664155004</v>
      </c>
      <c r="G9" s="34">
        <f>INDEX('面板-景气指数'!B:B,MATCH(安全边际!D9,'面板-景气指数'!A:A,0))</f>
        <v>-16.084432566043187</v>
      </c>
      <c r="H9" s="34">
        <f>INDEX('面板-景气指数'!F:F,MATCH(安全边际!D9,'面板-景气指数'!A:A,0))*100</f>
        <v>20.139872167346589</v>
      </c>
    </row>
    <row r="10" spans="2:8" x14ac:dyDescent="0.2">
      <c r="C10" s="33" t="s">
        <v>274</v>
      </c>
      <c r="D10" s="33" t="s">
        <v>53</v>
      </c>
      <c r="E10" s="39">
        <v>43.678160919540232</v>
      </c>
      <c r="F10" s="34">
        <v>-25.459806838393007</v>
      </c>
      <c r="G10" s="34">
        <f>INDEX('面板-景气指数'!B:B,MATCH(安全边际!D10,'面板-景气指数'!A:A,0))</f>
        <v>27.103443190556796</v>
      </c>
      <c r="H10" s="34">
        <f>INDEX('面板-景气指数'!F:F,MATCH(安全边际!D10,'面板-景气指数'!A:A,0))*100</f>
        <v>44.206455468493068</v>
      </c>
    </row>
    <row r="11" spans="2:8" x14ac:dyDescent="0.2">
      <c r="C11" s="33" t="s">
        <v>275</v>
      </c>
      <c r="D11" s="33" t="s">
        <v>56</v>
      </c>
      <c r="E11" s="39">
        <v>36.58170914542729</v>
      </c>
      <c r="F11" s="34">
        <v>-13.624084574315177</v>
      </c>
      <c r="G11" s="34">
        <f>INDEX('面板-景气指数'!B:B,MATCH(安全边际!D11,'面板-景气指数'!A:A,0))</f>
        <v>50.118216676076166</v>
      </c>
      <c r="H11" s="34">
        <f>INDEX('面板-景气指数'!F:F,MATCH(安全边际!D11,'面板-景气指数'!A:A,0))*100</f>
        <v>79.312489260904798</v>
      </c>
    </row>
    <row r="12" spans="2:8" x14ac:dyDescent="0.2">
      <c r="C12" s="33" t="s">
        <v>68</v>
      </c>
      <c r="D12" s="33" t="s">
        <v>68</v>
      </c>
      <c r="E12" s="39">
        <v>65.517060407564458</v>
      </c>
      <c r="F12" s="34">
        <v>38.149286498353455</v>
      </c>
      <c r="G12" s="34">
        <f>INDEX('面板-景气指数'!B:B,MATCH(安全边际!D12,'面板-景气指数'!A:A,0))</f>
        <v>58.726499999999994</v>
      </c>
      <c r="H12" s="34">
        <f>INDEX('面板-景气指数'!F:F,MATCH(安全边际!D12,'面板-景气指数'!A:A,0))*100</f>
        <v>73.033499999999989</v>
      </c>
    </row>
    <row r="13" spans="2:8" x14ac:dyDescent="0.2">
      <c r="C13" s="33" t="s">
        <v>282</v>
      </c>
      <c r="D13" s="33" t="s">
        <v>86</v>
      </c>
      <c r="E13" s="39">
        <v>35.43228385807096</v>
      </c>
      <c r="F13" s="34">
        <v>6.0430374913268414</v>
      </c>
      <c r="G13" s="34">
        <f>INDEX('面板-景气指数'!B:B,MATCH(安全边际!D13,'面板-景气指数'!A:A,0))</f>
        <v>31.056183968747963</v>
      </c>
      <c r="H13" s="34">
        <f>INDEX('面板-景气指数'!F:F,MATCH(安全边际!D13,'面板-景气指数'!A:A,0))*100</f>
        <v>58.545223818431779</v>
      </c>
    </row>
    <row r="14" spans="2:8" x14ac:dyDescent="0.2">
      <c r="C14" s="33" t="s">
        <v>285</v>
      </c>
      <c r="D14" s="33" t="s">
        <v>285</v>
      </c>
      <c r="E14" s="39">
        <v>1.5242378810594703</v>
      </c>
      <c r="F14" s="34">
        <v>-12.743841993286908</v>
      </c>
      <c r="G14" s="34">
        <f>INDEX('面板-景气指数'!B:B,MATCH(安全边际!D14,'面板-景气指数'!A:A,0))</f>
        <v>14.3</v>
      </c>
      <c r="H14" s="34">
        <f>INDEX('面板-景气指数'!F:F,MATCH(安全边际!D14,'面板-景气指数'!A:A,0))*100</f>
        <v>27.55</v>
      </c>
    </row>
    <row r="15" spans="2:8" x14ac:dyDescent="0.2">
      <c r="C15" s="33" t="s">
        <v>284</v>
      </c>
      <c r="D15" s="33" t="s">
        <v>284</v>
      </c>
      <c r="E15" s="39">
        <v>3.073463268365817</v>
      </c>
      <c r="F15" s="34">
        <v>-3.870658032737273</v>
      </c>
      <c r="G15" s="34">
        <f>INDEX('面板-景气指数'!B:B,MATCH(安全边际!D15,'面板-景气指数'!A:A,0))</f>
        <v>-11.07749999999999</v>
      </c>
      <c r="H15" s="34">
        <f>INDEX('面板-景气指数'!F:F,MATCH(安全边际!D15,'面板-景气指数'!A:A,0))*100</f>
        <v>27.102500000000006</v>
      </c>
    </row>
    <row r="16" spans="2:8" x14ac:dyDescent="0.2">
      <c r="C16" s="33" t="s">
        <v>277</v>
      </c>
      <c r="D16" s="33" t="s">
        <v>59</v>
      </c>
      <c r="E16" s="39">
        <v>20.139930034982509</v>
      </c>
      <c r="F16" s="34">
        <v>-22.611891108035053</v>
      </c>
      <c r="G16" s="34">
        <f>INDEX('面板-景气指数'!B:B,MATCH(安全边际!D16,'面板-景气指数'!A:A,0))</f>
        <v>-10.138097193963505</v>
      </c>
      <c r="H16" s="34">
        <f>INDEX('面板-景气指数'!F:F,MATCH(安全边际!D16,'面板-景气指数'!A:A,0))*100</f>
        <v>18.454490187981673</v>
      </c>
    </row>
    <row r="17" spans="3:8" x14ac:dyDescent="0.2">
      <c r="C17" s="33" t="s">
        <v>63</v>
      </c>
      <c r="D17" s="33" t="s">
        <v>63</v>
      </c>
      <c r="E17" s="39">
        <v>4.2728635682158922</v>
      </c>
      <c r="F17" s="34">
        <v>6.1967122939894592</v>
      </c>
      <c r="G17" s="34">
        <f>INDEX('面板-景气指数'!B:B,MATCH(安全边际!D17,'面板-景气指数'!A:A,0))</f>
        <v>17.80833333333333</v>
      </c>
      <c r="H17" s="34">
        <f>INDEX('面板-景气指数'!F:F,MATCH(安全边际!D17,'面板-景气指数'!A:A,0))*100</f>
        <v>23.770833333333329</v>
      </c>
    </row>
    <row r="18" spans="3:8" x14ac:dyDescent="0.2">
      <c r="C18" s="33" t="s">
        <v>21</v>
      </c>
      <c r="D18" s="33" t="s">
        <v>21</v>
      </c>
      <c r="E18" s="39">
        <v>62.518740629685155</v>
      </c>
      <c r="F18" s="34">
        <v>35.139368076992895</v>
      </c>
      <c r="G18" s="34">
        <f>INDEX('面板-景气指数'!B:B,MATCH(安全边际!D18,'面板-景气指数'!A:A,0))</f>
        <v>22.371605385871408</v>
      </c>
      <c r="H18" s="34">
        <f>INDEX('面板-景气指数'!F:F,MATCH(安全边际!D18,'面板-景气指数'!A:A,0))*100</f>
        <v>51.100625101558869</v>
      </c>
    </row>
    <row r="19" spans="3:8" x14ac:dyDescent="0.2">
      <c r="C19" s="33" t="s">
        <v>27</v>
      </c>
      <c r="D19" s="33" t="s">
        <v>27</v>
      </c>
      <c r="E19" s="39">
        <v>5.6471764117941037</v>
      </c>
      <c r="F19" s="34">
        <v>-3.3654633008739721</v>
      </c>
      <c r="G19" s="34">
        <f>INDEX('面板-景气指数'!B:B,MATCH(安全边际!D19,'面板-景气指数'!A:A,0))</f>
        <v>-7.6499999999999959</v>
      </c>
      <c r="H19" s="34">
        <f>INDEX('面板-景气指数'!F:F,MATCH(安全边际!D19,'面板-景气指数'!A:A,0))*100</f>
        <v>40.25</v>
      </c>
    </row>
    <row r="20" spans="3:8" x14ac:dyDescent="0.2">
      <c r="C20" s="33" t="s">
        <v>30</v>
      </c>
      <c r="D20" s="33" t="s">
        <v>30</v>
      </c>
      <c r="E20" s="39">
        <v>13.5</v>
      </c>
      <c r="F20" s="34">
        <v>-48.836411523927026</v>
      </c>
      <c r="G20" s="34">
        <f>INDEX('面板-景气指数'!B:B,MATCH(安全边际!D20,'面板-景气指数'!A:A,0))</f>
        <v>-50.100000000000009</v>
      </c>
      <c r="H20" s="34">
        <f>INDEX('面板-景气指数'!F:F,MATCH(安全边际!D20,'面板-景气指数'!A:A,0))*100</f>
        <v>17.233333333333334</v>
      </c>
    </row>
    <row r="21" spans="3:8" x14ac:dyDescent="0.2">
      <c r="C21" s="33" t="s">
        <v>36</v>
      </c>
      <c r="D21" s="33" t="s">
        <v>36</v>
      </c>
      <c r="E21" s="39">
        <v>5.2723638180909544</v>
      </c>
      <c r="F21" s="34">
        <v>-13.018121507905223</v>
      </c>
      <c r="G21" s="34">
        <f>INDEX('面板-景气指数'!B:B,MATCH(安全边际!D21,'面板-景气指数'!A:A,0))</f>
        <v>7.7306571885948472</v>
      </c>
      <c r="H21" s="34">
        <f>INDEX('面板-景气指数'!F:F,MATCH(安全边际!D21,'面板-景气指数'!A:A,0))*100</f>
        <v>24.91872592769565</v>
      </c>
    </row>
    <row r="22" spans="3:8" x14ac:dyDescent="0.2">
      <c r="C22" s="33" t="s">
        <v>39</v>
      </c>
      <c r="D22" s="33" t="s">
        <v>39</v>
      </c>
      <c r="E22" s="39">
        <v>8.2958520739630188</v>
      </c>
      <c r="F22" s="34">
        <v>-17.032623653668434</v>
      </c>
      <c r="G22" s="34">
        <f>INDEX('面板-景气指数'!B:B,MATCH(安全边际!D22,'面板-景气指数'!A:A,0))</f>
        <v>-0.3942204605484112</v>
      </c>
      <c r="H22" s="34">
        <f>INDEX('面板-景气指数'!F:F,MATCH(安全边际!D22,'面板-景气指数'!A:A,0))*100</f>
        <v>41.705215744218002</v>
      </c>
    </row>
    <row r="23" spans="3:8" x14ac:dyDescent="0.2">
      <c r="C23" s="33" t="s">
        <v>288</v>
      </c>
      <c r="D23" s="33" t="s">
        <v>42</v>
      </c>
      <c r="E23" s="39">
        <v>1.5242378810594703</v>
      </c>
      <c r="F23" s="34">
        <v>-11.512944327219611</v>
      </c>
      <c r="G23" s="34">
        <f>INDEX('面板-景气指数'!B:B,MATCH(安全边际!D23,'面板-景气指数'!A:A,0))</f>
        <v>-10.086080039803141</v>
      </c>
      <c r="H23" s="34">
        <f>INDEX('面板-景气指数'!F:F,MATCH(安全边际!D23,'面板-景气指数'!A:A,0))*100</f>
        <v>35.373444098748699</v>
      </c>
    </row>
    <row r="24" spans="3:8" x14ac:dyDescent="0.2">
      <c r="C24" s="33" t="s">
        <v>289</v>
      </c>
      <c r="D24" s="33" t="s">
        <v>51</v>
      </c>
      <c r="E24" s="39">
        <v>3.4482758620689653</v>
      </c>
      <c r="F24" s="34">
        <v>-24.024308499728285</v>
      </c>
      <c r="G24" s="34">
        <f>INDEX('面板-景气指数'!B:B,MATCH(安全边际!D24,'面板-景气指数'!A:A,0))</f>
        <v>-28.057142857142857</v>
      </c>
      <c r="H24" s="34">
        <f>INDEX('面板-景气指数'!F:F,MATCH(安全边际!D24,'面板-景气指数'!A:A,0))*100</f>
        <v>15.321428571428571</v>
      </c>
    </row>
    <row r="25" spans="3:8" x14ac:dyDescent="0.2">
      <c r="C25" s="33" t="s">
        <v>66</v>
      </c>
      <c r="D25" s="33" t="s">
        <v>66</v>
      </c>
      <c r="E25" s="39">
        <v>0.34982508745627189</v>
      </c>
      <c r="F25" s="34">
        <v>-13.223956861876296</v>
      </c>
      <c r="G25" s="34">
        <f>INDEX('面板-景气指数'!B:B,MATCH(安全边际!D25,'面板-景气指数'!A:A,0))</f>
        <v>20.349999999999998</v>
      </c>
      <c r="H25" s="34">
        <f>INDEX('面板-景气指数'!F:F,MATCH(安全边际!D25,'面板-景气指数'!A:A,0))*100</f>
        <v>29.65</v>
      </c>
    </row>
    <row r="26" spans="3:8" x14ac:dyDescent="0.2">
      <c r="C26" s="33" t="s">
        <v>290</v>
      </c>
      <c r="D26" s="33" t="s">
        <v>69</v>
      </c>
      <c r="E26" s="39">
        <v>7.4462768615692152</v>
      </c>
      <c r="F26" s="34">
        <v>-21.085542375758838</v>
      </c>
      <c r="G26" s="34">
        <f>INDEX('面板-景气指数'!B:B,MATCH(安全边际!D26,'面板-景气指数'!A:A,0))</f>
        <v>-8.1500000000000021</v>
      </c>
      <c r="H26" s="34">
        <f>INDEX('面板-景气指数'!F:F,MATCH(安全边际!D26,'面板-景气指数'!A:A,0))*100</f>
        <v>21.4</v>
      </c>
    </row>
    <row r="27" spans="3:8" x14ac:dyDescent="0.2">
      <c r="C27" s="33" t="s">
        <v>72</v>
      </c>
      <c r="D27" s="33" t="s">
        <v>72</v>
      </c>
      <c r="E27" s="39">
        <v>0.69965017491254378</v>
      </c>
      <c r="F27" s="34">
        <v>-19.3894818606135</v>
      </c>
      <c r="G27" s="34">
        <f>INDEX('面板-景气指数'!B:B,MATCH(安全边际!D27,'面板-景气指数'!A:A,0))</f>
        <v>16.432355413486803</v>
      </c>
      <c r="H27" s="34">
        <f>INDEX('面板-景气指数'!F:F,MATCH(安全边际!D27,'面板-景气指数'!A:A,0))*100</f>
        <v>22.698744031100148</v>
      </c>
    </row>
    <row r="28" spans="3:8" x14ac:dyDescent="0.2">
      <c r="C28" s="33" t="s">
        <v>291</v>
      </c>
      <c r="D28" s="33" t="s">
        <v>75</v>
      </c>
      <c r="E28" s="39">
        <v>10.069965017491254</v>
      </c>
      <c r="F28" s="34">
        <v>-8.3610812233264724</v>
      </c>
      <c r="G28" s="34">
        <f>INDEX('面板-景气指数'!B:B,MATCH(安全边际!D28,'面板-景气指数'!A:A,0))</f>
        <v>45.674999999999997</v>
      </c>
      <c r="H28" s="34">
        <f>INDEX('面板-景气指数'!F:F,MATCH(安全边际!D28,'面板-景气指数'!A:A,0))*100</f>
        <v>76.724999999999994</v>
      </c>
    </row>
    <row r="29" spans="3:8" x14ac:dyDescent="0.2">
      <c r="C29" s="33" t="s">
        <v>292</v>
      </c>
      <c r="D29" s="33" t="s">
        <v>81</v>
      </c>
      <c r="E29" s="39">
        <v>27.900000000000002</v>
      </c>
      <c r="F29" s="34">
        <v>-3.5795941143037968</v>
      </c>
      <c r="G29" s="34">
        <f>INDEX('面板-景气指数'!B:B,MATCH(安全边际!D29,'面板-景气指数'!A:A,0))</f>
        <v>-15.816666666666679</v>
      </c>
      <c r="H29" s="34">
        <f>INDEX('面板-景气指数'!F:F,MATCH(安全边际!D29,'面板-景气指数'!A:A,0))*100</f>
        <v>26.499999999999996</v>
      </c>
    </row>
    <row r="30" spans="3:8" x14ac:dyDescent="0.2">
      <c r="C30" s="33" t="s">
        <v>78</v>
      </c>
      <c r="D30" s="33" t="s">
        <v>78</v>
      </c>
      <c r="E30" s="39">
        <v>54.374999999999993</v>
      </c>
      <c r="F30" s="34">
        <v>13.419455167992144</v>
      </c>
      <c r="G30" s="34">
        <f>INDEX('面板-景气指数'!B:B,MATCH(安全边际!D30,'面板-景气指数'!A:A,0))</f>
        <v>-14.237500000000002</v>
      </c>
      <c r="H30" s="34">
        <f>INDEX('面板-景气指数'!F:F,MATCH(安全边际!D30,'面板-景气指数'!A:A,0))*100</f>
        <v>31.762500000000003</v>
      </c>
    </row>
    <row r="31" spans="3:8" x14ac:dyDescent="0.2">
      <c r="C31" s="33" t="s">
        <v>293</v>
      </c>
      <c r="D31" s="33" t="s">
        <v>84</v>
      </c>
      <c r="E31" s="39">
        <v>1.6</v>
      </c>
      <c r="F31" s="34">
        <v>-50.233607554355878</v>
      </c>
      <c r="G31" s="34">
        <f>INDEX('面板-景气指数'!B:B,MATCH(安全边际!D31,'面板-景气指数'!A:A,0))</f>
        <v>-29.74</v>
      </c>
      <c r="H31" s="34">
        <f>INDEX('面板-景气指数'!F:F,MATCH(安全边际!D31,'面板-景气指数'!A:A,0))*100</f>
        <v>39.873333333333335</v>
      </c>
    </row>
    <row r="32" spans="3:8" x14ac:dyDescent="0.2">
      <c r="C32" s="33" t="s">
        <v>294</v>
      </c>
      <c r="D32" s="33" t="s">
        <v>87</v>
      </c>
      <c r="E32" s="39">
        <v>28.324999999999999</v>
      </c>
      <c r="F32" s="34">
        <v>-41.419990047629206</v>
      </c>
      <c r="G32" s="34">
        <f>INDEX('面板-景气指数'!B:B,MATCH(安全边际!D32,'面板-景气指数'!A:A,0))</f>
        <v>7.3250000000000428</v>
      </c>
      <c r="H32" s="34">
        <f>INDEX('面板-景气指数'!F:F,MATCH(安全边际!D32,'面板-景气指数'!A:A,0))*100</f>
        <v>55.800000000000026</v>
      </c>
    </row>
    <row r="33" spans="3:8" x14ac:dyDescent="0.2">
      <c r="C33" s="33" t="s">
        <v>90</v>
      </c>
      <c r="D33" s="33" t="s">
        <v>90</v>
      </c>
      <c r="E33" s="39">
        <v>3.85</v>
      </c>
      <c r="F33" s="34">
        <v>-31.811506163366243</v>
      </c>
      <c r="G33" s="34">
        <f>INDEX('面板-景气指数'!B:B,MATCH(安全边际!D33,'面板-景气指数'!A:A,0))</f>
        <v>-21.870833333333344</v>
      </c>
      <c r="H33" s="34">
        <f>INDEX('面板-景气指数'!F:F,MATCH(安全边际!D33,'面板-景气指数'!A:A,0))*100</f>
        <v>33.49583333333333</v>
      </c>
    </row>
    <row r="34" spans="3:8" x14ac:dyDescent="0.2">
      <c r="C34" s="33" t="s">
        <v>295</v>
      </c>
      <c r="D34" s="33" t="s">
        <v>92</v>
      </c>
      <c r="E34" s="39"/>
      <c r="F34" s="34">
        <v>0.1859596410735298</v>
      </c>
      <c r="G34" s="34">
        <f>INDEX('面板-景气指数'!B:B,MATCH(安全边际!D34,'面板-景气指数'!A:A,0))</f>
        <v>-6.15</v>
      </c>
      <c r="H34" s="34">
        <f>INDEX('面板-景气指数'!F:F,MATCH(安全边际!D34,'面板-景气指数'!A:A,0))*100</f>
        <v>60.650000000000006</v>
      </c>
    </row>
    <row r="35" spans="3:8" x14ac:dyDescent="0.2">
      <c r="C35" s="33" t="s">
        <v>100</v>
      </c>
      <c r="D35" s="33" t="s">
        <v>100</v>
      </c>
      <c r="E35" s="39">
        <v>27.034517880544708</v>
      </c>
      <c r="F35" s="34">
        <v>-18.656613647318043</v>
      </c>
      <c r="G35" s="34">
        <f>INDEX('面板-景气指数'!B:B,MATCH(安全边际!D35,'面板-景气指数'!A:A,0))</f>
        <v>8.9857142857142964</v>
      </c>
      <c r="H35" s="34">
        <f>INDEX('面板-景气指数'!F:F,MATCH(安全边际!D35,'面板-景气指数'!A:A,0))*100</f>
        <v>48.635714285714286</v>
      </c>
    </row>
    <row r="36" spans="3:8" x14ac:dyDescent="0.2">
      <c r="C36" s="33" t="s">
        <v>296</v>
      </c>
      <c r="D36" s="33" t="s">
        <v>114</v>
      </c>
      <c r="E36" s="39">
        <v>66.6431293612453</v>
      </c>
      <c r="F36" s="34">
        <v>-12.435019614959952</v>
      </c>
      <c r="G36" s="34">
        <f>INDEX('面板-景气指数'!B:B,MATCH(安全边际!D36,'面板-景气指数'!A:A,0))</f>
        <v>14.7</v>
      </c>
      <c r="H36" s="34">
        <f>INDEX('面板-景气指数'!F:F,MATCH(安全边际!D36,'面板-景气指数'!A:A,0))*100</f>
        <v>30.249999999999993</v>
      </c>
    </row>
    <row r="37" spans="3:8" x14ac:dyDescent="0.2">
      <c r="C37" s="33" t="s">
        <v>112</v>
      </c>
      <c r="D37" s="33" t="s">
        <v>112</v>
      </c>
      <c r="E37" s="39">
        <v>30.234882558720638</v>
      </c>
      <c r="F37" s="34">
        <v>21.436851175577544</v>
      </c>
      <c r="G37" s="34">
        <f>INDEX('面板-景气指数'!B:B,MATCH(安全边际!D37,'面板-景气指数'!A:A,0))</f>
        <v>56.240000000000045</v>
      </c>
      <c r="H37" s="34">
        <f>INDEX('面板-景气指数'!F:F,MATCH(安全边际!D37,'面板-景气指数'!A:A,0))*100</f>
        <v>80.780000000000015</v>
      </c>
    </row>
    <row r="38" spans="3:8" x14ac:dyDescent="0.2">
      <c r="C38" s="33" t="s">
        <v>297</v>
      </c>
      <c r="D38" s="33" t="s">
        <v>104</v>
      </c>
      <c r="E38" s="39">
        <v>82.924900210838786</v>
      </c>
      <c r="F38" s="34">
        <v>6.4614021849676906</v>
      </c>
      <c r="G38" s="34">
        <f>INDEX('面板-景气指数'!B:B,MATCH(安全边际!D38,'面板-景气指数'!A:A,0))</f>
        <v>37.44</v>
      </c>
      <c r="H38" s="34">
        <f>INDEX('面板-景气指数'!F:F,MATCH(安全边际!D38,'面板-景气指数'!A:A,0))*100</f>
        <v>47.959999999999994</v>
      </c>
    </row>
    <row r="39" spans="3:8" x14ac:dyDescent="0.2">
      <c r="C39" s="33" t="s">
        <v>298</v>
      </c>
      <c r="D39" s="33" t="s">
        <v>106</v>
      </c>
      <c r="E39" s="39">
        <v>19.71278979608908</v>
      </c>
      <c r="F39" s="34">
        <v>13.094964215352057</v>
      </c>
      <c r="G39" s="34">
        <f>INDEX('面板-景气指数'!B:B,MATCH(安全边际!D39,'面板-景气指数'!A:A,0))</f>
        <v>23.700000000000003</v>
      </c>
      <c r="H39" s="34">
        <f>INDEX('面板-景气指数'!F:F,MATCH(安全边际!D39,'面板-景气指数'!A:A,0))*100</f>
        <v>60.127272727272732</v>
      </c>
    </row>
    <row r="40" spans="3:8" x14ac:dyDescent="0.2">
      <c r="C40" s="33" t="s">
        <v>102</v>
      </c>
      <c r="D40" s="33" t="s">
        <v>102</v>
      </c>
      <c r="E40" s="39">
        <v>25.512243878060971</v>
      </c>
      <c r="F40" s="34">
        <v>3.6145596346360831</v>
      </c>
      <c r="G40" s="34">
        <f>INDEX('面板-景气指数'!B:B,MATCH(安全边际!D40,'面板-景气指数'!A:A,0))</f>
        <v>-15.550000000000008</v>
      </c>
      <c r="H40" s="34">
        <f>INDEX('面板-景气指数'!F:F,MATCH(安全边际!D40,'面板-景气指数'!A:A,0))*100</f>
        <v>28.299999999999997</v>
      </c>
    </row>
    <row r="41" spans="3:8" x14ac:dyDescent="0.2">
      <c r="C41" s="33" t="s">
        <v>108</v>
      </c>
      <c r="D41" s="33" t="s">
        <v>108</v>
      </c>
      <c r="E41" s="39"/>
      <c r="F41" s="34">
        <v>36.501275117002493</v>
      </c>
      <c r="G41" s="34">
        <f>INDEX('面板-景气指数'!B:B,MATCH(安全边际!D41,'面板-景气指数'!A:A,0))</f>
        <v>-7.9249999999999998</v>
      </c>
      <c r="H41" s="34">
        <f>INDEX('面板-景气指数'!F:F,MATCH(安全边际!D41,'面板-景气指数'!A:A,0))*100</f>
        <v>11.700000000000001</v>
      </c>
    </row>
    <row r="42" spans="3:8" x14ac:dyDescent="0.2">
      <c r="C42" s="33" t="s">
        <v>110</v>
      </c>
      <c r="D42" s="33" t="s">
        <v>110</v>
      </c>
      <c r="E42" s="39">
        <v>17.991004497751124</v>
      </c>
      <c r="F42" s="34">
        <v>25.801940019389601</v>
      </c>
      <c r="G42" s="34">
        <f>INDEX('面板-景气指数'!B:B,MATCH(安全边际!D42,'面板-景气指数'!A:A,0))</f>
        <v>-26.307142857142807</v>
      </c>
      <c r="H42" s="34">
        <f>INDEX('面板-景气指数'!F:F,MATCH(安全边际!D42,'面板-景气指数'!A:A,0))*100</f>
        <v>34.6357142857143</v>
      </c>
    </row>
    <row r="43" spans="3:8" x14ac:dyDescent="0.2">
      <c r="C43" s="33" t="s">
        <v>299</v>
      </c>
      <c r="D43" s="33" t="s">
        <v>128</v>
      </c>
      <c r="E43" s="39">
        <v>29.45</v>
      </c>
      <c r="F43" s="34">
        <v>-42.195496162465197</v>
      </c>
      <c r="G43" s="34">
        <f>INDEX('面板-景气指数'!B:B,MATCH(安全边际!D43,'面板-景气指数'!A:A,0))</f>
        <v>39.535916376227767</v>
      </c>
      <c r="H43" s="34">
        <f>INDEX('面板-景气指数'!F:F,MATCH(安全边际!D43,'面板-景气指数'!A:A,0))*100</f>
        <v>52.309367217256167</v>
      </c>
    </row>
    <row r="44" spans="3:8" x14ac:dyDescent="0.2">
      <c r="C44" s="33" t="s">
        <v>300</v>
      </c>
      <c r="D44" s="33" t="s">
        <v>118</v>
      </c>
      <c r="E44" s="39">
        <v>66.437761674718203</v>
      </c>
      <c r="F44" s="34">
        <v>45.864708018444531</v>
      </c>
      <c r="G44" s="34">
        <f>INDEX('面板-景气指数'!B:B,MATCH(安全边际!D44,'面板-景气指数'!A:A,0))</f>
        <v>70.0625</v>
      </c>
      <c r="H44" s="34">
        <f>INDEX('面板-景气指数'!F:F,MATCH(安全边际!D44,'面板-景气指数'!A:A,0))*100</f>
        <v>78.856249999999989</v>
      </c>
    </row>
    <row r="45" spans="3:8" x14ac:dyDescent="0.2">
      <c r="C45" s="33" t="s">
        <v>176</v>
      </c>
      <c r="D45" s="33" t="s">
        <v>176</v>
      </c>
      <c r="E45" s="39">
        <v>23.225000000000001</v>
      </c>
      <c r="F45" s="34">
        <v>14.490126508732381</v>
      </c>
      <c r="G45" s="34">
        <f>INDEX('面板-景气指数'!B:B,MATCH(安全边际!D45,'面板-景气指数'!A:A,0))</f>
        <v>12.42763819095477</v>
      </c>
      <c r="H45" s="34">
        <f>INDEX('面板-景气指数'!F:F,MATCH(安全边际!D45,'面板-景气指数'!A:A,0))*100</f>
        <v>36.108542713567829</v>
      </c>
    </row>
    <row r="46" spans="3:8" x14ac:dyDescent="0.2">
      <c r="C46" s="33" t="s">
        <v>301</v>
      </c>
      <c r="D46" s="33" t="s">
        <v>179</v>
      </c>
      <c r="E46" s="39">
        <v>12.1</v>
      </c>
      <c r="F46" s="34">
        <v>-19.905668191762537</v>
      </c>
      <c r="G46" s="34">
        <f>INDEX('面板-景气指数'!B:B,MATCH(安全边际!D46,'面板-景气指数'!A:A,0))</f>
        <v>-68.2</v>
      </c>
      <c r="H46" s="34">
        <f>INDEX('面板-景气指数'!F:F,MATCH(安全边际!D46,'面板-景气指数'!A:A,0))*100</f>
        <v>9</v>
      </c>
    </row>
    <row r="47" spans="3:8" x14ac:dyDescent="0.2">
      <c r="C47" s="33" t="s">
        <v>302</v>
      </c>
      <c r="D47" s="33" t="s">
        <v>181</v>
      </c>
      <c r="E47" s="39">
        <v>19.790104947526238</v>
      </c>
      <c r="F47" s="34">
        <v>-3.5102824817503375</v>
      </c>
      <c r="G47" s="34">
        <f>INDEX('面板-景气指数'!B:B,MATCH(安全边际!D47,'面板-景气指数'!A:A,0))</f>
        <v>-15.933333333333339</v>
      </c>
      <c r="H47" s="34">
        <f>INDEX('面板-景气指数'!F:F,MATCH(安全边际!D47,'面板-景气指数'!A:A,0))*100</f>
        <v>25.475000000000009</v>
      </c>
    </row>
    <row r="48" spans="3:8" x14ac:dyDescent="0.2">
      <c r="C48" s="33" t="s">
        <v>184</v>
      </c>
      <c r="D48" s="33" t="s">
        <v>184</v>
      </c>
      <c r="E48" s="39">
        <v>0.14992503748125938</v>
      </c>
      <c r="F48" s="34">
        <v>-36.054987637763439</v>
      </c>
      <c r="G48" s="34">
        <f>INDEX('面板-景气指数'!B:B,MATCH(安全边际!D48,'面板-景气指数'!A:A,0))</f>
        <v>-21.500000000000004</v>
      </c>
      <c r="H48" s="34">
        <f>INDEX('面板-景气指数'!F:F,MATCH(安全边际!D48,'面板-景气指数'!A:A,0))*100</f>
        <v>8.0124999999999993</v>
      </c>
    </row>
    <row r="49" spans="3:8" x14ac:dyDescent="0.2">
      <c r="C49" s="33" t="s">
        <v>191</v>
      </c>
      <c r="D49" s="33" t="s">
        <v>191</v>
      </c>
      <c r="E49" s="39">
        <v>1.9990004997501249</v>
      </c>
      <c r="F49" s="34">
        <v>11.495783399911241</v>
      </c>
      <c r="G49" s="34">
        <f>INDEX('面板-景气指数'!B:B,MATCH(安全边际!D49,'面板-景气指数'!A:A,0))</f>
        <v>10.999999999999982</v>
      </c>
      <c r="H49" s="34">
        <f>INDEX('面板-景气指数'!F:F,MATCH(安全边际!D49,'面板-景气指数'!A:A,0))*100</f>
        <v>48.699999999999996</v>
      </c>
    </row>
    <row r="50" spans="3:8" x14ac:dyDescent="0.2">
      <c r="C50" s="33" t="s">
        <v>196</v>
      </c>
      <c r="D50" s="33" t="s">
        <v>196</v>
      </c>
      <c r="E50" s="39">
        <v>0.79960019990004993</v>
      </c>
      <c r="F50" s="34">
        <v>-20.477239654472978</v>
      </c>
      <c r="G50" s="34">
        <f>INDEX('面板-景气指数'!B:B,MATCH(安全边际!D50,'面板-景气指数'!A:A,0))</f>
        <v>35.4</v>
      </c>
      <c r="H50" s="34">
        <f>INDEX('面板-景气指数'!F:F,MATCH(安全边际!D50,'面板-景气指数'!A:A,0))*100</f>
        <v>45.975000000000001</v>
      </c>
    </row>
    <row r="51" spans="3:8" x14ac:dyDescent="0.2">
      <c r="C51" s="33" t="s">
        <v>197</v>
      </c>
      <c r="D51" s="33" t="s">
        <v>197</v>
      </c>
      <c r="E51" s="39">
        <v>21.214392803598201</v>
      </c>
      <c r="F51" s="34">
        <v>17.393115240440473</v>
      </c>
      <c r="G51" s="34">
        <f>INDEX('面板-景气指数'!B:B,MATCH(安全边际!D51,'面板-景气指数'!A:A,0))</f>
        <v>39.050000000000004</v>
      </c>
      <c r="H51" s="34">
        <f>INDEX('面板-景气指数'!F:F,MATCH(安全边际!D51,'面板-景气指数'!A:A,0))*100</f>
        <v>64</v>
      </c>
    </row>
    <row r="52" spans="3:8" x14ac:dyDescent="0.2">
      <c r="C52" s="33" t="s">
        <v>198</v>
      </c>
      <c r="D52" s="33" t="s">
        <v>198</v>
      </c>
      <c r="E52" s="39">
        <v>75.949999999999989</v>
      </c>
      <c r="F52" s="34">
        <v>-19.158843633867139</v>
      </c>
      <c r="G52" s="34">
        <f>INDEX('面板-景气指数'!B:B,MATCH(安全边际!D52,'面板-景气指数'!A:A,0))</f>
        <v>69.399999999999991</v>
      </c>
      <c r="H52" s="34">
        <f>INDEX('面板-景气指数'!F:F,MATCH(安全边际!D52,'面板-景气指数'!A:A,0))*100</f>
        <v>82.6</v>
      </c>
    </row>
    <row r="53" spans="3:8" x14ac:dyDescent="0.2">
      <c r="C53" s="33" t="s">
        <v>199</v>
      </c>
      <c r="D53" s="33" t="s">
        <v>199</v>
      </c>
      <c r="E53" s="39">
        <v>30.9</v>
      </c>
      <c r="F53" s="34">
        <v>-5.960572947430598</v>
      </c>
      <c r="G53" s="34">
        <f>INDEX('面板-景气指数'!B:B,MATCH(安全边际!D53,'面板-景气指数'!A:A,0))</f>
        <v>5.600000000000005</v>
      </c>
      <c r="H53" s="34">
        <f>INDEX('面板-景气指数'!F:F,MATCH(安全边际!D53,'面板-景气指数'!A:A,0))*100</f>
        <v>82.600000000000009</v>
      </c>
    </row>
  </sheetData>
  <phoneticPr fontId="4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B2D0-D38A-4094-8B08-6B2E2DC93277}">
  <sheetPr>
    <tabColor rgb="FF003278"/>
  </sheetPr>
  <dimension ref="A1:CZ243"/>
  <sheetViews>
    <sheetView showGridLines="0" zoomScale="75" zoomScaleNormal="75" workbookViewId="0">
      <pane xSplit="3" ySplit="24" topLeftCell="F151" activePane="bottomRight" state="frozen"/>
      <selection activeCell="D34" sqref="D34"/>
      <selection pane="topRight" activeCell="D34" sqref="D34"/>
      <selection pane="bottomLeft" activeCell="D34" sqref="D34"/>
      <selection pane="bottomRight" activeCell="D34" sqref="D34"/>
    </sheetView>
  </sheetViews>
  <sheetFormatPr defaultColWidth="8.625" defaultRowHeight="12.75" outlineLevelCol="1" x14ac:dyDescent="0.2"/>
  <cols>
    <col min="1" max="1" width="15.875" style="32" customWidth="1"/>
    <col min="2" max="2" width="13" style="35" bestFit="1" customWidth="1"/>
    <col min="3" max="3" width="8.625" style="35"/>
    <col min="4" max="4" width="8.625" style="35" hidden="1" customWidth="1"/>
    <col min="5" max="5" width="8.625" style="35" hidden="1" customWidth="1" outlineLevel="1"/>
    <col min="6" max="7" width="8.625" style="35" customWidth="1" outlineLevel="1"/>
    <col min="8" max="8" width="8.5" style="35" customWidth="1"/>
    <col min="9" max="16384" width="8.625" style="32"/>
  </cols>
  <sheetData>
    <row r="1" spans="2:48" s="36" customFormat="1" ht="20.100000000000001" customHeight="1" x14ac:dyDescent="0.2">
      <c r="B1" s="40"/>
      <c r="C1" s="40"/>
      <c r="D1" s="40"/>
      <c r="E1" s="40"/>
      <c r="F1" s="40"/>
      <c r="G1" s="40"/>
      <c r="H1" s="40"/>
    </row>
    <row r="2" spans="2:48" s="36" customFormat="1" ht="20.100000000000001" customHeight="1" x14ac:dyDescent="0.2">
      <c r="B2" s="40"/>
      <c r="C2" s="40"/>
      <c r="D2" s="40"/>
      <c r="E2" s="40"/>
      <c r="F2" s="40"/>
      <c r="G2" s="40"/>
      <c r="M2" s="40"/>
      <c r="N2" s="40"/>
      <c r="S2" s="40"/>
      <c r="T2" s="40"/>
      <c r="U2" s="40"/>
      <c r="V2" s="40"/>
      <c r="W2" s="40"/>
      <c r="X2" s="40"/>
      <c r="AD2" s="40"/>
      <c r="AE2" s="40"/>
      <c r="AJ2" s="40"/>
      <c r="AK2" s="40"/>
      <c r="AL2" s="40"/>
      <c r="AM2" s="40"/>
      <c r="AN2" s="40"/>
      <c r="AO2" s="40"/>
      <c r="AU2" s="40"/>
      <c r="AV2" s="40"/>
    </row>
    <row r="3" spans="2:48" s="36" customFormat="1" ht="20.100000000000001" customHeight="1" x14ac:dyDescent="0.2">
      <c r="B3" s="36">
        <f>INDEX('面板-景气指数'!$37:$242,MATCH('面板-总览'!$A3,'面板-景气指数'!$A$37:$A$242,0),MATCH('面板-总览'!B$2,'面板-景气指数'!$36:$36,0))</f>
        <v>0.7742</v>
      </c>
      <c r="C3" s="36">
        <f>INDEX('面板-景气指数'!$37:$242,MATCH('面板-总览'!$A3,'面板-景气指数'!$A$37:$A$242,0),MATCH('面板-总览'!C$2,'面板-景气指数'!$36:$36,0))</f>
        <v>0.76705000000000001</v>
      </c>
      <c r="D3" s="36">
        <f>INDEX('面板-景气指数'!$37:$242,MATCH('面板-总览'!$A3,'面板-景气指数'!$A$37:$A$242,0),MATCH('面板-总览'!D$2,'面板-景气指数'!$36:$36,0))</f>
        <v>0.73924999999999996</v>
      </c>
      <c r="E3" s="36">
        <f>INDEX('面板-景气指数'!$37:$242,MATCH('面板-总览'!$A3,'面板-景气指数'!$A$37:$A$242,0),MATCH('面板-总览'!E$2,'面板-景气指数'!$36:$36,0))</f>
        <v>0.59604999999999997</v>
      </c>
      <c r="F3" s="36">
        <f>INDEX('面板-景气指数'!$37:$242,MATCH('面板-总览'!$A3,'面板-景气指数'!$A$37:$A$242,0),MATCH('面板-总览'!F$2,'面板-景气指数'!$36:$36,0))</f>
        <v>0.64515000000000011</v>
      </c>
      <c r="G3" s="36">
        <f>INDEX('面板-景气指数'!$37:$242,MATCH('面板-总览'!$A3,'面板-景气指数'!$A$37:$A$242,0),MATCH('面板-总览'!G$2,'面板-景气指数'!$36:$36,0))</f>
        <v>0.75119999999999998</v>
      </c>
      <c r="H3" s="36">
        <f>INDEX('面板-景气指数'!$37:$242,MATCH('面板-总览'!$A3,'面板-景气指数'!$A$37:$A$242,0),MATCH('面板-总览'!H$2,'面板-景气指数'!$36:$36,0))</f>
        <v>0.80289999999999995</v>
      </c>
      <c r="I3" s="36">
        <f>INDEX('面板-景气指数'!$37:$242,MATCH('面板-总览'!$A3,'面板-景气指数'!$A$37:$A$242,0),MATCH('面板-总览'!I$2,'面板-景气指数'!$36:$36,0))</f>
        <v>0.72839999999999994</v>
      </c>
      <c r="J3" s="36">
        <f>INDEX('面板-景气指数'!$37:$242,MATCH('面板-总览'!$A3,'面板-景气指数'!$A$37:$A$242,0),MATCH('面板-总览'!J$2,'面板-景气指数'!$36:$36,0))</f>
        <v>0.57094999999999996</v>
      </c>
      <c r="K3" s="36">
        <f>INDEX('面板-景气指数'!$37:$242,MATCH('面板-总览'!$A3,'面板-景气指数'!$A$37:$A$242,0),MATCH('面板-总览'!K$2,'面板-景气指数'!$36:$36,0))</f>
        <v>0.44264999999999993</v>
      </c>
      <c r="L3" s="36">
        <f>INDEX('面板-景气指数'!$37:$242,MATCH('面板-总览'!$A3,'面板-景气指数'!$A$37:$A$242,0),MATCH('面板-总览'!L$2,'面板-景气指数'!$36:$36,0))</f>
        <v>0.47809999999999997</v>
      </c>
      <c r="M3" s="36">
        <f>INDEX('面板-景气指数'!$37:$242,MATCH('面板-总览'!$A3,'面板-景气指数'!$A$37:$A$242,0),MATCH('面板-总览'!M$2,'面板-景气指数'!$36:$36,0))</f>
        <v>0.59319999999999995</v>
      </c>
      <c r="N3" s="36">
        <f>INDEX('面板-景气指数'!$37:$242,MATCH('面板-总览'!$A3,'面板-景气指数'!$A$37:$A$242,0),MATCH('面板-总览'!N$2,'面板-景气指数'!$36:$36,0))</f>
        <v>0.63639999999999997</v>
      </c>
    </row>
    <row r="4" spans="2:48" s="36" customFormat="1" ht="20.100000000000001" customHeight="1" x14ac:dyDescent="0.2">
      <c r="B4" s="36">
        <f>INDEX('面板-景气指数'!$37:$242,MATCH('面板-总览'!$A4,'面板-景气指数'!$A$37:$A$242,0),MATCH('面板-总览'!B$2,'面板-景气指数'!$36:$36,0))</f>
        <v>0.85050000000000092</v>
      </c>
      <c r="C4" s="36">
        <f>INDEX('面板-景气指数'!$37:$242,MATCH('面板-总览'!$A4,'面板-景气指数'!$A$37:$A$242,0),MATCH('面板-总览'!C$2,'面板-景气指数'!$36:$36,0))</f>
        <v>0.83283333333333409</v>
      </c>
      <c r="D4" s="36">
        <f>INDEX('面板-景气指数'!$37:$242,MATCH('面板-总览'!$A4,'面板-景气指数'!$A$37:$A$242,0),MATCH('面板-总览'!D$2,'面板-景气指数'!$36:$36,0))</f>
        <v>0.77450000000000063</v>
      </c>
      <c r="E4" s="36">
        <f>INDEX('面板-景气指数'!$37:$242,MATCH('面板-总览'!$A4,'面板-景气指数'!$A$37:$A$242,0),MATCH('面板-总览'!E$2,'面板-景气指数'!$36:$36,0))</f>
        <v>0.67583333333333406</v>
      </c>
      <c r="F4" s="36">
        <f>INDEX('面板-景气指数'!$37:$242,MATCH('面板-总览'!$A4,'面板-景气指数'!$A$37:$A$242,0),MATCH('面板-总览'!F$2,'面板-景气指数'!$36:$36,0))</f>
        <v>0.63483333333333392</v>
      </c>
      <c r="G4" s="36">
        <f>INDEX('面板-景气指数'!$37:$242,MATCH('面板-总览'!$A4,'面板-景气指数'!$A$37:$A$242,0),MATCH('面板-总览'!G$2,'面板-景气指数'!$36:$36,0))</f>
        <v>0.62400000000000055</v>
      </c>
      <c r="H4" s="36">
        <f>INDEX('面板-景气指数'!$37:$242,MATCH('面板-总览'!$A4,'面板-景气指数'!$A$37:$A$242,0),MATCH('面板-总览'!H$2,'面板-景气指数'!$36:$36,0))</f>
        <v>0.63600000000000056</v>
      </c>
      <c r="I4" s="36">
        <f>INDEX('面板-景气指数'!$37:$242,MATCH('面板-总览'!$A4,'面板-景气指数'!$A$37:$A$242,0),MATCH('面板-总览'!I$2,'面板-景气指数'!$36:$36,0))</f>
        <v>0.66250000000000064</v>
      </c>
      <c r="J4" s="36">
        <f>INDEX('面板-景气指数'!$37:$242,MATCH('面板-总览'!$A4,'面板-景气指数'!$A$37:$A$242,0),MATCH('面板-总览'!J$2,'面板-景气指数'!$36:$36,0))</f>
        <v>0.69533333333333402</v>
      </c>
      <c r="K4" s="36">
        <f>INDEX('面板-景气指数'!$37:$242,MATCH('面板-总览'!$A4,'面板-景气指数'!$A$37:$A$242,0),MATCH('面板-总览'!K$2,'面板-景气指数'!$36:$36,0))</f>
        <v>0.71800000000000064</v>
      </c>
      <c r="L4" s="36">
        <f>INDEX('面板-景气指数'!$37:$242,MATCH('面板-总览'!$A4,'面板-景气指数'!$A$37:$A$242,0),MATCH('面板-总览'!L$2,'面板-景气指数'!$36:$36,0))</f>
        <v>0.67366666666666741</v>
      </c>
      <c r="M4" s="36">
        <f>INDEX('面板-景气指数'!$37:$242,MATCH('面板-总览'!$A4,'面板-景气指数'!$A$37:$A$242,0),MATCH('面板-总览'!M$2,'面板-景气指数'!$36:$36,0))</f>
        <v>0.6620000000000007</v>
      </c>
      <c r="N4" s="36">
        <f>INDEX('面板-景气指数'!$37:$242,MATCH('面板-总览'!$A4,'面板-景气指数'!$A$37:$A$242,0),MATCH('面板-总览'!N$2,'面板-景气指数'!$36:$36,0))</f>
        <v>0.64833333333333398</v>
      </c>
    </row>
    <row r="5" spans="2:48" s="36" customFormat="1" ht="20.100000000000001" customHeight="1" x14ac:dyDescent="0.2">
      <c r="B5" s="36">
        <f>INDEX('面板-景气指数'!$37:$242,MATCH('面板-总览'!$A5,'面板-景气指数'!$A$37:$A$242,0),MATCH('面板-总览'!B$2,'面板-景气指数'!$36:$36,0))</f>
        <v>0.30173882322550977</v>
      </c>
      <c r="C5" s="36">
        <f>INDEX('面板-景气指数'!$37:$242,MATCH('面板-总览'!$A5,'面板-景气指数'!$A$37:$A$242,0),MATCH('面板-总览'!C$2,'面板-景气指数'!$36:$36,0))</f>
        <v>0.27038533955469118</v>
      </c>
      <c r="D5" s="36">
        <f>INDEX('面板-景气指数'!$37:$242,MATCH('面板-总览'!$A5,'面板-景气指数'!$A$37:$A$242,0),MATCH('面板-总览'!D$2,'面板-景气指数'!$36:$36,0))</f>
        <v>0.31641398926050146</v>
      </c>
      <c r="E5" s="36">
        <f>INDEX('面板-景气指数'!$37:$242,MATCH('面板-总览'!$A5,'面板-景气指数'!$A$37:$A$242,0),MATCH('面板-总览'!E$2,'面板-景气指数'!$36:$36,0))</f>
        <v>0.43724983668370249</v>
      </c>
      <c r="F5" s="36">
        <f>INDEX('面板-景气指数'!$37:$242,MATCH('面板-总览'!$A5,'面板-景气指数'!$A$37:$A$242,0),MATCH('面板-总览'!F$2,'面板-景气指数'!$36:$36,0))</f>
        <v>0.50920195591289663</v>
      </c>
      <c r="G5" s="36">
        <f>INDEX('面板-景气指数'!$37:$242,MATCH('面板-总览'!$A5,'面板-景气指数'!$A$37:$A$242,0),MATCH('面板-总览'!G$2,'面板-景气指数'!$36:$36,0))</f>
        <v>0.5962911063716354</v>
      </c>
      <c r="H5" s="36">
        <f>INDEX('面板-景气指数'!$37:$242,MATCH('面板-总览'!$A5,'面板-景气指数'!$A$37:$A$242,0),MATCH('面板-总览'!H$2,'面板-景气指数'!$36:$36,0))</f>
        <v>0.56774032021439569</v>
      </c>
      <c r="I5" s="36">
        <f>INDEX('面板-景气指数'!$37:$242,MATCH('面板-总览'!$A5,'面板-景气指数'!$A$37:$A$242,0),MATCH('面板-总览'!I$2,'面板-景气指数'!$36:$36,0))</f>
        <v>0.56871033742653276</v>
      </c>
      <c r="J5" s="36">
        <f>INDEX('面板-景气指数'!$37:$242,MATCH('面板-总览'!$A5,'面板-景气指数'!$A$37:$A$242,0),MATCH('面板-总览'!J$2,'面板-景气指数'!$36:$36,0))</f>
        <v>0.50230915589848257</v>
      </c>
      <c r="K5" s="36">
        <f>INDEX('面板-景气指数'!$37:$242,MATCH('面板-总览'!$A5,'面板-景气指数'!$A$37:$A$242,0),MATCH('面板-总览'!K$2,'面板-景气指数'!$36:$36,0))</f>
        <v>0.47687224952462381</v>
      </c>
      <c r="L5" s="36">
        <f>INDEX('面板-景气指数'!$37:$242,MATCH('面板-总览'!$A5,'面板-景气指数'!$A$37:$A$242,0),MATCH('面板-总览'!L$2,'面板-景气指数'!$36:$36,0))</f>
        <v>0.4400086720730248</v>
      </c>
      <c r="M5" s="36">
        <f>INDEX('面板-景气指数'!$37:$242,MATCH('面板-总览'!$A5,'面板-景气指数'!$A$37:$A$242,0),MATCH('面板-总览'!M$2,'面板-景气指数'!$36:$36,0))</f>
        <v>0.47494962029326071</v>
      </c>
      <c r="N5" s="36">
        <f>INDEX('面板-景气指数'!$37:$242,MATCH('面板-总览'!$A5,'面板-景气指数'!$A$37:$A$242,0),MATCH('面板-总览'!N$2,'面板-景气指数'!$36:$36,0))</f>
        <v>0.48655130732944357</v>
      </c>
    </row>
    <row r="6" spans="2:48" s="36" customFormat="1" ht="20.100000000000001" customHeight="1" x14ac:dyDescent="0.2">
      <c r="B6" s="36">
        <f>INDEX('面板-景气指数'!$37:$242,MATCH('面板-总览'!$A6,'面板-景气指数'!$A$37:$A$242,0),MATCH('面板-总览'!B$2,'面板-景气指数'!$36:$36,0))</f>
        <v>0.28766882099395741</v>
      </c>
      <c r="C6" s="36">
        <f>INDEX('面板-景气指数'!$37:$242,MATCH('面板-总览'!$A6,'面板-景气指数'!$A$37:$A$242,0),MATCH('面板-总览'!C$2,'面板-景气指数'!$36:$36,0))</f>
        <v>0.20050758766776597</v>
      </c>
      <c r="D6" s="36">
        <f>INDEX('面板-景气指数'!$37:$242,MATCH('面板-总览'!$A6,'面板-景气指数'!$A$37:$A$242,0),MATCH('面板-总览'!D$2,'面板-景气指数'!$36:$36,0))</f>
        <v>0.19729741112389071</v>
      </c>
      <c r="E6" s="36">
        <f>INDEX('面板-景气指数'!$37:$242,MATCH('面板-总览'!$A6,'面板-景气指数'!$A$37:$A$242,0),MATCH('面板-总览'!E$2,'面板-景气指数'!$36:$36,0))</f>
        <v>0.2364582482586895</v>
      </c>
      <c r="F6" s="36">
        <f>INDEX('面板-景气指数'!$37:$242,MATCH('面板-总览'!$A6,'面板-景气指数'!$A$37:$A$242,0),MATCH('面板-总览'!F$2,'面板-景气指数'!$36:$36,0))</f>
        <v>0.30313350538199046</v>
      </c>
      <c r="G6" s="36">
        <f>INDEX('面板-景气指数'!$37:$242,MATCH('面板-总览'!$A6,'面板-景气指数'!$A$37:$A$242,0),MATCH('面板-总览'!G$2,'面板-景气指数'!$36:$36,0))</f>
        <v>0.36400093138478962</v>
      </c>
      <c r="H6" s="36">
        <f>INDEX('面板-景气指数'!$37:$242,MATCH('面板-总览'!$A6,'面板-景气指数'!$A$37:$A$242,0),MATCH('面板-总览'!H$2,'面板-景气指数'!$36:$36,0))</f>
        <v>0.37019438433423735</v>
      </c>
      <c r="I6" s="36">
        <f>INDEX('面板-景气指数'!$37:$242,MATCH('面板-总览'!$A6,'面板-景气指数'!$A$37:$A$242,0),MATCH('面板-总览'!I$2,'面板-景气指数'!$36:$36,0))</f>
        <v>0.36500388397696398</v>
      </c>
      <c r="J6" s="36">
        <f>INDEX('面板-景气指数'!$37:$242,MATCH('面板-总览'!$A6,'面板-景气指数'!$A$37:$A$242,0),MATCH('面板-总览'!J$2,'面板-景气指数'!$36:$36,0))</f>
        <v>0.36605606242466954</v>
      </c>
      <c r="K6" s="36">
        <f>INDEX('面板-景气指数'!$37:$242,MATCH('面板-总览'!$A6,'面板-景气指数'!$A$37:$A$242,0),MATCH('面板-总览'!K$2,'面板-景气指数'!$36:$36,0))</f>
        <v>0.33879320674265012</v>
      </c>
      <c r="L6" s="36">
        <f>INDEX('面板-景气指数'!$37:$242,MATCH('面板-总览'!$A6,'面板-景气指数'!$A$37:$A$242,0),MATCH('面板-总览'!L$2,'面板-景气指数'!$36:$36,0))</f>
        <v>0.31644587349847986</v>
      </c>
      <c r="M6" s="36">
        <f>INDEX('面板-景气指数'!$37:$242,MATCH('面板-总览'!$A6,'面板-景气指数'!$A$37:$A$242,0),MATCH('面板-总览'!M$2,'面板-景气指数'!$36:$36,0))</f>
        <v>0.28263184263568425</v>
      </c>
      <c r="N6" s="36">
        <f>INDEX('面板-景气指数'!$37:$242,MATCH('面板-总览'!$A6,'面板-景气指数'!$A$37:$A$242,0),MATCH('面板-总览'!N$2,'面板-景气指数'!$36:$36,0))</f>
        <v>0.29217727371569763</v>
      </c>
    </row>
    <row r="7" spans="2:48" s="36" customFormat="1" ht="20.100000000000001" customHeight="1" x14ac:dyDescent="0.2">
      <c r="B7" s="36">
        <f>INDEX('面板-景气指数'!$37:$242,MATCH('面板-总览'!$A7,'面板-景气指数'!$A$37:$A$242,0),MATCH('面板-总览'!B$2,'面板-景气指数'!$36:$36,0))</f>
        <v>0.21410131913379118</v>
      </c>
      <c r="C7" s="36">
        <f>INDEX('面板-景气指数'!$37:$242,MATCH('面板-总览'!$A7,'面板-景气指数'!$A$37:$A$242,0),MATCH('面板-总览'!C$2,'面板-景气指数'!$36:$36,0))</f>
        <v>0.15995321047729733</v>
      </c>
      <c r="D7" s="36">
        <f>INDEX('面板-景气指数'!$37:$242,MATCH('面板-总览'!$A7,'面板-景气指数'!$A$37:$A$242,0),MATCH('面板-总览'!D$2,'面板-景气指数'!$36:$36,0))</f>
        <v>0.16319650714644515</v>
      </c>
      <c r="E7" s="36">
        <f>INDEX('面板-景气指数'!$37:$242,MATCH('面板-总览'!$A7,'面板-景气指数'!$A$37:$A$242,0),MATCH('面板-总览'!E$2,'面板-景气指数'!$36:$36,0))</f>
        <v>0.22800261595831633</v>
      </c>
      <c r="F7" s="36">
        <f>INDEX('面板-景气指数'!$37:$242,MATCH('面板-总览'!$A7,'面板-景气指数'!$A$37:$A$242,0),MATCH('面板-总览'!F$2,'面板-景气指数'!$36:$36,0))</f>
        <v>0.30860179477390931</v>
      </c>
      <c r="G7" s="36">
        <f>INDEX('面板-景气指数'!$37:$242,MATCH('面板-总览'!$A7,'面板-景气指数'!$A$37:$A$242,0),MATCH('面板-总览'!G$2,'面板-景气指数'!$36:$36,0))</f>
        <v>0.35986888009582929</v>
      </c>
      <c r="H7" s="36">
        <f>INDEX('面板-景气指数'!$37:$242,MATCH('面板-总览'!$A7,'面板-景气指数'!$A$37:$A$242,0),MATCH('面板-总览'!H$2,'面板-景气指数'!$36:$36,0))</f>
        <v>0.35121995025492841</v>
      </c>
      <c r="I7" s="36">
        <f>INDEX('面板-景气指数'!$37:$242,MATCH('面板-总览'!$A7,'面板-景气指数'!$A$37:$A$242,0),MATCH('面板-总览'!I$2,'面板-景气指数'!$36:$36,0))</f>
        <v>0.35451645740137355</v>
      </c>
      <c r="J7" s="36">
        <f>INDEX('面板-景气指数'!$37:$242,MATCH('面板-总览'!$A7,'面板-景气指数'!$A$37:$A$242,0),MATCH('面板-总览'!J$2,'面板-景气指数'!$36:$36,0))</f>
        <v>0.36832560573594747</v>
      </c>
      <c r="K7" s="36">
        <f>INDEX('面板-景气指数'!$37:$242,MATCH('面板-总览'!$A7,'面板-景气指数'!$A$37:$A$242,0),MATCH('面板-总览'!K$2,'面板-景气指数'!$36:$36,0))</f>
        <v>0.35036851224227444</v>
      </c>
      <c r="L7" s="36">
        <f>INDEX('面板-景气指数'!$37:$242,MATCH('面板-总览'!$A7,'面板-景气指数'!$A$37:$A$242,0),MATCH('面板-总览'!L$2,'面板-景气指数'!$36:$36,0))</f>
        <v>0.30124616160215623</v>
      </c>
      <c r="M7" s="36">
        <f>INDEX('面板-景气指数'!$37:$242,MATCH('面板-总览'!$A7,'面板-景气指数'!$A$37:$A$242,0),MATCH('面板-总览'!M$2,'面板-景气指数'!$36:$36,0))</f>
        <v>0.24664027945571113</v>
      </c>
      <c r="N7" s="36">
        <f>INDEX('面板-景气指数'!$37:$242,MATCH('面板-总览'!$A7,'面板-景气指数'!$A$37:$A$242,0),MATCH('面板-总览'!N$2,'面板-景气指数'!$36:$36,0))</f>
        <v>0.23806671746836505</v>
      </c>
    </row>
    <row r="8" spans="2:48" s="36" customFormat="1" ht="20.100000000000001" customHeight="1" x14ac:dyDescent="0.2">
      <c r="B8" s="36">
        <f>INDEX('面板-景气指数'!$37:$242,MATCH('面板-总览'!$A8,'面板-景气指数'!$A$37:$A$242,0),MATCH('面板-总览'!B$2,'面板-景气指数'!$36:$36,0))</f>
        <v>0.2604630542157661</v>
      </c>
      <c r="C8" s="36">
        <f>INDEX('面板-景气指数'!$37:$242,MATCH('面板-总览'!$A8,'面板-景气指数'!$A$37:$A$242,0),MATCH('面板-总览'!C$2,'面板-景气指数'!$36:$36,0))</f>
        <v>0.27320400113946447</v>
      </c>
      <c r="D8" s="36">
        <f>INDEX('面板-景气指数'!$37:$242,MATCH('面板-总览'!$A8,'面板-景气指数'!$A$37:$A$242,0),MATCH('面板-总览'!D$2,'面板-景气指数'!$36:$36,0))</f>
        <v>0.24858189508289841</v>
      </c>
      <c r="E8" s="36">
        <f>INDEX('面板-景气指数'!$37:$242,MATCH('面板-总览'!$A8,'面板-景气指数'!$A$37:$A$242,0),MATCH('面板-总览'!E$2,'面板-景气指数'!$36:$36,0))</f>
        <v>0.25206014737968591</v>
      </c>
      <c r="F8" s="36">
        <f>INDEX('面板-景气指数'!$37:$242,MATCH('面板-总览'!$A8,'面板-景气指数'!$A$37:$A$242,0),MATCH('面板-总览'!F$2,'面板-景气指数'!$36:$36,0))</f>
        <v>0.25376029520313509</v>
      </c>
      <c r="G8" s="36">
        <f>INDEX('面板-景气指数'!$37:$242,MATCH('面板-总览'!$A8,'面板-景气指数'!$A$37:$A$242,0),MATCH('面板-总览'!G$2,'面板-景气指数'!$36:$36,0))</f>
        <v>0.25760360714089697</v>
      </c>
      <c r="H8" s="36">
        <f>INDEX('面板-景气指数'!$37:$242,MATCH('面板-总览'!$A8,'面板-景气指数'!$A$37:$A$242,0),MATCH('面板-总览'!H$2,'面板-景气指数'!$36:$36,0))</f>
        <v>0.25369445724967793</v>
      </c>
      <c r="I8" s="36">
        <f>INDEX('面板-景气指数'!$37:$242,MATCH('面板-总览'!$A8,'面板-景气指数'!$A$37:$A$242,0),MATCH('面板-总览'!I$2,'面板-景气指数'!$36:$36,0))</f>
        <v>0.26119797631611236</v>
      </c>
      <c r="J8" s="36">
        <f>INDEX('面板-景气指数'!$37:$242,MATCH('面板-总览'!$A8,'面板-景气指数'!$A$37:$A$242,0),MATCH('面板-总览'!J$2,'面板-景气指数'!$36:$36,0))</f>
        <v>0.30185508620885537</v>
      </c>
      <c r="K8" s="36">
        <f>INDEX('面板-景气指数'!$37:$242,MATCH('面板-总览'!$A8,'面板-景气指数'!$A$37:$A$242,0),MATCH('面板-总览'!K$2,'面板-景气指数'!$36:$36,0))</f>
        <v>0.33005736260165353</v>
      </c>
      <c r="L8" s="36">
        <f>INDEX('面板-景气指数'!$37:$242,MATCH('面板-总览'!$A8,'面板-景气指数'!$A$37:$A$242,0),MATCH('面板-总览'!L$2,'面板-景气指数'!$36:$36,0))</f>
        <v>0.32432891574785283</v>
      </c>
      <c r="M8" s="36">
        <f>INDEX('面板-景气指数'!$37:$242,MATCH('面板-总览'!$A8,'面板-景气指数'!$A$37:$A$242,0),MATCH('面板-总览'!M$2,'面板-景气指数'!$36:$36,0))</f>
        <v>0.2991988140862773</v>
      </c>
      <c r="N8" s="36">
        <f>INDEX('面板-景气指数'!$37:$242,MATCH('面板-总览'!$A8,'面板-景气指数'!$A$37:$A$242,0),MATCH('面板-总览'!N$2,'面板-景气指数'!$36:$36,0))</f>
        <v>0.26686984816800052</v>
      </c>
    </row>
    <row r="9" spans="2:48" s="36" customFormat="1" ht="20.100000000000001" customHeight="1" x14ac:dyDescent="0.2">
      <c r="B9" s="36">
        <f>INDEX('面板-景气指数'!$37:$242,MATCH('面板-总览'!$A9,'面板-景气指数'!$A$37:$A$242,0),MATCH('面板-总览'!B$2,'面板-景气指数'!$36:$36,0))</f>
        <v>0.36539701607343938</v>
      </c>
      <c r="C9" s="36">
        <f>INDEX('面板-景气指数'!$37:$242,MATCH('面板-总览'!$A9,'面板-景气指数'!$A$37:$A$242,0),MATCH('面板-总览'!C$2,'面板-景气指数'!$36:$36,0))</f>
        <v>0.30310760604230946</v>
      </c>
      <c r="D9" s="36">
        <f>INDEX('面板-景气指数'!$37:$242,MATCH('面板-总览'!$A9,'面板-景气指数'!$A$37:$A$242,0),MATCH('面板-总览'!D$2,'面板-景气指数'!$36:$36,0))</f>
        <v>0.26956094722756929</v>
      </c>
      <c r="E9" s="36">
        <f>INDEX('面板-景气指数'!$37:$242,MATCH('面板-总览'!$A9,'面板-景气指数'!$A$37:$A$242,0),MATCH('面板-总览'!E$2,'面板-景气指数'!$36:$36,0))</f>
        <v>0.21891264739218239</v>
      </c>
      <c r="F9" s="36">
        <f>INDEX('面板-景气指数'!$37:$242,MATCH('面板-总览'!$A9,'面板-景气指数'!$A$37:$A$242,0),MATCH('面板-总览'!F$2,'面板-景气指数'!$36:$36,0))</f>
        <v>0.26957783723114737</v>
      </c>
      <c r="G9" s="36">
        <f>INDEX('面板-景气指数'!$37:$242,MATCH('面板-总览'!$A9,'面板-景气指数'!$A$37:$A$242,0),MATCH('面板-总览'!G$2,'面板-景气指数'!$36:$36,0))</f>
        <v>0.29601371530871184</v>
      </c>
      <c r="H9" s="36">
        <f>INDEX('面板-景气指数'!$37:$242,MATCH('面板-总览'!$A9,'面板-景气指数'!$A$37:$A$242,0),MATCH('面板-总览'!H$2,'面板-景气指数'!$36:$36,0))</f>
        <v>0.35192771424217395</v>
      </c>
      <c r="I9" s="36">
        <f>INDEX('面板-景气指数'!$37:$242,MATCH('面板-总览'!$A9,'面板-景气指数'!$A$37:$A$242,0),MATCH('面板-总览'!I$2,'面板-景气指数'!$36:$36,0))</f>
        <v>0.42514267400738498</v>
      </c>
      <c r="J9" s="36">
        <f>INDEX('面板-景气指数'!$37:$242,MATCH('面板-总览'!$A9,'面板-景气指数'!$A$37:$A$242,0),MATCH('面板-总览'!J$2,'面板-景气指数'!$36:$36,0))</f>
        <v>0.49422051315553384</v>
      </c>
      <c r="K9" s="36">
        <f>INDEX('面板-景气指数'!$37:$242,MATCH('面板-总览'!$A9,'面板-景气指数'!$A$37:$A$242,0),MATCH('面板-总览'!K$2,'面板-景气指数'!$36:$36,0))</f>
        <v>0.5400431985887536</v>
      </c>
      <c r="L9" s="36">
        <f>INDEX('面板-景气指数'!$37:$242,MATCH('面板-总览'!$A9,'面板-景气指数'!$A$37:$A$242,0),MATCH('面板-总览'!L$2,'面板-景气指数'!$36:$36,0))</f>
        <v>0.54828112232808401</v>
      </c>
      <c r="M9" s="36">
        <f>INDEX('面板-景气指数'!$37:$242,MATCH('面板-总览'!$A9,'面板-景气指数'!$A$37:$A$242,0),MATCH('面板-总览'!M$2,'面板-景气指数'!$36:$36,0))</f>
        <v>0.51855580461091433</v>
      </c>
      <c r="N9" s="36">
        <f>INDEX('面板-景气指数'!$37:$242,MATCH('面板-总览'!$A9,'面板-景气指数'!$A$37:$A$242,0),MATCH('面板-总览'!N$2,'面板-景气指数'!$36:$36,0))</f>
        <v>0.51855580461091433</v>
      </c>
    </row>
    <row r="10" spans="2:48" s="36" customFormat="1" ht="20.100000000000001" customHeight="1" x14ac:dyDescent="0.2">
      <c r="B10" s="36">
        <f>INDEX('面板-景气指数'!$37:$242,MATCH('面板-总览'!$A10,'面板-景气指数'!$A$37:$A$242,0),MATCH('面板-总览'!B$2,'面板-景气指数'!$36:$36,0))</f>
        <v>0.47734997836174442</v>
      </c>
      <c r="C10" s="36">
        <f>INDEX('面板-景气指数'!$37:$242,MATCH('面板-总览'!$A10,'面板-景气指数'!$A$37:$A$242,0),MATCH('面板-总览'!C$2,'面板-景气指数'!$36:$36,0))</f>
        <v>0.50168186454978281</v>
      </c>
      <c r="D10" s="36">
        <f>INDEX('面板-景气指数'!$37:$242,MATCH('面板-总览'!$A10,'面板-景气指数'!$A$37:$A$242,0),MATCH('面板-总览'!D$2,'面板-景气指数'!$36:$36,0))</f>
        <v>0.50472554141985648</v>
      </c>
      <c r="E10" s="36">
        <f>INDEX('面板-景气指数'!$37:$242,MATCH('面板-总览'!$A10,'面板-景气指数'!$A$37:$A$242,0),MATCH('面板-总览'!E$2,'面板-景气指数'!$36:$36,0))</f>
        <v>0.4764490110586137</v>
      </c>
      <c r="F10" s="36">
        <f>INDEX('面板-景气指数'!$37:$242,MATCH('面板-总览'!$A10,'面板-景气指数'!$A$37:$A$242,0),MATCH('面板-总览'!F$2,'面板-景气指数'!$36:$36,0))</f>
        <v>0.44502906432507183</v>
      </c>
      <c r="G10" s="36">
        <f>INDEX('面板-景气指数'!$37:$242,MATCH('面板-总览'!$A10,'面板-景气指数'!$A$37:$A$242,0),MATCH('面板-总览'!G$2,'面板-景气指数'!$36:$36,0))</f>
        <v>0.41705812905059247</v>
      </c>
      <c r="H10" s="36">
        <f>INDEX('面板-景气指数'!$37:$242,MATCH('面板-总览'!$A10,'面板-景气指数'!$A$37:$A$242,0),MATCH('面板-总览'!H$2,'面板-景气指数'!$36:$36,0))</f>
        <v>0.40768674035565855</v>
      </c>
      <c r="I10" s="36">
        <f>INDEX('面板-景气指数'!$37:$242,MATCH('面板-总览'!$A10,'面板-景气指数'!$A$37:$A$242,0),MATCH('面板-总览'!I$2,'面板-景气指数'!$36:$36,0))</f>
        <v>0.42271090142868517</v>
      </c>
      <c r="J10" s="36">
        <f>INDEX('面板-景气指数'!$37:$242,MATCH('面板-总览'!$A10,'面板-景气指数'!$A$37:$A$242,0),MATCH('面板-总览'!J$2,'面板-景气指数'!$36:$36,0))</f>
        <v>0.45681005444792339</v>
      </c>
      <c r="K10" s="36">
        <f>INDEX('面板-景气指数'!$37:$242,MATCH('面板-总览'!$A10,'面板-景气指数'!$A$37:$A$242,0),MATCH('面板-总览'!K$2,'面板-景气指数'!$36:$36,0))</f>
        <v>0.47312014395334967</v>
      </c>
      <c r="L10" s="36">
        <f>INDEX('面板-景气指数'!$37:$242,MATCH('面板-总览'!$A10,'面板-景气指数'!$A$37:$A$242,0),MATCH('面板-总览'!L$2,'面板-景气指数'!$36:$36,0))</f>
        <v>0.46000405013152945</v>
      </c>
      <c r="M10" s="36">
        <f>INDEX('面板-景气指数'!$37:$242,MATCH('面板-总览'!$A10,'面板-景气指数'!$A$37:$A$242,0),MATCH('面板-总览'!M$2,'面板-景气指数'!$36:$36,0))</f>
        <v>0.45183098553168816</v>
      </c>
      <c r="N10" s="36">
        <f>INDEX('面板-景气指数'!$37:$242,MATCH('面板-总览'!$A10,'面板-景气指数'!$A$37:$A$242,0),MATCH('面板-总览'!N$2,'面板-景气指数'!$36:$36,0))</f>
        <v>0.45549044215383189</v>
      </c>
    </row>
    <row r="11" spans="2:48" s="36" customFormat="1" ht="20.100000000000001" customHeight="1" x14ac:dyDescent="0.2">
      <c r="B11" s="36">
        <f>INDEX('面板-景气指数'!$37:$242,MATCH('面板-总览'!$A11,'面板-景气指数'!$A$37:$A$242,0),MATCH('面板-总览'!B$2,'面板-景气指数'!$36:$36,0))</f>
        <v>0.3534501855696866</v>
      </c>
      <c r="C11" s="36">
        <f>INDEX('面板-景气指数'!$37:$242,MATCH('面板-总览'!$A11,'面板-景气指数'!$A$37:$A$242,0),MATCH('面板-总览'!C$2,'面板-景气指数'!$36:$36,0))</f>
        <v>0.32051330485620921</v>
      </c>
      <c r="D11" s="36">
        <f>INDEX('面板-景气指数'!$37:$242,MATCH('面板-总览'!$A11,'面板-景气指数'!$A$37:$A$242,0),MATCH('面板-总览'!D$2,'面板-景气指数'!$36:$36,0))</f>
        <v>0.31676426789384093</v>
      </c>
      <c r="E11" s="36">
        <f>INDEX('面板-景气指数'!$37:$242,MATCH('面板-总览'!$A11,'面板-景气指数'!$A$37:$A$242,0),MATCH('面板-总览'!E$2,'面板-景气指数'!$36:$36,0))</f>
        <v>0.29040136614356787</v>
      </c>
      <c r="F11" s="36">
        <f>INDEX('面板-景气指数'!$37:$242,MATCH('面板-总览'!$A11,'面板-景气指数'!$A$37:$A$242,0),MATCH('面板-总览'!F$2,'面板-景气指数'!$36:$36,0))</f>
        <v>0.28238222933253632</v>
      </c>
      <c r="G11" s="36">
        <f>INDEX('面板-景气指数'!$37:$242,MATCH('面板-总览'!$A11,'面板-景气指数'!$A$37:$A$242,0),MATCH('面板-总览'!G$2,'面板-景气指数'!$36:$36,0))</f>
        <v>0.28142788651765016</v>
      </c>
      <c r="H11" s="36">
        <f>INDEX('面板-景气指数'!$37:$242,MATCH('面板-总览'!$A11,'面板-景气指数'!$A$37:$A$242,0),MATCH('面板-总览'!H$2,'面板-景气指数'!$36:$36,0))</f>
        <v>0.28988789302483309</v>
      </c>
      <c r="I11" s="36">
        <f>INDEX('面板-景气指数'!$37:$242,MATCH('面板-总览'!$A11,'面板-景气指数'!$A$37:$A$242,0),MATCH('面板-总览'!I$2,'面板-景气指数'!$36:$36,0))</f>
        <v>0.28903729574261555</v>
      </c>
      <c r="J11" s="36">
        <f>INDEX('面板-景气指数'!$37:$242,MATCH('面板-总览'!$A11,'面板-景气指数'!$A$37:$A$242,0),MATCH('面板-总览'!J$2,'面板-景气指数'!$36:$36,0))</f>
        <v>0.29858332783697877</v>
      </c>
      <c r="K11" s="36">
        <f>INDEX('面板-景气指数'!$37:$242,MATCH('面板-总览'!$A11,'面板-景气指数'!$A$37:$A$242,0),MATCH('面板-总览'!K$2,'面板-景气指数'!$36:$36,0))</f>
        <v>0.32029966387294145</v>
      </c>
      <c r="L11" s="36">
        <f>INDEX('面板-景气指数'!$37:$242,MATCH('面板-总览'!$A11,'面板-景气指数'!$A$37:$A$242,0),MATCH('面板-总览'!L$2,'面板-景气指数'!$36:$36,0))</f>
        <v>0.319960048340652</v>
      </c>
      <c r="M11" s="36">
        <f>INDEX('面板-景气指数'!$37:$242,MATCH('面板-总览'!$A11,'面板-景气指数'!$A$37:$A$242,0),MATCH('面板-总览'!M$2,'面板-景气指数'!$36:$36,0))</f>
        <v>0.34816785508063858</v>
      </c>
      <c r="N11" s="36">
        <f>INDEX('面板-景气指数'!$37:$242,MATCH('面板-总览'!$A11,'面板-景气指数'!$A$37:$A$242,0),MATCH('面板-总览'!N$2,'面板-景气指数'!$36:$36,0))</f>
        <v>0.30929650990134328</v>
      </c>
    </row>
    <row r="12" spans="2:48" s="36" customFormat="1" ht="20.100000000000001" customHeight="1" x14ac:dyDescent="0.2"/>
    <row r="13" spans="2:48" s="36" customFormat="1" ht="20.100000000000001" customHeight="1" x14ac:dyDescent="0.2"/>
    <row r="14" spans="2:48" s="36" customFormat="1" ht="20.100000000000001" customHeight="1" x14ac:dyDescent="0.2"/>
    <row r="15" spans="2:48" s="36" customFormat="1" ht="20.100000000000001" customHeight="1" x14ac:dyDescent="0.2"/>
    <row r="16" spans="2:48" s="36" customFormat="1" ht="20.100000000000001" customHeight="1" x14ac:dyDescent="0.2"/>
    <row r="17" spans="1:104" s="36" customFormat="1" ht="20.100000000000001" customHeight="1" x14ac:dyDescent="0.2"/>
    <row r="18" spans="1:104" s="36" customFormat="1" ht="20.100000000000001" customHeight="1" x14ac:dyDescent="0.2"/>
    <row r="19" spans="1:104" s="36" customFormat="1" ht="20.100000000000001" customHeight="1" x14ac:dyDescent="0.2"/>
    <row r="20" spans="1:104" s="36" customFormat="1" ht="20.100000000000001" customHeight="1" x14ac:dyDescent="0.2"/>
    <row r="21" spans="1:104" s="36" customFormat="1" ht="20.100000000000001" customHeight="1" x14ac:dyDescent="0.2"/>
    <row r="22" spans="1:104" s="36" customFormat="1" ht="20.100000000000001" customHeight="1" x14ac:dyDescent="0.2"/>
    <row r="23" spans="1:104" s="36" customFormat="1" ht="20.100000000000001" customHeight="1" x14ac:dyDescent="0.2"/>
    <row r="24" spans="1:104" s="44" customFormat="1" x14ac:dyDescent="0.2">
      <c r="A24" s="41" t="s">
        <v>303</v>
      </c>
      <c r="B24" s="42" t="s">
        <v>304</v>
      </c>
      <c r="C24" s="43" t="s">
        <v>305</v>
      </c>
      <c r="D24" s="43">
        <v>45322</v>
      </c>
      <c r="E24" s="43">
        <v>45291</v>
      </c>
      <c r="F24" s="43">
        <v>45382</v>
      </c>
      <c r="G24" s="43">
        <v>45351</v>
      </c>
      <c r="H24" s="43">
        <v>45322</v>
      </c>
      <c r="I24" s="43">
        <v>45291</v>
      </c>
      <c r="J24" s="43">
        <v>45260</v>
      </c>
      <c r="K24" s="43">
        <v>45230</v>
      </c>
      <c r="L24" s="43">
        <v>45199</v>
      </c>
      <c r="M24" s="43">
        <v>45169</v>
      </c>
      <c r="N24" s="43">
        <v>45138</v>
      </c>
      <c r="O24" s="43">
        <v>45107</v>
      </c>
      <c r="P24" s="43">
        <v>45077</v>
      </c>
      <c r="Q24" s="43">
        <v>45046</v>
      </c>
      <c r="R24" s="43">
        <v>45016</v>
      </c>
      <c r="S24" s="43">
        <v>44985</v>
      </c>
      <c r="T24" s="43">
        <v>44957</v>
      </c>
      <c r="U24" s="43">
        <v>44926</v>
      </c>
      <c r="V24" s="43">
        <v>44895</v>
      </c>
      <c r="W24" s="43">
        <v>44865</v>
      </c>
      <c r="X24" s="43">
        <v>44834</v>
      </c>
      <c r="Y24" s="43">
        <v>44804</v>
      </c>
      <c r="Z24" s="43">
        <v>44773</v>
      </c>
      <c r="AA24" s="43">
        <v>44742</v>
      </c>
      <c r="AB24" s="43">
        <v>44712</v>
      </c>
      <c r="AC24" s="43">
        <v>44681</v>
      </c>
      <c r="AD24" s="43">
        <v>44651</v>
      </c>
      <c r="AE24" s="43">
        <v>44620</v>
      </c>
      <c r="AF24" s="43">
        <v>44592</v>
      </c>
      <c r="AG24" s="43">
        <v>44561</v>
      </c>
      <c r="AH24" s="43">
        <v>44530</v>
      </c>
      <c r="AI24" s="43">
        <v>44500</v>
      </c>
      <c r="AJ24" s="43">
        <v>44469</v>
      </c>
      <c r="AK24" s="43">
        <v>44439</v>
      </c>
      <c r="AL24" s="43">
        <v>44408</v>
      </c>
      <c r="AM24" s="43">
        <v>44377</v>
      </c>
      <c r="AN24" s="43">
        <v>44347</v>
      </c>
      <c r="AO24" s="43">
        <v>44316</v>
      </c>
      <c r="AP24" s="43">
        <v>44286</v>
      </c>
      <c r="AQ24" s="43">
        <v>44255</v>
      </c>
      <c r="AR24" s="43">
        <v>44227</v>
      </c>
      <c r="AS24" s="43">
        <v>44196</v>
      </c>
      <c r="AT24" s="43">
        <v>44165</v>
      </c>
      <c r="AU24" s="43">
        <v>44135</v>
      </c>
      <c r="AV24" s="43">
        <v>44104</v>
      </c>
      <c r="AW24" s="43">
        <v>44074</v>
      </c>
      <c r="AX24" s="43">
        <v>44043</v>
      </c>
      <c r="AY24" s="43">
        <v>44012</v>
      </c>
      <c r="AZ24" s="43">
        <v>43982</v>
      </c>
      <c r="BA24" s="43">
        <v>43951</v>
      </c>
      <c r="BB24" s="43">
        <v>43921</v>
      </c>
      <c r="BC24" s="43">
        <v>43890</v>
      </c>
      <c r="BD24" s="43">
        <v>43861</v>
      </c>
      <c r="BE24" s="43">
        <v>43830</v>
      </c>
      <c r="BF24" s="43">
        <v>43799</v>
      </c>
      <c r="BG24" s="43">
        <v>43769</v>
      </c>
      <c r="BH24" s="43">
        <v>43738</v>
      </c>
      <c r="BI24" s="43">
        <v>43708</v>
      </c>
      <c r="BJ24" s="43">
        <v>43677</v>
      </c>
      <c r="BK24" s="43">
        <v>43646</v>
      </c>
      <c r="BL24" s="43">
        <v>43616</v>
      </c>
      <c r="BM24" s="43">
        <v>43585</v>
      </c>
      <c r="BN24" s="43">
        <v>43555</v>
      </c>
      <c r="BO24" s="43">
        <v>43524</v>
      </c>
      <c r="BP24" s="43">
        <v>43496</v>
      </c>
      <c r="BQ24" s="43">
        <v>43465</v>
      </c>
      <c r="BR24" s="43">
        <v>43434</v>
      </c>
      <c r="BS24" s="43">
        <v>43404</v>
      </c>
      <c r="BT24" s="43">
        <v>43373</v>
      </c>
      <c r="BU24" s="43">
        <v>43343</v>
      </c>
      <c r="BV24" s="43">
        <v>43312</v>
      </c>
      <c r="BW24" s="43">
        <v>43281</v>
      </c>
      <c r="BX24" s="43">
        <v>43251</v>
      </c>
      <c r="BY24" s="43">
        <v>43220</v>
      </c>
      <c r="BZ24" s="43">
        <v>43190</v>
      </c>
      <c r="CA24" s="43">
        <v>43159</v>
      </c>
      <c r="CB24" s="43">
        <v>43131</v>
      </c>
      <c r="CC24" s="43">
        <v>43100</v>
      </c>
      <c r="CD24" s="43">
        <v>43069</v>
      </c>
      <c r="CE24" s="43">
        <v>43039</v>
      </c>
      <c r="CF24" s="43">
        <v>43008</v>
      </c>
      <c r="CG24" s="43">
        <v>42978</v>
      </c>
      <c r="CH24" s="43">
        <v>42947</v>
      </c>
      <c r="CI24" s="43">
        <v>42916</v>
      </c>
      <c r="CJ24" s="43">
        <v>42886</v>
      </c>
      <c r="CK24" s="43">
        <v>42855</v>
      </c>
      <c r="CL24" s="43">
        <v>42825</v>
      </c>
      <c r="CM24" s="43">
        <v>42794</v>
      </c>
      <c r="CN24" s="43">
        <v>42766</v>
      </c>
      <c r="CO24" s="43">
        <v>42735</v>
      </c>
      <c r="CP24" s="43">
        <v>42704</v>
      </c>
      <c r="CQ24" s="43">
        <v>42674</v>
      </c>
      <c r="CR24" s="43">
        <v>42643</v>
      </c>
      <c r="CS24" s="43">
        <v>42613</v>
      </c>
      <c r="CT24" s="43">
        <v>42582</v>
      </c>
      <c r="CU24" s="43">
        <v>42551</v>
      </c>
      <c r="CV24" s="43">
        <v>42521</v>
      </c>
      <c r="CW24" s="43">
        <v>42490</v>
      </c>
      <c r="CX24" s="43">
        <v>42460</v>
      </c>
      <c r="CY24" s="43">
        <v>42429</v>
      </c>
      <c r="CZ24" s="43">
        <v>42400</v>
      </c>
    </row>
    <row r="25" spans="1:104" x14ac:dyDescent="0.2">
      <c r="A25" s="45" t="s">
        <v>306</v>
      </c>
      <c r="B25" s="46">
        <f>(F25-W25)*100</f>
        <v>0.11128101317177119</v>
      </c>
      <c r="C25" s="46">
        <f>(F25-I25)*100</f>
        <v>4.4587463712717712</v>
      </c>
      <c r="D25" s="36"/>
      <c r="E25" s="36"/>
      <c r="F25" s="47">
        <f t="shared" ref="F25:BQ25" si="0">AVERAGE(F37:F39)</f>
        <v>0.59042821355425923</v>
      </c>
      <c r="G25" s="47">
        <f t="shared" si="0"/>
        <v>0.57671654009775386</v>
      </c>
      <c r="H25" s="47">
        <f t="shared" si="0"/>
        <v>0.53059177957989745</v>
      </c>
      <c r="I25" s="47">
        <f t="shared" si="0"/>
        <v>0.54584074984154152</v>
      </c>
      <c r="J25" s="47">
        <f t="shared" si="0"/>
        <v>0.58953082974393878</v>
      </c>
      <c r="K25" s="47">
        <f t="shared" si="0"/>
        <v>0.65320344580884449</v>
      </c>
      <c r="L25" s="47">
        <f t="shared" si="0"/>
        <v>0.66888010673813214</v>
      </c>
      <c r="M25" s="47">
        <f t="shared" si="0"/>
        <v>0.65716370212387865</v>
      </c>
      <c r="N25" s="47">
        <f t="shared" si="0"/>
        <v>0.59639509641541022</v>
      </c>
      <c r="O25" s="47">
        <f t="shared" si="0"/>
        <v>0.56971105667234556</v>
      </c>
      <c r="P25" s="47">
        <f t="shared" si="0"/>
        <v>0.61005466308683409</v>
      </c>
      <c r="Q25" s="47">
        <f t="shared" si="0"/>
        <v>0.623422890962675</v>
      </c>
      <c r="R25" s="47">
        <f t="shared" si="0"/>
        <v>0.64214627440850358</v>
      </c>
      <c r="S25" s="47">
        <f t="shared" si="0"/>
        <v>0.61705397278378682</v>
      </c>
      <c r="T25" s="47">
        <f t="shared" si="0"/>
        <v>0.61000293269829864</v>
      </c>
      <c r="U25" s="47">
        <f t="shared" si="0"/>
        <v>0.59708884199539114</v>
      </c>
      <c r="V25" s="47">
        <f t="shared" si="0"/>
        <v>0.577215309988795</v>
      </c>
      <c r="W25" s="47">
        <f t="shared" si="0"/>
        <v>0.58931540342254152</v>
      </c>
      <c r="X25" s="47">
        <f t="shared" si="0"/>
        <v>0.60142569790685785</v>
      </c>
      <c r="Y25" s="47">
        <f t="shared" si="0"/>
        <v>0.60310722940651751</v>
      </c>
      <c r="Z25" s="47">
        <f t="shared" si="0"/>
        <v>0.62466872789402361</v>
      </c>
      <c r="AA25" s="47">
        <f t="shared" si="0"/>
        <v>0.64760852508027378</v>
      </c>
      <c r="AB25" s="47">
        <f t="shared" si="0"/>
        <v>0.70025998335398454</v>
      </c>
      <c r="AC25" s="47">
        <f t="shared" si="0"/>
        <v>0.74285597498748002</v>
      </c>
      <c r="AD25" s="47">
        <f t="shared" si="0"/>
        <v>0.77695313536591681</v>
      </c>
      <c r="AE25" s="47">
        <f t="shared" si="0"/>
        <v>0.78313485292721774</v>
      </c>
      <c r="AF25" s="47">
        <f t="shared" si="0"/>
        <v>0.80009892229358937</v>
      </c>
      <c r="AG25" s="47">
        <f t="shared" si="0"/>
        <v>0.77916562051090132</v>
      </c>
      <c r="AH25" s="47">
        <f t="shared" si="0"/>
        <v>0.7824868864471366</v>
      </c>
      <c r="AI25" s="47">
        <f t="shared" si="0"/>
        <v>0.7540483860816013</v>
      </c>
      <c r="AJ25" s="47">
        <f t="shared" si="0"/>
        <v>0.748992057392737</v>
      </c>
      <c r="AK25" s="47">
        <f t="shared" si="0"/>
        <v>0.71385569131280979</v>
      </c>
      <c r="AL25" s="47">
        <f t="shared" si="0"/>
        <v>0.69587654523572073</v>
      </c>
      <c r="AM25" s="47">
        <f t="shared" si="0"/>
        <v>0.67430311749867455</v>
      </c>
      <c r="AN25" s="47">
        <f t="shared" si="0"/>
        <v>0.63818316681022558</v>
      </c>
      <c r="AO25" s="47">
        <f t="shared" si="0"/>
        <v>0.59946465883779931</v>
      </c>
      <c r="AP25" s="47">
        <f t="shared" si="0"/>
        <v>0.54681682574541923</v>
      </c>
      <c r="AQ25" s="47">
        <f t="shared" si="0"/>
        <v>0.54935074945678963</v>
      </c>
      <c r="AR25" s="47">
        <f t="shared" si="0"/>
        <v>0.53864208219665943</v>
      </c>
      <c r="AS25" s="47">
        <f t="shared" si="0"/>
        <v>0.5179066944228442</v>
      </c>
      <c r="AT25" s="47">
        <f t="shared" si="0"/>
        <v>0.42342440258480751</v>
      </c>
      <c r="AU25" s="47">
        <f t="shared" si="0"/>
        <v>0.34381442997423523</v>
      </c>
      <c r="AV25" s="47">
        <f t="shared" si="0"/>
        <v>0.30434158449023968</v>
      </c>
      <c r="AW25" s="47">
        <f t="shared" si="0"/>
        <v>0.30701877143073758</v>
      </c>
      <c r="AX25" s="47">
        <f t="shared" si="0"/>
        <v>0.3122678738695851</v>
      </c>
      <c r="AY25" s="47">
        <f t="shared" si="0"/>
        <v>0.27101732977890342</v>
      </c>
      <c r="AZ25" s="47">
        <f t="shared" si="0"/>
        <v>0.23731822470663413</v>
      </c>
      <c r="BA25" s="47">
        <f t="shared" si="0"/>
        <v>0.22650057135093013</v>
      </c>
      <c r="BB25" s="47">
        <f t="shared" si="0"/>
        <v>0.20487178180217733</v>
      </c>
      <c r="BC25" s="47">
        <f t="shared" si="0"/>
        <v>0.23910438911350465</v>
      </c>
      <c r="BD25" s="47">
        <f t="shared" si="0"/>
        <v>0.27719881113673478</v>
      </c>
      <c r="BE25" s="47">
        <f t="shared" si="0"/>
        <v>0.2822822867011851</v>
      </c>
      <c r="BF25" s="47">
        <f t="shared" si="0"/>
        <v>0.31843525579881643</v>
      </c>
      <c r="BG25" s="47">
        <f t="shared" si="0"/>
        <v>0.33778520586022243</v>
      </c>
      <c r="BH25" s="47">
        <f t="shared" si="0"/>
        <v>0.35197679576586366</v>
      </c>
      <c r="BI25" s="47">
        <f t="shared" si="0"/>
        <v>0.38468666737133805</v>
      </c>
      <c r="BJ25" s="47">
        <f t="shared" si="0"/>
        <v>0.39046943286924662</v>
      </c>
      <c r="BK25" s="47">
        <f t="shared" si="0"/>
        <v>0.39406029194871328</v>
      </c>
      <c r="BL25" s="47">
        <f t="shared" si="0"/>
        <v>0.38902477724591272</v>
      </c>
      <c r="BM25" s="47">
        <f t="shared" si="0"/>
        <v>0.4002863119842231</v>
      </c>
      <c r="BN25" s="47">
        <f t="shared" si="0"/>
        <v>0.3718816340747142</v>
      </c>
      <c r="BO25" s="47">
        <f t="shared" si="0"/>
        <v>0.36580685475280578</v>
      </c>
      <c r="BP25" s="47">
        <f t="shared" si="0"/>
        <v>0.3597214887511519</v>
      </c>
      <c r="BQ25" s="47">
        <f t="shared" si="0"/>
        <v>0.38095148315873062</v>
      </c>
      <c r="BR25" s="47">
        <f t="shared" ref="BR25:CZ25" si="1">AVERAGE(BR37:BR39)</f>
        <v>0.41517556504179343</v>
      </c>
      <c r="BS25" s="47">
        <f t="shared" si="1"/>
        <v>0.44765094682549317</v>
      </c>
      <c r="BT25" s="47">
        <f t="shared" si="1"/>
        <v>0.45648643712223813</v>
      </c>
      <c r="BU25" s="47">
        <f t="shared" si="1"/>
        <v>0.48875513066111176</v>
      </c>
      <c r="BV25" s="47">
        <f t="shared" si="1"/>
        <v>0.54614237034240209</v>
      </c>
      <c r="BW25" s="47">
        <f t="shared" si="1"/>
        <v>0.57662352138978867</v>
      </c>
      <c r="BX25" s="47">
        <f t="shared" si="1"/>
        <v>0.57657203768795462</v>
      </c>
      <c r="BY25" s="47">
        <f t="shared" si="1"/>
        <v>0.57344600721018135</v>
      </c>
      <c r="BZ25" s="47">
        <f t="shared" si="1"/>
        <v>0.6080993857673983</v>
      </c>
      <c r="CA25" s="47">
        <f t="shared" si="1"/>
        <v>0.62853165408905498</v>
      </c>
      <c r="CB25" s="47">
        <f t="shared" si="1"/>
        <v>0.61953200344867365</v>
      </c>
      <c r="CC25" s="47">
        <f t="shared" si="1"/>
        <v>0.60881055952523588</v>
      </c>
      <c r="CD25" s="47">
        <f t="shared" si="1"/>
        <v>0.6184323342439898</v>
      </c>
      <c r="CE25" s="47">
        <f t="shared" si="1"/>
        <v>0.61351853990868155</v>
      </c>
      <c r="CF25" s="47">
        <f t="shared" si="1"/>
        <v>0.60705857958035769</v>
      </c>
      <c r="CG25" s="47">
        <f t="shared" si="1"/>
        <v>0.56417311420947014</v>
      </c>
      <c r="CH25" s="47">
        <f t="shared" si="1"/>
        <v>0.5091606108095138</v>
      </c>
      <c r="CI25" s="47">
        <f t="shared" si="1"/>
        <v>0.49109348517731194</v>
      </c>
      <c r="CJ25" s="47">
        <f t="shared" si="1"/>
        <v>0.49827116782784286</v>
      </c>
      <c r="CK25" s="47">
        <f t="shared" si="1"/>
        <v>0.50158621469067788</v>
      </c>
      <c r="CL25" s="47">
        <f t="shared" si="1"/>
        <v>0.48689961817288174</v>
      </c>
      <c r="CM25" s="47">
        <f t="shared" si="1"/>
        <v>0.46055298066528322</v>
      </c>
      <c r="CN25" s="47">
        <f t="shared" si="1"/>
        <v>0.46230347436650998</v>
      </c>
      <c r="CO25" s="47">
        <f t="shared" si="1"/>
        <v>0.4954090788303786</v>
      </c>
      <c r="CP25" s="47">
        <f t="shared" si="1"/>
        <v>0.47478873223340612</v>
      </c>
      <c r="CQ25" s="47">
        <f t="shared" si="1"/>
        <v>0.40127018209777904</v>
      </c>
      <c r="CR25" s="47">
        <f t="shared" si="1"/>
        <v>0.32362737304513334</v>
      </c>
      <c r="CS25" s="47">
        <f t="shared" si="1"/>
        <v>0.28195873025517465</v>
      </c>
      <c r="CT25" s="47">
        <f t="shared" si="1"/>
        <v>0.24295670347644152</v>
      </c>
      <c r="CU25" s="47">
        <f t="shared" si="1"/>
        <v>0.21368908057656602</v>
      </c>
      <c r="CV25" s="47">
        <f t="shared" si="1"/>
        <v>0.23596069893555013</v>
      </c>
      <c r="CW25" s="47">
        <f t="shared" si="1"/>
        <v>0.24284744117063739</v>
      </c>
      <c r="CX25" s="47">
        <f t="shared" si="1"/>
        <v>0.24657098036260683</v>
      </c>
      <c r="CY25" s="47">
        <f t="shared" si="1"/>
        <v>0.19940050531880416</v>
      </c>
      <c r="CZ25" s="47">
        <f t="shared" si="1"/>
        <v>0.18282554574149648</v>
      </c>
    </row>
    <row r="26" spans="1:104" x14ac:dyDescent="0.2">
      <c r="A26" s="45" t="s">
        <v>307</v>
      </c>
      <c r="B26" s="46">
        <f t="shared" ref="B26:B34" si="2">(F26-W26)*100</f>
        <v>6.1521692658867311</v>
      </c>
      <c r="C26" s="46">
        <f t="shared" ref="C26:C34" si="3">(F26-I26)*100</f>
        <v>-7.4035080744838275</v>
      </c>
      <c r="D26" s="36"/>
      <c r="E26" s="36"/>
      <c r="F26" s="47">
        <f t="shared" ref="F26:BQ26" si="4">AVERAGE(F40:F42)</f>
        <v>0.26570461311735438</v>
      </c>
      <c r="G26" s="47">
        <f t="shared" si="4"/>
        <v>0.2761569787258909</v>
      </c>
      <c r="H26" s="47">
        <f t="shared" si="4"/>
        <v>0.31400698361616297</v>
      </c>
      <c r="I26" s="47">
        <f t="shared" si="4"/>
        <v>0.33973969386219266</v>
      </c>
      <c r="J26" s="47">
        <f t="shared" si="4"/>
        <v>0.34541225145649079</v>
      </c>
      <c r="K26" s="47">
        <f t="shared" si="4"/>
        <v>0.32690610589814995</v>
      </c>
      <c r="L26" s="47">
        <f t="shared" si="4"/>
        <v>0.32503626394628121</v>
      </c>
      <c r="M26" s="47">
        <f t="shared" si="4"/>
        <v>0.327157806207172</v>
      </c>
      <c r="N26" s="47">
        <f t="shared" si="4"/>
        <v>0.28849853178634494</v>
      </c>
      <c r="O26" s="47">
        <f t="shared" si="4"/>
        <v>0.23884033719889727</v>
      </c>
      <c r="P26" s="47">
        <f t="shared" si="4"/>
        <v>0.20302527111774474</v>
      </c>
      <c r="Q26" s="47">
        <f t="shared" si="4"/>
        <v>0.21122159976150923</v>
      </c>
      <c r="R26" s="47">
        <f t="shared" si="4"/>
        <v>0.25407773144783824</v>
      </c>
      <c r="S26" s="47">
        <f t="shared" si="4"/>
        <v>0.26694238214849514</v>
      </c>
      <c r="T26" s="47">
        <f t="shared" si="4"/>
        <v>0.24691202227048928</v>
      </c>
      <c r="U26" s="47">
        <f t="shared" si="4"/>
        <v>0.21371116335222332</v>
      </c>
      <c r="V26" s="47">
        <f t="shared" si="4"/>
        <v>0.19637725282944993</v>
      </c>
      <c r="W26" s="47">
        <f t="shared" si="4"/>
        <v>0.20418292045848707</v>
      </c>
      <c r="X26" s="47">
        <f t="shared" si="4"/>
        <v>0.22375488854074879</v>
      </c>
      <c r="Y26" s="47">
        <f t="shared" si="4"/>
        <v>0.26249936556232112</v>
      </c>
      <c r="Z26" s="47">
        <f t="shared" si="4"/>
        <v>0.29820501341882794</v>
      </c>
      <c r="AA26" s="47">
        <f t="shared" si="4"/>
        <v>0.34217544318069093</v>
      </c>
      <c r="AB26" s="47">
        <f t="shared" si="4"/>
        <v>0.43201422090871794</v>
      </c>
      <c r="AC26" s="47">
        <f t="shared" si="4"/>
        <v>0.50939541762514973</v>
      </c>
      <c r="AD26" s="47">
        <f t="shared" si="4"/>
        <v>0.57313784426835723</v>
      </c>
      <c r="AE26" s="47">
        <f t="shared" si="4"/>
        <v>0.62698719929163704</v>
      </c>
      <c r="AF26" s="47">
        <f t="shared" si="4"/>
        <v>0.6362472809083991</v>
      </c>
      <c r="AG26" s="47">
        <f t="shared" si="4"/>
        <v>0.6543963309802977</v>
      </c>
      <c r="AH26" s="47">
        <f t="shared" si="4"/>
        <v>0.708397954780419</v>
      </c>
      <c r="AI26" s="47">
        <f t="shared" si="4"/>
        <v>0.76409809230950554</v>
      </c>
      <c r="AJ26" s="47">
        <f t="shared" si="4"/>
        <v>0.77010797777890916</v>
      </c>
      <c r="AK26" s="47">
        <f t="shared" si="4"/>
        <v>0.70678276170050858</v>
      </c>
      <c r="AL26" s="47">
        <f t="shared" si="4"/>
        <v>0.65473354242009496</v>
      </c>
      <c r="AM26" s="47">
        <f t="shared" si="4"/>
        <v>0.70909094031537234</v>
      </c>
      <c r="AN26" s="47">
        <f t="shared" si="4"/>
        <v>0.74957710138122702</v>
      </c>
      <c r="AO26" s="47">
        <f t="shared" si="4"/>
        <v>0.72734786687336006</v>
      </c>
      <c r="AP26" s="47">
        <f t="shared" si="4"/>
        <v>0.65622027558974294</v>
      </c>
      <c r="AQ26" s="47">
        <f t="shared" si="4"/>
        <v>0.57853826448850343</v>
      </c>
      <c r="AR26" s="47">
        <f t="shared" si="4"/>
        <v>0.55441146699524291</v>
      </c>
      <c r="AS26" s="47">
        <f t="shared" si="4"/>
        <v>0.54369034721340925</v>
      </c>
      <c r="AT26" s="47">
        <f t="shared" si="4"/>
        <v>0.52602462523198656</v>
      </c>
      <c r="AU26" s="47">
        <f t="shared" si="4"/>
        <v>0.49273886652697518</v>
      </c>
      <c r="AV26" s="47">
        <f t="shared" si="4"/>
        <v>0.44607878002872819</v>
      </c>
      <c r="AW26" s="47">
        <f t="shared" si="4"/>
        <v>0.39013878753189229</v>
      </c>
      <c r="AX26" s="47">
        <f t="shared" si="4"/>
        <v>0.37570463697443607</v>
      </c>
      <c r="AY26" s="47">
        <f t="shared" si="4"/>
        <v>0.36884620857328027</v>
      </c>
      <c r="AZ26" s="47">
        <f t="shared" si="4"/>
        <v>0.34279861805043949</v>
      </c>
      <c r="BA26" s="47">
        <f t="shared" si="4"/>
        <v>0.31003915017760658</v>
      </c>
      <c r="BB26" s="47">
        <f t="shared" si="4"/>
        <v>0.30339676734320919</v>
      </c>
      <c r="BC26" s="47">
        <f t="shared" si="4"/>
        <v>0.35890276675370797</v>
      </c>
      <c r="BD26" s="47">
        <f t="shared" si="4"/>
        <v>0.43915520433169891</v>
      </c>
      <c r="BE26" s="47">
        <f t="shared" si="4"/>
        <v>0.48679651310343858</v>
      </c>
      <c r="BF26" s="47">
        <f t="shared" si="4"/>
        <v>0.45637617986516549</v>
      </c>
      <c r="BG26" s="47">
        <f t="shared" si="4"/>
        <v>0.42534602834766339</v>
      </c>
      <c r="BH26" s="47">
        <f t="shared" si="4"/>
        <v>0.39206627953120154</v>
      </c>
      <c r="BI26" s="47">
        <f t="shared" si="4"/>
        <v>0.37314210556706523</v>
      </c>
      <c r="BJ26" s="47">
        <f t="shared" si="4"/>
        <v>0.37881076409755593</v>
      </c>
      <c r="BK26" s="47">
        <f t="shared" si="4"/>
        <v>0.42560467522280526</v>
      </c>
      <c r="BL26" s="47">
        <f t="shared" si="4"/>
        <v>0.47956615029235944</v>
      </c>
      <c r="BM26" s="47">
        <f t="shared" si="4"/>
        <v>0.49711290855629647</v>
      </c>
      <c r="BN26" s="47">
        <f t="shared" si="4"/>
        <v>0.49052154308385604</v>
      </c>
      <c r="BO26" s="47">
        <f t="shared" si="4"/>
        <v>0.46277308965397607</v>
      </c>
      <c r="BP26" s="47">
        <f t="shared" si="4"/>
        <v>0.49410281802139006</v>
      </c>
      <c r="BQ26" s="47">
        <f t="shared" si="4"/>
        <v>0.52759967613276304</v>
      </c>
      <c r="BR26" s="47">
        <f t="shared" ref="BR26:CZ26" si="5">AVERAGE(BR40:BR42)</f>
        <v>0.5696204118834256</v>
      </c>
      <c r="BS26" s="47">
        <f t="shared" si="5"/>
        <v>0.61269288613253481</v>
      </c>
      <c r="BT26" s="47">
        <f t="shared" si="5"/>
        <v>0.63900746597923941</v>
      </c>
      <c r="BU26" s="47">
        <f t="shared" si="5"/>
        <v>0.6493636803523114</v>
      </c>
      <c r="BV26" s="47">
        <f t="shared" si="5"/>
        <v>0.67169681584280738</v>
      </c>
      <c r="BW26" s="47">
        <f t="shared" si="5"/>
        <v>0.7003874999200298</v>
      </c>
      <c r="BX26" s="47">
        <f t="shared" si="5"/>
        <v>0.71321356543249192</v>
      </c>
      <c r="BY26" s="47">
        <f t="shared" si="5"/>
        <v>0.68305018631097913</v>
      </c>
      <c r="BZ26" s="47">
        <f t="shared" si="5"/>
        <v>0.65406164975118741</v>
      </c>
      <c r="CA26" s="47">
        <f t="shared" si="5"/>
        <v>0.6506552138056213</v>
      </c>
      <c r="CB26" s="47">
        <f t="shared" si="5"/>
        <v>0.70605599195448987</v>
      </c>
      <c r="CC26" s="47">
        <f t="shared" si="5"/>
        <v>0.7094243227331184</v>
      </c>
      <c r="CD26" s="47">
        <f t="shared" si="5"/>
        <v>0.69355460158199189</v>
      </c>
      <c r="CE26" s="47">
        <f t="shared" si="5"/>
        <v>0.69670319772147771</v>
      </c>
      <c r="CF26" s="47">
        <f t="shared" si="5"/>
        <v>0.73646990892461561</v>
      </c>
      <c r="CG26" s="47">
        <f t="shared" si="5"/>
        <v>0.75293220768959301</v>
      </c>
      <c r="CH26" s="47">
        <f t="shared" si="5"/>
        <v>0.7446859172992869</v>
      </c>
      <c r="CI26" s="47">
        <f t="shared" si="5"/>
        <v>0.72141957396952427</v>
      </c>
      <c r="CJ26" s="47">
        <f t="shared" si="5"/>
        <v>0.6938951678801567</v>
      </c>
      <c r="CK26" s="47">
        <f t="shared" si="5"/>
        <v>0.7079905913026</v>
      </c>
      <c r="CL26" s="47">
        <f t="shared" si="5"/>
        <v>0.71863969720751386</v>
      </c>
      <c r="CM26" s="47">
        <f t="shared" si="5"/>
        <v>0.72093252306660049</v>
      </c>
      <c r="CN26" s="47">
        <f t="shared" si="5"/>
        <v>0.69813420537655324</v>
      </c>
      <c r="CO26" s="47">
        <f t="shared" si="5"/>
        <v>0.67501165532111218</v>
      </c>
      <c r="CP26" s="47">
        <f t="shared" si="5"/>
        <v>0.64860244528210342</v>
      </c>
      <c r="CQ26" s="47">
        <f t="shared" si="5"/>
        <v>0.60424932307102397</v>
      </c>
      <c r="CR26" s="47">
        <f t="shared" si="5"/>
        <v>0.56532970927624815</v>
      </c>
      <c r="CS26" s="47">
        <f t="shared" si="5"/>
        <v>0.52009713836880056</v>
      </c>
      <c r="CT26" s="47">
        <f t="shared" si="5"/>
        <v>0.49234826366962664</v>
      </c>
      <c r="CU26" s="47">
        <f t="shared" si="5"/>
        <v>0.45083340706684755</v>
      </c>
      <c r="CV26" s="47">
        <f t="shared" si="5"/>
        <v>0.44350373153088629</v>
      </c>
      <c r="CW26" s="47">
        <f t="shared" si="5"/>
        <v>0.42666988943393874</v>
      </c>
      <c r="CX26" s="47">
        <f t="shared" si="5"/>
        <v>0.39012615751814878</v>
      </c>
      <c r="CY26" s="47">
        <f t="shared" si="5"/>
        <v>0.33500483097213613</v>
      </c>
      <c r="CZ26" s="47">
        <f t="shared" si="5"/>
        <v>0.27962263175568475</v>
      </c>
    </row>
    <row r="27" spans="1:104" x14ac:dyDescent="0.2">
      <c r="A27" s="45" t="s">
        <v>308</v>
      </c>
      <c r="B27" s="46">
        <f t="shared" si="2"/>
        <v>-9.802662144094521</v>
      </c>
      <c r="C27" s="46">
        <f t="shared" si="3"/>
        <v>-1.670674991631832</v>
      </c>
      <c r="D27" s="36"/>
      <c r="E27" s="36"/>
      <c r="F27" s="47">
        <f t="shared" ref="F27:BQ27" si="6">AVERAGE(F43:F45)</f>
        <v>0.42778091888869652</v>
      </c>
      <c r="G27" s="47">
        <f t="shared" si="6"/>
        <v>0.43951821507441369</v>
      </c>
      <c r="H27" s="47">
        <f t="shared" si="6"/>
        <v>0.44274840693342182</v>
      </c>
      <c r="I27" s="47">
        <f t="shared" si="6"/>
        <v>0.44448766880501484</v>
      </c>
      <c r="J27" s="47">
        <f t="shared" si="6"/>
        <v>0.41653796514681196</v>
      </c>
      <c r="K27" s="47">
        <f t="shared" si="6"/>
        <v>0.37896362372622855</v>
      </c>
      <c r="L27" s="47">
        <f t="shared" si="6"/>
        <v>0.34983411587422192</v>
      </c>
      <c r="M27" s="47">
        <f t="shared" si="6"/>
        <v>0.33149991029231812</v>
      </c>
      <c r="N27" s="47">
        <f t="shared" si="6"/>
        <v>0.33232971029625186</v>
      </c>
      <c r="O27" s="47">
        <f t="shared" si="6"/>
        <v>0.32858767486478802</v>
      </c>
      <c r="P27" s="47">
        <f t="shared" si="6"/>
        <v>0.36368358551375551</v>
      </c>
      <c r="Q27" s="47">
        <f t="shared" si="6"/>
        <v>0.37510092514943388</v>
      </c>
      <c r="R27" s="47">
        <f t="shared" si="6"/>
        <v>0.39873239333495675</v>
      </c>
      <c r="S27" s="47">
        <f t="shared" si="6"/>
        <v>0.37907642812357839</v>
      </c>
      <c r="T27" s="47">
        <f t="shared" si="6"/>
        <v>0.38317941843331632</v>
      </c>
      <c r="U27" s="47">
        <f t="shared" si="6"/>
        <v>0.41648666962284148</v>
      </c>
      <c r="V27" s="47">
        <f t="shared" si="6"/>
        <v>0.47321995073761897</v>
      </c>
      <c r="W27" s="47">
        <f t="shared" si="6"/>
        <v>0.52580754032964172</v>
      </c>
      <c r="X27" s="47">
        <f t="shared" si="6"/>
        <v>0.56596321451123555</v>
      </c>
      <c r="Y27" s="47">
        <f t="shared" si="6"/>
        <v>0.57590714340310678</v>
      </c>
      <c r="Z27" s="47">
        <f t="shared" si="6"/>
        <v>0.57624749622341198</v>
      </c>
      <c r="AA27" s="47">
        <f t="shared" si="6"/>
        <v>0.58863504337385386</v>
      </c>
      <c r="AB27" s="47">
        <f t="shared" si="6"/>
        <v>0.57816049744888109</v>
      </c>
      <c r="AC27" s="47">
        <f t="shared" si="6"/>
        <v>0.61215890395232697</v>
      </c>
      <c r="AD27" s="47">
        <f t="shared" si="6"/>
        <v>0.68313145299773803</v>
      </c>
      <c r="AE27" s="47">
        <f t="shared" si="6"/>
        <v>0.71579298357436139</v>
      </c>
      <c r="AF27" s="47">
        <f t="shared" si="6"/>
        <v>0.71287141371062024</v>
      </c>
      <c r="AG27" s="47">
        <f t="shared" si="6"/>
        <v>0.61578381491262635</v>
      </c>
      <c r="AH27" s="47">
        <f t="shared" si="6"/>
        <v>0.61231151629565461</v>
      </c>
      <c r="AI27" s="47">
        <f t="shared" si="6"/>
        <v>0.64253145292369818</v>
      </c>
      <c r="AJ27" s="47">
        <f t="shared" si="6"/>
        <v>0.68987035709603062</v>
      </c>
      <c r="AK27" s="47">
        <f t="shared" si="6"/>
        <v>0.69986195288081976</v>
      </c>
      <c r="AL27" s="47">
        <f t="shared" si="6"/>
        <v>0.72277776593526999</v>
      </c>
      <c r="AM27" s="47">
        <f t="shared" si="6"/>
        <v>0.71148029244031707</v>
      </c>
      <c r="AN27" s="47">
        <f t="shared" si="6"/>
        <v>0.72748162511733805</v>
      </c>
      <c r="AO27" s="47">
        <f t="shared" si="6"/>
        <v>0.73154305340488301</v>
      </c>
      <c r="AP27" s="47">
        <f t="shared" si="6"/>
        <v>0.77151418056166499</v>
      </c>
      <c r="AQ27" s="47">
        <f t="shared" si="6"/>
        <v>0.78232856983136312</v>
      </c>
      <c r="AR27" s="47">
        <f t="shared" si="6"/>
        <v>0.72728295442411939</v>
      </c>
      <c r="AS27" s="47">
        <f t="shared" si="6"/>
        <v>0.63381284156629525</v>
      </c>
      <c r="AT27" s="47">
        <f t="shared" si="6"/>
        <v>0.57170352014360448</v>
      </c>
      <c r="AU27" s="47">
        <f t="shared" si="6"/>
        <v>0.54348488728757283</v>
      </c>
      <c r="AV27" s="47">
        <f t="shared" si="6"/>
        <v>0.47777332144612683</v>
      </c>
      <c r="AW27" s="47">
        <f t="shared" si="6"/>
        <v>0.44110476702213836</v>
      </c>
      <c r="AX27" s="47">
        <f t="shared" si="6"/>
        <v>0.40377229213294497</v>
      </c>
      <c r="AY27" s="47">
        <f t="shared" si="6"/>
        <v>0.3900163017493507</v>
      </c>
      <c r="AZ27" s="47">
        <f t="shared" si="6"/>
        <v>0.36962011395007827</v>
      </c>
      <c r="BA27" s="47">
        <f t="shared" si="6"/>
        <v>0.31553780951401961</v>
      </c>
      <c r="BB27" s="47">
        <f t="shared" si="6"/>
        <v>0.27133426213869855</v>
      </c>
      <c r="BC27" s="47">
        <f t="shared" si="6"/>
        <v>0.2162558194765084</v>
      </c>
      <c r="BD27" s="47">
        <f t="shared" si="6"/>
        <v>0.28648691902613616</v>
      </c>
      <c r="BE27" s="47">
        <f t="shared" si="6"/>
        <v>0.34281240384541906</v>
      </c>
      <c r="BF27" s="47">
        <f t="shared" si="6"/>
        <v>0.35097755592131535</v>
      </c>
      <c r="BG27" s="47">
        <f t="shared" si="6"/>
        <v>0.33006568847971618</v>
      </c>
      <c r="BH27" s="47">
        <f t="shared" si="6"/>
        <v>0.31311470811219211</v>
      </c>
      <c r="BI27" s="47">
        <f t="shared" si="6"/>
        <v>0.31808133126673149</v>
      </c>
      <c r="BJ27" s="47">
        <f t="shared" si="6"/>
        <v>0.3412581477569272</v>
      </c>
      <c r="BK27" s="47">
        <f t="shared" si="6"/>
        <v>0.34938524531007037</v>
      </c>
      <c r="BL27" s="47">
        <f t="shared" si="6"/>
        <v>0.33858191486831074</v>
      </c>
      <c r="BM27" s="47">
        <f t="shared" si="6"/>
        <v>0.34202930574819085</v>
      </c>
      <c r="BN27" s="47">
        <f t="shared" si="6"/>
        <v>0.38116372344361921</v>
      </c>
      <c r="BO27" s="47">
        <f t="shared" si="6"/>
        <v>0.44132364939080437</v>
      </c>
      <c r="BP27" s="47">
        <f t="shared" si="6"/>
        <v>0.43076614423220544</v>
      </c>
      <c r="BQ27" s="47">
        <f t="shared" si="6"/>
        <v>0.4320517173864315</v>
      </c>
      <c r="BR27" s="47">
        <f t="shared" ref="BR27:CZ27" si="7">AVERAGE(BR43:BR45)</f>
        <v>0.44085476545828506</v>
      </c>
      <c r="BS27" s="47">
        <f t="shared" si="7"/>
        <v>0.42347535515869072</v>
      </c>
      <c r="BT27" s="47">
        <f t="shared" si="7"/>
        <v>0.41478864943843274</v>
      </c>
      <c r="BU27" s="47">
        <f t="shared" si="7"/>
        <v>0.41883372411927472</v>
      </c>
      <c r="BV27" s="47">
        <f t="shared" si="7"/>
        <v>0.41362378389153376</v>
      </c>
      <c r="BW27" s="47">
        <f t="shared" si="7"/>
        <v>0.44779983901747417</v>
      </c>
      <c r="BX27" s="47">
        <f t="shared" si="7"/>
        <v>0.46717855699910982</v>
      </c>
      <c r="BY27" s="47">
        <f t="shared" si="7"/>
        <v>0.50290342647990682</v>
      </c>
      <c r="BZ27" s="47">
        <f t="shared" si="7"/>
        <v>0.48842073081524862</v>
      </c>
      <c r="CA27" s="47">
        <f t="shared" si="7"/>
        <v>0.53813428633236127</v>
      </c>
      <c r="CB27" s="47">
        <f t="shared" si="7"/>
        <v>0.54730252362699494</v>
      </c>
      <c r="CC27" s="47">
        <f t="shared" si="7"/>
        <v>0.56408314326747699</v>
      </c>
      <c r="CD27" s="47">
        <f t="shared" si="7"/>
        <v>0.552933773901778</v>
      </c>
      <c r="CE27" s="47">
        <f t="shared" si="7"/>
        <v>0.60114635528777938</v>
      </c>
      <c r="CF27" s="47">
        <f t="shared" si="7"/>
        <v>0.61866280794097117</v>
      </c>
      <c r="CG27" s="47">
        <f t="shared" si="7"/>
        <v>0.63456441756483273</v>
      </c>
      <c r="CH27" s="47">
        <f t="shared" si="7"/>
        <v>0.62258022684370473</v>
      </c>
      <c r="CI27" s="47">
        <f t="shared" si="7"/>
        <v>0.61261559262616716</v>
      </c>
      <c r="CJ27" s="47">
        <f t="shared" si="7"/>
        <v>0.59292495161413639</v>
      </c>
      <c r="CK27" s="47">
        <f t="shared" si="7"/>
        <v>0.56590927246866307</v>
      </c>
      <c r="CL27" s="47">
        <f t="shared" si="7"/>
        <v>0.5687940948684872</v>
      </c>
      <c r="CM27" s="47">
        <f t="shared" si="7"/>
        <v>0.53381416812924953</v>
      </c>
      <c r="CN27" s="47">
        <f t="shared" si="7"/>
        <v>0.59798061666494651</v>
      </c>
      <c r="CO27" s="47">
        <f t="shared" si="7"/>
        <v>0.56860959284190782</v>
      </c>
      <c r="CP27" s="47">
        <f t="shared" si="7"/>
        <v>0.57223910848211179</v>
      </c>
      <c r="CQ27" s="47">
        <f t="shared" si="7"/>
        <v>0.548196636940811</v>
      </c>
      <c r="CR27" s="47">
        <f t="shared" si="7"/>
        <v>0.5368762686894083</v>
      </c>
      <c r="CS27" s="47">
        <f t="shared" si="7"/>
        <v>0.51649523442800926</v>
      </c>
      <c r="CT27" s="47">
        <f t="shared" si="7"/>
        <v>0.50108679569354864</v>
      </c>
      <c r="CU27" s="47">
        <f t="shared" si="7"/>
        <v>0.47629825436879619</v>
      </c>
      <c r="CV27" s="47">
        <f t="shared" si="7"/>
        <v>0.46837043435089981</v>
      </c>
      <c r="CW27" s="47">
        <f t="shared" si="7"/>
        <v>0.47650611645156343</v>
      </c>
      <c r="CX27" s="47">
        <f t="shared" si="7"/>
        <v>0.48181448844778302</v>
      </c>
      <c r="CY27" s="47">
        <f t="shared" si="7"/>
        <v>0.46914591706107966</v>
      </c>
      <c r="CZ27" s="47">
        <f t="shared" si="7"/>
        <v>0.39875476913656221</v>
      </c>
    </row>
    <row r="28" spans="1:104" x14ac:dyDescent="0.2">
      <c r="A28" s="45" t="s">
        <v>309</v>
      </c>
      <c r="B28" s="46">
        <f t="shared" si="2"/>
        <v>-23.142815366354949</v>
      </c>
      <c r="C28" s="46">
        <f t="shared" si="3"/>
        <v>-0.93179123590264035</v>
      </c>
      <c r="D28" s="36"/>
      <c r="E28" s="36"/>
      <c r="F28" s="47">
        <f t="shared" ref="F28:BQ28" si="8">AVERAGE(F46:F48)</f>
        <v>0.23555953915630598</v>
      </c>
      <c r="G28" s="47">
        <f t="shared" si="8"/>
        <v>0.23667440075307863</v>
      </c>
      <c r="H28" s="47">
        <f t="shared" si="8"/>
        <v>0.2460181703089834</v>
      </c>
      <c r="I28" s="47">
        <f t="shared" si="8"/>
        <v>0.24487745151533238</v>
      </c>
      <c r="J28" s="47">
        <f t="shared" si="8"/>
        <v>0.24102265279384674</v>
      </c>
      <c r="K28" s="47">
        <f t="shared" si="8"/>
        <v>0.24104185540752651</v>
      </c>
      <c r="L28" s="47">
        <f t="shared" si="8"/>
        <v>0.23543497270501054</v>
      </c>
      <c r="M28" s="47">
        <f t="shared" si="8"/>
        <v>0.24571537465324775</v>
      </c>
      <c r="N28" s="47">
        <f t="shared" si="8"/>
        <v>0.24563599636799224</v>
      </c>
      <c r="O28" s="47">
        <f t="shared" si="8"/>
        <v>0.24747963756231059</v>
      </c>
      <c r="P28" s="47">
        <f t="shared" si="8"/>
        <v>0.24926264313297289</v>
      </c>
      <c r="Q28" s="47">
        <f t="shared" si="8"/>
        <v>0.2694005725306618</v>
      </c>
      <c r="R28" s="47">
        <f t="shared" si="8"/>
        <v>0.33663510750450892</v>
      </c>
      <c r="S28" s="47">
        <f t="shared" si="8"/>
        <v>0.36792565774731734</v>
      </c>
      <c r="T28" s="47">
        <f t="shared" si="8"/>
        <v>0.38210557285102303</v>
      </c>
      <c r="U28" s="47">
        <f t="shared" si="8"/>
        <v>0.41311039828021118</v>
      </c>
      <c r="V28" s="47">
        <f t="shared" si="8"/>
        <v>0.46872414564599324</v>
      </c>
      <c r="W28" s="47">
        <f t="shared" si="8"/>
        <v>0.46698769281985547</v>
      </c>
      <c r="X28" s="47">
        <f t="shared" si="8"/>
        <v>0.47367256274687014</v>
      </c>
      <c r="Y28" s="47">
        <f t="shared" si="8"/>
        <v>0.45859296865023702</v>
      </c>
      <c r="Z28" s="47">
        <f t="shared" si="8"/>
        <v>0.46406533371628728</v>
      </c>
      <c r="AA28" s="47">
        <f t="shared" si="8"/>
        <v>0.47238451090289507</v>
      </c>
      <c r="AB28" s="47">
        <f t="shared" si="8"/>
        <v>0.46321758747605668</v>
      </c>
      <c r="AC28" s="47">
        <f t="shared" si="8"/>
        <v>0.4807263596117462</v>
      </c>
      <c r="AD28" s="47">
        <f t="shared" si="8"/>
        <v>0.48197365101274597</v>
      </c>
      <c r="AE28" s="47">
        <f t="shared" si="8"/>
        <v>0.52735032653591141</v>
      </c>
      <c r="AF28" s="47">
        <f t="shared" si="8"/>
        <v>0.59904293956147636</v>
      </c>
      <c r="AG28" s="47">
        <f t="shared" si="8"/>
        <v>0.66917932419042125</v>
      </c>
      <c r="AH28" s="47">
        <f t="shared" si="8"/>
        <v>0.67496495403726231</v>
      </c>
      <c r="AI28" s="47">
        <f t="shared" si="8"/>
        <v>0.67450189152540652</v>
      </c>
      <c r="AJ28" s="47">
        <f t="shared" si="8"/>
        <v>0.67692915280092814</v>
      </c>
      <c r="AK28" s="47">
        <f t="shared" si="8"/>
        <v>0.68531087237864563</v>
      </c>
      <c r="AL28" s="47">
        <f t="shared" si="8"/>
        <v>0.69991735108305864</v>
      </c>
      <c r="AM28" s="47">
        <f t="shared" si="8"/>
        <v>0.70485451455290071</v>
      </c>
      <c r="AN28" s="47">
        <f t="shared" si="8"/>
        <v>0.7093018454207064</v>
      </c>
      <c r="AO28" s="47">
        <f t="shared" si="8"/>
        <v>0.73883147897631474</v>
      </c>
      <c r="AP28" s="47">
        <f t="shared" si="8"/>
        <v>0.78368467608771109</v>
      </c>
      <c r="AQ28" s="47">
        <f t="shared" si="8"/>
        <v>0.81125356661109815</v>
      </c>
      <c r="AR28" s="47">
        <f t="shared" si="8"/>
        <v>0.76349259950894943</v>
      </c>
      <c r="AS28" s="47">
        <f t="shared" si="8"/>
        <v>0.62265799054271087</v>
      </c>
      <c r="AT28" s="47">
        <f t="shared" si="8"/>
        <v>0.59746489692868798</v>
      </c>
      <c r="AU28" s="47">
        <f t="shared" si="8"/>
        <v>0.54759757937535936</v>
      </c>
      <c r="AV28" s="47">
        <f t="shared" si="8"/>
        <v>0.49712058845539014</v>
      </c>
      <c r="AW28" s="47">
        <f t="shared" si="8"/>
        <v>0.47060805565395752</v>
      </c>
      <c r="AX28" s="47">
        <f t="shared" si="8"/>
        <v>0.45881435963642886</v>
      </c>
      <c r="AY28" s="47">
        <f t="shared" si="8"/>
        <v>0.44939950302456011</v>
      </c>
      <c r="AZ28" s="47">
        <f t="shared" si="8"/>
        <v>0.45889252380697815</v>
      </c>
      <c r="BA28" s="47">
        <f t="shared" si="8"/>
        <v>0.44864112254818805</v>
      </c>
      <c r="BB28" s="47">
        <f t="shared" si="8"/>
        <v>0.44518502847011865</v>
      </c>
      <c r="BC28" s="47">
        <f t="shared" si="8"/>
        <v>0.43998976460771705</v>
      </c>
      <c r="BD28" s="47">
        <f t="shared" si="8"/>
        <v>0.44388688977447521</v>
      </c>
      <c r="BE28" s="47">
        <f t="shared" si="8"/>
        <v>0.4663313818933596</v>
      </c>
      <c r="BF28" s="47">
        <f t="shared" si="8"/>
        <v>0.45719910053679086</v>
      </c>
      <c r="BG28" s="47">
        <f t="shared" si="8"/>
        <v>0.47467672078398193</v>
      </c>
      <c r="BH28" s="47">
        <f t="shared" si="8"/>
        <v>0.48573450001665969</v>
      </c>
      <c r="BI28" s="47">
        <f t="shared" si="8"/>
        <v>0.49480657295860392</v>
      </c>
      <c r="BJ28" s="47">
        <f t="shared" si="8"/>
        <v>0.49258283765047323</v>
      </c>
      <c r="BK28" s="47">
        <f t="shared" si="8"/>
        <v>0.49466896976518043</v>
      </c>
      <c r="BL28" s="47">
        <f t="shared" si="8"/>
        <v>0.4823961178383725</v>
      </c>
      <c r="BM28" s="47">
        <f t="shared" si="8"/>
        <v>0.45361645390307964</v>
      </c>
      <c r="BN28" s="47">
        <f t="shared" si="8"/>
        <v>0.43047086549529934</v>
      </c>
      <c r="BO28" s="47">
        <f t="shared" si="8"/>
        <v>0.40801397921425675</v>
      </c>
      <c r="BP28" s="47">
        <f t="shared" si="8"/>
        <v>0.42361198690910928</v>
      </c>
      <c r="BQ28" s="47">
        <f t="shared" si="8"/>
        <v>0.42646063772397991</v>
      </c>
      <c r="BR28" s="47">
        <f t="shared" ref="BR28:CZ28" si="9">AVERAGE(BR46:BR48)</f>
        <v>0.44474665954337106</v>
      </c>
      <c r="BS28" s="47">
        <f t="shared" si="9"/>
        <v>0.46598414578851655</v>
      </c>
      <c r="BT28" s="47">
        <f t="shared" si="9"/>
        <v>0.4701163529086651</v>
      </c>
      <c r="BU28" s="47">
        <f t="shared" si="9"/>
        <v>0.4622304431598005</v>
      </c>
      <c r="BV28" s="47">
        <f t="shared" si="9"/>
        <v>0.46371355654097518</v>
      </c>
      <c r="BW28" s="47">
        <f t="shared" si="9"/>
        <v>0.47044111493017571</v>
      </c>
      <c r="BX28" s="47">
        <f t="shared" si="9"/>
        <v>0.49104610082671529</v>
      </c>
      <c r="BY28" s="47">
        <f t="shared" si="9"/>
        <v>0.5103837831008784</v>
      </c>
      <c r="BZ28" s="47">
        <f t="shared" si="9"/>
        <v>0.54620006700057455</v>
      </c>
      <c r="CA28" s="47">
        <f t="shared" si="9"/>
        <v>0.57294234016520107</v>
      </c>
      <c r="CB28" s="47">
        <f t="shared" si="9"/>
        <v>0.61108025640402341</v>
      </c>
      <c r="CC28" s="47">
        <f t="shared" si="9"/>
        <v>0.60272571987493262</v>
      </c>
      <c r="CD28" s="47">
        <f t="shared" si="9"/>
        <v>0.60415066378151616</v>
      </c>
      <c r="CE28" s="47">
        <f t="shared" si="9"/>
        <v>0.60155322685244139</v>
      </c>
      <c r="CF28" s="47">
        <f t="shared" si="9"/>
        <v>0.59119299514983714</v>
      </c>
      <c r="CG28" s="47">
        <f t="shared" si="9"/>
        <v>0.58204298646440089</v>
      </c>
      <c r="CH28" s="47">
        <f t="shared" si="9"/>
        <v>0.58115370201656391</v>
      </c>
      <c r="CI28" s="47">
        <f t="shared" si="9"/>
        <v>0.58447107587205993</v>
      </c>
      <c r="CJ28" s="47">
        <f t="shared" si="9"/>
        <v>0.60095937689199264</v>
      </c>
      <c r="CK28" s="47">
        <f t="shared" si="9"/>
        <v>0.61420498522458267</v>
      </c>
      <c r="CL28" s="47">
        <f t="shared" si="9"/>
        <v>0.61112976811738795</v>
      </c>
      <c r="CM28" s="47">
        <f t="shared" si="9"/>
        <v>0.59901898456267311</v>
      </c>
      <c r="CN28" s="47">
        <f t="shared" si="9"/>
        <v>0.56775592293273169</v>
      </c>
      <c r="CO28" s="47">
        <f t="shared" si="9"/>
        <v>0.58577029319895346</v>
      </c>
      <c r="CP28" s="47">
        <f t="shared" si="9"/>
        <v>0.572072991300552</v>
      </c>
      <c r="CQ28" s="47">
        <f t="shared" si="9"/>
        <v>0.56569633928226026</v>
      </c>
      <c r="CR28" s="47">
        <f t="shared" si="9"/>
        <v>0.54214749462006218</v>
      </c>
      <c r="CS28" s="47">
        <f t="shared" si="9"/>
        <v>0.50932625309342161</v>
      </c>
      <c r="CT28" s="47">
        <f t="shared" si="9"/>
        <v>0.50543682842197291</v>
      </c>
      <c r="CU28" s="47">
        <f t="shared" si="9"/>
        <v>0.51492821668854416</v>
      </c>
      <c r="CV28" s="47">
        <f t="shared" si="9"/>
        <v>0.5316223226085387</v>
      </c>
      <c r="CW28" s="47">
        <f t="shared" si="9"/>
        <v>0.53314989544201363</v>
      </c>
      <c r="CX28" s="47">
        <f t="shared" si="9"/>
        <v>0.49334197087927345</v>
      </c>
      <c r="CY28" s="47">
        <f t="shared" si="9"/>
        <v>0.47629751041103408</v>
      </c>
      <c r="CZ28" s="47">
        <f t="shared" si="9"/>
        <v>0.43387873689137407</v>
      </c>
    </row>
    <row r="29" spans="1:104" x14ac:dyDescent="0.2">
      <c r="A29" s="45" t="s">
        <v>310</v>
      </c>
      <c r="B29" s="46">
        <f t="shared" si="2"/>
        <v>17.459454796930451</v>
      </c>
      <c r="C29" s="46">
        <f t="shared" si="3"/>
        <v>-11.053346467994363</v>
      </c>
      <c r="D29" s="36"/>
      <c r="E29" s="36"/>
      <c r="F29" s="47">
        <f t="shared" ref="F29:BQ29" si="10">AVERAGE(F49:F55)</f>
        <v>0.49251980692551722</v>
      </c>
      <c r="G29" s="47">
        <f t="shared" si="10"/>
        <v>0.55279198298764665</v>
      </c>
      <c r="H29" s="47">
        <f t="shared" si="10"/>
        <v>0.59807743992564311</v>
      </c>
      <c r="I29" s="47">
        <f t="shared" si="10"/>
        <v>0.60305327160546085</v>
      </c>
      <c r="J29" s="47">
        <f t="shared" si="10"/>
        <v>0.59112455905426331</v>
      </c>
      <c r="K29" s="47">
        <f t="shared" si="10"/>
        <v>0.55753958588870423</v>
      </c>
      <c r="L29" s="47">
        <f t="shared" si="10"/>
        <v>0.53317969399747966</v>
      </c>
      <c r="M29" s="47">
        <f t="shared" si="10"/>
        <v>0.47238325500108014</v>
      </c>
      <c r="N29" s="47">
        <f t="shared" si="10"/>
        <v>0.47524526934112699</v>
      </c>
      <c r="O29" s="47">
        <f t="shared" si="10"/>
        <v>0.50370089113314831</v>
      </c>
      <c r="P29" s="47">
        <f t="shared" si="10"/>
        <v>0.59511338983407691</v>
      </c>
      <c r="Q29" s="47">
        <f t="shared" si="10"/>
        <v>0.5815072499275481</v>
      </c>
      <c r="R29" s="47">
        <f t="shared" si="10"/>
        <v>0.54117236038382266</v>
      </c>
      <c r="S29" s="47">
        <f t="shared" si="10"/>
        <v>0.44225833352065463</v>
      </c>
      <c r="T29" s="47">
        <f t="shared" si="10"/>
        <v>0.30194971618458155</v>
      </c>
      <c r="U29" s="47">
        <f t="shared" si="10"/>
        <v>0.23549138856358162</v>
      </c>
      <c r="V29" s="47">
        <f t="shared" si="10"/>
        <v>0.28664631755257902</v>
      </c>
      <c r="W29" s="47">
        <f t="shared" si="10"/>
        <v>0.31792525895621271</v>
      </c>
      <c r="X29" s="47">
        <f t="shared" si="10"/>
        <v>0.35288945055481402</v>
      </c>
      <c r="Y29" s="47">
        <f t="shared" si="10"/>
        <v>0.36528230616896817</v>
      </c>
      <c r="Z29" s="47">
        <f t="shared" si="10"/>
        <v>0.3696630810743507</v>
      </c>
      <c r="AA29" s="47">
        <f t="shared" si="10"/>
        <v>0.31611630571457089</v>
      </c>
      <c r="AB29" s="47">
        <f t="shared" si="10"/>
        <v>0.25850030628239407</v>
      </c>
      <c r="AC29" s="47">
        <f t="shared" si="10"/>
        <v>0.25808220029002016</v>
      </c>
      <c r="AD29" s="47">
        <f t="shared" si="10"/>
        <v>0.33940016233101183</v>
      </c>
      <c r="AE29" s="47">
        <f t="shared" si="10"/>
        <v>0.42604360193934054</v>
      </c>
      <c r="AF29" s="47">
        <f t="shared" si="10"/>
        <v>0.54686260104450113</v>
      </c>
      <c r="AG29" s="47">
        <f t="shared" si="10"/>
        <v>0.53778911065974899</v>
      </c>
      <c r="AH29" s="47">
        <f t="shared" si="10"/>
        <v>0.56198845336019643</v>
      </c>
      <c r="AI29" s="47">
        <f t="shared" si="10"/>
        <v>0.59649436345496898</v>
      </c>
      <c r="AJ29" s="47">
        <f t="shared" si="10"/>
        <v>0.62214422123999247</v>
      </c>
      <c r="AK29" s="47">
        <f t="shared" si="10"/>
        <v>0.62109043200827763</v>
      </c>
      <c r="AL29" s="47">
        <f t="shared" si="10"/>
        <v>0.67644194203433272</v>
      </c>
      <c r="AM29" s="47">
        <f t="shared" si="10"/>
        <v>0.73071308115834532</v>
      </c>
      <c r="AN29" s="47">
        <f t="shared" si="10"/>
        <v>0.75339029724362416</v>
      </c>
      <c r="AO29" s="47">
        <f t="shared" si="10"/>
        <v>0.81481515148574246</v>
      </c>
      <c r="AP29" s="47">
        <f t="shared" si="10"/>
        <v>0.86814351004524215</v>
      </c>
      <c r="AQ29" s="47">
        <f t="shared" si="10"/>
        <v>0.90870479316576669</v>
      </c>
      <c r="AR29" s="47">
        <f t="shared" si="10"/>
        <v>0.85786159726213462</v>
      </c>
      <c r="AS29" s="47">
        <f t="shared" si="10"/>
        <v>0.60064355488758514</v>
      </c>
      <c r="AT29" s="47">
        <f t="shared" si="10"/>
        <v>0.52868408184644555</v>
      </c>
      <c r="AU29" s="47">
        <f t="shared" si="10"/>
        <v>0.52350884736779213</v>
      </c>
      <c r="AV29" s="47">
        <f t="shared" si="10"/>
        <v>0.48298408224889366</v>
      </c>
      <c r="AW29" s="47">
        <f t="shared" si="10"/>
        <v>0.40539894296317536</v>
      </c>
      <c r="AX29" s="47">
        <f t="shared" si="10"/>
        <v>0.38262113564899497</v>
      </c>
      <c r="AY29" s="47">
        <f t="shared" si="10"/>
        <v>0.33642387638886978</v>
      </c>
      <c r="AZ29" s="47">
        <f t="shared" si="10"/>
        <v>0.2675964059710802</v>
      </c>
      <c r="BA29" s="47">
        <f t="shared" si="10"/>
        <v>0.18926774981117575</v>
      </c>
      <c r="BB29" s="47">
        <f t="shared" si="10"/>
        <v>0.12879208299657866</v>
      </c>
      <c r="BC29" s="47">
        <f t="shared" si="10"/>
        <v>0.12119017221932125</v>
      </c>
      <c r="BD29" s="47">
        <f t="shared" si="10"/>
        <v>0.18590308910454229</v>
      </c>
      <c r="BE29" s="47">
        <f t="shared" si="10"/>
        <v>0.35716525628648005</v>
      </c>
      <c r="BF29" s="47">
        <f t="shared" si="10"/>
        <v>0.36945344567729776</v>
      </c>
      <c r="BG29" s="47">
        <f t="shared" si="10"/>
        <v>0.36215331832213099</v>
      </c>
      <c r="BH29" s="47">
        <f t="shared" si="10"/>
        <v>0.37119836265719519</v>
      </c>
      <c r="BI29" s="47">
        <f t="shared" si="10"/>
        <v>0.38926285153407453</v>
      </c>
      <c r="BJ29" s="47">
        <f t="shared" si="10"/>
        <v>0.40752050065908146</v>
      </c>
      <c r="BK29" s="47">
        <f t="shared" si="10"/>
        <v>0.3976880292433379</v>
      </c>
      <c r="BL29" s="47">
        <f t="shared" si="10"/>
        <v>0.39280980910202967</v>
      </c>
      <c r="BM29" s="47">
        <f t="shared" si="10"/>
        <v>0.40490097831573169</v>
      </c>
      <c r="BN29" s="47">
        <f t="shared" si="10"/>
        <v>0.3778102196054034</v>
      </c>
      <c r="BO29" s="47">
        <f t="shared" si="10"/>
        <v>0.40482416011763089</v>
      </c>
      <c r="BP29" s="47">
        <f t="shared" si="10"/>
        <v>0.41067423036124362</v>
      </c>
      <c r="BQ29" s="47">
        <f t="shared" si="10"/>
        <v>0.4553532266717179</v>
      </c>
      <c r="BR29" s="47">
        <f t="shared" ref="BR29:CZ29" si="11">AVERAGE(BR49:BR55)</f>
        <v>0.45391979203717614</v>
      </c>
      <c r="BS29" s="47">
        <f t="shared" si="11"/>
        <v>0.47642763106849634</v>
      </c>
      <c r="BT29" s="47">
        <f t="shared" si="11"/>
        <v>0.47262755773044213</v>
      </c>
      <c r="BU29" s="47">
        <f t="shared" si="11"/>
        <v>0.50041149748715941</v>
      </c>
      <c r="BV29" s="47">
        <f t="shared" si="11"/>
        <v>0.53757953143626902</v>
      </c>
      <c r="BW29" s="47">
        <f t="shared" si="11"/>
        <v>0.55552613250067284</v>
      </c>
      <c r="BX29" s="47">
        <f t="shared" si="11"/>
        <v>0.59023810513996933</v>
      </c>
      <c r="BY29" s="47">
        <f t="shared" si="11"/>
        <v>0.60522061812473094</v>
      </c>
      <c r="BZ29" s="47">
        <f t="shared" si="11"/>
        <v>0.60252067893065886</v>
      </c>
      <c r="CA29" s="47">
        <f t="shared" si="11"/>
        <v>0.62397536459416603</v>
      </c>
      <c r="CB29" s="47">
        <f t="shared" si="11"/>
        <v>0.59584186249015414</v>
      </c>
      <c r="CC29" s="47">
        <f t="shared" si="11"/>
        <v>0.61592806279849666</v>
      </c>
      <c r="CD29" s="47">
        <f t="shared" si="11"/>
        <v>0.60634736002038692</v>
      </c>
      <c r="CE29" s="47">
        <f t="shared" si="11"/>
        <v>0.61586843519820067</v>
      </c>
      <c r="CF29" s="47">
        <f t="shared" si="11"/>
        <v>0.60812492614177882</v>
      </c>
      <c r="CG29" s="47">
        <f t="shared" si="11"/>
        <v>0.61161711486460202</v>
      </c>
      <c r="CH29" s="47">
        <f t="shared" si="11"/>
        <v>0.62348989383490838</v>
      </c>
      <c r="CI29" s="47">
        <f t="shared" si="11"/>
        <v>0.62964487023992177</v>
      </c>
      <c r="CJ29" s="47">
        <f t="shared" si="11"/>
        <v>0.63151547024316734</v>
      </c>
      <c r="CK29" s="47">
        <f t="shared" si="11"/>
        <v>0.62173175865997166</v>
      </c>
      <c r="CL29" s="47">
        <f t="shared" si="11"/>
        <v>0.61826196521511478</v>
      </c>
      <c r="CM29" s="47">
        <f t="shared" si="11"/>
        <v>0.5976525517478456</v>
      </c>
      <c r="CN29" s="47">
        <f t="shared" si="11"/>
        <v>0.60250028864507998</v>
      </c>
      <c r="CO29" s="47">
        <f t="shared" si="11"/>
        <v>0.58455801674418317</v>
      </c>
      <c r="CP29" s="47">
        <f t="shared" si="11"/>
        <v>0.57777452025701059</v>
      </c>
      <c r="CQ29" s="47">
        <f t="shared" si="11"/>
        <v>0.56366711629777633</v>
      </c>
      <c r="CR29" s="47">
        <f t="shared" si="11"/>
        <v>0.55637836743007596</v>
      </c>
      <c r="CS29" s="47">
        <f t="shared" si="11"/>
        <v>0.54351633831844226</v>
      </c>
      <c r="CT29" s="47">
        <f t="shared" si="11"/>
        <v>0.52864812717761167</v>
      </c>
      <c r="CU29" s="47">
        <f t="shared" si="11"/>
        <v>0.49652105088673487</v>
      </c>
      <c r="CV29" s="47">
        <f t="shared" si="11"/>
        <v>0.47965166978146562</v>
      </c>
      <c r="CW29" s="47">
        <f t="shared" si="11"/>
        <v>0.46756394016452724</v>
      </c>
      <c r="CX29" s="47">
        <f t="shared" si="11"/>
        <v>0.44878344162034306</v>
      </c>
      <c r="CY29" s="47">
        <f t="shared" si="11"/>
        <v>0.44838335791486122</v>
      </c>
      <c r="CZ29" s="47">
        <f t="shared" si="11"/>
        <v>0.44461660822936461</v>
      </c>
    </row>
    <row r="30" spans="1:104" x14ac:dyDescent="0.2">
      <c r="A30" s="45" t="s">
        <v>311</v>
      </c>
      <c r="B30" s="46">
        <f t="shared" si="2"/>
        <v>25.126897308072106</v>
      </c>
      <c r="C30" s="46">
        <f t="shared" si="3"/>
        <v>2.3257625470026744</v>
      </c>
      <c r="D30" s="36"/>
      <c r="E30" s="36"/>
      <c r="F30" s="47">
        <f t="shared" ref="F30:BQ30" si="12">AVERAGE(F56:F59)</f>
        <v>0.46594970041644546</v>
      </c>
      <c r="G30" s="47">
        <f t="shared" si="12"/>
        <v>0.44181215508414007</v>
      </c>
      <c r="H30" s="47">
        <f t="shared" si="12"/>
        <v>0.45171923996809921</v>
      </c>
      <c r="I30" s="47">
        <f t="shared" si="12"/>
        <v>0.44269207494641871</v>
      </c>
      <c r="J30" s="47">
        <f t="shared" si="12"/>
        <v>0.42054904688437011</v>
      </c>
      <c r="K30" s="47">
        <f t="shared" si="12"/>
        <v>0.40729379526124077</v>
      </c>
      <c r="L30" s="47">
        <f t="shared" si="12"/>
        <v>0.38292830358303653</v>
      </c>
      <c r="M30" s="47">
        <f t="shared" si="12"/>
        <v>0.36466915445052811</v>
      </c>
      <c r="N30" s="47">
        <f t="shared" si="12"/>
        <v>0.34959214377266157</v>
      </c>
      <c r="O30" s="47">
        <f t="shared" si="12"/>
        <v>0.34985274644683517</v>
      </c>
      <c r="P30" s="47">
        <f t="shared" si="12"/>
        <v>0.32260976822800458</v>
      </c>
      <c r="Q30" s="47">
        <f t="shared" si="12"/>
        <v>0.27394351882131363</v>
      </c>
      <c r="R30" s="47">
        <f t="shared" si="12"/>
        <v>0.20702348051322311</v>
      </c>
      <c r="S30" s="47">
        <f t="shared" si="12"/>
        <v>0.18309263722772073</v>
      </c>
      <c r="T30" s="47">
        <f t="shared" si="12"/>
        <v>0.1889430383861902</v>
      </c>
      <c r="U30" s="47">
        <f t="shared" si="12"/>
        <v>0.22197792941727248</v>
      </c>
      <c r="V30" s="47">
        <f t="shared" si="12"/>
        <v>0.2069852319679443</v>
      </c>
      <c r="W30" s="47">
        <f t="shared" si="12"/>
        <v>0.21468072733572441</v>
      </c>
      <c r="X30" s="47">
        <f t="shared" si="12"/>
        <v>0.24078387342230437</v>
      </c>
      <c r="Y30" s="47">
        <f t="shared" si="12"/>
        <v>0.25033810856919286</v>
      </c>
      <c r="Z30" s="47">
        <f t="shared" si="12"/>
        <v>0.24893376428987243</v>
      </c>
      <c r="AA30" s="47">
        <f t="shared" si="12"/>
        <v>0.27418471965351432</v>
      </c>
      <c r="AB30" s="47">
        <f t="shared" si="12"/>
        <v>0.29714408592250885</v>
      </c>
      <c r="AC30" s="47">
        <f t="shared" si="12"/>
        <v>0.35728977958333979</v>
      </c>
      <c r="AD30" s="47">
        <f t="shared" si="12"/>
        <v>0.41228828444181653</v>
      </c>
      <c r="AE30" s="47">
        <f t="shared" si="12"/>
        <v>0.44297216036711351</v>
      </c>
      <c r="AF30" s="47">
        <f t="shared" si="12"/>
        <v>0.49610402335250781</v>
      </c>
      <c r="AG30" s="47">
        <f t="shared" si="12"/>
        <v>0.56320122495061309</v>
      </c>
      <c r="AH30" s="47">
        <f t="shared" si="12"/>
        <v>0.54901681048109097</v>
      </c>
      <c r="AI30" s="47">
        <f t="shared" si="12"/>
        <v>0.56811034958565509</v>
      </c>
      <c r="AJ30" s="47">
        <f t="shared" si="12"/>
        <v>0.58783353983386966</v>
      </c>
      <c r="AK30" s="47">
        <f t="shared" si="12"/>
        <v>0.61068009685400559</v>
      </c>
      <c r="AL30" s="47">
        <f t="shared" si="12"/>
        <v>0.62467318584811038</v>
      </c>
      <c r="AM30" s="47">
        <f t="shared" si="12"/>
        <v>0.63527157125886979</v>
      </c>
      <c r="AN30" s="47">
        <f t="shared" si="12"/>
        <v>0.62795658973973656</v>
      </c>
      <c r="AO30" s="47">
        <f t="shared" si="12"/>
        <v>0.62243857087441923</v>
      </c>
      <c r="AP30" s="47">
        <f t="shared" si="12"/>
        <v>0.622611794189736</v>
      </c>
      <c r="AQ30" s="47">
        <f t="shared" si="12"/>
        <v>0.63036739609494208</v>
      </c>
      <c r="AR30" s="47">
        <f t="shared" si="12"/>
        <v>0.58725053814532813</v>
      </c>
      <c r="AS30" s="47">
        <f t="shared" si="12"/>
        <v>0.49524587775243123</v>
      </c>
      <c r="AT30" s="47">
        <f t="shared" si="12"/>
        <v>0.44809110184048895</v>
      </c>
      <c r="AU30" s="47">
        <f t="shared" si="12"/>
        <v>0.39783635081237051</v>
      </c>
      <c r="AV30" s="47">
        <f t="shared" si="12"/>
        <v>0.36249604061655033</v>
      </c>
      <c r="AW30" s="47">
        <f t="shared" si="12"/>
        <v>0.36185833591476607</v>
      </c>
      <c r="AX30" s="47">
        <f t="shared" si="12"/>
        <v>0.38532282868930023</v>
      </c>
      <c r="AY30" s="47">
        <f t="shared" si="12"/>
        <v>0.39436100453460793</v>
      </c>
      <c r="AZ30" s="47">
        <f t="shared" si="12"/>
        <v>0.39904489691446954</v>
      </c>
      <c r="BA30" s="47">
        <f t="shared" si="12"/>
        <v>0.38256211440146104</v>
      </c>
      <c r="BB30" s="47">
        <f t="shared" si="12"/>
        <v>0.38950727580952516</v>
      </c>
      <c r="BC30" s="47">
        <f t="shared" si="12"/>
        <v>0.42161216510642885</v>
      </c>
      <c r="BD30" s="47">
        <f t="shared" si="12"/>
        <v>0.45973114940528764</v>
      </c>
      <c r="BE30" s="47">
        <f t="shared" si="12"/>
        <v>0.48116946711338043</v>
      </c>
      <c r="BF30" s="47">
        <f t="shared" si="12"/>
        <v>0.48514968876707226</v>
      </c>
      <c r="BG30" s="47">
        <f t="shared" si="12"/>
        <v>0.47901988070010831</v>
      </c>
      <c r="BH30" s="47">
        <f t="shared" si="12"/>
        <v>0.45591498113199158</v>
      </c>
      <c r="BI30" s="47">
        <f t="shared" si="12"/>
        <v>0.43403952871911766</v>
      </c>
      <c r="BJ30" s="47">
        <f t="shared" si="12"/>
        <v>0.4467606288550422</v>
      </c>
      <c r="BK30" s="47">
        <f t="shared" si="12"/>
        <v>0.48148693428627143</v>
      </c>
      <c r="BL30" s="47">
        <f t="shared" si="12"/>
        <v>0.503023915355988</v>
      </c>
      <c r="BM30" s="47">
        <f t="shared" si="12"/>
        <v>0.50696581676641328</v>
      </c>
      <c r="BN30" s="47">
        <f t="shared" si="12"/>
        <v>0.52547299466001274</v>
      </c>
      <c r="BO30" s="47">
        <f t="shared" si="12"/>
        <v>0.50771697823684248</v>
      </c>
      <c r="BP30" s="47">
        <f t="shared" si="12"/>
        <v>0.52423959255263308</v>
      </c>
      <c r="BQ30" s="47">
        <f t="shared" si="12"/>
        <v>0.56478102625653215</v>
      </c>
      <c r="BR30" s="47">
        <f t="shared" ref="BR30:CZ30" si="13">AVERAGE(BR56:BR59)</f>
        <v>0.61119849651484026</v>
      </c>
      <c r="BS30" s="47">
        <f t="shared" si="13"/>
        <v>0.64029542593382427</v>
      </c>
      <c r="BT30" s="47">
        <f t="shared" si="13"/>
        <v>0.67405329677356696</v>
      </c>
      <c r="BU30" s="47">
        <f t="shared" si="13"/>
        <v>0.69073299367448426</v>
      </c>
      <c r="BV30" s="47">
        <f t="shared" si="13"/>
        <v>0.68800787322307488</v>
      </c>
      <c r="BW30" s="47">
        <f t="shared" si="13"/>
        <v>0.68380255266696321</v>
      </c>
      <c r="BX30" s="47">
        <f t="shared" si="13"/>
        <v>0.66192429003956532</v>
      </c>
      <c r="BY30" s="47">
        <f t="shared" si="13"/>
        <v>0.65878784641919863</v>
      </c>
      <c r="BZ30" s="47">
        <f t="shared" si="13"/>
        <v>0.63641800348774147</v>
      </c>
      <c r="CA30" s="47">
        <f t="shared" si="13"/>
        <v>0.65702111989004053</v>
      </c>
      <c r="CB30" s="47">
        <f t="shared" si="13"/>
        <v>0.63497738609722765</v>
      </c>
      <c r="CC30" s="47">
        <f t="shared" si="13"/>
        <v>0.67384359198025856</v>
      </c>
      <c r="CD30" s="47">
        <f t="shared" si="13"/>
        <v>0.65513659806237423</v>
      </c>
      <c r="CE30" s="47">
        <f t="shared" si="13"/>
        <v>0.66525414942342109</v>
      </c>
      <c r="CF30" s="47">
        <f t="shared" si="13"/>
        <v>0.68280251036880846</v>
      </c>
      <c r="CG30" s="47">
        <f t="shared" si="13"/>
        <v>0.68941738420265908</v>
      </c>
      <c r="CH30" s="47">
        <f t="shared" si="13"/>
        <v>0.69537086315021224</v>
      </c>
      <c r="CI30" s="47">
        <f t="shared" si="13"/>
        <v>0.66635289253494578</v>
      </c>
      <c r="CJ30" s="47">
        <f t="shared" si="13"/>
        <v>0.64780300678131886</v>
      </c>
      <c r="CK30" s="47">
        <f t="shared" si="13"/>
        <v>0.62243380202256315</v>
      </c>
      <c r="CL30" s="47">
        <f t="shared" si="13"/>
        <v>0.62485004220658225</v>
      </c>
      <c r="CM30" s="47">
        <f t="shared" si="13"/>
        <v>0.6170983490654558</v>
      </c>
      <c r="CN30" s="47">
        <f t="shared" si="13"/>
        <v>0.61164598116408664</v>
      </c>
      <c r="CO30" s="47">
        <f t="shared" si="13"/>
        <v>0.58775739476818989</v>
      </c>
      <c r="CP30" s="47">
        <f t="shared" si="13"/>
        <v>0.57680907756981392</v>
      </c>
      <c r="CQ30" s="47">
        <f t="shared" si="13"/>
        <v>0.55202658634222046</v>
      </c>
      <c r="CR30" s="47">
        <f t="shared" si="13"/>
        <v>0.54062690315362882</v>
      </c>
      <c r="CS30" s="47">
        <f t="shared" si="13"/>
        <v>0.54079918604281552</v>
      </c>
      <c r="CT30" s="47">
        <f t="shared" si="13"/>
        <v>0.54501958981187004</v>
      </c>
      <c r="CU30" s="47">
        <f t="shared" si="13"/>
        <v>0.5218697342375983</v>
      </c>
      <c r="CV30" s="47">
        <f t="shared" si="13"/>
        <v>0.53077084734672919</v>
      </c>
      <c r="CW30" s="47">
        <f t="shared" si="13"/>
        <v>0.54788443122664288</v>
      </c>
      <c r="CX30" s="47">
        <f t="shared" si="13"/>
        <v>0.55754134917405807</v>
      </c>
      <c r="CY30" s="47">
        <f t="shared" si="13"/>
        <v>0.56279212201986861</v>
      </c>
      <c r="CZ30" s="47">
        <f t="shared" si="13"/>
        <v>0.5252151410345931</v>
      </c>
    </row>
    <row r="31" spans="1:104" x14ac:dyDescent="0.2">
      <c r="A31" s="45" t="s">
        <v>312</v>
      </c>
      <c r="B31" s="46">
        <f t="shared" si="2"/>
        <v>5.1812470452937296</v>
      </c>
      <c r="C31" s="46">
        <f t="shared" si="3"/>
        <v>-0.27664544921203738</v>
      </c>
      <c r="D31" s="36"/>
      <c r="E31" s="36"/>
      <c r="F31" s="47">
        <f t="shared" ref="F31:BQ31" si="14">AVERAGE(F61:F62)</f>
        <v>0.47911123200444355</v>
      </c>
      <c r="G31" s="47">
        <f t="shared" si="14"/>
        <v>0.48513615647070552</v>
      </c>
      <c r="H31" s="47">
        <f t="shared" si="14"/>
        <v>0.48670646367393838</v>
      </c>
      <c r="I31" s="47">
        <f t="shared" si="14"/>
        <v>0.48187768649656393</v>
      </c>
      <c r="J31" s="47">
        <f t="shared" si="14"/>
        <v>0.48040492348765718</v>
      </c>
      <c r="K31" s="47">
        <f t="shared" si="14"/>
        <v>0.49578763627168498</v>
      </c>
      <c r="L31" s="47">
        <f t="shared" si="14"/>
        <v>0.50604595760944171</v>
      </c>
      <c r="M31" s="47">
        <f t="shared" si="14"/>
        <v>0.52701903950969908</v>
      </c>
      <c r="N31" s="47">
        <f t="shared" si="14"/>
        <v>0.5354265596667056</v>
      </c>
      <c r="O31" s="47">
        <f t="shared" si="14"/>
        <v>0.54370924074664928</v>
      </c>
      <c r="P31" s="47">
        <f t="shared" si="14"/>
        <v>0.53536684456700723</v>
      </c>
      <c r="Q31" s="47">
        <f t="shared" si="14"/>
        <v>0.51645466504506643</v>
      </c>
      <c r="R31" s="47">
        <f t="shared" si="14"/>
        <v>0.49807853471996433</v>
      </c>
      <c r="S31" s="47">
        <f t="shared" si="14"/>
        <v>0.46431432566136693</v>
      </c>
      <c r="T31" s="47">
        <f t="shared" si="14"/>
        <v>0.44003471583101239</v>
      </c>
      <c r="U31" s="47">
        <f t="shared" si="14"/>
        <v>0.45172418258434333</v>
      </c>
      <c r="V31" s="47">
        <f t="shared" si="14"/>
        <v>0.44347310646267479</v>
      </c>
      <c r="W31" s="47">
        <f t="shared" si="14"/>
        <v>0.42729876155150626</v>
      </c>
      <c r="X31" s="47">
        <f t="shared" si="14"/>
        <v>0.40389603642130401</v>
      </c>
      <c r="Y31" s="47">
        <f t="shared" si="14"/>
        <v>0.40770292397968633</v>
      </c>
      <c r="Z31" s="47">
        <f t="shared" si="14"/>
        <v>0.43337254624868615</v>
      </c>
      <c r="AA31" s="47">
        <f t="shared" si="14"/>
        <v>0.39831487693281742</v>
      </c>
      <c r="AB31" s="47">
        <f t="shared" si="14"/>
        <v>0.38167440545069442</v>
      </c>
      <c r="AC31" s="47">
        <f t="shared" si="14"/>
        <v>0.34652795546183357</v>
      </c>
      <c r="AD31" s="47">
        <f t="shared" si="14"/>
        <v>0.36047157811611746</v>
      </c>
      <c r="AE31" s="47">
        <f t="shared" si="14"/>
        <v>0.36881681842226721</v>
      </c>
      <c r="AF31" s="47">
        <f t="shared" si="14"/>
        <v>0.36711691675687974</v>
      </c>
      <c r="AG31" s="47">
        <f t="shared" si="14"/>
        <v>0.37432608597882638</v>
      </c>
      <c r="AH31" s="47">
        <f t="shared" si="14"/>
        <v>0.43648612638383788</v>
      </c>
      <c r="AI31" s="47">
        <f t="shared" si="14"/>
        <v>0.41256760903244005</v>
      </c>
      <c r="AJ31" s="47">
        <f t="shared" si="14"/>
        <v>0.41214082080656667</v>
      </c>
      <c r="AK31" s="47">
        <f t="shared" si="14"/>
        <v>0.38226239878769197</v>
      </c>
      <c r="AL31" s="47">
        <f t="shared" si="14"/>
        <v>0.38287856071723925</v>
      </c>
      <c r="AM31" s="47">
        <f t="shared" si="14"/>
        <v>0.39829107231860472</v>
      </c>
      <c r="AN31" s="47">
        <f t="shared" si="14"/>
        <v>0.43498576317155968</v>
      </c>
      <c r="AO31" s="47">
        <f t="shared" si="14"/>
        <v>0.49186732779893444</v>
      </c>
      <c r="AP31" s="47">
        <f t="shared" si="14"/>
        <v>0.50322527048560284</v>
      </c>
      <c r="AQ31" s="47">
        <f t="shared" si="14"/>
        <v>0.55840372986020559</v>
      </c>
      <c r="AR31" s="47">
        <f t="shared" si="14"/>
        <v>0.55662701264045622</v>
      </c>
      <c r="AS31" s="47">
        <f t="shared" si="14"/>
        <v>0.54652271950903653</v>
      </c>
      <c r="AT31" s="47">
        <f t="shared" si="14"/>
        <v>0.51108105748413668</v>
      </c>
      <c r="AU31" s="47">
        <f t="shared" si="14"/>
        <v>0.48902486604452977</v>
      </c>
      <c r="AV31" s="47">
        <f t="shared" si="14"/>
        <v>0.47551016550914699</v>
      </c>
      <c r="AW31" s="47">
        <f t="shared" si="14"/>
        <v>0.46437590481062613</v>
      </c>
      <c r="AX31" s="47">
        <f t="shared" si="14"/>
        <v>0.47803613663491684</v>
      </c>
      <c r="AY31" s="47">
        <f t="shared" si="14"/>
        <v>0.43813377808546505</v>
      </c>
      <c r="AZ31" s="47">
        <f t="shared" si="14"/>
        <v>0.43682718428625789</v>
      </c>
      <c r="BA31" s="47">
        <f t="shared" si="14"/>
        <v>0.41632085354439929</v>
      </c>
      <c r="BB31" s="47">
        <f t="shared" si="14"/>
        <v>0.41353744014254967</v>
      </c>
      <c r="BC31" s="47">
        <f t="shared" si="14"/>
        <v>0.4218114787070204</v>
      </c>
      <c r="BD31" s="47">
        <f t="shared" si="14"/>
        <v>0.51633205835152707</v>
      </c>
      <c r="BE31" s="47">
        <f t="shared" si="14"/>
        <v>0.5843221162209693</v>
      </c>
      <c r="BF31" s="47">
        <f t="shared" si="14"/>
        <v>0.67219595947069599</v>
      </c>
      <c r="BG31" s="47">
        <f t="shared" si="14"/>
        <v>0.6620205267134307</v>
      </c>
      <c r="BH31" s="47">
        <f t="shared" si="14"/>
        <v>0.67609894216395783</v>
      </c>
      <c r="BI31" s="47">
        <f t="shared" si="14"/>
        <v>0.67513425828714024</v>
      </c>
      <c r="BJ31" s="47">
        <f t="shared" si="14"/>
        <v>0.67688881037051629</v>
      </c>
      <c r="BK31" s="47">
        <f t="shared" si="14"/>
        <v>0.67107349755051782</v>
      </c>
      <c r="BL31" s="47">
        <f t="shared" si="14"/>
        <v>0.67646705890243508</v>
      </c>
      <c r="BM31" s="47">
        <f t="shared" si="14"/>
        <v>0.67280011274882046</v>
      </c>
      <c r="BN31" s="47">
        <f t="shared" si="14"/>
        <v>0.70450151751724643</v>
      </c>
      <c r="BO31" s="47">
        <f t="shared" si="14"/>
        <v>0.73079256580727647</v>
      </c>
      <c r="BP31" s="47">
        <f t="shared" si="14"/>
        <v>0.68008393407480883</v>
      </c>
      <c r="BQ31" s="47">
        <f t="shared" si="14"/>
        <v>0.58855074544762576</v>
      </c>
      <c r="BR31" s="47">
        <f t="shared" ref="BR31:CZ31" si="15">AVERAGE(BR61:BR62)</f>
        <v>0.44362687395242462</v>
      </c>
      <c r="BS31" s="47">
        <f t="shared" si="15"/>
        <v>0.46467689264640821</v>
      </c>
      <c r="BT31" s="47">
        <f t="shared" si="15"/>
        <v>0.44122305349157775</v>
      </c>
      <c r="BU31" s="47">
        <f t="shared" si="15"/>
        <v>0.4342619782632679</v>
      </c>
      <c r="BV31" s="47">
        <f t="shared" si="15"/>
        <v>0.38574054108472661</v>
      </c>
      <c r="BW31" s="47">
        <f t="shared" si="15"/>
        <v>0.38774890054006239</v>
      </c>
      <c r="BX31" s="47">
        <f t="shared" si="15"/>
        <v>0.35003474260466466</v>
      </c>
      <c r="BY31" s="47">
        <f t="shared" si="15"/>
        <v>0.3499750309536826</v>
      </c>
      <c r="BZ31" s="47">
        <f t="shared" si="15"/>
        <v>0.32663789887364048</v>
      </c>
      <c r="CA31" s="47">
        <f t="shared" si="15"/>
        <v>0.35871418948459988</v>
      </c>
      <c r="CB31" s="47">
        <f t="shared" si="15"/>
        <v>0.3816803053775038</v>
      </c>
      <c r="CC31" s="47">
        <f t="shared" si="15"/>
        <v>0.48251557371964149</v>
      </c>
      <c r="CD31" s="47">
        <f t="shared" si="15"/>
        <v>0.58361851875413751</v>
      </c>
      <c r="CE31" s="47">
        <f t="shared" si="15"/>
        <v>0.57787219370136711</v>
      </c>
      <c r="CF31" s="47">
        <f t="shared" si="15"/>
        <v>0.57797819920149762</v>
      </c>
      <c r="CG31" s="47">
        <f t="shared" si="15"/>
        <v>0.59418430209326523</v>
      </c>
      <c r="CH31" s="47">
        <f t="shared" si="15"/>
        <v>0.57925039529511202</v>
      </c>
      <c r="CI31" s="47">
        <f t="shared" si="15"/>
        <v>0.55134299016804267</v>
      </c>
      <c r="CJ31" s="47">
        <f t="shared" si="15"/>
        <v>0.52183695463571511</v>
      </c>
      <c r="CK31" s="47">
        <f t="shared" si="15"/>
        <v>0.51407717694016652</v>
      </c>
      <c r="CL31" s="47">
        <f t="shared" si="15"/>
        <v>0.51796430604049071</v>
      </c>
      <c r="CM31" s="47">
        <f t="shared" si="15"/>
        <v>0.52565463875727003</v>
      </c>
      <c r="CN31" s="47">
        <f t="shared" si="15"/>
        <v>0.50233447685202615</v>
      </c>
      <c r="CO31" s="47">
        <f t="shared" si="15"/>
        <v>0.52069196043940846</v>
      </c>
      <c r="CP31" s="47">
        <f t="shared" si="15"/>
        <v>0.50950590964460596</v>
      </c>
      <c r="CQ31" s="47">
        <f t="shared" si="15"/>
        <v>0.54162786987072953</v>
      </c>
      <c r="CR31" s="47">
        <f t="shared" si="15"/>
        <v>0.56234328022224356</v>
      </c>
      <c r="CS31" s="47">
        <f t="shared" si="15"/>
        <v>0.55522899772610845</v>
      </c>
      <c r="CT31" s="47">
        <f t="shared" si="15"/>
        <v>0.55469741833426212</v>
      </c>
      <c r="CU31" s="47">
        <f t="shared" si="15"/>
        <v>0.5450331779860611</v>
      </c>
      <c r="CV31" s="47">
        <f t="shared" si="15"/>
        <v>0.57132447018039778</v>
      </c>
      <c r="CW31" s="47">
        <f t="shared" si="15"/>
        <v>0.60944315767481549</v>
      </c>
      <c r="CX31" s="47">
        <f t="shared" si="15"/>
        <v>0.59805456816749314</v>
      </c>
      <c r="CY31" s="47">
        <f t="shared" si="15"/>
        <v>0.55950103144109953</v>
      </c>
      <c r="CZ31" s="47">
        <f t="shared" si="15"/>
        <v>0.56396354564771234</v>
      </c>
    </row>
    <row r="32" spans="1:104" x14ac:dyDescent="0.2">
      <c r="A32" s="45" t="s">
        <v>313</v>
      </c>
      <c r="B32" s="46">
        <f t="shared" si="2"/>
        <v>32.452572104375669</v>
      </c>
      <c r="C32" s="46">
        <f t="shared" si="3"/>
        <v>7.6271221530494699</v>
      </c>
      <c r="D32" s="48">
        <f>_xlfn.STDEV.P(Q32:CZ32)*100</f>
        <v>14.850510507595994</v>
      </c>
      <c r="E32" s="46"/>
      <c r="F32" s="47">
        <f t="shared" ref="F32:BQ32" si="16">AVERAGE(F64:F65)</f>
        <v>0.56730381473525149</v>
      </c>
      <c r="G32" s="47">
        <f t="shared" si="16"/>
        <v>0.57131576769784509</v>
      </c>
      <c r="H32" s="47">
        <f t="shared" si="16"/>
        <v>0.53696882564666482</v>
      </c>
      <c r="I32" s="47">
        <f t="shared" si="16"/>
        <v>0.49103259320475678</v>
      </c>
      <c r="J32" s="47">
        <f t="shared" si="16"/>
        <v>0.46626731435744317</v>
      </c>
      <c r="K32" s="47">
        <f t="shared" si="16"/>
        <v>0.46196904999864657</v>
      </c>
      <c r="L32" s="47">
        <f t="shared" si="16"/>
        <v>0.42379267247835162</v>
      </c>
      <c r="M32" s="47">
        <f t="shared" si="16"/>
        <v>0.39619924926900496</v>
      </c>
      <c r="N32" s="47">
        <f t="shared" si="16"/>
        <v>0.37319286075940217</v>
      </c>
      <c r="O32" s="47">
        <f t="shared" si="16"/>
        <v>0.37115044711086925</v>
      </c>
      <c r="P32" s="47">
        <f t="shared" si="16"/>
        <v>0.36311697698212109</v>
      </c>
      <c r="Q32" s="47">
        <f t="shared" si="16"/>
        <v>0.38066937286538771</v>
      </c>
      <c r="R32" s="47">
        <f t="shared" si="16"/>
        <v>0.32586189745929933</v>
      </c>
      <c r="S32" s="47">
        <f t="shared" si="16"/>
        <v>0.25274945610323918</v>
      </c>
      <c r="T32" s="47">
        <f t="shared" si="16"/>
        <v>0.21772956781164388</v>
      </c>
      <c r="U32" s="47">
        <f t="shared" si="16"/>
        <v>0.21752903777566146</v>
      </c>
      <c r="V32" s="47">
        <f t="shared" si="16"/>
        <v>0.23044480947243073</v>
      </c>
      <c r="W32" s="47">
        <f t="shared" si="16"/>
        <v>0.24277809369149478</v>
      </c>
      <c r="X32" s="47">
        <f t="shared" si="16"/>
        <v>0.27493786457753033</v>
      </c>
      <c r="Y32" s="47">
        <f t="shared" si="16"/>
        <v>0.28634100815185215</v>
      </c>
      <c r="Z32" s="47">
        <f t="shared" si="16"/>
        <v>0.289036798336608</v>
      </c>
      <c r="AA32" s="47">
        <f t="shared" si="16"/>
        <v>0.27664990875549866</v>
      </c>
      <c r="AB32" s="47">
        <f t="shared" si="16"/>
        <v>0.2647307502324851</v>
      </c>
      <c r="AC32" s="47">
        <f t="shared" si="16"/>
        <v>0.28921648983657583</v>
      </c>
      <c r="AD32" s="47">
        <f t="shared" si="16"/>
        <v>0.33344550044367394</v>
      </c>
      <c r="AE32" s="47">
        <f t="shared" si="16"/>
        <v>0.40738740768329146</v>
      </c>
      <c r="AF32" s="47">
        <f t="shared" si="16"/>
        <v>0.47402352780958579</v>
      </c>
      <c r="AG32" s="47">
        <f t="shared" si="16"/>
        <v>0.55474919345096829</v>
      </c>
      <c r="AH32" s="47">
        <f t="shared" si="16"/>
        <v>0.60715396520307197</v>
      </c>
      <c r="AI32" s="47">
        <f t="shared" si="16"/>
        <v>0.6497671767597144</v>
      </c>
      <c r="AJ32" s="47">
        <f t="shared" si="16"/>
        <v>0.58173364945305817</v>
      </c>
      <c r="AK32" s="47">
        <f t="shared" si="16"/>
        <v>0.58279407737506073</v>
      </c>
      <c r="AL32" s="47">
        <f t="shared" si="16"/>
        <v>0.59083769131002761</v>
      </c>
      <c r="AM32" s="47">
        <f t="shared" si="16"/>
        <v>0.66032291743290994</v>
      </c>
      <c r="AN32" s="47">
        <f t="shared" si="16"/>
        <v>0.73000254021208311</v>
      </c>
      <c r="AO32" s="47">
        <f t="shared" si="16"/>
        <v>0.74210819544882312</v>
      </c>
      <c r="AP32" s="47">
        <f t="shared" si="16"/>
        <v>0.70296900183221256</v>
      </c>
      <c r="AQ32" s="47">
        <f t="shared" si="16"/>
        <v>0.66970772579648719</v>
      </c>
      <c r="AR32" s="47">
        <f t="shared" si="16"/>
        <v>0.68092736582458668</v>
      </c>
      <c r="AS32" s="47">
        <f t="shared" si="16"/>
        <v>0.5383752988680347</v>
      </c>
      <c r="AT32" s="47">
        <f t="shared" si="16"/>
        <v>0.49976698573442896</v>
      </c>
      <c r="AU32" s="47">
        <f t="shared" si="16"/>
        <v>0.49127702587689431</v>
      </c>
      <c r="AV32" s="47">
        <f t="shared" si="16"/>
        <v>0.45473366120009706</v>
      </c>
      <c r="AW32" s="47">
        <f t="shared" si="16"/>
        <v>0.38035437307132419</v>
      </c>
      <c r="AX32" s="47">
        <f t="shared" si="16"/>
        <v>0.33713808979133197</v>
      </c>
      <c r="AY32" s="47">
        <f t="shared" si="16"/>
        <v>0.35563416714758228</v>
      </c>
      <c r="AZ32" s="47">
        <f t="shared" si="16"/>
        <v>0.3656868100033856</v>
      </c>
      <c r="BA32" s="47">
        <f t="shared" si="16"/>
        <v>0.3305490572181598</v>
      </c>
      <c r="BB32" s="47">
        <f t="shared" si="16"/>
        <v>0.22618922660645188</v>
      </c>
      <c r="BC32" s="47">
        <f t="shared" si="16"/>
        <v>0.21576298627008894</v>
      </c>
      <c r="BD32" s="47">
        <f t="shared" si="16"/>
        <v>0.25406090590686875</v>
      </c>
      <c r="BE32" s="47">
        <f t="shared" si="16"/>
        <v>0.52502481652424349</v>
      </c>
      <c r="BF32" s="47">
        <f t="shared" si="16"/>
        <v>0.56802729051725009</v>
      </c>
      <c r="BG32" s="47">
        <f t="shared" si="16"/>
        <v>0.52672970075477266</v>
      </c>
      <c r="BH32" s="47">
        <f t="shared" si="16"/>
        <v>0.44582957776646026</v>
      </c>
      <c r="BI32" s="47">
        <f t="shared" si="16"/>
        <v>0.43362858758205336</v>
      </c>
      <c r="BJ32" s="47">
        <f t="shared" si="16"/>
        <v>0.43167346953072727</v>
      </c>
      <c r="BK32" s="47">
        <f t="shared" si="16"/>
        <v>0.45285651890613993</v>
      </c>
      <c r="BL32" s="47">
        <f t="shared" si="16"/>
        <v>0.49479215576728341</v>
      </c>
      <c r="BM32" s="47">
        <f t="shared" si="16"/>
        <v>0.51425839014615005</v>
      </c>
      <c r="BN32" s="47">
        <f t="shared" si="16"/>
        <v>0.48209517132913671</v>
      </c>
      <c r="BO32" s="47">
        <f t="shared" si="16"/>
        <v>0.49008874199456687</v>
      </c>
      <c r="BP32" s="47">
        <f t="shared" si="16"/>
        <v>0.53839425072295644</v>
      </c>
      <c r="BQ32" s="47">
        <f t="shared" si="16"/>
        <v>0.64808342803244412</v>
      </c>
      <c r="BR32" s="47">
        <f t="shared" ref="BR32:CZ32" si="17">AVERAGE(BR64:BR65)</f>
        <v>0.65730527047810061</v>
      </c>
      <c r="BS32" s="47">
        <f t="shared" si="17"/>
        <v>0.66410503188123582</v>
      </c>
      <c r="BT32" s="47">
        <f t="shared" si="17"/>
        <v>0.63344452450954269</v>
      </c>
      <c r="BU32" s="47">
        <f t="shared" si="17"/>
        <v>0.60817762610344395</v>
      </c>
      <c r="BV32" s="47">
        <f t="shared" si="17"/>
        <v>0.62021370253632746</v>
      </c>
      <c r="BW32" s="47">
        <f t="shared" si="17"/>
        <v>0.67330571281250318</v>
      </c>
      <c r="BX32" s="47">
        <f t="shared" si="17"/>
        <v>0.68443859601484502</v>
      </c>
      <c r="BY32" s="47">
        <f t="shared" si="17"/>
        <v>0.67193335324380588</v>
      </c>
      <c r="BZ32" s="47">
        <f t="shared" si="17"/>
        <v>0.62153728096808869</v>
      </c>
      <c r="CA32" s="47">
        <f t="shared" si="17"/>
        <v>0.65020782966853807</v>
      </c>
      <c r="CB32" s="47">
        <f t="shared" si="17"/>
        <v>0.67816626488766052</v>
      </c>
      <c r="CC32" s="47">
        <f t="shared" si="17"/>
        <v>0.67043591230492972</v>
      </c>
      <c r="CD32" s="47">
        <f t="shared" si="17"/>
        <v>0.66370518622520047</v>
      </c>
      <c r="CE32" s="47">
        <f t="shared" si="17"/>
        <v>0.65668898289378963</v>
      </c>
      <c r="CF32" s="47">
        <f t="shared" si="17"/>
        <v>0.64228424199617495</v>
      </c>
      <c r="CG32" s="47">
        <f t="shared" si="17"/>
        <v>0.6073135601712718</v>
      </c>
      <c r="CH32" s="47">
        <f t="shared" si="17"/>
        <v>0.62605295130093142</v>
      </c>
      <c r="CI32" s="47">
        <f t="shared" si="17"/>
        <v>0.64413511373046184</v>
      </c>
      <c r="CJ32" s="47">
        <f t="shared" si="17"/>
        <v>0.6540789306632111</v>
      </c>
      <c r="CK32" s="47">
        <f t="shared" si="17"/>
        <v>0.66517492047236226</v>
      </c>
      <c r="CL32" s="47">
        <f t="shared" si="17"/>
        <v>0.63249556551517427</v>
      </c>
      <c r="CM32" s="47">
        <f t="shared" si="17"/>
        <v>0.56491086202525209</v>
      </c>
      <c r="CN32" s="47">
        <f t="shared" si="17"/>
        <v>0.56812032839685522</v>
      </c>
      <c r="CO32" s="47">
        <f t="shared" si="17"/>
        <v>0.58496948227922885</v>
      </c>
      <c r="CP32" s="47">
        <f t="shared" si="17"/>
        <v>0.58997033279745903</v>
      </c>
      <c r="CQ32" s="47">
        <f t="shared" si="17"/>
        <v>0.58951775817395879</v>
      </c>
      <c r="CR32" s="47">
        <f t="shared" si="17"/>
        <v>0.59148705096840315</v>
      </c>
      <c r="CS32" s="47">
        <f t="shared" si="17"/>
        <v>0.557085998955825</v>
      </c>
      <c r="CT32" s="47">
        <f t="shared" si="17"/>
        <v>0.51399131997904612</v>
      </c>
      <c r="CU32" s="47">
        <f t="shared" si="17"/>
        <v>0.5065601802620151</v>
      </c>
      <c r="CV32" s="47">
        <f t="shared" si="17"/>
        <v>0.48272508768975853</v>
      </c>
      <c r="CW32" s="47">
        <f t="shared" si="17"/>
        <v>0.4815224741375117</v>
      </c>
      <c r="CX32" s="47">
        <f t="shared" si="17"/>
        <v>0.4185329253356459</v>
      </c>
      <c r="CY32" s="47">
        <f t="shared" si="17"/>
        <v>0.41551323016815184</v>
      </c>
      <c r="CZ32" s="47">
        <f t="shared" si="17"/>
        <v>0.42250178831521912</v>
      </c>
    </row>
    <row r="33" spans="1:104" x14ac:dyDescent="0.2">
      <c r="A33" s="45" t="s">
        <v>314</v>
      </c>
      <c r="B33" s="46">
        <f t="shared" si="2"/>
        <v>4.0564492572189632</v>
      </c>
      <c r="C33" s="46">
        <f t="shared" si="3"/>
        <v>-1.5763674455233412</v>
      </c>
      <c r="D33" s="48">
        <f>_xlfn.STDEV.P(Q33:CZ33)*100</f>
        <v>8.4525258237442387</v>
      </c>
      <c r="E33" s="46"/>
      <c r="F33" s="47">
        <f t="shared" ref="F33:BQ33" si="18">SUMPRODUCT($E$37:$E$65,F37:F65)</f>
        <v>0.3900613424275946</v>
      </c>
      <c r="G33" s="47">
        <f t="shared" si="18"/>
        <v>0.40661379227060518</v>
      </c>
      <c r="H33" s="47">
        <f t="shared" si="18"/>
        <v>0.4038603088495209</v>
      </c>
      <c r="I33" s="47">
        <f t="shared" si="18"/>
        <v>0.40582501688282802</v>
      </c>
      <c r="J33" s="47">
        <f t="shared" si="18"/>
        <v>0.41156334090383012</v>
      </c>
      <c r="K33" s="47">
        <f t="shared" si="18"/>
        <v>0.41808652159927945</v>
      </c>
      <c r="L33" s="47">
        <f t="shared" si="18"/>
        <v>0.40730952818560351</v>
      </c>
      <c r="M33" s="47">
        <f t="shared" si="18"/>
        <v>0.38550820262515983</v>
      </c>
      <c r="N33" s="47">
        <f t="shared" si="18"/>
        <v>0.3663169996704681</v>
      </c>
      <c r="O33" s="47">
        <f t="shared" si="18"/>
        <v>0.35993877160273025</v>
      </c>
      <c r="P33" s="47">
        <f t="shared" si="18"/>
        <v>0.38263775986009418</v>
      </c>
      <c r="Q33" s="47">
        <f t="shared" si="18"/>
        <v>0.37880677208296037</v>
      </c>
      <c r="R33" s="47">
        <f t="shared" si="18"/>
        <v>0.37542711497789855</v>
      </c>
      <c r="S33" s="47">
        <f t="shared" si="18"/>
        <v>0.33361039790688407</v>
      </c>
      <c r="T33" s="47">
        <f t="shared" si="18"/>
        <v>0.31597993266306351</v>
      </c>
      <c r="U33" s="47">
        <f t="shared" si="18"/>
        <v>0.30805509857003471</v>
      </c>
      <c r="V33" s="47">
        <f t="shared" si="18"/>
        <v>0.33339240640343359</v>
      </c>
      <c r="W33" s="47">
        <f t="shared" si="18"/>
        <v>0.34949684985540497</v>
      </c>
      <c r="X33" s="47">
        <f t="shared" si="18"/>
        <v>0.3635860329675854</v>
      </c>
      <c r="Y33" s="47">
        <f t="shared" si="18"/>
        <v>0.36482532717477112</v>
      </c>
      <c r="Z33" s="47">
        <f t="shared" si="18"/>
        <v>0.37167259497071053</v>
      </c>
      <c r="AA33" s="47">
        <f t="shared" si="18"/>
        <v>0.36367452205944367</v>
      </c>
      <c r="AB33" s="47">
        <f t="shared" si="18"/>
        <v>0.36761623492043149</v>
      </c>
      <c r="AC33" s="47">
        <f t="shared" si="18"/>
        <v>0.38551918210997665</v>
      </c>
      <c r="AD33" s="47">
        <f t="shared" si="18"/>
        <v>0.42754490353949254</v>
      </c>
      <c r="AE33" s="47">
        <f t="shared" si="18"/>
        <v>0.46996380033390533</v>
      </c>
      <c r="AF33" s="47">
        <f t="shared" si="18"/>
        <v>0.50436990786465452</v>
      </c>
      <c r="AG33" s="47">
        <f t="shared" si="18"/>
        <v>0.51024643055246177</v>
      </c>
      <c r="AH33" s="47">
        <f t="shared" si="18"/>
        <v>0.531694559711402</v>
      </c>
      <c r="AI33" s="47">
        <f t="shared" si="18"/>
        <v>0.54167074859313624</v>
      </c>
      <c r="AJ33" s="47">
        <f t="shared" si="18"/>
        <v>0.54935106122302435</v>
      </c>
      <c r="AK33" s="47">
        <f t="shared" si="18"/>
        <v>0.54101810921038795</v>
      </c>
      <c r="AL33" s="47">
        <f t="shared" si="18"/>
        <v>0.54166045020032927</v>
      </c>
      <c r="AM33" s="47">
        <f t="shared" si="18"/>
        <v>0.55623596501399242</v>
      </c>
      <c r="AN33" s="47">
        <f t="shared" si="18"/>
        <v>0.56956450026230077</v>
      </c>
      <c r="AO33" s="47">
        <f t="shared" si="18"/>
        <v>0.57921275737598665</v>
      </c>
      <c r="AP33" s="47">
        <f t="shared" si="18"/>
        <v>0.58475274741903716</v>
      </c>
      <c r="AQ33" s="47">
        <f t="shared" si="18"/>
        <v>0.58233321120311121</v>
      </c>
      <c r="AR33" s="47">
        <f t="shared" si="18"/>
        <v>0.56042598203356919</v>
      </c>
      <c r="AS33" s="47">
        <f t="shared" si="18"/>
        <v>0.47668598432839238</v>
      </c>
      <c r="AT33" s="47">
        <f t="shared" si="18"/>
        <v>0.42947288952280765</v>
      </c>
      <c r="AU33" s="47">
        <f t="shared" si="18"/>
        <v>0.39865779188939565</v>
      </c>
      <c r="AV33" s="47">
        <f t="shared" si="18"/>
        <v>0.35782172124418821</v>
      </c>
      <c r="AW33" s="47">
        <f t="shared" si="18"/>
        <v>0.33351690417139646</v>
      </c>
      <c r="AX33" s="47">
        <f t="shared" si="18"/>
        <v>0.32938955902372374</v>
      </c>
      <c r="AY33" s="47">
        <f t="shared" si="18"/>
        <v>0.31691629025020457</v>
      </c>
      <c r="AZ33" s="47">
        <f t="shared" si="18"/>
        <v>0.30354267703617288</v>
      </c>
      <c r="BA33" s="47">
        <f t="shared" si="18"/>
        <v>0.27827027587521524</v>
      </c>
      <c r="BB33" s="47">
        <f t="shared" si="18"/>
        <v>0.2413805266101412</v>
      </c>
      <c r="BC33" s="47">
        <f t="shared" si="18"/>
        <v>0.24748073805606779</v>
      </c>
      <c r="BD33" s="47">
        <f t="shared" si="18"/>
        <v>0.29004655279113789</v>
      </c>
      <c r="BE33" s="47">
        <f t="shared" si="18"/>
        <v>0.36189155511928517</v>
      </c>
      <c r="BF33" s="47">
        <f t="shared" si="18"/>
        <v>0.38752153375147302</v>
      </c>
      <c r="BG33" s="47">
        <f t="shared" si="18"/>
        <v>0.37975519777389022</v>
      </c>
      <c r="BH33" s="47">
        <f t="shared" si="18"/>
        <v>0.37038283308677333</v>
      </c>
      <c r="BI33" s="47">
        <f t="shared" si="18"/>
        <v>0.37293261694362956</v>
      </c>
      <c r="BJ33" s="47">
        <f t="shared" si="18"/>
        <v>0.37837362692428106</v>
      </c>
      <c r="BK33" s="47">
        <f t="shared" si="18"/>
        <v>0.39030248487738484</v>
      </c>
      <c r="BL33" s="47">
        <f t="shared" si="18"/>
        <v>0.39824409527930427</v>
      </c>
      <c r="BM33" s="47">
        <f t="shared" si="18"/>
        <v>0.40302074825824447</v>
      </c>
      <c r="BN33" s="47">
        <f t="shared" si="18"/>
        <v>0.39233048178797558</v>
      </c>
      <c r="BO33" s="47">
        <f t="shared" si="18"/>
        <v>0.39998651125246526</v>
      </c>
      <c r="BP33" s="47">
        <f t="shared" si="18"/>
        <v>0.40621014171087932</v>
      </c>
      <c r="BQ33" s="47">
        <f t="shared" si="18"/>
        <v>0.43214184101514574</v>
      </c>
      <c r="BR33" s="47">
        <f t="shared" ref="BR33:CZ33" si="19">SUMPRODUCT($E$37:$E$65,BR37:BR65)</f>
        <v>0.4331496625124871</v>
      </c>
      <c r="BS33" s="47">
        <f t="shared" si="19"/>
        <v>0.45358433857139902</v>
      </c>
      <c r="BT33" s="47">
        <f t="shared" si="19"/>
        <v>0.45323965145327261</v>
      </c>
      <c r="BU33" s="47">
        <f t="shared" si="19"/>
        <v>0.4616053969534768</v>
      </c>
      <c r="BV33" s="47">
        <f t="shared" si="19"/>
        <v>0.47323928052953973</v>
      </c>
      <c r="BW33" s="47">
        <f t="shared" si="19"/>
        <v>0.49559289248065863</v>
      </c>
      <c r="BX33" s="47">
        <f t="shared" si="19"/>
        <v>0.50241066360295961</v>
      </c>
      <c r="BY33" s="47">
        <f t="shared" si="19"/>
        <v>0.50115320044501266</v>
      </c>
      <c r="BZ33" s="47">
        <f t="shared" si="19"/>
        <v>0.4914588392383189</v>
      </c>
      <c r="CA33" s="47">
        <f t="shared" si="19"/>
        <v>0.51397733452771011</v>
      </c>
      <c r="CB33" s="47">
        <f t="shared" si="19"/>
        <v>0.52631601400899664</v>
      </c>
      <c r="CC33" s="47">
        <f t="shared" si="19"/>
        <v>0.53978342900652032</v>
      </c>
      <c r="CD33" s="47">
        <f t="shared" si="19"/>
        <v>0.54019252728731748</v>
      </c>
      <c r="CE33" s="47">
        <f t="shared" si="19"/>
        <v>0.54171177972258644</v>
      </c>
      <c r="CF33" s="47">
        <f t="shared" si="19"/>
        <v>0.54667580699296958</v>
      </c>
      <c r="CG33" s="47">
        <f t="shared" si="19"/>
        <v>0.54426525727102404</v>
      </c>
      <c r="CH33" s="47">
        <f t="shared" si="19"/>
        <v>0.5357987380579039</v>
      </c>
      <c r="CI33" s="47">
        <f t="shared" si="19"/>
        <v>0.52680708239488994</v>
      </c>
      <c r="CJ33" s="47">
        <f t="shared" si="19"/>
        <v>0.51812153263107485</v>
      </c>
      <c r="CK33" s="47">
        <f t="shared" si="19"/>
        <v>0.50823608196716796</v>
      </c>
      <c r="CL33" s="47">
        <f t="shared" si="19"/>
        <v>0.499531951371112</v>
      </c>
      <c r="CM33" s="47">
        <f t="shared" si="19"/>
        <v>0.47423806448368533</v>
      </c>
      <c r="CN33" s="47">
        <f t="shared" si="19"/>
        <v>0.47706604954945703</v>
      </c>
      <c r="CO33" s="47">
        <f t="shared" si="19"/>
        <v>0.48544780000384707</v>
      </c>
      <c r="CP33" s="47">
        <f t="shared" si="19"/>
        <v>0.48397940958909819</v>
      </c>
      <c r="CQ33" s="47">
        <f t="shared" si="19"/>
        <v>0.47026801480927538</v>
      </c>
      <c r="CR33" s="47">
        <f t="shared" si="19"/>
        <v>0.45858137714958658</v>
      </c>
      <c r="CS33" s="47">
        <f t="shared" si="19"/>
        <v>0.43959242952335048</v>
      </c>
      <c r="CT33" s="47">
        <f t="shared" si="19"/>
        <v>0.42255835029326277</v>
      </c>
      <c r="CU33" s="47">
        <f t="shared" si="19"/>
        <v>0.40763968318429217</v>
      </c>
      <c r="CV33" s="47">
        <f t="shared" si="19"/>
        <v>0.42106134982875776</v>
      </c>
      <c r="CW33" s="47">
        <f t="shared" si="19"/>
        <v>0.42833781313965363</v>
      </c>
      <c r="CX33" s="47">
        <f t="shared" si="19"/>
        <v>0.40704056618939805</v>
      </c>
      <c r="CY33" s="47">
        <f t="shared" si="19"/>
        <v>0.38488348536694489</v>
      </c>
      <c r="CZ33" s="47">
        <f t="shared" si="19"/>
        <v>0.3590123264512331</v>
      </c>
    </row>
    <row r="34" spans="1:104" x14ac:dyDescent="0.2">
      <c r="A34" s="45" t="s">
        <v>315</v>
      </c>
      <c r="B34" s="46">
        <f t="shared" si="2"/>
        <v>4.1788021235565855</v>
      </c>
      <c r="C34" s="46">
        <f t="shared" si="3"/>
        <v>-1.7764173544513928</v>
      </c>
      <c r="D34" s="48">
        <f>_xlfn.STDEV.P(Q34:CZ34)*100</f>
        <v>9.9829304895797648</v>
      </c>
      <c r="E34" s="46"/>
      <c r="F34" s="47">
        <f t="shared" ref="F34:G34" si="20">(SUMPRODUCT($E$37:$E$65,F37:F65)-SUMPRODUCT($E$61:$E$62,F61:F62))/(1-SUM($E$61:$E$62))</f>
        <v>0.37684758391557371</v>
      </c>
      <c r="G34" s="47">
        <f t="shared" si="20"/>
        <v>0.39515702203523917</v>
      </c>
      <c r="H34" s="47">
        <f t="shared" ref="H34:BS34" si="21">(SUMPRODUCT($E$37:$E$65,H37:H65)-SUMPRODUCT($E$61:$E$62,H61:H62))/(1-SUM($E$61:$E$62))</f>
        <v>0.39182795034996543</v>
      </c>
      <c r="I34" s="47">
        <f t="shared" si="21"/>
        <v>0.39461175746008764</v>
      </c>
      <c r="J34" s="47">
        <f t="shared" si="21"/>
        <v>0.40136636229886657</v>
      </c>
      <c r="K34" s="47">
        <f t="shared" si="21"/>
        <v>0.40708809178815619</v>
      </c>
      <c r="L34" s="47">
        <f t="shared" si="21"/>
        <v>0.39358354788229866</v>
      </c>
      <c r="M34" s="47">
        <f t="shared" si="21"/>
        <v>0.3666076545627755</v>
      </c>
      <c r="N34" s="47">
        <f t="shared" si="21"/>
        <v>0.3436445717567394</v>
      </c>
      <c r="O34" s="47">
        <f t="shared" si="21"/>
        <v>0.33527148902623755</v>
      </c>
      <c r="P34" s="47">
        <f t="shared" si="21"/>
        <v>0.3623299356869501</v>
      </c>
      <c r="Q34" s="47">
        <f t="shared" si="21"/>
        <v>0.35985552826489375</v>
      </c>
      <c r="R34" s="47">
        <f t="shared" si="21"/>
        <v>0.35752011436366221</v>
      </c>
      <c r="S34" s="47">
        <f t="shared" si="21"/>
        <v>0.31296358757432652</v>
      </c>
      <c r="T34" s="47">
        <f t="shared" si="21"/>
        <v>0.29521541597041334</v>
      </c>
      <c r="U34" s="47">
        <f t="shared" si="21"/>
        <v>0.28475687662732008</v>
      </c>
      <c r="V34" s="47">
        <f t="shared" si="21"/>
        <v>0.31456341099957119</v>
      </c>
      <c r="W34" s="47">
        <f t="shared" si="21"/>
        <v>0.33505956268000786</v>
      </c>
      <c r="X34" s="47">
        <f t="shared" si="21"/>
        <v>0.35363851239515931</v>
      </c>
      <c r="Y34" s="47">
        <f t="shared" si="21"/>
        <v>0.35458109314044195</v>
      </c>
      <c r="Z34" s="47">
        <f t="shared" si="21"/>
        <v>0.3596928845694583</v>
      </c>
      <c r="AA34" s="47">
        <f t="shared" si="21"/>
        <v>0.35452847772221319</v>
      </c>
      <c r="AB34" s="47">
        <f t="shared" si="21"/>
        <v>0.36097893369510625</v>
      </c>
      <c r="AC34" s="47">
        <f t="shared" si="21"/>
        <v>0.38544642463306067</v>
      </c>
      <c r="AD34" s="47">
        <f t="shared" si="21"/>
        <v>0.43212282548836034</v>
      </c>
      <c r="AE34" s="47">
        <f t="shared" si="21"/>
        <v>0.47980675166230202</v>
      </c>
      <c r="AF34" s="47">
        <f t="shared" si="21"/>
        <v>0.51896271111466463</v>
      </c>
      <c r="AG34" s="47">
        <f t="shared" si="21"/>
        <v>0.5237433375246151</v>
      </c>
      <c r="AH34" s="47">
        <f t="shared" si="21"/>
        <v>0.53849307153838755</v>
      </c>
      <c r="AI34" s="47">
        <f t="shared" si="21"/>
        <v>0.55355761700716688</v>
      </c>
      <c r="AJ34" s="47">
        <f t="shared" si="21"/>
        <v>0.56380941054095723</v>
      </c>
      <c r="AK34" s="47">
        <f t="shared" si="21"/>
        <v>0.55816107976705742</v>
      </c>
      <c r="AL34" s="47">
        <f t="shared" si="21"/>
        <v>0.5591781608188432</v>
      </c>
      <c r="AM34" s="47">
        <f t="shared" si="21"/>
        <v>0.57436229915703962</v>
      </c>
      <c r="AN34" s="47">
        <f t="shared" si="21"/>
        <v>0.58596912755830777</v>
      </c>
      <c r="AO34" s="47">
        <f t="shared" si="21"/>
        <v>0.59076326355851483</v>
      </c>
      <c r="AP34" s="47">
        <f t="shared" si="21"/>
        <v>0.59581399316669104</v>
      </c>
      <c r="AQ34" s="47">
        <f t="shared" si="21"/>
        <v>0.58696123077020068</v>
      </c>
      <c r="AR34" s="47">
        <f t="shared" si="21"/>
        <v>0.56177265223472117</v>
      </c>
      <c r="AS34" s="47">
        <f t="shared" si="21"/>
        <v>0.4669701494499881</v>
      </c>
      <c r="AT34" s="47">
        <f t="shared" si="21"/>
        <v>0.41770448284209954</v>
      </c>
      <c r="AU34" s="47">
        <f t="shared" si="21"/>
        <v>0.38541987801364042</v>
      </c>
      <c r="AV34" s="47">
        <f t="shared" si="21"/>
        <v>0.34050127064079067</v>
      </c>
      <c r="AW34" s="47">
        <f t="shared" si="21"/>
        <v>0.3145811158366118</v>
      </c>
      <c r="AX34" s="47">
        <f t="shared" si="21"/>
        <v>0.30796159757094693</v>
      </c>
      <c r="AY34" s="47">
        <f t="shared" si="21"/>
        <v>0.29771711205631007</v>
      </c>
      <c r="AZ34" s="47">
        <f t="shared" si="21"/>
        <v>0.28229148309801649</v>
      </c>
      <c r="BA34" s="47">
        <f t="shared" si="21"/>
        <v>0.25420428957880042</v>
      </c>
      <c r="BB34" s="47">
        <f t="shared" si="21"/>
        <v>0.21153517903826186</v>
      </c>
      <c r="BC34" s="47">
        <f t="shared" si="21"/>
        <v>0.21664914227174037</v>
      </c>
      <c r="BD34" s="47">
        <f t="shared" si="21"/>
        <v>0.25376789361522972</v>
      </c>
      <c r="BE34" s="47">
        <f t="shared" si="21"/>
        <v>0.32778840282009469</v>
      </c>
      <c r="BF34" s="47">
        <f t="shared" si="21"/>
        <v>0.3449590644646498</v>
      </c>
      <c r="BG34" s="47">
        <f t="shared" si="21"/>
        <v>0.3370656221656318</v>
      </c>
      <c r="BH34" s="47">
        <f t="shared" si="21"/>
        <v>0.32425941244871131</v>
      </c>
      <c r="BI34" s="47">
        <f t="shared" si="21"/>
        <v>0.32661958994141987</v>
      </c>
      <c r="BJ34" s="47">
        <f t="shared" si="21"/>
        <v>0.33323130624021263</v>
      </c>
      <c r="BK34" s="47">
        <f t="shared" si="21"/>
        <v>0.34712993647244217</v>
      </c>
      <c r="BL34" s="47">
        <f t="shared" si="21"/>
        <v>0.35502621264490231</v>
      </c>
      <c r="BM34" s="47">
        <f t="shared" si="21"/>
        <v>0.36140936601170548</v>
      </c>
      <c r="BN34" s="47">
        <f t="shared" si="21"/>
        <v>0.34628123340188904</v>
      </c>
      <c r="BO34" s="47">
        <f t="shared" si="21"/>
        <v>0.35261203399932439</v>
      </c>
      <c r="BP34" s="47">
        <f t="shared" si="21"/>
        <v>0.36634321312046708</v>
      </c>
      <c r="BQ34" s="47">
        <f t="shared" si="21"/>
        <v>0.40712335033742458</v>
      </c>
      <c r="BR34" s="47">
        <f t="shared" si="21"/>
        <v>0.42466835647401807</v>
      </c>
      <c r="BS34" s="47">
        <f t="shared" si="21"/>
        <v>0.44642088330980223</v>
      </c>
      <c r="BT34" s="47">
        <f t="shared" ref="BT34:CZ34" si="22">(SUMPRODUCT($E$37:$E$65,BT37:BT65)-SUMPRODUCT($E$61:$E$62,BT61:BT62))/(1-SUM($E$61:$E$62))</f>
        <v>0.44967099053758547</v>
      </c>
      <c r="BU34" s="47">
        <f t="shared" si="22"/>
        <v>0.4609765847349831</v>
      </c>
      <c r="BV34" s="47">
        <f t="shared" si="22"/>
        <v>0.48028608400677031</v>
      </c>
      <c r="BW34" s="47">
        <f t="shared" si="22"/>
        <v>0.50657142765123997</v>
      </c>
      <c r="BX34" s="47">
        <f t="shared" si="22"/>
        <v>0.51993747250550126</v>
      </c>
      <c r="BY34" s="47">
        <f t="shared" si="22"/>
        <v>0.51910546833901838</v>
      </c>
      <c r="BZ34" s="47">
        <f t="shared" si="22"/>
        <v>0.51124205130933154</v>
      </c>
      <c r="CA34" s="47">
        <f t="shared" si="22"/>
        <v>0.53429314517861815</v>
      </c>
      <c r="CB34" s="47">
        <f t="shared" si="22"/>
        <v>0.54616154882136603</v>
      </c>
      <c r="CC34" s="47">
        <f t="shared" si="22"/>
        <v>0.55083331934087743</v>
      </c>
      <c r="CD34" s="47">
        <f t="shared" si="22"/>
        <v>0.53984771213191318</v>
      </c>
      <c r="CE34" s="47">
        <f t="shared" si="22"/>
        <v>0.54281972025875169</v>
      </c>
      <c r="CF34" s="47">
        <f t="shared" si="22"/>
        <v>0.54911613707838636</v>
      </c>
      <c r="CG34" s="47">
        <f t="shared" si="22"/>
        <v>0.54467719472196918</v>
      </c>
      <c r="CH34" s="47">
        <f t="shared" si="22"/>
        <v>0.53754135589205743</v>
      </c>
      <c r="CI34" s="47">
        <f t="shared" si="22"/>
        <v>0.53200501508040987</v>
      </c>
      <c r="CJ34" s="47">
        <f t="shared" si="22"/>
        <v>0.52620839247060991</v>
      </c>
      <c r="CK34" s="47">
        <f t="shared" si="22"/>
        <v>0.51588490358734362</v>
      </c>
      <c r="CL34" s="47">
        <f t="shared" si="22"/>
        <v>0.50557877446338229</v>
      </c>
      <c r="CM34" s="47">
        <f t="shared" si="22"/>
        <v>0.47605231555076111</v>
      </c>
      <c r="CN34" s="47">
        <f t="shared" si="22"/>
        <v>0.48194199682611227</v>
      </c>
      <c r="CO34" s="47">
        <f t="shared" si="22"/>
        <v>0.48682870741560685</v>
      </c>
      <c r="CP34" s="47">
        <f t="shared" si="22"/>
        <v>0.48692977242098096</v>
      </c>
      <c r="CQ34" s="47">
        <f t="shared" si="22"/>
        <v>0.46725520837667117</v>
      </c>
      <c r="CR34" s="47">
        <f t="shared" si="22"/>
        <v>0.45067969315949552</v>
      </c>
      <c r="CS34" s="47">
        <f t="shared" si="22"/>
        <v>0.42945053275239065</v>
      </c>
      <c r="CT34" s="47">
        <f t="shared" si="22"/>
        <v>0.41007217394360179</v>
      </c>
      <c r="CU34" s="47">
        <f t="shared" si="22"/>
        <v>0.39423563862068745</v>
      </c>
      <c r="CV34" s="47">
        <f t="shared" si="22"/>
        <v>0.40609346945529012</v>
      </c>
      <c r="CW34" s="47">
        <f t="shared" si="22"/>
        <v>0.41025586418955101</v>
      </c>
      <c r="CX34" s="47">
        <f t="shared" si="22"/>
        <v>0.38726139525448422</v>
      </c>
      <c r="CY34" s="47">
        <f t="shared" si="22"/>
        <v>0.36616205060218432</v>
      </c>
      <c r="CZ34" s="47">
        <f t="shared" si="22"/>
        <v>0.33554255885141576</v>
      </c>
    </row>
    <row r="35" spans="1:104" x14ac:dyDescent="0.2">
      <c r="I35" s="35"/>
      <c r="J35" s="35"/>
      <c r="K35" s="35"/>
      <c r="L35" s="35"/>
      <c r="M35" s="35"/>
      <c r="N35" s="35"/>
      <c r="O35" s="35"/>
      <c r="P35" s="35"/>
      <c r="Q35" s="35"/>
    </row>
    <row r="36" spans="1:104" s="44" customFormat="1" x14ac:dyDescent="0.2">
      <c r="A36" s="41" t="s">
        <v>0</v>
      </c>
      <c r="B36" s="42" t="s">
        <v>316</v>
      </c>
      <c r="C36" s="43" t="s">
        <v>305</v>
      </c>
      <c r="D36" s="43" t="s">
        <v>317</v>
      </c>
      <c r="E36" s="43" t="s">
        <v>318</v>
      </c>
      <c r="F36" s="43">
        <v>45382</v>
      </c>
      <c r="G36" s="43">
        <v>45351</v>
      </c>
      <c r="H36" s="43">
        <v>45322</v>
      </c>
      <c r="I36" s="43">
        <v>45291</v>
      </c>
      <c r="J36" s="43">
        <v>45260</v>
      </c>
      <c r="K36" s="43">
        <v>45230</v>
      </c>
      <c r="L36" s="43">
        <v>45199</v>
      </c>
      <c r="M36" s="43">
        <v>45169</v>
      </c>
      <c r="N36" s="43">
        <v>45138</v>
      </c>
      <c r="O36" s="43">
        <v>45107</v>
      </c>
      <c r="P36" s="43">
        <v>45077</v>
      </c>
      <c r="Q36" s="43">
        <v>45046</v>
      </c>
      <c r="R36" s="43">
        <v>45016</v>
      </c>
      <c r="S36" s="43">
        <v>44985</v>
      </c>
      <c r="T36" s="43">
        <v>44957</v>
      </c>
      <c r="U36" s="43">
        <v>44926</v>
      </c>
      <c r="V36" s="43">
        <v>44895</v>
      </c>
      <c r="W36" s="43">
        <v>44865</v>
      </c>
      <c r="X36" s="43">
        <v>44834</v>
      </c>
      <c r="Y36" s="43">
        <v>44804</v>
      </c>
      <c r="Z36" s="43">
        <v>44773</v>
      </c>
      <c r="AA36" s="43">
        <v>44742</v>
      </c>
      <c r="AB36" s="43">
        <v>44712</v>
      </c>
      <c r="AC36" s="43">
        <v>44681</v>
      </c>
      <c r="AD36" s="43">
        <v>44651</v>
      </c>
      <c r="AE36" s="43">
        <v>44620</v>
      </c>
      <c r="AF36" s="43">
        <v>44592</v>
      </c>
      <c r="AG36" s="43">
        <v>44561</v>
      </c>
      <c r="AH36" s="43">
        <v>44530</v>
      </c>
      <c r="AI36" s="43">
        <v>44500</v>
      </c>
      <c r="AJ36" s="43">
        <v>44469</v>
      </c>
      <c r="AK36" s="43">
        <v>44439</v>
      </c>
      <c r="AL36" s="43">
        <v>44408</v>
      </c>
      <c r="AM36" s="43">
        <v>44377</v>
      </c>
      <c r="AN36" s="43">
        <v>44347</v>
      </c>
      <c r="AO36" s="43">
        <v>44316</v>
      </c>
      <c r="AP36" s="43">
        <v>44286</v>
      </c>
      <c r="AQ36" s="43">
        <v>44255</v>
      </c>
      <c r="AR36" s="43">
        <v>44227</v>
      </c>
      <c r="AS36" s="43">
        <v>44196</v>
      </c>
      <c r="AT36" s="43">
        <v>44165</v>
      </c>
      <c r="AU36" s="43">
        <v>44135</v>
      </c>
      <c r="AV36" s="43">
        <v>44104</v>
      </c>
      <c r="AW36" s="43">
        <v>44074</v>
      </c>
      <c r="AX36" s="43">
        <v>44043</v>
      </c>
      <c r="AY36" s="43">
        <v>44012</v>
      </c>
      <c r="AZ36" s="43">
        <v>43982</v>
      </c>
      <c r="BA36" s="43">
        <v>43951</v>
      </c>
      <c r="BB36" s="43">
        <v>43921</v>
      </c>
      <c r="BC36" s="43">
        <v>43890</v>
      </c>
      <c r="BD36" s="43">
        <v>43861</v>
      </c>
      <c r="BE36" s="43">
        <v>43830</v>
      </c>
      <c r="BF36" s="43">
        <v>43799</v>
      </c>
      <c r="BG36" s="43">
        <v>43769</v>
      </c>
      <c r="BH36" s="43">
        <v>43738</v>
      </c>
      <c r="BI36" s="43">
        <v>43708</v>
      </c>
      <c r="BJ36" s="43">
        <v>43677</v>
      </c>
      <c r="BK36" s="43">
        <v>43646</v>
      </c>
      <c r="BL36" s="43">
        <v>43616</v>
      </c>
      <c r="BM36" s="43">
        <v>43585</v>
      </c>
      <c r="BN36" s="43">
        <v>43555</v>
      </c>
      <c r="BO36" s="43">
        <v>43524</v>
      </c>
      <c r="BP36" s="43">
        <v>43496</v>
      </c>
      <c r="BQ36" s="43">
        <v>43465</v>
      </c>
      <c r="BR36" s="43">
        <v>43434</v>
      </c>
      <c r="BS36" s="43">
        <v>43404</v>
      </c>
      <c r="BT36" s="43">
        <v>43373</v>
      </c>
      <c r="BU36" s="43">
        <v>43343</v>
      </c>
      <c r="BV36" s="43">
        <v>43312</v>
      </c>
      <c r="BW36" s="43">
        <v>43281</v>
      </c>
      <c r="BX36" s="43">
        <v>43251</v>
      </c>
      <c r="BY36" s="43">
        <v>43220</v>
      </c>
      <c r="BZ36" s="43">
        <v>43190</v>
      </c>
      <c r="CA36" s="43">
        <v>43159</v>
      </c>
      <c r="CB36" s="43">
        <v>43131</v>
      </c>
      <c r="CC36" s="43">
        <v>43100</v>
      </c>
      <c r="CD36" s="43">
        <v>43069</v>
      </c>
      <c r="CE36" s="43">
        <v>43039</v>
      </c>
      <c r="CF36" s="43">
        <v>43008</v>
      </c>
      <c r="CG36" s="43">
        <v>42978</v>
      </c>
      <c r="CH36" s="43">
        <v>42947</v>
      </c>
      <c r="CI36" s="43">
        <v>42916</v>
      </c>
      <c r="CJ36" s="43">
        <v>42886</v>
      </c>
      <c r="CK36" s="43">
        <v>42855</v>
      </c>
      <c r="CL36" s="43">
        <v>42825</v>
      </c>
      <c r="CM36" s="43">
        <v>42794</v>
      </c>
      <c r="CN36" s="43">
        <v>42766</v>
      </c>
      <c r="CO36" s="43">
        <v>42735</v>
      </c>
      <c r="CP36" s="43">
        <v>42704</v>
      </c>
      <c r="CQ36" s="43">
        <v>42674</v>
      </c>
      <c r="CR36" s="43">
        <v>42643</v>
      </c>
      <c r="CS36" s="43">
        <v>42613</v>
      </c>
      <c r="CT36" s="43">
        <v>42582</v>
      </c>
      <c r="CU36" s="43">
        <v>42551</v>
      </c>
      <c r="CV36" s="43">
        <v>42521</v>
      </c>
      <c r="CW36" s="43">
        <v>42490</v>
      </c>
      <c r="CX36" s="43">
        <v>42460</v>
      </c>
      <c r="CY36" s="43">
        <v>42429</v>
      </c>
      <c r="CZ36" s="43">
        <v>42400</v>
      </c>
    </row>
    <row r="37" spans="1:104" x14ac:dyDescent="0.2">
      <c r="A37" s="45" t="s">
        <v>5</v>
      </c>
      <c r="B37" s="46">
        <f t="shared" ref="B37:B67" si="23">(F37-W37)*100</f>
        <v>-1.7350000000000088</v>
      </c>
      <c r="C37" s="46">
        <f t="shared" ref="C37:C67" si="24">(F37-I37)*100</f>
        <v>19.375000000000004</v>
      </c>
      <c r="D37" s="48">
        <f t="shared" ref="D37:D67" si="25">_xlfn.STDEV.P(Q37:CZ37)*100</f>
        <v>19.508144771333043</v>
      </c>
      <c r="E37" s="49">
        <v>0.110986732793543</v>
      </c>
      <c r="F37" s="47">
        <v>0.63639999999999997</v>
      </c>
      <c r="G37" s="47">
        <v>0.59319999999999995</v>
      </c>
      <c r="H37" s="47">
        <v>0.47809999999999997</v>
      </c>
      <c r="I37" s="47">
        <v>0.44264999999999993</v>
      </c>
      <c r="J37" s="47">
        <v>0.57094999999999996</v>
      </c>
      <c r="K37" s="47">
        <v>0.72839999999999994</v>
      </c>
      <c r="L37" s="47">
        <v>0.80289999999999995</v>
      </c>
      <c r="M37" s="47">
        <v>0.75119999999999998</v>
      </c>
      <c r="N37" s="47">
        <v>0.64515000000000011</v>
      </c>
      <c r="O37" s="47">
        <v>0.59604999999999997</v>
      </c>
      <c r="P37" s="47">
        <v>0.73924999999999996</v>
      </c>
      <c r="Q37" s="47">
        <v>0.76705000000000001</v>
      </c>
      <c r="R37" s="47">
        <v>0.7742</v>
      </c>
      <c r="S37" s="47">
        <v>0.64639999999999997</v>
      </c>
      <c r="T37" s="47">
        <v>0.61309999999999998</v>
      </c>
      <c r="U37" s="47">
        <v>0.54499999999999993</v>
      </c>
      <c r="V37" s="47">
        <v>0.57455000000000001</v>
      </c>
      <c r="W37" s="47">
        <v>0.65375000000000005</v>
      </c>
      <c r="X37" s="47">
        <v>0.69240000000000002</v>
      </c>
      <c r="Y37" s="47">
        <v>0.68235000000000001</v>
      </c>
      <c r="Z37" s="47">
        <v>0.6925</v>
      </c>
      <c r="AA37" s="47">
        <v>0.65969999999999995</v>
      </c>
      <c r="AB37" s="47">
        <v>0.69000000000000006</v>
      </c>
      <c r="AC37" s="47">
        <v>0.66895000000000004</v>
      </c>
      <c r="AD37" s="47">
        <v>0.72404999999999997</v>
      </c>
      <c r="AE37" s="47">
        <v>0.78680000000000005</v>
      </c>
      <c r="AF37" s="47">
        <v>0.87435000000000007</v>
      </c>
      <c r="AG37" s="47">
        <v>0.82529999999999992</v>
      </c>
      <c r="AH37" s="47">
        <v>0.77859999999999996</v>
      </c>
      <c r="AI37" s="47">
        <v>0.76764999999999994</v>
      </c>
      <c r="AJ37" s="47">
        <v>0.80695000000000006</v>
      </c>
      <c r="AK37" s="47">
        <v>0.7399</v>
      </c>
      <c r="AL37" s="47">
        <v>0.66725000000000001</v>
      </c>
      <c r="AM37" s="47">
        <v>0.57674999999999998</v>
      </c>
      <c r="AN37" s="47">
        <v>0.46019999999999994</v>
      </c>
      <c r="AO37" s="47">
        <v>0.37534999999999996</v>
      </c>
      <c r="AP37" s="47">
        <v>0.38224999999999998</v>
      </c>
      <c r="AQ37" s="47">
        <v>0.36749999999999999</v>
      </c>
      <c r="AR37" s="47">
        <v>0.35345000000000004</v>
      </c>
      <c r="AS37" s="47">
        <v>0.34004999999999996</v>
      </c>
      <c r="AT37" s="47">
        <v>0.2681</v>
      </c>
      <c r="AU37" s="47">
        <v>0.23714999999999997</v>
      </c>
      <c r="AV37" s="47">
        <v>0.17874999999999999</v>
      </c>
      <c r="AW37" s="47">
        <v>0.2041</v>
      </c>
      <c r="AX37" s="47">
        <v>0.27689999999999998</v>
      </c>
      <c r="AY37" s="47">
        <v>0.3075</v>
      </c>
      <c r="AZ37" s="47">
        <v>0.33200000000000002</v>
      </c>
      <c r="BA37" s="47">
        <v>0.32364999999999999</v>
      </c>
      <c r="BB37" s="47">
        <v>0.26944999999999997</v>
      </c>
      <c r="BC37" s="47">
        <v>0.27790000000000004</v>
      </c>
      <c r="BD37" s="47">
        <v>0.32584999999999997</v>
      </c>
      <c r="BE37" s="47">
        <v>0.28055000000000002</v>
      </c>
      <c r="BF37" s="47">
        <v>0.29990000000000006</v>
      </c>
      <c r="BG37" s="47">
        <v>0.31410000000000005</v>
      </c>
      <c r="BH37" s="47">
        <v>0.32845000000000002</v>
      </c>
      <c r="BI37" s="47">
        <v>0.39534999999999998</v>
      </c>
      <c r="BJ37" s="47">
        <v>0.44400000000000006</v>
      </c>
      <c r="BK37" s="47">
        <v>0.46395000000000003</v>
      </c>
      <c r="BL37" s="47">
        <v>0.43830000000000002</v>
      </c>
      <c r="BM37" s="47">
        <v>0.42700000000000005</v>
      </c>
      <c r="BN37" s="47">
        <v>0.39590000000000009</v>
      </c>
      <c r="BO37" s="47">
        <v>0.44315000000000004</v>
      </c>
      <c r="BP37" s="47">
        <v>0.44025000000000003</v>
      </c>
      <c r="BQ37" s="47">
        <v>0.48094999999999999</v>
      </c>
      <c r="BR37" s="47">
        <v>0.53220000000000001</v>
      </c>
      <c r="BS37" s="47">
        <v>0.61834999999999996</v>
      </c>
      <c r="BT37" s="47">
        <v>0.67359999999999998</v>
      </c>
      <c r="BU37" s="47">
        <v>0.66010000000000002</v>
      </c>
      <c r="BV37" s="47">
        <v>0.62565000000000004</v>
      </c>
      <c r="BW37" s="47">
        <v>0.61935000000000007</v>
      </c>
      <c r="BX37" s="47">
        <v>0.64935000000000009</v>
      </c>
      <c r="BY37" s="47">
        <v>0.67159999999999997</v>
      </c>
      <c r="BZ37" s="47">
        <v>0.72235000000000005</v>
      </c>
      <c r="CA37" s="47">
        <v>0.71870000000000001</v>
      </c>
      <c r="CB37" s="47">
        <v>0.71114999999999995</v>
      </c>
      <c r="CC37" s="47">
        <v>0.66684999999999994</v>
      </c>
      <c r="CD37" s="47">
        <v>0.62030000000000007</v>
      </c>
      <c r="CE37" s="47">
        <v>0.56005000000000005</v>
      </c>
      <c r="CF37" s="47">
        <v>0.54475000000000007</v>
      </c>
      <c r="CG37" s="47">
        <v>0.5494</v>
      </c>
      <c r="CH37" s="47">
        <v>0.53579999999999994</v>
      </c>
      <c r="CI37" s="47">
        <v>0.53849999999999998</v>
      </c>
      <c r="CJ37" s="47">
        <v>0.48594999999999999</v>
      </c>
      <c r="CK37" s="47">
        <v>0.39734999999999998</v>
      </c>
      <c r="CL37" s="47">
        <v>0.29649999999999999</v>
      </c>
      <c r="CM37" s="47">
        <v>0.23124999999999998</v>
      </c>
      <c r="CN37" s="47">
        <v>0.21860000000000002</v>
      </c>
      <c r="CO37" s="47">
        <v>0.22995000000000002</v>
      </c>
      <c r="CP37" s="47">
        <v>0.23569999999999999</v>
      </c>
      <c r="CQ37" s="47">
        <v>0.19434999999999999</v>
      </c>
      <c r="CR37" s="47">
        <v>0.17515000000000003</v>
      </c>
      <c r="CS37" s="47">
        <v>0.15875</v>
      </c>
      <c r="CT37" s="47">
        <v>0.16475000000000001</v>
      </c>
      <c r="CU37" s="47">
        <v>0.18380000000000002</v>
      </c>
      <c r="CV37" s="47">
        <v>0.32400000000000001</v>
      </c>
      <c r="CW37" s="47">
        <v>0.34484999999999999</v>
      </c>
      <c r="CX37" s="47">
        <v>0.36959999999999998</v>
      </c>
      <c r="CY37" s="47">
        <v>0.30654999999999999</v>
      </c>
      <c r="CZ37" s="47">
        <v>0.30374999999999996</v>
      </c>
    </row>
    <row r="38" spans="1:104" x14ac:dyDescent="0.2">
      <c r="A38" s="45" t="s">
        <v>8</v>
      </c>
      <c r="B38" s="46">
        <f t="shared" si="23"/>
        <v>-17.333333333333336</v>
      </c>
      <c r="C38" s="46">
        <f t="shared" si="24"/>
        <v>-6.966666666666665</v>
      </c>
      <c r="D38" s="48">
        <f t="shared" si="25"/>
        <v>24.742773406041525</v>
      </c>
      <c r="E38" s="49">
        <v>2.0655278520980098E-2</v>
      </c>
      <c r="F38" s="47">
        <v>0.64833333333333398</v>
      </c>
      <c r="G38" s="47">
        <v>0.6620000000000007</v>
      </c>
      <c r="H38" s="47">
        <v>0.67366666666666741</v>
      </c>
      <c r="I38" s="47">
        <v>0.71800000000000064</v>
      </c>
      <c r="J38" s="47">
        <v>0.69533333333333402</v>
      </c>
      <c r="K38" s="47">
        <v>0.66250000000000064</v>
      </c>
      <c r="L38" s="47">
        <v>0.63600000000000056</v>
      </c>
      <c r="M38" s="47">
        <v>0.62400000000000055</v>
      </c>
      <c r="N38" s="47">
        <v>0.63483333333333392</v>
      </c>
      <c r="O38" s="47">
        <v>0.67583333333333406</v>
      </c>
      <c r="P38" s="47">
        <v>0.77450000000000063</v>
      </c>
      <c r="Q38" s="47">
        <v>0.83283333333333409</v>
      </c>
      <c r="R38" s="47">
        <v>0.85050000000000092</v>
      </c>
      <c r="S38" s="47">
        <v>0.84500000000000075</v>
      </c>
      <c r="T38" s="47">
        <v>0.80900000000000072</v>
      </c>
      <c r="U38" s="47">
        <v>0.8461666666666674</v>
      </c>
      <c r="V38" s="47">
        <v>0.82350000000000068</v>
      </c>
      <c r="W38" s="47">
        <v>0.82166666666666732</v>
      </c>
      <c r="X38" s="47">
        <v>0.81833333333333391</v>
      </c>
      <c r="Y38" s="47">
        <v>0.83016666666666727</v>
      </c>
      <c r="Z38" s="47">
        <v>0.83716666666666739</v>
      </c>
      <c r="AA38" s="47">
        <v>0.85800000000000076</v>
      </c>
      <c r="AB38" s="47">
        <v>0.84450000000000069</v>
      </c>
      <c r="AC38" s="47">
        <v>0.92450000000000088</v>
      </c>
      <c r="AD38" s="47">
        <v>0.91100000000000081</v>
      </c>
      <c r="AE38" s="47">
        <v>0.87366666666666748</v>
      </c>
      <c r="AF38" s="47">
        <v>0.85683333333333411</v>
      </c>
      <c r="AG38" s="47">
        <v>0.84466666666666756</v>
      </c>
      <c r="AH38" s="47">
        <v>0.86083333333333423</v>
      </c>
      <c r="AI38" s="47">
        <v>0.78650000000000064</v>
      </c>
      <c r="AJ38" s="47">
        <v>0.76366666666666727</v>
      </c>
      <c r="AK38" s="47">
        <v>0.71533333333333393</v>
      </c>
      <c r="AL38" s="47">
        <v>0.64833333333333387</v>
      </c>
      <c r="AM38" s="47">
        <v>0.62500000000000044</v>
      </c>
      <c r="AN38" s="47">
        <v>0.61366666666666714</v>
      </c>
      <c r="AO38" s="47">
        <v>0.56716666666666704</v>
      </c>
      <c r="AP38" s="47">
        <v>0.42866666666666703</v>
      </c>
      <c r="AQ38" s="47">
        <v>0.49650000000000033</v>
      </c>
      <c r="AR38" s="47">
        <v>0.56433333333333369</v>
      </c>
      <c r="AS38" s="47">
        <v>0.5843333333333337</v>
      </c>
      <c r="AT38" s="47">
        <v>0.40483333333333371</v>
      </c>
      <c r="AU38" s="47">
        <v>0.24250000000000022</v>
      </c>
      <c r="AV38" s="47">
        <v>0.18650000000000017</v>
      </c>
      <c r="AW38" s="47">
        <v>0.17050000000000015</v>
      </c>
      <c r="AX38" s="47">
        <v>0.15700000000000011</v>
      </c>
      <c r="AY38" s="47">
        <v>0.12150000000000012</v>
      </c>
      <c r="AZ38" s="47">
        <v>0.12050000000000015</v>
      </c>
      <c r="BA38" s="47">
        <v>0.13550000000000018</v>
      </c>
      <c r="BB38" s="47">
        <v>0.12783333333333347</v>
      </c>
      <c r="BC38" s="47">
        <v>0.16300000000000017</v>
      </c>
      <c r="BD38" s="47">
        <v>0.15383333333333349</v>
      </c>
      <c r="BE38" s="47">
        <v>0.20333333333333362</v>
      </c>
      <c r="BF38" s="47">
        <v>0.29816666666666714</v>
      </c>
      <c r="BG38" s="47">
        <v>0.33333333333333381</v>
      </c>
      <c r="BH38" s="47">
        <v>0.35066666666666713</v>
      </c>
      <c r="BI38" s="47">
        <v>0.38400000000000051</v>
      </c>
      <c r="BJ38" s="47">
        <v>0.41150000000000059</v>
      </c>
      <c r="BK38" s="47">
        <v>0.45700000000000068</v>
      </c>
      <c r="BL38" s="47">
        <v>0.4905000000000006</v>
      </c>
      <c r="BM38" s="47">
        <v>0.50766666666666727</v>
      </c>
      <c r="BN38" s="47">
        <v>0.44833333333333386</v>
      </c>
      <c r="BO38" s="47">
        <v>0.42466666666666719</v>
      </c>
      <c r="BP38" s="47">
        <v>0.41650000000000059</v>
      </c>
      <c r="BQ38" s="47">
        <v>0.44516666666666727</v>
      </c>
      <c r="BR38" s="47">
        <v>0.48966666666666725</v>
      </c>
      <c r="BS38" s="47">
        <v>0.51166666666666727</v>
      </c>
      <c r="BT38" s="47">
        <v>0.46900000000000053</v>
      </c>
      <c r="BU38" s="47">
        <v>0.47233333333333383</v>
      </c>
      <c r="BV38" s="47">
        <v>0.5048333333333338</v>
      </c>
      <c r="BW38" s="47">
        <v>0.5098333333333338</v>
      </c>
      <c r="BX38" s="47">
        <v>0.4448333333333338</v>
      </c>
      <c r="BY38" s="47">
        <v>0.42666666666666719</v>
      </c>
      <c r="BZ38" s="47">
        <v>0.52016666666666722</v>
      </c>
      <c r="CA38" s="47">
        <v>0.54716666666666713</v>
      </c>
      <c r="CB38" s="47">
        <v>0.54050000000000042</v>
      </c>
      <c r="CC38" s="47">
        <v>0.52333333333333376</v>
      </c>
      <c r="CD38" s="47">
        <v>0.52850000000000041</v>
      </c>
      <c r="CE38" s="47">
        <v>0.53216666666666712</v>
      </c>
      <c r="CF38" s="47">
        <v>0.50800000000000045</v>
      </c>
      <c r="CG38" s="47">
        <v>0.42466666666666697</v>
      </c>
      <c r="CH38" s="47">
        <v>0.29916666666666697</v>
      </c>
      <c r="CI38" s="47">
        <v>0.26816666666666694</v>
      </c>
      <c r="CJ38" s="47">
        <v>0.31066666666666698</v>
      </c>
      <c r="CK38" s="47">
        <v>0.3958333333333337</v>
      </c>
      <c r="CL38" s="47">
        <v>0.42133333333333367</v>
      </c>
      <c r="CM38" s="47">
        <v>0.3873333333333337</v>
      </c>
      <c r="CN38" s="47">
        <v>0.3821666666666671</v>
      </c>
      <c r="CO38" s="47">
        <v>0.46200000000000041</v>
      </c>
      <c r="CP38" s="47">
        <v>0.44000000000000034</v>
      </c>
      <c r="CQ38" s="47">
        <v>0.31916666666666693</v>
      </c>
      <c r="CR38" s="47">
        <v>0.17633333333333351</v>
      </c>
      <c r="CS38" s="47">
        <v>0.14250000000000021</v>
      </c>
      <c r="CT38" s="47">
        <v>0.13416666666666688</v>
      </c>
      <c r="CU38" s="47">
        <v>0.12583333333333352</v>
      </c>
      <c r="CV38" s="47">
        <v>0.11666666666666686</v>
      </c>
      <c r="CW38" s="47">
        <v>0.1083333333333335</v>
      </c>
      <c r="CX38" s="47">
        <v>9.6666666666666817E-2</v>
      </c>
      <c r="CY38" s="47">
        <v>8.83333333333335E-2</v>
      </c>
      <c r="CZ38" s="47">
        <v>9.0000000000000177E-2</v>
      </c>
    </row>
    <row r="39" spans="1:104" x14ac:dyDescent="0.2">
      <c r="A39" s="45" t="s">
        <v>11</v>
      </c>
      <c r="B39" s="46">
        <f t="shared" si="23"/>
        <v>19.40217637284864</v>
      </c>
      <c r="C39" s="46">
        <f t="shared" si="24"/>
        <v>0.96790578048197573</v>
      </c>
      <c r="D39" s="48">
        <f t="shared" si="25"/>
        <v>20.571218773486667</v>
      </c>
      <c r="E39" s="49">
        <v>4.6589329009652999E-2</v>
      </c>
      <c r="F39" s="47">
        <v>0.48655130732944357</v>
      </c>
      <c r="G39" s="47">
        <v>0.47494962029326071</v>
      </c>
      <c r="H39" s="47">
        <v>0.4400086720730248</v>
      </c>
      <c r="I39" s="47">
        <v>0.47687224952462381</v>
      </c>
      <c r="J39" s="47">
        <v>0.50230915589848257</v>
      </c>
      <c r="K39" s="47">
        <v>0.56871033742653276</v>
      </c>
      <c r="L39" s="47">
        <v>0.56774032021439569</v>
      </c>
      <c r="M39" s="47">
        <v>0.5962911063716354</v>
      </c>
      <c r="N39" s="47">
        <v>0.50920195591289663</v>
      </c>
      <c r="O39" s="47">
        <v>0.43724983668370249</v>
      </c>
      <c r="P39" s="47">
        <v>0.31641398926050146</v>
      </c>
      <c r="Q39" s="47">
        <v>0.27038533955469118</v>
      </c>
      <c r="R39" s="47">
        <v>0.30173882322550977</v>
      </c>
      <c r="S39" s="47">
        <v>0.35976191835135979</v>
      </c>
      <c r="T39" s="47">
        <v>0.40790879809489489</v>
      </c>
      <c r="U39" s="47">
        <v>0.40009985931950615</v>
      </c>
      <c r="V39" s="47">
        <v>0.33359592996638454</v>
      </c>
      <c r="W39" s="47">
        <v>0.29252954360095718</v>
      </c>
      <c r="X39" s="47">
        <v>0.29354376038723973</v>
      </c>
      <c r="Y39" s="47">
        <v>0.29680502155288535</v>
      </c>
      <c r="Z39" s="47">
        <v>0.34433951701540344</v>
      </c>
      <c r="AA39" s="47">
        <v>0.42512557524082051</v>
      </c>
      <c r="AB39" s="47">
        <v>0.56627995006195297</v>
      </c>
      <c r="AC39" s="47">
        <v>0.63511792496243891</v>
      </c>
      <c r="AD39" s="47">
        <v>0.69580940609774944</v>
      </c>
      <c r="AE39" s="47">
        <v>0.68893789211498568</v>
      </c>
      <c r="AF39" s="47">
        <v>0.66911343354743391</v>
      </c>
      <c r="AG39" s="47">
        <v>0.66753019486603649</v>
      </c>
      <c r="AH39" s="47">
        <v>0.7080273260080755</v>
      </c>
      <c r="AI39" s="47">
        <v>0.70799515824480308</v>
      </c>
      <c r="AJ39" s="47">
        <v>0.67635950551154334</v>
      </c>
      <c r="AK39" s="47">
        <v>0.68633374060509522</v>
      </c>
      <c r="AL39" s="47">
        <v>0.77204630237382832</v>
      </c>
      <c r="AM39" s="47">
        <v>0.82115935249602345</v>
      </c>
      <c r="AN39" s="47">
        <v>0.84068283376400976</v>
      </c>
      <c r="AO39" s="47">
        <v>0.85587730984673094</v>
      </c>
      <c r="AP39" s="47">
        <v>0.82953381056959086</v>
      </c>
      <c r="AQ39" s="47">
        <v>0.78405224837036869</v>
      </c>
      <c r="AR39" s="47">
        <v>0.69814291325664468</v>
      </c>
      <c r="AS39" s="47">
        <v>0.62933674993519917</v>
      </c>
      <c r="AT39" s="47">
        <v>0.59733987442108893</v>
      </c>
      <c r="AU39" s="47">
        <v>0.55179328992270549</v>
      </c>
      <c r="AV39" s="47">
        <v>0.5477747534707188</v>
      </c>
      <c r="AW39" s="47">
        <v>0.54645631429221264</v>
      </c>
      <c r="AX39" s="47">
        <v>0.50290362160875524</v>
      </c>
      <c r="AY39" s="47">
        <v>0.38405198933671009</v>
      </c>
      <c r="AZ39" s="47">
        <v>0.25945467411990225</v>
      </c>
      <c r="BA39" s="47">
        <v>0.22035171405279017</v>
      </c>
      <c r="BB39" s="47">
        <v>0.21733201207319849</v>
      </c>
      <c r="BC39" s="47">
        <v>0.27641316734051374</v>
      </c>
      <c r="BD39" s="47">
        <v>0.35191310007687088</v>
      </c>
      <c r="BE39" s="47">
        <v>0.36296352677022165</v>
      </c>
      <c r="BF39" s="47">
        <v>0.3572391007297821</v>
      </c>
      <c r="BG39" s="47">
        <v>0.36592228424733331</v>
      </c>
      <c r="BH39" s="47">
        <v>0.37681372063092367</v>
      </c>
      <c r="BI39" s="47">
        <v>0.37471000211401373</v>
      </c>
      <c r="BJ39" s="47">
        <v>0.31590829860773934</v>
      </c>
      <c r="BK39" s="47">
        <v>0.26123087584613913</v>
      </c>
      <c r="BL39" s="47">
        <v>0.23827433173773757</v>
      </c>
      <c r="BM39" s="47">
        <v>0.26619226928600215</v>
      </c>
      <c r="BN39" s="47">
        <v>0.2714115688908087</v>
      </c>
      <c r="BO39" s="47">
        <v>0.22960389759175004</v>
      </c>
      <c r="BP39" s="47">
        <v>0.22241446625345507</v>
      </c>
      <c r="BQ39" s="47">
        <v>0.21673778280952469</v>
      </c>
      <c r="BR39" s="47">
        <v>0.22366002845871291</v>
      </c>
      <c r="BS39" s="47">
        <v>0.21293617380981245</v>
      </c>
      <c r="BT39" s="47">
        <v>0.22685931136671389</v>
      </c>
      <c r="BU39" s="47">
        <v>0.33383205865000137</v>
      </c>
      <c r="BV39" s="47">
        <v>0.50794377769387267</v>
      </c>
      <c r="BW39" s="47">
        <v>0.60068723083603215</v>
      </c>
      <c r="BX39" s="47">
        <v>0.6355327797305298</v>
      </c>
      <c r="BY39" s="47">
        <v>0.62207135496387678</v>
      </c>
      <c r="BZ39" s="47">
        <v>0.58178149063552742</v>
      </c>
      <c r="CA39" s="47">
        <v>0.61972829560049791</v>
      </c>
      <c r="CB39" s="47">
        <v>0.60694601034602058</v>
      </c>
      <c r="CC39" s="47">
        <v>0.63624834524237406</v>
      </c>
      <c r="CD39" s="47">
        <v>0.7064970027319688</v>
      </c>
      <c r="CE39" s="47">
        <v>0.74833895305937737</v>
      </c>
      <c r="CF39" s="47">
        <v>0.76842573874107267</v>
      </c>
      <c r="CG39" s="47">
        <v>0.71845267596174356</v>
      </c>
      <c r="CH39" s="47">
        <v>0.69251516576187466</v>
      </c>
      <c r="CI39" s="47">
        <v>0.66661378886526901</v>
      </c>
      <c r="CJ39" s="47">
        <v>0.69819683681686162</v>
      </c>
      <c r="CK39" s="47">
        <v>0.71157531073870017</v>
      </c>
      <c r="CL39" s="47">
        <v>0.74286552118531157</v>
      </c>
      <c r="CM39" s="47">
        <v>0.763075608662516</v>
      </c>
      <c r="CN39" s="47">
        <v>0.78614375643286272</v>
      </c>
      <c r="CO39" s="47">
        <v>0.79427723649113535</v>
      </c>
      <c r="CP39" s="47">
        <v>0.74866619670021806</v>
      </c>
      <c r="CQ39" s="47">
        <v>0.6902938796266701</v>
      </c>
      <c r="CR39" s="47">
        <v>0.61939878580206642</v>
      </c>
      <c r="CS39" s="47">
        <v>0.54462619076552377</v>
      </c>
      <c r="CT39" s="47">
        <v>0.42995344376265771</v>
      </c>
      <c r="CU39" s="47">
        <v>0.3314339083963645</v>
      </c>
      <c r="CV39" s="47">
        <v>0.26721543013998345</v>
      </c>
      <c r="CW39" s="47">
        <v>0.27535899017857862</v>
      </c>
      <c r="CX39" s="47">
        <v>0.27344627442115366</v>
      </c>
      <c r="CY39" s="47">
        <v>0.20331818262307899</v>
      </c>
      <c r="CZ39" s="47">
        <v>0.15472663722448934</v>
      </c>
    </row>
    <row r="40" spans="1:104" x14ac:dyDescent="0.2">
      <c r="A40" s="45" t="s">
        <v>14</v>
      </c>
      <c r="B40" s="46">
        <f t="shared" si="23"/>
        <v>-15.124452704997204</v>
      </c>
      <c r="C40" s="46">
        <f t="shared" si="24"/>
        <v>-4.6615933026952492</v>
      </c>
      <c r="D40" s="48">
        <f t="shared" si="25"/>
        <v>15.835828364682362</v>
      </c>
      <c r="E40" s="49">
        <v>2.89388744710436E-2</v>
      </c>
      <c r="F40" s="47">
        <v>0.29217727371569763</v>
      </c>
      <c r="G40" s="47">
        <v>0.28263184263568425</v>
      </c>
      <c r="H40" s="47">
        <v>0.31644587349847986</v>
      </c>
      <c r="I40" s="47">
        <v>0.33879320674265012</v>
      </c>
      <c r="J40" s="47">
        <v>0.36605606242466954</v>
      </c>
      <c r="K40" s="47">
        <v>0.36500388397696398</v>
      </c>
      <c r="L40" s="47">
        <v>0.37019438433423735</v>
      </c>
      <c r="M40" s="47">
        <v>0.36400093138478962</v>
      </c>
      <c r="N40" s="47">
        <v>0.30313350538199046</v>
      </c>
      <c r="O40" s="47">
        <v>0.2364582482586895</v>
      </c>
      <c r="P40" s="47">
        <v>0.19729741112389071</v>
      </c>
      <c r="Q40" s="47">
        <v>0.20050758766776597</v>
      </c>
      <c r="R40" s="47">
        <v>0.28766882099395741</v>
      </c>
      <c r="S40" s="47">
        <v>0.35653820668436031</v>
      </c>
      <c r="T40" s="47">
        <v>0.42531386696630269</v>
      </c>
      <c r="U40" s="47">
        <v>0.44895918288439768</v>
      </c>
      <c r="V40" s="47">
        <v>0.43047180941618335</v>
      </c>
      <c r="W40" s="47">
        <v>0.44342180076566967</v>
      </c>
      <c r="X40" s="47">
        <v>0.46371313333254083</v>
      </c>
      <c r="Y40" s="47">
        <v>0.49426487696469301</v>
      </c>
      <c r="Z40" s="47">
        <v>0.52866390277754305</v>
      </c>
      <c r="AA40" s="47">
        <v>0.58038655602237998</v>
      </c>
      <c r="AB40" s="47">
        <v>0.65068384061905304</v>
      </c>
      <c r="AC40" s="47">
        <v>0.67841651004029968</v>
      </c>
      <c r="AD40" s="47">
        <v>0.67260519977926114</v>
      </c>
      <c r="AE40" s="47">
        <v>0.6759554173388358</v>
      </c>
      <c r="AF40" s="47">
        <v>0.67662898653229342</v>
      </c>
      <c r="AG40" s="47">
        <v>0.71870243619659357</v>
      </c>
      <c r="AH40" s="47">
        <v>0.74873873635253263</v>
      </c>
      <c r="AI40" s="47">
        <v>0.77557304382364811</v>
      </c>
      <c r="AJ40" s="47">
        <v>0.77090141921774302</v>
      </c>
      <c r="AK40" s="47">
        <v>0.77772401143836811</v>
      </c>
      <c r="AL40" s="47">
        <v>0.76117998182404023</v>
      </c>
      <c r="AM40" s="47">
        <v>0.74977045260306752</v>
      </c>
      <c r="AN40" s="47">
        <v>0.73755918285328648</v>
      </c>
      <c r="AO40" s="47">
        <v>0.73103936914760115</v>
      </c>
      <c r="AP40" s="47">
        <v>0.72616629256030996</v>
      </c>
      <c r="AQ40" s="47">
        <v>0.64998715933989037</v>
      </c>
      <c r="AR40" s="47">
        <v>0.58527544471960968</v>
      </c>
      <c r="AS40" s="47">
        <v>0.53399604124053357</v>
      </c>
      <c r="AT40" s="47">
        <v>0.53485437471782549</v>
      </c>
      <c r="AU40" s="47">
        <v>0.47870386116286334</v>
      </c>
      <c r="AV40" s="47">
        <v>0.41330955521055973</v>
      </c>
      <c r="AW40" s="47">
        <v>0.33278923024899676</v>
      </c>
      <c r="AX40" s="47">
        <v>0.30043663324416053</v>
      </c>
      <c r="AY40" s="47">
        <v>0.28715161421071866</v>
      </c>
      <c r="AZ40" s="47">
        <v>0.26545657280909302</v>
      </c>
      <c r="BA40" s="47">
        <v>0.23412570380838152</v>
      </c>
      <c r="BB40" s="47">
        <v>0.22769053635159953</v>
      </c>
      <c r="BC40" s="47">
        <v>0.25292312753101809</v>
      </c>
      <c r="BD40" s="47">
        <v>0.31122108543877419</v>
      </c>
      <c r="BE40" s="47">
        <v>0.34918041326957322</v>
      </c>
      <c r="BF40" s="47">
        <v>0.35351143280021413</v>
      </c>
      <c r="BG40" s="47">
        <v>0.36280377291734012</v>
      </c>
      <c r="BH40" s="47">
        <v>0.35394416278207275</v>
      </c>
      <c r="BI40" s="47">
        <v>0.37606949411589002</v>
      </c>
      <c r="BJ40" s="47">
        <v>0.3889767733502319</v>
      </c>
      <c r="BK40" s="47">
        <v>0.40684162252647837</v>
      </c>
      <c r="BL40" s="47">
        <v>0.42653930778430565</v>
      </c>
      <c r="BM40" s="47">
        <v>0.44468304012710441</v>
      </c>
      <c r="BN40" s="47">
        <v>0.44806226039592773</v>
      </c>
      <c r="BO40" s="47">
        <v>0.43797125793349095</v>
      </c>
      <c r="BP40" s="47">
        <v>0.42714092269002435</v>
      </c>
      <c r="BQ40" s="47">
        <v>0.45553853646187253</v>
      </c>
      <c r="BR40" s="47">
        <v>0.46814663038083926</v>
      </c>
      <c r="BS40" s="47">
        <v>0.51119470479480711</v>
      </c>
      <c r="BT40" s="47">
        <v>0.56948777945060347</v>
      </c>
      <c r="BU40" s="47">
        <v>0.61689540186941938</v>
      </c>
      <c r="BV40" s="47">
        <v>0.64874770448418262</v>
      </c>
      <c r="BW40" s="47">
        <v>0.65604169620899944</v>
      </c>
      <c r="BX40" s="47">
        <v>0.67247175096158007</v>
      </c>
      <c r="BY40" s="47">
        <v>0.65678683044501063</v>
      </c>
      <c r="BZ40" s="47">
        <v>0.65493473968322058</v>
      </c>
      <c r="CA40" s="47">
        <v>0.63056792507224746</v>
      </c>
      <c r="CB40" s="47">
        <v>0.63273041419701281</v>
      </c>
      <c r="CC40" s="47">
        <v>0.62226248251093841</v>
      </c>
      <c r="CD40" s="47">
        <v>0.62888049243254696</v>
      </c>
      <c r="CE40" s="47">
        <v>0.66261208956726503</v>
      </c>
      <c r="CF40" s="47">
        <v>0.71015783667096222</v>
      </c>
      <c r="CG40" s="47">
        <v>0.73200147515236369</v>
      </c>
      <c r="CH40" s="47">
        <v>0.70489639730234255</v>
      </c>
      <c r="CI40" s="47">
        <v>0.66613940725548082</v>
      </c>
      <c r="CJ40" s="47">
        <v>0.62450608001300212</v>
      </c>
      <c r="CK40" s="47">
        <v>0.63283049400191704</v>
      </c>
      <c r="CL40" s="47">
        <v>0.6449955010555336</v>
      </c>
      <c r="CM40" s="47">
        <v>0.66335343911901845</v>
      </c>
      <c r="CN40" s="47">
        <v>0.67065112001723948</v>
      </c>
      <c r="CO40" s="47">
        <v>0.63934299317366627</v>
      </c>
      <c r="CP40" s="47">
        <v>0.59983284745739873</v>
      </c>
      <c r="CQ40" s="47">
        <v>0.5440267471310708</v>
      </c>
      <c r="CR40" s="47">
        <v>0.49361878326212982</v>
      </c>
      <c r="CS40" s="47">
        <v>0.41780727449023647</v>
      </c>
      <c r="CT40" s="47">
        <v>0.37918046738733668</v>
      </c>
      <c r="CU40" s="47">
        <v>0.34155404812258805</v>
      </c>
      <c r="CV40" s="47">
        <v>0.33788510176872411</v>
      </c>
      <c r="CW40" s="47">
        <v>0.35237580039757233</v>
      </c>
      <c r="CX40" s="47">
        <v>0.36278628474495389</v>
      </c>
      <c r="CY40" s="47">
        <v>0.35894960203424919</v>
      </c>
      <c r="CZ40" s="47">
        <v>0.33949323735569603</v>
      </c>
    </row>
    <row r="41" spans="1:104" x14ac:dyDescent="0.2">
      <c r="A41" s="45" t="s">
        <v>17</v>
      </c>
      <c r="B41" s="46">
        <f t="shared" si="23"/>
        <v>17.489146849367298</v>
      </c>
      <c r="C41" s="46">
        <f t="shared" si="24"/>
        <v>-11.230179477390939</v>
      </c>
      <c r="D41" s="48">
        <f t="shared" si="25"/>
        <v>20.89896506169482</v>
      </c>
      <c r="E41" s="49">
        <v>3.18894851239628E-2</v>
      </c>
      <c r="F41" s="47">
        <v>0.23806671746836505</v>
      </c>
      <c r="G41" s="47">
        <v>0.24664027945571113</v>
      </c>
      <c r="H41" s="47">
        <v>0.30124616160215623</v>
      </c>
      <c r="I41" s="47">
        <v>0.35036851224227444</v>
      </c>
      <c r="J41" s="47">
        <v>0.36832560573594747</v>
      </c>
      <c r="K41" s="47">
        <v>0.35451645740137355</v>
      </c>
      <c r="L41" s="47">
        <v>0.35121995025492841</v>
      </c>
      <c r="M41" s="47">
        <v>0.35986888009582929</v>
      </c>
      <c r="N41" s="47">
        <v>0.30860179477390931</v>
      </c>
      <c r="O41" s="47">
        <v>0.22800261595831633</v>
      </c>
      <c r="P41" s="47">
        <v>0.16319650714644515</v>
      </c>
      <c r="Q41" s="47">
        <v>0.15995321047729733</v>
      </c>
      <c r="R41" s="47">
        <v>0.21410131913379118</v>
      </c>
      <c r="S41" s="47">
        <v>0.21499591262746418</v>
      </c>
      <c r="T41" s="47">
        <v>0.15641970128023633</v>
      </c>
      <c r="U41" s="47">
        <v>9.9985716443057163E-2</v>
      </c>
      <c r="V41" s="47">
        <v>7.4890342623742445E-2</v>
      </c>
      <c r="W41" s="47">
        <v>6.3175248974692066E-2</v>
      </c>
      <c r="X41" s="47">
        <v>7.2804195159099111E-2</v>
      </c>
      <c r="Y41" s="47">
        <v>6.1472328330852158E-2</v>
      </c>
      <c r="Z41" s="47">
        <v>9.400625E-2</v>
      </c>
      <c r="AA41" s="47">
        <v>0.12874397666542609</v>
      </c>
      <c r="AB41" s="47">
        <v>0.25672278166170431</v>
      </c>
      <c r="AC41" s="47">
        <v>0.39692050015537733</v>
      </c>
      <c r="AD41" s="47">
        <v>0.50014946864905041</v>
      </c>
      <c r="AE41" s="47">
        <v>0.57553941365277228</v>
      </c>
      <c r="AF41" s="47">
        <v>0.5900856718245252</v>
      </c>
      <c r="AG41" s="47">
        <v>0.58025777348995145</v>
      </c>
      <c r="AH41" s="47">
        <v>0.59951235881187126</v>
      </c>
      <c r="AI41" s="47">
        <v>0.62990323278656313</v>
      </c>
      <c r="AJ41" s="47">
        <v>0.66906324692407615</v>
      </c>
      <c r="AK41" s="47">
        <v>0.5840891758950465</v>
      </c>
      <c r="AL41" s="47">
        <v>0.51259086288239253</v>
      </c>
      <c r="AM41" s="47">
        <v>0.61982579154260831</v>
      </c>
      <c r="AN41" s="47">
        <v>0.6768352297106397</v>
      </c>
      <c r="AO41" s="47">
        <v>0.67366312804521356</v>
      </c>
      <c r="AP41" s="47">
        <v>0.53053790137978729</v>
      </c>
      <c r="AQ41" s="47">
        <v>0.49722204971436129</v>
      </c>
      <c r="AR41" s="47">
        <v>0.53273415955154046</v>
      </c>
      <c r="AS41" s="47">
        <v>0.55751456605786731</v>
      </c>
      <c r="AT41" s="47">
        <v>0.51481684756419432</v>
      </c>
      <c r="AU41" s="47">
        <v>0.46748117573966924</v>
      </c>
      <c r="AV41" s="47">
        <v>0.46069930891142225</v>
      </c>
      <c r="AW41" s="47">
        <v>0.46618701326758238</v>
      </c>
      <c r="AX41" s="47">
        <v>0.47325742794566245</v>
      </c>
      <c r="AY41" s="47">
        <v>0.45785802246464341</v>
      </c>
      <c r="AZ41" s="47">
        <v>0.43383943596203811</v>
      </c>
      <c r="BA41" s="47">
        <v>0.4127998811211373</v>
      </c>
      <c r="BB41" s="47">
        <v>0.42101618611741548</v>
      </c>
      <c r="BC41" s="47">
        <v>0.48356445827130412</v>
      </c>
      <c r="BD41" s="47">
        <v>0.56048098993300843</v>
      </c>
      <c r="BE41" s="47">
        <v>0.53756933342668145</v>
      </c>
      <c r="BF41" s="47">
        <v>0.46606347358950234</v>
      </c>
      <c r="BG41" s="47">
        <v>0.37238641874860134</v>
      </c>
      <c r="BH41" s="47">
        <v>0.32931890240509526</v>
      </c>
      <c r="BI41" s="47">
        <v>0.34322019922962044</v>
      </c>
      <c r="BJ41" s="47">
        <v>0.40895564438871956</v>
      </c>
      <c r="BK41" s="47">
        <v>0.51570558122068821</v>
      </c>
      <c r="BL41" s="47">
        <v>0.58159848772701528</v>
      </c>
      <c r="BM41" s="47">
        <v>0.59837912089876832</v>
      </c>
      <c r="BN41" s="47">
        <v>0.56076287907052136</v>
      </c>
      <c r="BO41" s="47">
        <v>0.51318345724599623</v>
      </c>
      <c r="BP41" s="47">
        <v>0.4863014269203545</v>
      </c>
      <c r="BQ41" s="47">
        <v>0.49665494208317534</v>
      </c>
      <c r="BR41" s="47">
        <v>0.58363391057684832</v>
      </c>
      <c r="BS41" s="47">
        <v>0.65520761375232295</v>
      </c>
      <c r="BT41" s="47">
        <v>0.69867718493673014</v>
      </c>
      <c r="BU41" s="47">
        <v>0.71156702961108853</v>
      </c>
      <c r="BV41" s="47">
        <v>0.73772031810848304</v>
      </c>
      <c r="BW41" s="47">
        <v>0.76937389643933529</v>
      </c>
      <c r="BX41" s="47">
        <v>0.79442862294938421</v>
      </c>
      <c r="BY41" s="47">
        <v>0.72752257730554404</v>
      </c>
      <c r="BZ41" s="47">
        <v>0.67409901531819827</v>
      </c>
      <c r="CA41" s="47">
        <v>0.65191106198734605</v>
      </c>
      <c r="CB41" s="47">
        <v>0.73987424198362428</v>
      </c>
      <c r="CC41" s="47">
        <v>0.77845878048101891</v>
      </c>
      <c r="CD41" s="47">
        <v>0.81475115563639655</v>
      </c>
      <c r="CE41" s="47">
        <v>0.84598509961481017</v>
      </c>
      <c r="CF41" s="47">
        <v>0.88051552843040304</v>
      </c>
      <c r="CG41" s="47">
        <v>0.90355159041774913</v>
      </c>
      <c r="CH41" s="47">
        <v>0.89336477041402751</v>
      </c>
      <c r="CI41" s="47">
        <v>0.83513489525865015</v>
      </c>
      <c r="CJ41" s="47">
        <v>0.76096285676125519</v>
      </c>
      <c r="CK41" s="47">
        <v>0.74362186390770035</v>
      </c>
      <c r="CL41" s="47">
        <v>0.75559871439244142</v>
      </c>
      <c r="CM41" s="47">
        <v>0.75324330788611427</v>
      </c>
      <c r="CN41" s="47">
        <v>0.69743126121696652</v>
      </c>
      <c r="CO41" s="47">
        <v>0.67598041772329354</v>
      </c>
      <c r="CP41" s="47">
        <v>0.64757264423334215</v>
      </c>
      <c r="CQ41" s="47">
        <v>0.60259655176497717</v>
      </c>
      <c r="CR41" s="47">
        <v>0.57685033445198941</v>
      </c>
      <c r="CS41" s="47">
        <v>0.57900512413006933</v>
      </c>
      <c r="CT41" s="47">
        <v>0.55742235064011814</v>
      </c>
      <c r="CU41" s="47">
        <v>0.52895343714272336</v>
      </c>
      <c r="CV41" s="47">
        <v>0.56027029579921728</v>
      </c>
      <c r="CW41" s="47">
        <v>0.5268773892928903</v>
      </c>
      <c r="CX41" s="47">
        <v>0.39870717897097036</v>
      </c>
      <c r="CY41" s="47">
        <v>0.24992584349367303</v>
      </c>
      <c r="CZ41" s="47">
        <v>0.16848192999627826</v>
      </c>
    </row>
    <row r="42" spans="1:104" x14ac:dyDescent="0.2">
      <c r="A42" s="45" t="s">
        <v>20</v>
      </c>
      <c r="B42" s="46">
        <f t="shared" si="23"/>
        <v>16.09181365329011</v>
      </c>
      <c r="C42" s="46">
        <f t="shared" si="24"/>
        <v>-6.3187514433653007</v>
      </c>
      <c r="D42" s="48">
        <f t="shared" si="25"/>
        <v>18.842605335205167</v>
      </c>
      <c r="E42" s="49">
        <v>1.1535391766601601E-2</v>
      </c>
      <c r="F42" s="47">
        <v>0.26686984816800052</v>
      </c>
      <c r="G42" s="47">
        <v>0.2991988140862773</v>
      </c>
      <c r="H42" s="47">
        <v>0.32432891574785283</v>
      </c>
      <c r="I42" s="47">
        <v>0.33005736260165353</v>
      </c>
      <c r="J42" s="47">
        <v>0.30185508620885537</v>
      </c>
      <c r="K42" s="47">
        <v>0.26119797631611236</v>
      </c>
      <c r="L42" s="47">
        <v>0.25369445724967793</v>
      </c>
      <c r="M42" s="47">
        <v>0.25760360714089697</v>
      </c>
      <c r="N42" s="47">
        <v>0.25376029520313509</v>
      </c>
      <c r="O42" s="47">
        <v>0.25206014737968591</v>
      </c>
      <c r="P42" s="47">
        <v>0.24858189508289841</v>
      </c>
      <c r="Q42" s="47">
        <v>0.27320400113946447</v>
      </c>
      <c r="R42" s="47">
        <v>0.2604630542157661</v>
      </c>
      <c r="S42" s="47">
        <v>0.22929302713366082</v>
      </c>
      <c r="T42" s="47">
        <v>0.1590024985649289</v>
      </c>
      <c r="U42" s="47">
        <v>9.2188590729215189E-2</v>
      </c>
      <c r="V42" s="47">
        <v>8.376960644842385E-2</v>
      </c>
      <c r="W42" s="47">
        <v>0.10595171163509942</v>
      </c>
      <c r="X42" s="47">
        <v>0.13474733713060646</v>
      </c>
      <c r="Y42" s="47">
        <v>0.23176089139141826</v>
      </c>
      <c r="Z42" s="47">
        <v>0.27194488747894074</v>
      </c>
      <c r="AA42" s="47">
        <v>0.31739579685426667</v>
      </c>
      <c r="AB42" s="47">
        <v>0.38863604044539657</v>
      </c>
      <c r="AC42" s="47">
        <v>0.45284924267977222</v>
      </c>
      <c r="AD42" s="47">
        <v>0.54665886437676003</v>
      </c>
      <c r="AE42" s="47">
        <v>0.62946676688330283</v>
      </c>
      <c r="AF42" s="47">
        <v>0.64202718436837869</v>
      </c>
      <c r="AG42" s="47">
        <v>0.66422878325434798</v>
      </c>
      <c r="AH42" s="47">
        <v>0.77694276917685345</v>
      </c>
      <c r="AI42" s="47">
        <v>0.88681800031830516</v>
      </c>
      <c r="AJ42" s="47">
        <v>0.87035926719490808</v>
      </c>
      <c r="AK42" s="47">
        <v>0.75853509776811123</v>
      </c>
      <c r="AL42" s="47">
        <v>0.69042978255385223</v>
      </c>
      <c r="AM42" s="47">
        <v>0.7576765768004412</v>
      </c>
      <c r="AN42" s="47">
        <v>0.83433689157975499</v>
      </c>
      <c r="AO42" s="47">
        <v>0.77734110342726503</v>
      </c>
      <c r="AP42" s="47">
        <v>0.71195663282913169</v>
      </c>
      <c r="AQ42" s="47">
        <v>0.58840558441125856</v>
      </c>
      <c r="AR42" s="47">
        <v>0.54522479671457846</v>
      </c>
      <c r="AS42" s="47">
        <v>0.53956043434182688</v>
      </c>
      <c r="AT42" s="47">
        <v>0.52840265341393988</v>
      </c>
      <c r="AU42" s="47">
        <v>0.53203156267839302</v>
      </c>
      <c r="AV42" s="47">
        <v>0.46422747596420255</v>
      </c>
      <c r="AW42" s="47">
        <v>0.37144011907909791</v>
      </c>
      <c r="AX42" s="47">
        <v>0.35341984973348517</v>
      </c>
      <c r="AY42" s="47">
        <v>0.36152898904447889</v>
      </c>
      <c r="AZ42" s="47">
        <v>0.32909984538018749</v>
      </c>
      <c r="BA42" s="47">
        <v>0.28319186560330101</v>
      </c>
      <c r="BB42" s="47">
        <v>0.26148357956061252</v>
      </c>
      <c r="BC42" s="47">
        <v>0.34022071445880175</v>
      </c>
      <c r="BD42" s="47">
        <v>0.44576353762331428</v>
      </c>
      <c r="BE42" s="47">
        <v>0.57363979261406095</v>
      </c>
      <c r="BF42" s="47">
        <v>0.54955363320577999</v>
      </c>
      <c r="BG42" s="47">
        <v>0.54084789337704864</v>
      </c>
      <c r="BH42" s="47">
        <v>0.49293577340643646</v>
      </c>
      <c r="BI42" s="47">
        <v>0.40013662335568523</v>
      </c>
      <c r="BJ42" s="47">
        <v>0.33849987455371622</v>
      </c>
      <c r="BK42" s="47">
        <v>0.35426682192124903</v>
      </c>
      <c r="BL42" s="47">
        <v>0.43056065536575749</v>
      </c>
      <c r="BM42" s="47">
        <v>0.44827656464301663</v>
      </c>
      <c r="BN42" s="47">
        <v>0.46273948978511886</v>
      </c>
      <c r="BO42" s="47">
        <v>0.4371645537824409</v>
      </c>
      <c r="BP42" s="47">
        <v>0.56886610445379138</v>
      </c>
      <c r="BQ42" s="47">
        <v>0.63060554985324113</v>
      </c>
      <c r="BR42" s="47">
        <v>0.65708069469258945</v>
      </c>
      <c r="BS42" s="47">
        <v>0.67167633985047415</v>
      </c>
      <c r="BT42" s="47">
        <v>0.64885743355038461</v>
      </c>
      <c r="BU42" s="47">
        <v>0.61962860957642629</v>
      </c>
      <c r="BV42" s="47">
        <v>0.62862242493575626</v>
      </c>
      <c r="BW42" s="47">
        <v>0.67574690711175445</v>
      </c>
      <c r="BX42" s="47">
        <v>0.67274032238651149</v>
      </c>
      <c r="BY42" s="47">
        <v>0.66484115118238285</v>
      </c>
      <c r="BZ42" s="47">
        <v>0.63315119425214339</v>
      </c>
      <c r="CA42" s="47">
        <v>0.66948665435727062</v>
      </c>
      <c r="CB42" s="47">
        <v>0.7455633196828324</v>
      </c>
      <c r="CC42" s="47">
        <v>0.72755170520739765</v>
      </c>
      <c r="CD42" s="47">
        <v>0.63703215667703195</v>
      </c>
      <c r="CE42" s="47">
        <v>0.58151240398235782</v>
      </c>
      <c r="CF42" s="47">
        <v>0.61873636167248147</v>
      </c>
      <c r="CG42" s="47">
        <v>0.62324355749866656</v>
      </c>
      <c r="CH42" s="47">
        <v>0.63579658418149065</v>
      </c>
      <c r="CI42" s="47">
        <v>0.66298441939444164</v>
      </c>
      <c r="CJ42" s="47">
        <v>0.69621656686621269</v>
      </c>
      <c r="CK42" s="47">
        <v>0.7475194159981825</v>
      </c>
      <c r="CL42" s="47">
        <v>0.75532487617456656</v>
      </c>
      <c r="CM42" s="47">
        <v>0.74620082219466866</v>
      </c>
      <c r="CN42" s="47">
        <v>0.72632023489545383</v>
      </c>
      <c r="CO42" s="47">
        <v>0.70971155506637706</v>
      </c>
      <c r="CP42" s="47">
        <v>0.69840184415556927</v>
      </c>
      <c r="CQ42" s="47">
        <v>0.66612467031702394</v>
      </c>
      <c r="CR42" s="47">
        <v>0.62552001011462521</v>
      </c>
      <c r="CS42" s="47">
        <v>0.56347901648609566</v>
      </c>
      <c r="CT42" s="47">
        <v>0.54044197298142527</v>
      </c>
      <c r="CU42" s="47">
        <v>0.48199273593523118</v>
      </c>
      <c r="CV42" s="47">
        <v>0.43235579702471744</v>
      </c>
      <c r="CW42" s="47">
        <v>0.40075647861135366</v>
      </c>
      <c r="CX42" s="47">
        <v>0.40888500883852208</v>
      </c>
      <c r="CY42" s="47">
        <v>0.39613904738848632</v>
      </c>
      <c r="CZ42" s="47">
        <v>0.33089272791507995</v>
      </c>
    </row>
    <row r="43" spans="1:104" x14ac:dyDescent="0.2">
      <c r="A43" s="45" t="s">
        <v>23</v>
      </c>
      <c r="B43" s="46">
        <f t="shared" si="23"/>
        <v>13.275310151974889</v>
      </c>
      <c r="C43" s="46">
        <f t="shared" si="24"/>
        <v>-2.1487393977839275</v>
      </c>
      <c r="D43" s="48">
        <f t="shared" si="25"/>
        <v>18.007697950254681</v>
      </c>
      <c r="E43" s="49">
        <v>2.6998238066792801E-2</v>
      </c>
      <c r="F43" s="47">
        <v>0.51855580461091433</v>
      </c>
      <c r="G43" s="47">
        <v>0.51855580461091433</v>
      </c>
      <c r="H43" s="47">
        <v>0.54828112232808401</v>
      </c>
      <c r="I43" s="47">
        <v>0.5400431985887536</v>
      </c>
      <c r="J43" s="47">
        <v>0.49422051315553384</v>
      </c>
      <c r="K43" s="47">
        <v>0.42514267400738498</v>
      </c>
      <c r="L43" s="47">
        <v>0.35192771424217395</v>
      </c>
      <c r="M43" s="47">
        <v>0.29601371530871184</v>
      </c>
      <c r="N43" s="47">
        <v>0.26957783723114737</v>
      </c>
      <c r="O43" s="47">
        <v>0.21891264739218239</v>
      </c>
      <c r="P43" s="47">
        <v>0.26956094722756929</v>
      </c>
      <c r="Q43" s="47">
        <v>0.30310760604230946</v>
      </c>
      <c r="R43" s="47">
        <v>0.36539701607343938</v>
      </c>
      <c r="S43" s="47">
        <v>0.35855474529929138</v>
      </c>
      <c r="T43" s="47">
        <v>0.29875659959470141</v>
      </c>
      <c r="U43" s="47">
        <v>0.23923797470904049</v>
      </c>
      <c r="V43" s="47">
        <v>0.33277703700901884</v>
      </c>
      <c r="W43" s="47">
        <v>0.38580270309116543</v>
      </c>
      <c r="X43" s="47">
        <v>0.4454623976231793</v>
      </c>
      <c r="Y43" s="47">
        <v>0.41735948434174991</v>
      </c>
      <c r="Z43" s="47">
        <v>0.38661436037750196</v>
      </c>
      <c r="AA43" s="47">
        <v>0.41828795750513381</v>
      </c>
      <c r="AB43" s="47">
        <v>0.39478871309943525</v>
      </c>
      <c r="AC43" s="47">
        <v>0.4363017608613336</v>
      </c>
      <c r="AD43" s="47">
        <v>0.46605298351632912</v>
      </c>
      <c r="AE43" s="47">
        <v>0.49483519685321581</v>
      </c>
      <c r="AF43" s="47">
        <v>0.53431512657547053</v>
      </c>
      <c r="AG43" s="47">
        <v>0.44212378652037082</v>
      </c>
      <c r="AH43" s="47">
        <v>0.44203559683725357</v>
      </c>
      <c r="AI43" s="47">
        <v>0.4921164964427609</v>
      </c>
      <c r="AJ43" s="47">
        <v>0.58201673468975834</v>
      </c>
      <c r="AK43" s="47">
        <v>0.64554792491656499</v>
      </c>
      <c r="AL43" s="47">
        <v>0.69123413585881688</v>
      </c>
      <c r="AM43" s="47">
        <v>0.71483933845804171</v>
      </c>
      <c r="AN43" s="47">
        <v>0.75062958229704713</v>
      </c>
      <c r="AO43" s="47">
        <v>0.82638032372983772</v>
      </c>
      <c r="AP43" s="47">
        <v>0.93192052671064074</v>
      </c>
      <c r="AQ43" s="47">
        <v>0.96848090014306099</v>
      </c>
      <c r="AR43" s="47">
        <v>0.91366744863323768</v>
      </c>
      <c r="AS43" s="47">
        <v>0.84672070909763386</v>
      </c>
      <c r="AT43" s="47">
        <v>0.7965669550113581</v>
      </c>
      <c r="AU43" s="47">
        <v>0.76246235575627308</v>
      </c>
      <c r="AV43" s="47">
        <v>0.66260393018656727</v>
      </c>
      <c r="AW43" s="47">
        <v>0.63170192428114991</v>
      </c>
      <c r="AX43" s="47">
        <v>0.60261336489308315</v>
      </c>
      <c r="AY43" s="47">
        <v>0.5803639518950392</v>
      </c>
      <c r="AZ43" s="47">
        <v>0.57420293283442203</v>
      </c>
      <c r="BA43" s="47">
        <v>0.40774210398371658</v>
      </c>
      <c r="BB43" s="47">
        <v>0.3107772121096346</v>
      </c>
      <c r="BC43" s="47">
        <v>0.18465378102681168</v>
      </c>
      <c r="BD43" s="47">
        <v>0.35441735937328006</v>
      </c>
      <c r="BE43" s="47">
        <v>0.39003147804322574</v>
      </c>
      <c r="BF43" s="47">
        <v>0.43045762975161794</v>
      </c>
      <c r="BG43" s="47">
        <v>0.38470009215680662</v>
      </c>
      <c r="BH43" s="47">
        <v>0.32918670170263542</v>
      </c>
      <c r="BI43" s="47">
        <v>0.3330082317007852</v>
      </c>
      <c r="BJ43" s="47">
        <v>0.35734679027210126</v>
      </c>
      <c r="BK43" s="47">
        <v>0.33075296812192995</v>
      </c>
      <c r="BL43" s="47">
        <v>0.26262289605885897</v>
      </c>
      <c r="BM43" s="47">
        <v>0.26286898633400374</v>
      </c>
      <c r="BN43" s="47">
        <v>0.31380208777251622</v>
      </c>
      <c r="BO43" s="47">
        <v>0.39589887944060304</v>
      </c>
      <c r="BP43" s="47">
        <v>0.25373695435296234</v>
      </c>
      <c r="BQ43" s="47">
        <v>0.23798180814699205</v>
      </c>
      <c r="BR43" s="47">
        <v>0.29371378802170689</v>
      </c>
      <c r="BS43" s="47">
        <v>0.31735243271228758</v>
      </c>
      <c r="BT43" s="47">
        <v>0.34124211804735211</v>
      </c>
      <c r="BU43" s="47">
        <v>0.34220646430502477</v>
      </c>
      <c r="BV43" s="47">
        <v>0.3601699745218358</v>
      </c>
      <c r="BW43" s="47">
        <v>0.42636724802080894</v>
      </c>
      <c r="BX43" s="47">
        <v>0.48284198838599857</v>
      </c>
      <c r="BY43" s="47">
        <v>0.50524919051829886</v>
      </c>
      <c r="BZ43" s="47">
        <v>0.45859350895457685</v>
      </c>
      <c r="CA43" s="47">
        <v>0.50805111026378291</v>
      </c>
      <c r="CB43" s="47">
        <v>0.55766394583665668</v>
      </c>
      <c r="CC43" s="47">
        <v>0.63590914444414803</v>
      </c>
      <c r="CD43" s="47">
        <v>0.60415403869517692</v>
      </c>
      <c r="CE43" s="47">
        <v>0.63714117164567963</v>
      </c>
      <c r="CF43" s="47">
        <v>0.65009696269844941</v>
      </c>
      <c r="CG43" s="47">
        <v>0.68780601757399595</v>
      </c>
      <c r="CH43" s="47">
        <v>0.69860070589224221</v>
      </c>
      <c r="CI43" s="47">
        <v>0.72205831632407991</v>
      </c>
      <c r="CJ43" s="47">
        <v>0.71455719595781741</v>
      </c>
      <c r="CK43" s="47">
        <v>0.7018883343730199</v>
      </c>
      <c r="CL43" s="47">
        <v>0.70605186559441213</v>
      </c>
      <c r="CM43" s="47">
        <v>0.68377379805199512</v>
      </c>
      <c r="CN43" s="47">
        <v>0.73096985461364916</v>
      </c>
      <c r="CO43" s="47">
        <v>0.6995602724477038</v>
      </c>
      <c r="CP43" s="47">
        <v>0.68653781791460722</v>
      </c>
      <c r="CQ43" s="47">
        <v>0.69790504618026095</v>
      </c>
      <c r="CR43" s="47">
        <v>0.66610647285103741</v>
      </c>
      <c r="CS43" s="47">
        <v>0.61305625868839564</v>
      </c>
      <c r="CT43" s="47">
        <v>0.52760361955934998</v>
      </c>
      <c r="CU43" s="47">
        <v>0.43968427670636301</v>
      </c>
      <c r="CV43" s="47">
        <v>0.40477184626187446</v>
      </c>
      <c r="CW43" s="47">
        <v>0.41806365496721026</v>
      </c>
      <c r="CX43" s="47">
        <v>0.45035219128021586</v>
      </c>
      <c r="CY43" s="47">
        <v>0.45707775721954047</v>
      </c>
      <c r="CZ43" s="47">
        <v>0.2865912918753355</v>
      </c>
    </row>
    <row r="44" spans="1:104" x14ac:dyDescent="0.2">
      <c r="A44" s="45" t="s">
        <v>26</v>
      </c>
      <c r="B44" s="46">
        <f t="shared" si="23"/>
        <v>-15.378718314600819</v>
      </c>
      <c r="C44" s="46">
        <f t="shared" si="24"/>
        <v>-1.7629701799517783</v>
      </c>
      <c r="D44" s="48">
        <f t="shared" si="25"/>
        <v>17.995291448048739</v>
      </c>
      <c r="E44" s="49">
        <v>5.0000752962908998E-2</v>
      </c>
      <c r="F44" s="47">
        <v>0.45549044215383189</v>
      </c>
      <c r="G44" s="47">
        <v>0.45183098553168816</v>
      </c>
      <c r="H44" s="47">
        <v>0.46000405013152945</v>
      </c>
      <c r="I44" s="47">
        <v>0.47312014395334967</v>
      </c>
      <c r="J44" s="47">
        <v>0.45681005444792339</v>
      </c>
      <c r="K44" s="47">
        <v>0.42271090142868517</v>
      </c>
      <c r="L44" s="47">
        <v>0.40768674035565855</v>
      </c>
      <c r="M44" s="47">
        <v>0.41705812905059247</v>
      </c>
      <c r="N44" s="47">
        <v>0.44502906432507183</v>
      </c>
      <c r="O44" s="47">
        <v>0.4764490110586137</v>
      </c>
      <c r="P44" s="47">
        <v>0.50472554141985648</v>
      </c>
      <c r="Q44" s="47">
        <v>0.50168186454978281</v>
      </c>
      <c r="R44" s="47">
        <v>0.47734997836174442</v>
      </c>
      <c r="S44" s="47">
        <v>0.40833457871152978</v>
      </c>
      <c r="T44" s="47">
        <v>0.38037146419220108</v>
      </c>
      <c r="U44" s="47">
        <v>0.47556698443193729</v>
      </c>
      <c r="V44" s="47">
        <v>0.54193697060832058</v>
      </c>
      <c r="W44" s="47">
        <v>0.60927762529984009</v>
      </c>
      <c r="X44" s="47">
        <v>0.63860829111488482</v>
      </c>
      <c r="Y44" s="47">
        <v>0.67781868462142547</v>
      </c>
      <c r="Z44" s="47">
        <v>0.68552190874816776</v>
      </c>
      <c r="AA44" s="47">
        <v>0.67566287317170481</v>
      </c>
      <c r="AB44" s="47">
        <v>0.65187986305311096</v>
      </c>
      <c r="AC44" s="47">
        <v>0.68145496210406875</v>
      </c>
      <c r="AD44" s="47">
        <v>0.79805432082395567</v>
      </c>
      <c r="AE44" s="47">
        <v>0.83380721936593427</v>
      </c>
      <c r="AF44" s="47">
        <v>0.77453644095550889</v>
      </c>
      <c r="AG44" s="47">
        <v>0.59644089384507426</v>
      </c>
      <c r="AH44" s="47">
        <v>0.58564082574911591</v>
      </c>
      <c r="AI44" s="47">
        <v>0.60647843078370833</v>
      </c>
      <c r="AJ44" s="47">
        <v>0.64245278915355197</v>
      </c>
      <c r="AK44" s="47">
        <v>0.64989476889351327</v>
      </c>
      <c r="AL44" s="47">
        <v>0.66648399544613723</v>
      </c>
      <c r="AM44" s="47">
        <v>0.69380972366292148</v>
      </c>
      <c r="AN44" s="47">
        <v>0.74089617108022321</v>
      </c>
      <c r="AO44" s="47">
        <v>0.76365431335263823</v>
      </c>
      <c r="AP44" s="47">
        <v>0.80754156516727504</v>
      </c>
      <c r="AQ44" s="47">
        <v>0.79950573090343435</v>
      </c>
      <c r="AR44" s="47">
        <v>0.7222205645971812</v>
      </c>
      <c r="AS44" s="47">
        <v>0.54222168671171411</v>
      </c>
      <c r="AT44" s="47">
        <v>0.47183400294685807</v>
      </c>
      <c r="AU44" s="47">
        <v>0.43228181889577877</v>
      </c>
      <c r="AV44" s="47">
        <v>0.36637673996557052</v>
      </c>
      <c r="AW44" s="47">
        <v>0.29148288416753432</v>
      </c>
      <c r="AX44" s="47">
        <v>0.23340861615078085</v>
      </c>
      <c r="AY44" s="47">
        <v>0.20077687298189734</v>
      </c>
      <c r="AZ44" s="47">
        <v>0.15653866334329344</v>
      </c>
      <c r="BA44" s="47">
        <v>0.12315816658359917</v>
      </c>
      <c r="BB44" s="47">
        <v>9.8718584070883256E-2</v>
      </c>
      <c r="BC44" s="47">
        <v>9.0630155500006762E-2</v>
      </c>
      <c r="BD44" s="47">
        <v>0.12119279153440413</v>
      </c>
      <c r="BE44" s="47">
        <v>0.27403781415866102</v>
      </c>
      <c r="BF44" s="47">
        <v>0.26536183143823805</v>
      </c>
      <c r="BG44" s="47">
        <v>0.24100843700159136</v>
      </c>
      <c r="BH44" s="47">
        <v>0.22758131849955798</v>
      </c>
      <c r="BI44" s="47">
        <v>0.21883889218038177</v>
      </c>
      <c r="BJ44" s="47">
        <v>0.22342747929691886</v>
      </c>
      <c r="BK44" s="47">
        <v>0.24900841212053748</v>
      </c>
      <c r="BL44" s="47">
        <v>0.29317634197791986</v>
      </c>
      <c r="BM44" s="47">
        <v>0.30473347348026891</v>
      </c>
      <c r="BN44" s="47">
        <v>0.33575679825304483</v>
      </c>
      <c r="BO44" s="47">
        <v>0.36076705160098177</v>
      </c>
      <c r="BP44" s="47">
        <v>0.37891230474813414</v>
      </c>
      <c r="BQ44" s="47">
        <v>0.40053757540135526</v>
      </c>
      <c r="BR44" s="47">
        <v>0.37619367938758286</v>
      </c>
      <c r="BS44" s="47">
        <v>0.36346776952230248</v>
      </c>
      <c r="BT44" s="47">
        <v>0.34947319396031967</v>
      </c>
      <c r="BU44" s="47">
        <v>0.35098883347957682</v>
      </c>
      <c r="BV44" s="47">
        <v>0.36959197044842096</v>
      </c>
      <c r="BW44" s="47">
        <v>0.41423950348001531</v>
      </c>
      <c r="BX44" s="47">
        <v>0.42789399495831737</v>
      </c>
      <c r="BY44" s="47">
        <v>0.46573194933438955</v>
      </c>
      <c r="BZ44" s="47">
        <v>0.50089086964590435</v>
      </c>
      <c r="CA44" s="47">
        <v>0.59020847430917112</v>
      </c>
      <c r="CB44" s="47">
        <v>0.57578717403929069</v>
      </c>
      <c r="CC44" s="47">
        <v>0.52662226695133507</v>
      </c>
      <c r="CD44" s="47">
        <v>0.51338750287245294</v>
      </c>
      <c r="CE44" s="47">
        <v>0.55994269478952952</v>
      </c>
      <c r="CF44" s="47">
        <v>0.59448132348416993</v>
      </c>
      <c r="CG44" s="47">
        <v>0.60025133147943122</v>
      </c>
      <c r="CH44" s="47">
        <v>0.56594693490337789</v>
      </c>
      <c r="CI44" s="47">
        <v>0.55018333913237838</v>
      </c>
      <c r="CJ44" s="47">
        <v>0.54285790011689194</v>
      </c>
      <c r="CK44" s="47">
        <v>0.53854818779956326</v>
      </c>
      <c r="CL44" s="47">
        <v>0.53584362403738894</v>
      </c>
      <c r="CM44" s="47">
        <v>0.48158242352359304</v>
      </c>
      <c r="CN44" s="47">
        <v>0.55956562080736039</v>
      </c>
      <c r="CO44" s="47">
        <v>0.56687502660466571</v>
      </c>
      <c r="CP44" s="47">
        <v>0.59096541312406869</v>
      </c>
      <c r="CQ44" s="47">
        <v>0.59413864846506736</v>
      </c>
      <c r="CR44" s="47">
        <v>0.60408774959673683</v>
      </c>
      <c r="CS44" s="47">
        <v>0.61722608699542247</v>
      </c>
      <c r="CT44" s="47">
        <v>0.60561533412357216</v>
      </c>
      <c r="CU44" s="47">
        <v>0.61603304958663885</v>
      </c>
      <c r="CV44" s="47">
        <v>0.61926437088794062</v>
      </c>
      <c r="CW44" s="47">
        <v>0.64023439532682014</v>
      </c>
      <c r="CX44" s="47">
        <v>0.60035521362394118</v>
      </c>
      <c r="CY44" s="47">
        <v>0.5840557513711464</v>
      </c>
      <c r="CZ44" s="47">
        <v>0.57978730996657479</v>
      </c>
    </row>
    <row r="45" spans="1:104" x14ac:dyDescent="0.2">
      <c r="A45" s="45" t="s">
        <v>29</v>
      </c>
      <c r="B45" s="46">
        <f t="shared" si="23"/>
        <v>-27.304578269657643</v>
      </c>
      <c r="C45" s="46">
        <f t="shared" si="24"/>
        <v>-1.1003153971598179</v>
      </c>
      <c r="D45" s="48">
        <f t="shared" si="25"/>
        <v>14.223192821599168</v>
      </c>
      <c r="E45" s="49">
        <v>8.7554527063996804E-3</v>
      </c>
      <c r="F45" s="47">
        <v>0.30929650990134328</v>
      </c>
      <c r="G45" s="47">
        <v>0.34816785508063858</v>
      </c>
      <c r="H45" s="47">
        <v>0.319960048340652</v>
      </c>
      <c r="I45" s="47">
        <v>0.32029966387294145</v>
      </c>
      <c r="J45" s="47">
        <v>0.29858332783697877</v>
      </c>
      <c r="K45" s="47">
        <v>0.28903729574261555</v>
      </c>
      <c r="L45" s="47">
        <v>0.28988789302483309</v>
      </c>
      <c r="M45" s="47">
        <v>0.28142788651765016</v>
      </c>
      <c r="N45" s="47">
        <v>0.28238222933253632</v>
      </c>
      <c r="O45" s="47">
        <v>0.29040136614356787</v>
      </c>
      <c r="P45" s="47">
        <v>0.31676426789384093</v>
      </c>
      <c r="Q45" s="47">
        <v>0.32051330485620921</v>
      </c>
      <c r="R45" s="47">
        <v>0.3534501855696866</v>
      </c>
      <c r="S45" s="47">
        <v>0.37033996035991407</v>
      </c>
      <c r="T45" s="47">
        <v>0.47041019151304642</v>
      </c>
      <c r="U45" s="47">
        <v>0.53465504972754663</v>
      </c>
      <c r="V45" s="47">
        <v>0.54494584459551754</v>
      </c>
      <c r="W45" s="47">
        <v>0.5823422925979197</v>
      </c>
      <c r="X45" s="47">
        <v>0.61381895479564275</v>
      </c>
      <c r="Y45" s="47">
        <v>0.63254326124614479</v>
      </c>
      <c r="Z45" s="47">
        <v>0.65660621954456622</v>
      </c>
      <c r="AA45" s="47">
        <v>0.67195429944472307</v>
      </c>
      <c r="AB45" s="47">
        <v>0.68781291619409679</v>
      </c>
      <c r="AC45" s="47">
        <v>0.71871998889157851</v>
      </c>
      <c r="AD45" s="47">
        <v>0.78528705465292936</v>
      </c>
      <c r="AE45" s="47">
        <v>0.81873653450393402</v>
      </c>
      <c r="AF45" s="47">
        <v>0.82976267360088163</v>
      </c>
      <c r="AG45" s="47">
        <v>0.80878676437243402</v>
      </c>
      <c r="AH45" s="47">
        <v>0.80925812630059424</v>
      </c>
      <c r="AI45" s="47">
        <v>0.82899943154462519</v>
      </c>
      <c r="AJ45" s="47">
        <v>0.84514154744478165</v>
      </c>
      <c r="AK45" s="47">
        <v>0.80414316483238091</v>
      </c>
      <c r="AL45" s="47">
        <v>0.81061516650085541</v>
      </c>
      <c r="AM45" s="47">
        <v>0.72579181519998814</v>
      </c>
      <c r="AN45" s="47">
        <v>0.6909191219747437</v>
      </c>
      <c r="AO45" s="47">
        <v>0.60459452313217321</v>
      </c>
      <c r="AP45" s="47">
        <v>0.57508044980707895</v>
      </c>
      <c r="AQ45" s="47">
        <v>0.57899907844759413</v>
      </c>
      <c r="AR45" s="47">
        <v>0.54596085004193895</v>
      </c>
      <c r="AS45" s="47">
        <v>0.51249612888953755</v>
      </c>
      <c r="AT45" s="47">
        <v>0.44670960247259728</v>
      </c>
      <c r="AU45" s="47">
        <v>0.43571048721066652</v>
      </c>
      <c r="AV45" s="47">
        <v>0.4043392941862427</v>
      </c>
      <c r="AW45" s="47">
        <v>0.40012949261773084</v>
      </c>
      <c r="AX45" s="47">
        <v>0.37529489535497074</v>
      </c>
      <c r="AY45" s="47">
        <v>0.38890808037111546</v>
      </c>
      <c r="AZ45" s="47">
        <v>0.37811874567251924</v>
      </c>
      <c r="BA45" s="47">
        <v>0.41571315797474306</v>
      </c>
      <c r="BB45" s="47">
        <v>0.40450699023557779</v>
      </c>
      <c r="BC45" s="47">
        <v>0.37348352190270678</v>
      </c>
      <c r="BD45" s="47">
        <v>0.38385060617072431</v>
      </c>
      <c r="BE45" s="47">
        <v>0.36436791933437046</v>
      </c>
      <c r="BF45" s="47">
        <v>0.35711320657409001</v>
      </c>
      <c r="BG45" s="47">
        <v>0.36448853628075056</v>
      </c>
      <c r="BH45" s="47">
        <v>0.38257610413438298</v>
      </c>
      <c r="BI45" s="47">
        <v>0.40239686991902751</v>
      </c>
      <c r="BJ45" s="47">
        <v>0.44300017370176148</v>
      </c>
      <c r="BK45" s="47">
        <v>0.46839435568774362</v>
      </c>
      <c r="BL45" s="47">
        <v>0.45994650656815339</v>
      </c>
      <c r="BM45" s="47">
        <v>0.45848545743029984</v>
      </c>
      <c r="BN45" s="47">
        <v>0.49393228430529668</v>
      </c>
      <c r="BO45" s="47">
        <v>0.56730501713082815</v>
      </c>
      <c r="BP45" s="47">
        <v>0.65964917359551978</v>
      </c>
      <c r="BQ45" s="47">
        <v>0.65763576861094708</v>
      </c>
      <c r="BR45" s="47">
        <v>0.65265682896556532</v>
      </c>
      <c r="BS45" s="47">
        <v>0.58960586324148201</v>
      </c>
      <c r="BT45" s="47">
        <v>0.55365063630762645</v>
      </c>
      <c r="BU45" s="47">
        <v>0.56330587457322234</v>
      </c>
      <c r="BV45" s="47">
        <v>0.51110940670434457</v>
      </c>
      <c r="BW45" s="47">
        <v>0.50279276555159813</v>
      </c>
      <c r="BX45" s="47">
        <v>0.49079968765301352</v>
      </c>
      <c r="BY45" s="47">
        <v>0.53772913958703217</v>
      </c>
      <c r="BZ45" s="47">
        <v>0.50577781384526466</v>
      </c>
      <c r="CA45" s="47">
        <v>0.51614327442412977</v>
      </c>
      <c r="CB45" s="47">
        <v>0.50845645100503734</v>
      </c>
      <c r="CC45" s="47">
        <v>0.52971801840694799</v>
      </c>
      <c r="CD45" s="47">
        <v>0.54125978013770382</v>
      </c>
      <c r="CE45" s="47">
        <v>0.6063551994281291</v>
      </c>
      <c r="CF45" s="47">
        <v>0.61141013764029439</v>
      </c>
      <c r="CG45" s="47">
        <v>0.61563590364107101</v>
      </c>
      <c r="CH45" s="47">
        <v>0.60319303973549432</v>
      </c>
      <c r="CI45" s="47">
        <v>0.5656051224220433</v>
      </c>
      <c r="CJ45" s="47">
        <v>0.52135975876769969</v>
      </c>
      <c r="CK45" s="47">
        <v>0.45729129523340606</v>
      </c>
      <c r="CL45" s="47">
        <v>0.46448679497366047</v>
      </c>
      <c r="CM45" s="47">
        <v>0.43608628281216022</v>
      </c>
      <c r="CN45" s="47">
        <v>0.5034063745738302</v>
      </c>
      <c r="CO45" s="47">
        <v>0.43939347947335411</v>
      </c>
      <c r="CP45" s="47">
        <v>0.43921409440765941</v>
      </c>
      <c r="CQ45" s="47">
        <v>0.35254621617710447</v>
      </c>
      <c r="CR45" s="47">
        <v>0.34043458362045048</v>
      </c>
      <c r="CS45" s="47">
        <v>0.31920335760020968</v>
      </c>
      <c r="CT45" s="47">
        <v>0.37004143339772377</v>
      </c>
      <c r="CU45" s="47">
        <v>0.37317743681338666</v>
      </c>
      <c r="CV45" s="47">
        <v>0.38107508590288414</v>
      </c>
      <c r="CW45" s="47">
        <v>0.3712202990606599</v>
      </c>
      <c r="CX45" s="47">
        <v>0.39473606043919207</v>
      </c>
      <c r="CY45" s="47">
        <v>0.36630424259255212</v>
      </c>
      <c r="CZ45" s="47">
        <v>0.3298857055677763</v>
      </c>
    </row>
    <row r="46" spans="1:104" x14ac:dyDescent="0.2">
      <c r="A46" s="45" t="s">
        <v>32</v>
      </c>
      <c r="B46" s="46">
        <f t="shared" si="23"/>
        <v>-62.003792853953769</v>
      </c>
      <c r="C46" s="46">
        <f t="shared" si="24"/>
        <v>-2.2662999427954205</v>
      </c>
      <c r="D46" s="48">
        <f t="shared" si="25"/>
        <v>13.777997985741875</v>
      </c>
      <c r="E46" s="49">
        <v>1.6969776068830801E-2</v>
      </c>
      <c r="F46" s="47">
        <v>0.11322437831309613</v>
      </c>
      <c r="G46" s="47">
        <v>0.11327180254921257</v>
      </c>
      <c r="H46" s="47">
        <v>0.11216941377658929</v>
      </c>
      <c r="I46" s="47">
        <v>0.13588737774105034</v>
      </c>
      <c r="J46" s="47">
        <v>0.14109128004914034</v>
      </c>
      <c r="K46" s="47">
        <v>0.15384665214059129</v>
      </c>
      <c r="L46" s="47">
        <v>0.20650992172386543</v>
      </c>
      <c r="M46" s="47">
        <v>0.24071517188293856</v>
      </c>
      <c r="N46" s="47">
        <v>0.22442498514640183</v>
      </c>
      <c r="O46" s="47">
        <v>0.1810700742510718</v>
      </c>
      <c r="P46" s="47">
        <v>0.18332427949845151</v>
      </c>
      <c r="Q46" s="47">
        <v>0.22292740859148027</v>
      </c>
      <c r="R46" s="47">
        <v>0.30418053348478669</v>
      </c>
      <c r="S46" s="47">
        <v>0.36226580272824077</v>
      </c>
      <c r="T46" s="47">
        <v>0.44080337881389353</v>
      </c>
      <c r="U46" s="47">
        <v>0.54121542497703901</v>
      </c>
      <c r="V46" s="47">
        <v>0.65884734090480945</v>
      </c>
      <c r="W46" s="47">
        <v>0.73326230685263383</v>
      </c>
      <c r="X46" s="47">
        <v>0.73419389926086587</v>
      </c>
      <c r="Y46" s="47">
        <v>0.69123455885161722</v>
      </c>
      <c r="Z46" s="47">
        <v>0.64791065479361842</v>
      </c>
      <c r="AA46" s="47">
        <v>0.61593078935188383</v>
      </c>
      <c r="AB46" s="47">
        <v>0.54348621747083914</v>
      </c>
      <c r="AC46" s="47">
        <v>0.51272849010994892</v>
      </c>
      <c r="AD46" s="47">
        <v>0.49525430737674775</v>
      </c>
      <c r="AE46" s="47">
        <v>0.49603232315407036</v>
      </c>
      <c r="AF46" s="47">
        <v>0.54120752447280562</v>
      </c>
      <c r="AG46" s="47">
        <v>0.61861379963133933</v>
      </c>
      <c r="AH46" s="47">
        <v>0.63389611869686069</v>
      </c>
      <c r="AI46" s="47">
        <v>0.59220509674755051</v>
      </c>
      <c r="AJ46" s="47">
        <v>0.58142680063376262</v>
      </c>
      <c r="AK46" s="47">
        <v>0.5851959532054678</v>
      </c>
      <c r="AL46" s="47">
        <v>0.64217612860650863</v>
      </c>
      <c r="AM46" s="47">
        <v>0.69732556629572107</v>
      </c>
      <c r="AN46" s="47">
        <v>0.73992444210031072</v>
      </c>
      <c r="AO46" s="47">
        <v>0.7881797385382473</v>
      </c>
      <c r="AP46" s="47">
        <v>0.81496232345160602</v>
      </c>
      <c r="AQ46" s="47">
        <v>0.88078195280467841</v>
      </c>
      <c r="AR46" s="47">
        <v>0.83565382051126902</v>
      </c>
      <c r="AS46" s="47">
        <v>0.7973180761618508</v>
      </c>
      <c r="AT46" s="47">
        <v>0.76607194509109566</v>
      </c>
      <c r="AU46" s="47">
        <v>0.75997291508214126</v>
      </c>
      <c r="AV46" s="47">
        <v>0.75029624979568288</v>
      </c>
      <c r="AW46" s="47">
        <v>0.74936277272291463</v>
      </c>
      <c r="AX46" s="47">
        <v>0.71033648959558715</v>
      </c>
      <c r="AY46" s="47">
        <v>0.68456458393692521</v>
      </c>
      <c r="AZ46" s="47">
        <v>0.68320708242386952</v>
      </c>
      <c r="BA46" s="47">
        <v>0.67063116069744944</v>
      </c>
      <c r="BB46" s="47">
        <v>0.68038244059270214</v>
      </c>
      <c r="BC46" s="47">
        <v>0.61000573488495224</v>
      </c>
      <c r="BD46" s="47">
        <v>0.5821426244298552</v>
      </c>
      <c r="BE46" s="47">
        <v>0.53517078884555747</v>
      </c>
      <c r="BF46" s="47">
        <v>0.52112512502694919</v>
      </c>
      <c r="BG46" s="47">
        <v>0.55958400825694821</v>
      </c>
      <c r="BH46" s="47">
        <v>0.57850100725949838</v>
      </c>
      <c r="BI46" s="47">
        <v>0.57888950908185988</v>
      </c>
      <c r="BJ46" s="47">
        <v>0.54901234093070128</v>
      </c>
      <c r="BK46" s="47">
        <v>0.51639924844425267</v>
      </c>
      <c r="BL46" s="47">
        <v>0.48365695440230849</v>
      </c>
      <c r="BM46" s="47">
        <v>0.42463468089663114</v>
      </c>
      <c r="BN46" s="47">
        <v>0.38031983430517952</v>
      </c>
      <c r="BO46" s="47">
        <v>0.37178446308302665</v>
      </c>
      <c r="BP46" s="47">
        <v>0.39612161933882395</v>
      </c>
      <c r="BQ46" s="47">
        <v>0.42089506629217632</v>
      </c>
      <c r="BR46" s="47">
        <v>0.43359284614623161</v>
      </c>
      <c r="BS46" s="47">
        <v>0.46144888337169676</v>
      </c>
      <c r="BT46" s="47">
        <v>0.46243196595776193</v>
      </c>
      <c r="BU46" s="47">
        <v>0.42747736734662806</v>
      </c>
      <c r="BV46" s="47">
        <v>0.41845414606801129</v>
      </c>
      <c r="BW46" s="47">
        <v>0.40065896297450099</v>
      </c>
      <c r="BX46" s="47">
        <v>0.39390154428174495</v>
      </c>
      <c r="BY46" s="47">
        <v>0.39834826055574857</v>
      </c>
      <c r="BZ46" s="47">
        <v>0.44675474476127697</v>
      </c>
      <c r="CA46" s="47">
        <v>0.48155669942216084</v>
      </c>
      <c r="CB46" s="47">
        <v>0.50599882006574615</v>
      </c>
      <c r="CC46" s="47">
        <v>0.467710075669801</v>
      </c>
      <c r="CD46" s="47">
        <v>0.44220387984520748</v>
      </c>
      <c r="CE46" s="47">
        <v>0.40351015004287089</v>
      </c>
      <c r="CF46" s="47">
        <v>0.37625151268557544</v>
      </c>
      <c r="CG46" s="47">
        <v>0.35089685862815939</v>
      </c>
      <c r="CH46" s="47">
        <v>0.35434547399583927</v>
      </c>
      <c r="CI46" s="47">
        <v>0.37642676804239611</v>
      </c>
      <c r="CJ46" s="47">
        <v>0.43629528888867597</v>
      </c>
      <c r="CK46" s="47">
        <v>0.52334407068297084</v>
      </c>
      <c r="CL46" s="47">
        <v>0.56009655915816325</v>
      </c>
      <c r="CM46" s="47">
        <v>0.5559530658455909</v>
      </c>
      <c r="CN46" s="47">
        <v>0.54344633643732498</v>
      </c>
      <c r="CO46" s="47">
        <v>0.5778203838032302</v>
      </c>
      <c r="CP46" s="47">
        <v>0.5542783865884755</v>
      </c>
      <c r="CQ46" s="47">
        <v>0.54504503476232091</v>
      </c>
      <c r="CR46" s="47">
        <v>0.51159381280304983</v>
      </c>
      <c r="CS46" s="47">
        <v>0.4896393962237689</v>
      </c>
      <c r="CT46" s="47">
        <v>0.49811930344623123</v>
      </c>
      <c r="CU46" s="47">
        <v>0.50536062719481623</v>
      </c>
      <c r="CV46" s="47">
        <v>0.50416387609963853</v>
      </c>
      <c r="CW46" s="47">
        <v>0.45324258724819622</v>
      </c>
      <c r="CX46" s="47">
        <v>0.40708444744560734</v>
      </c>
      <c r="CY46" s="47">
        <v>0.34159631475899505</v>
      </c>
      <c r="CZ46" s="47">
        <v>0.30213129307086423</v>
      </c>
    </row>
    <row r="47" spans="1:104" x14ac:dyDescent="0.2">
      <c r="A47" s="45" t="s">
        <v>35</v>
      </c>
      <c r="B47" s="46">
        <f t="shared" si="23"/>
        <v>-2.9707052271491783</v>
      </c>
      <c r="C47" s="46">
        <f t="shared" si="24"/>
        <v>1.2084675687862201</v>
      </c>
      <c r="D47" s="48">
        <f t="shared" si="25"/>
        <v>11.935914028875764</v>
      </c>
      <c r="E47" s="49">
        <v>1.3217008930140099E-2</v>
      </c>
      <c r="F47" s="47">
        <v>0.36871466261115937</v>
      </c>
      <c r="G47" s="47">
        <v>0.36630916323238599</v>
      </c>
      <c r="H47" s="47">
        <v>0.36367116307286645</v>
      </c>
      <c r="I47" s="47">
        <v>0.35662998692329717</v>
      </c>
      <c r="J47" s="47">
        <v>0.34679669982502837</v>
      </c>
      <c r="K47" s="47">
        <v>0.31715786789683087</v>
      </c>
      <c r="L47" s="47">
        <v>0.27113134760948815</v>
      </c>
      <c r="M47" s="47">
        <v>0.25973160676715634</v>
      </c>
      <c r="N47" s="47">
        <v>0.25662554957908212</v>
      </c>
      <c r="O47" s="47">
        <v>0.30963971306686155</v>
      </c>
      <c r="P47" s="47">
        <v>0.32309401096437956</v>
      </c>
      <c r="Q47" s="47">
        <v>0.33289853020083165</v>
      </c>
      <c r="R47" s="47">
        <v>0.34366576097435703</v>
      </c>
      <c r="S47" s="47">
        <v>0.33435332996700573</v>
      </c>
      <c r="T47" s="47">
        <v>0.29487267907035897</v>
      </c>
      <c r="U47" s="47">
        <v>0.31191923332808852</v>
      </c>
      <c r="V47" s="47">
        <v>0.34441118270766946</v>
      </c>
      <c r="W47" s="47">
        <v>0.39842171488265116</v>
      </c>
      <c r="X47" s="47">
        <v>0.43896093003708819</v>
      </c>
      <c r="Y47" s="47">
        <v>0.46763988653401456</v>
      </c>
      <c r="Z47" s="47">
        <v>0.48317939302360413</v>
      </c>
      <c r="AA47" s="47">
        <v>0.51785418913700165</v>
      </c>
      <c r="AB47" s="47">
        <v>0.54399303124617615</v>
      </c>
      <c r="AC47" s="47">
        <v>0.54477372277336311</v>
      </c>
      <c r="AD47" s="47">
        <v>0.57361278210195965</v>
      </c>
      <c r="AE47" s="47">
        <v>0.58594286909081628</v>
      </c>
      <c r="AF47" s="47">
        <v>0.62838271710963067</v>
      </c>
      <c r="AG47" s="47">
        <v>0.63893545827177656</v>
      </c>
      <c r="AH47" s="47">
        <v>0.67020511864346011</v>
      </c>
      <c r="AI47" s="47">
        <v>0.71510533161205059</v>
      </c>
      <c r="AJ47" s="47">
        <v>0.74073252665906808</v>
      </c>
      <c r="AK47" s="47">
        <v>0.74757629977504825</v>
      </c>
      <c r="AL47" s="47">
        <v>0.74890059461548919</v>
      </c>
      <c r="AM47" s="47">
        <v>0.74095926184614436</v>
      </c>
      <c r="AN47" s="47">
        <v>0.71940213665956032</v>
      </c>
      <c r="AO47" s="47">
        <v>0.72326635567728592</v>
      </c>
      <c r="AP47" s="47">
        <v>0.73270520832920794</v>
      </c>
      <c r="AQ47" s="47">
        <v>0.72006427550490959</v>
      </c>
      <c r="AR47" s="47">
        <v>0.66406535603608685</v>
      </c>
      <c r="AS47" s="47">
        <v>0.39609156858369654</v>
      </c>
      <c r="AT47" s="47">
        <v>0.37793480752436254</v>
      </c>
      <c r="AU47" s="47">
        <v>0.34007663815868311</v>
      </c>
      <c r="AV47" s="47">
        <v>0.32051102110073826</v>
      </c>
      <c r="AW47" s="47">
        <v>0.30824058732713722</v>
      </c>
      <c r="AX47" s="47">
        <v>0.32450732445970559</v>
      </c>
      <c r="AY47" s="47">
        <v>0.33662365156317992</v>
      </c>
      <c r="AZ47" s="47">
        <v>0.35019993077787542</v>
      </c>
      <c r="BA47" s="47">
        <v>0.35441670111176732</v>
      </c>
      <c r="BB47" s="47">
        <v>0.36036726266657404</v>
      </c>
      <c r="BC47" s="47">
        <v>0.39304918037705794</v>
      </c>
      <c r="BD47" s="47">
        <v>0.49454446551629933</v>
      </c>
      <c r="BE47" s="47">
        <v>0.5596322755624088</v>
      </c>
      <c r="BF47" s="47">
        <v>0.55123710349150834</v>
      </c>
      <c r="BG47" s="47">
        <v>0.55091431553511583</v>
      </c>
      <c r="BH47" s="47">
        <v>0.53887496383273825</v>
      </c>
      <c r="BI47" s="47">
        <v>0.53026591026205683</v>
      </c>
      <c r="BJ47" s="47">
        <v>0.52697364651840528</v>
      </c>
      <c r="BK47" s="47">
        <v>0.52653088942671489</v>
      </c>
      <c r="BL47" s="47">
        <v>0.52162337050867258</v>
      </c>
      <c r="BM47" s="47">
        <v>0.50049212937383813</v>
      </c>
      <c r="BN47" s="47">
        <v>0.47337829324464215</v>
      </c>
      <c r="BO47" s="47">
        <v>0.44745667764238983</v>
      </c>
      <c r="BP47" s="47">
        <v>0.43726642579206182</v>
      </c>
      <c r="BQ47" s="47">
        <v>0.4305713332451277</v>
      </c>
      <c r="BR47" s="47">
        <v>0.45208910714211187</v>
      </c>
      <c r="BS47" s="47">
        <v>0.46876344640458573</v>
      </c>
      <c r="BT47" s="47">
        <v>0.4847356279837266</v>
      </c>
      <c r="BU47" s="47">
        <v>0.51011206770286577</v>
      </c>
      <c r="BV47" s="47">
        <v>0.518796165681776</v>
      </c>
      <c r="BW47" s="47">
        <v>0.53421912862341936</v>
      </c>
      <c r="BX47" s="47">
        <v>0.55591916150745724</v>
      </c>
      <c r="BY47" s="47">
        <v>0.55022181217732102</v>
      </c>
      <c r="BZ47" s="47">
        <v>0.56739732078198579</v>
      </c>
      <c r="CA47" s="47">
        <v>0.58033005850099784</v>
      </c>
      <c r="CB47" s="47">
        <v>0.57310858771316786</v>
      </c>
      <c r="CC47" s="47">
        <v>0.58865626140738925</v>
      </c>
      <c r="CD47" s="47">
        <v>0.61791811264060947</v>
      </c>
      <c r="CE47" s="47">
        <v>0.63404221617752177</v>
      </c>
      <c r="CF47" s="47">
        <v>0.6376834260675881</v>
      </c>
      <c r="CG47" s="47">
        <v>0.63325247298307374</v>
      </c>
      <c r="CH47" s="47">
        <v>0.64124103620565498</v>
      </c>
      <c r="CI47" s="47">
        <v>0.63638498586295755</v>
      </c>
      <c r="CJ47" s="47">
        <v>0.63115189210744504</v>
      </c>
      <c r="CK47" s="47">
        <v>0.62732751625490979</v>
      </c>
      <c r="CL47" s="47">
        <v>0.61554799599440557</v>
      </c>
      <c r="CM47" s="47">
        <v>0.60448750959243569</v>
      </c>
      <c r="CN47" s="47">
        <v>0.5913325151690596</v>
      </c>
      <c r="CO47" s="47">
        <v>0.57072886463641093</v>
      </c>
      <c r="CP47" s="47">
        <v>0.53891545231276994</v>
      </c>
      <c r="CQ47" s="47">
        <v>0.51386890681999553</v>
      </c>
      <c r="CR47" s="47">
        <v>0.4980758303487603</v>
      </c>
      <c r="CS47" s="47">
        <v>0.47942509056800597</v>
      </c>
      <c r="CT47" s="47">
        <v>0.47224751857203734</v>
      </c>
      <c r="CU47" s="47">
        <v>0.47197025549382371</v>
      </c>
      <c r="CV47" s="47">
        <v>0.46801272086991502</v>
      </c>
      <c r="CW47" s="47">
        <v>0.47014737648538918</v>
      </c>
      <c r="CX47" s="47">
        <v>0.46317468089372243</v>
      </c>
      <c r="CY47" s="47">
        <v>0.47422568096717743</v>
      </c>
      <c r="CZ47" s="47">
        <v>0.47327726647057827</v>
      </c>
    </row>
    <row r="48" spans="1:104" x14ac:dyDescent="0.2">
      <c r="A48" s="45" t="s">
        <v>38</v>
      </c>
      <c r="B48" s="46">
        <f t="shared" si="23"/>
        <v>-4.4539480179619062</v>
      </c>
      <c r="C48" s="46">
        <f t="shared" si="24"/>
        <v>-1.7375413336987389</v>
      </c>
      <c r="D48" s="48">
        <f t="shared" si="25"/>
        <v>16.934333817457649</v>
      </c>
      <c r="E48" s="49">
        <v>3.46292661623488E-2</v>
      </c>
      <c r="F48" s="47">
        <v>0.22473957654466237</v>
      </c>
      <c r="G48" s="47">
        <v>0.23044223647763726</v>
      </c>
      <c r="H48" s="47">
        <v>0.26221393407749444</v>
      </c>
      <c r="I48" s="47">
        <v>0.24211498988164976</v>
      </c>
      <c r="J48" s="47">
        <v>0.23517997850737152</v>
      </c>
      <c r="K48" s="47">
        <v>0.25212104618515729</v>
      </c>
      <c r="L48" s="47">
        <v>0.22866364878167794</v>
      </c>
      <c r="M48" s="47">
        <v>0.23669934530964831</v>
      </c>
      <c r="N48" s="47">
        <v>0.25585745437849272</v>
      </c>
      <c r="O48" s="47">
        <v>0.25172912536899844</v>
      </c>
      <c r="P48" s="47">
        <v>0.2413696389360877</v>
      </c>
      <c r="Q48" s="47">
        <v>0.25237577879967349</v>
      </c>
      <c r="R48" s="47">
        <v>0.36205902805438328</v>
      </c>
      <c r="S48" s="47">
        <v>0.40715784054670556</v>
      </c>
      <c r="T48" s="47">
        <v>0.41064066066881666</v>
      </c>
      <c r="U48" s="47">
        <v>0.38619653653550595</v>
      </c>
      <c r="V48" s="47">
        <v>0.40291391332550097</v>
      </c>
      <c r="W48" s="47">
        <v>0.26927905672428143</v>
      </c>
      <c r="X48" s="47">
        <v>0.24786285894265639</v>
      </c>
      <c r="Y48" s="47">
        <v>0.21690446056507909</v>
      </c>
      <c r="Z48" s="47">
        <v>0.26110595333163927</v>
      </c>
      <c r="AA48" s="47">
        <v>0.2833685542197999</v>
      </c>
      <c r="AB48" s="47">
        <v>0.30217351371115475</v>
      </c>
      <c r="AC48" s="47">
        <v>0.38467686595192674</v>
      </c>
      <c r="AD48" s="47">
        <v>0.37705386355953058</v>
      </c>
      <c r="AE48" s="47">
        <v>0.50007578736284763</v>
      </c>
      <c r="AF48" s="47">
        <v>0.62753857710199268</v>
      </c>
      <c r="AG48" s="47">
        <v>0.74998871466814776</v>
      </c>
      <c r="AH48" s="47">
        <v>0.72079362477146613</v>
      </c>
      <c r="AI48" s="47">
        <v>0.71619524621661845</v>
      </c>
      <c r="AJ48" s="47">
        <v>0.70862813110995337</v>
      </c>
      <c r="AK48" s="47">
        <v>0.72316036415542095</v>
      </c>
      <c r="AL48" s="47">
        <v>0.70867533002717797</v>
      </c>
      <c r="AM48" s="47">
        <v>0.6762787155168366</v>
      </c>
      <c r="AN48" s="47">
        <v>0.66857895750224838</v>
      </c>
      <c r="AO48" s="47">
        <v>0.70504834271341077</v>
      </c>
      <c r="AP48" s="47">
        <v>0.80338649648231908</v>
      </c>
      <c r="AQ48" s="47">
        <v>0.83291447152370646</v>
      </c>
      <c r="AR48" s="47">
        <v>0.79075862197949265</v>
      </c>
      <c r="AS48" s="47">
        <v>0.67456432688258539</v>
      </c>
      <c r="AT48" s="47">
        <v>0.64838793817060569</v>
      </c>
      <c r="AU48" s="47">
        <v>0.54274318488525386</v>
      </c>
      <c r="AV48" s="47">
        <v>0.4205544944697493</v>
      </c>
      <c r="AW48" s="47">
        <v>0.35422080691182073</v>
      </c>
      <c r="AX48" s="47">
        <v>0.34159926485399389</v>
      </c>
      <c r="AY48" s="47">
        <v>0.32701027357357515</v>
      </c>
      <c r="AZ48" s="47">
        <v>0.34327055821918956</v>
      </c>
      <c r="BA48" s="47">
        <v>0.3208755058353473</v>
      </c>
      <c r="BB48" s="47">
        <v>0.29480538215107993</v>
      </c>
      <c r="BC48" s="47">
        <v>0.31691437856114091</v>
      </c>
      <c r="BD48" s="47">
        <v>0.25497357937727116</v>
      </c>
      <c r="BE48" s="47">
        <v>0.30419108127211242</v>
      </c>
      <c r="BF48" s="47">
        <v>0.29923507309191516</v>
      </c>
      <c r="BG48" s="47">
        <v>0.31353183855988181</v>
      </c>
      <c r="BH48" s="47">
        <v>0.33982752895774226</v>
      </c>
      <c r="BI48" s="47">
        <v>0.37526429953189494</v>
      </c>
      <c r="BJ48" s="47">
        <v>0.40176252550231295</v>
      </c>
      <c r="BK48" s="47">
        <v>0.44107677142457352</v>
      </c>
      <c r="BL48" s="47">
        <v>0.44190802860413642</v>
      </c>
      <c r="BM48" s="47">
        <v>0.43572255143876981</v>
      </c>
      <c r="BN48" s="47">
        <v>0.43771446893607641</v>
      </c>
      <c r="BO48" s="47">
        <v>0.40480079691735366</v>
      </c>
      <c r="BP48" s="47">
        <v>0.43744791559644219</v>
      </c>
      <c r="BQ48" s="47">
        <v>0.42791551363463581</v>
      </c>
      <c r="BR48" s="47">
        <v>0.44855802534176947</v>
      </c>
      <c r="BS48" s="47">
        <v>0.46774010758926704</v>
      </c>
      <c r="BT48" s="47">
        <v>0.46318146478450684</v>
      </c>
      <c r="BU48" s="47">
        <v>0.44910189442990767</v>
      </c>
      <c r="BV48" s="47">
        <v>0.45389035787313831</v>
      </c>
      <c r="BW48" s="47">
        <v>0.47644525319260689</v>
      </c>
      <c r="BX48" s="47">
        <v>0.52331759669094358</v>
      </c>
      <c r="BY48" s="47">
        <v>0.58258127656956549</v>
      </c>
      <c r="BZ48" s="47">
        <v>0.62444813545846101</v>
      </c>
      <c r="CA48" s="47">
        <v>0.65694026257244442</v>
      </c>
      <c r="CB48" s="47">
        <v>0.75413336143315624</v>
      </c>
      <c r="CC48" s="47">
        <v>0.75181082254760745</v>
      </c>
      <c r="CD48" s="47">
        <v>0.75232999885873164</v>
      </c>
      <c r="CE48" s="47">
        <v>0.76710731433693158</v>
      </c>
      <c r="CF48" s="47">
        <v>0.75964404669634789</v>
      </c>
      <c r="CG48" s="47">
        <v>0.7619796277819697</v>
      </c>
      <c r="CH48" s="47">
        <v>0.74787459584819727</v>
      </c>
      <c r="CI48" s="47">
        <v>0.74060147371082619</v>
      </c>
      <c r="CJ48" s="47">
        <v>0.73543094967985667</v>
      </c>
      <c r="CK48" s="47">
        <v>0.69194336873586759</v>
      </c>
      <c r="CL48" s="47">
        <v>0.65774474919959491</v>
      </c>
      <c r="CM48" s="47">
        <v>0.63661637824999262</v>
      </c>
      <c r="CN48" s="47">
        <v>0.56848891719181049</v>
      </c>
      <c r="CO48" s="47">
        <v>0.60876163115721926</v>
      </c>
      <c r="CP48" s="47">
        <v>0.62302513500041057</v>
      </c>
      <c r="CQ48" s="47">
        <v>0.63817507626446424</v>
      </c>
      <c r="CR48" s="47">
        <v>0.61677284070837624</v>
      </c>
      <c r="CS48" s="47">
        <v>0.55891427248849024</v>
      </c>
      <c r="CT48" s="47">
        <v>0.54594366324765009</v>
      </c>
      <c r="CU48" s="47">
        <v>0.5674537673769926</v>
      </c>
      <c r="CV48" s="47">
        <v>0.62269037085606271</v>
      </c>
      <c r="CW48" s="47">
        <v>0.6760597225924555</v>
      </c>
      <c r="CX48" s="47">
        <v>0.60976678429849074</v>
      </c>
      <c r="CY48" s="47">
        <v>0.6130705355069298</v>
      </c>
      <c r="CZ48" s="47">
        <v>0.52622765113267966</v>
      </c>
    </row>
    <row r="49" spans="1:104" x14ac:dyDescent="0.2">
      <c r="A49" s="45" t="s">
        <v>41</v>
      </c>
      <c r="B49" s="46">
        <f t="shared" si="23"/>
        <v>46.96564744270443</v>
      </c>
      <c r="C49" s="46">
        <f t="shared" si="24"/>
        <v>9.8842874996168391</v>
      </c>
      <c r="D49" s="48">
        <f t="shared" si="25"/>
        <v>17.95150952488158</v>
      </c>
      <c r="E49" s="49">
        <v>6.22148152981984E-3</v>
      </c>
      <c r="F49" s="47">
        <v>0.76413109973610982</v>
      </c>
      <c r="G49" s="47">
        <v>0.73106102315765653</v>
      </c>
      <c r="H49" s="47">
        <v>0.73656893607873131</v>
      </c>
      <c r="I49" s="47">
        <v>0.66528822473994143</v>
      </c>
      <c r="J49" s="47">
        <v>0.63491412763323196</v>
      </c>
      <c r="K49" s="47">
        <v>0.56797350149995629</v>
      </c>
      <c r="L49" s="47">
        <v>0.52507040382674464</v>
      </c>
      <c r="M49" s="47">
        <v>0.4312374700614976</v>
      </c>
      <c r="N49" s="47">
        <v>0.4018185768332192</v>
      </c>
      <c r="O49" s="47">
        <v>0.46378891132353572</v>
      </c>
      <c r="P49" s="47">
        <v>0.55244087366252914</v>
      </c>
      <c r="Q49" s="47">
        <v>0.5995840093612741</v>
      </c>
      <c r="R49" s="47">
        <v>0.58261115919977069</v>
      </c>
      <c r="S49" s="47">
        <v>0.54996732736047704</v>
      </c>
      <c r="T49" s="47">
        <v>0.15857547410906411</v>
      </c>
      <c r="U49" s="47">
        <v>0.17190831720296201</v>
      </c>
      <c r="V49" s="47">
        <v>0.20777302250456386</v>
      </c>
      <c r="W49" s="47">
        <v>0.29447462530906554</v>
      </c>
      <c r="X49" s="47">
        <v>0.38870807776718952</v>
      </c>
      <c r="Y49" s="47">
        <v>0.51500431412079228</v>
      </c>
      <c r="Z49" s="47">
        <v>0.55185707767936032</v>
      </c>
      <c r="AA49" s="47">
        <v>0.53800534601594141</v>
      </c>
      <c r="AB49" s="47">
        <v>0.3241381620696438</v>
      </c>
      <c r="AC49" s="47">
        <v>0.31243288436219002</v>
      </c>
      <c r="AD49" s="47">
        <v>0.29253400907126281</v>
      </c>
      <c r="AE49" s="47">
        <v>0.36415645915036571</v>
      </c>
      <c r="AF49" s="47">
        <v>0.54811799010431983</v>
      </c>
      <c r="AG49" s="47">
        <v>0.61674344833707384</v>
      </c>
      <c r="AH49" s="47">
        <v>0.67344222307149937</v>
      </c>
      <c r="AI49" s="47">
        <v>0.70462533677479977</v>
      </c>
      <c r="AJ49" s="47">
        <v>0.71098190562579466</v>
      </c>
      <c r="AK49" s="47">
        <v>0.70732891215538274</v>
      </c>
      <c r="AL49" s="47">
        <v>0.76786789409614431</v>
      </c>
      <c r="AM49" s="47">
        <v>0.82289550536009903</v>
      </c>
      <c r="AN49" s="47">
        <v>0.86440108330454657</v>
      </c>
      <c r="AO49" s="47">
        <v>0.88135010712355299</v>
      </c>
      <c r="AP49" s="47">
        <v>0.94350459525006891</v>
      </c>
      <c r="AQ49" s="47">
        <v>0.93277679077256348</v>
      </c>
      <c r="AR49" s="47">
        <v>0.77134527532543895</v>
      </c>
      <c r="AS49" s="47">
        <v>0.67435714986429796</v>
      </c>
      <c r="AT49" s="47">
        <v>0.67465060547435929</v>
      </c>
      <c r="AU49" s="47">
        <v>0.67224189218206998</v>
      </c>
      <c r="AV49" s="47">
        <v>0.61810743324451645</v>
      </c>
      <c r="AW49" s="47">
        <v>0.53110803710368915</v>
      </c>
      <c r="AX49" s="47">
        <v>0.39785676952020854</v>
      </c>
      <c r="AY49" s="47">
        <v>0.28867621059110771</v>
      </c>
      <c r="AZ49" s="47">
        <v>0.1816582968619232</v>
      </c>
      <c r="BA49" s="47">
        <v>0.14189015102568506</v>
      </c>
      <c r="BB49" s="47">
        <v>5.6848589349114576E-2</v>
      </c>
      <c r="BC49" s="47">
        <v>6.5978637977087834E-2</v>
      </c>
      <c r="BD49" s="47">
        <v>0.3260872831218915</v>
      </c>
      <c r="BE49" s="47">
        <v>0.46866390847038231</v>
      </c>
      <c r="BF49" s="47">
        <v>0.38358600294614265</v>
      </c>
      <c r="BG49" s="47">
        <v>0.30388714082028173</v>
      </c>
      <c r="BH49" s="47">
        <v>0.28106563572377247</v>
      </c>
      <c r="BI49" s="47">
        <v>0.31535486478199243</v>
      </c>
      <c r="BJ49" s="47">
        <v>0.35836254378473342</v>
      </c>
      <c r="BK49" s="47">
        <v>0.41126364181277031</v>
      </c>
      <c r="BL49" s="47">
        <v>0.40596184486792025</v>
      </c>
      <c r="BM49" s="47">
        <v>0.4526491212565969</v>
      </c>
      <c r="BN49" s="47">
        <v>0.38732038423085946</v>
      </c>
      <c r="BO49" s="47">
        <v>0.42140482195630835</v>
      </c>
      <c r="BP49" s="47">
        <v>0.32929074170740646</v>
      </c>
      <c r="BQ49" s="47">
        <v>0.39840255948455994</v>
      </c>
      <c r="BR49" s="47">
        <v>0.39730344768067855</v>
      </c>
      <c r="BS49" s="47">
        <v>0.45683197184021607</v>
      </c>
      <c r="BT49" s="47">
        <v>0.5120945775304846</v>
      </c>
      <c r="BU49" s="47">
        <v>0.56116862223081776</v>
      </c>
      <c r="BV49" s="47">
        <v>0.57357627405713008</v>
      </c>
      <c r="BW49" s="47">
        <v>0.52527432243823269</v>
      </c>
      <c r="BX49" s="47">
        <v>0.50792706249040798</v>
      </c>
      <c r="BY49" s="47">
        <v>0.48832592665357211</v>
      </c>
      <c r="BZ49" s="47">
        <v>0.57625126082136735</v>
      </c>
      <c r="CA49" s="47">
        <v>0.61832792264109604</v>
      </c>
      <c r="CB49" s="47">
        <v>0.58826617812119941</v>
      </c>
      <c r="CC49" s="47">
        <v>0.50083979967549663</v>
      </c>
      <c r="CD49" s="47">
        <v>0.5196312151853606</v>
      </c>
      <c r="CE49" s="47">
        <v>0.54555065347586718</v>
      </c>
      <c r="CF49" s="47">
        <v>0.5176356259118966</v>
      </c>
      <c r="CG49" s="47">
        <v>0.51352780473345816</v>
      </c>
      <c r="CH49" s="47">
        <v>0.51024296071565245</v>
      </c>
      <c r="CI49" s="47">
        <v>0.53853060734859581</v>
      </c>
      <c r="CJ49" s="47">
        <v>0.57763340724113688</v>
      </c>
      <c r="CK49" s="47">
        <v>0.63360721024959588</v>
      </c>
      <c r="CL49" s="47">
        <v>0.57380902998871186</v>
      </c>
      <c r="CM49" s="47">
        <v>0.57885052784629232</v>
      </c>
      <c r="CN49" s="47">
        <v>0.55295244650092079</v>
      </c>
      <c r="CO49" s="47">
        <v>0.56541065060465234</v>
      </c>
      <c r="CP49" s="47">
        <v>0.53892114290856896</v>
      </c>
      <c r="CQ49" s="47">
        <v>0.53253086747940648</v>
      </c>
      <c r="CR49" s="47">
        <v>0.48643513940304495</v>
      </c>
      <c r="CS49" s="47">
        <v>0.45379702881917183</v>
      </c>
      <c r="CT49" s="47">
        <v>0.43831058475661566</v>
      </c>
      <c r="CU49" s="47">
        <v>0.40472765292443302</v>
      </c>
      <c r="CV49" s="47">
        <v>0.40335189168151697</v>
      </c>
      <c r="CW49" s="47">
        <v>0.36485958503207483</v>
      </c>
      <c r="CX49" s="47">
        <v>0.37049900158308963</v>
      </c>
      <c r="CY49" s="47">
        <v>0.30170029162334971</v>
      </c>
      <c r="CZ49" s="47">
        <v>0.4069069571595571</v>
      </c>
    </row>
    <row r="50" spans="1:104" x14ac:dyDescent="0.2">
      <c r="A50" s="45" t="s">
        <v>44</v>
      </c>
      <c r="B50" s="46">
        <f t="shared" si="23"/>
        <v>-21.310000000000006</v>
      </c>
      <c r="C50" s="46">
        <f t="shared" si="24"/>
        <v>-52.00500000000001</v>
      </c>
      <c r="D50" s="48">
        <f t="shared" si="25"/>
        <v>21.907429516647063</v>
      </c>
      <c r="E50" s="49">
        <v>5.0216602330169197E-2</v>
      </c>
      <c r="F50" s="47">
        <v>0.36739999999999995</v>
      </c>
      <c r="G50" s="47">
        <v>0.80459999999999987</v>
      </c>
      <c r="H50" s="47">
        <v>0.85845000000000005</v>
      </c>
      <c r="I50" s="47">
        <v>0.88745000000000007</v>
      </c>
      <c r="J50" s="47">
        <v>0.84755000000000003</v>
      </c>
      <c r="K50" s="47">
        <v>0.77675000000000005</v>
      </c>
      <c r="L50" s="47">
        <v>0.65225</v>
      </c>
      <c r="M50" s="47">
        <v>0.46945000000000003</v>
      </c>
      <c r="N50" s="47">
        <v>0.50120000000000009</v>
      </c>
      <c r="O50" s="47">
        <v>0.56710000000000005</v>
      </c>
      <c r="P50" s="47">
        <v>0.70120000000000005</v>
      </c>
      <c r="Q50" s="47">
        <v>0.53320000000000012</v>
      </c>
      <c r="R50" s="47">
        <v>0.38464999999999999</v>
      </c>
      <c r="S50" s="47">
        <v>0.25685000000000002</v>
      </c>
      <c r="T50" s="47">
        <v>0.26655000000000001</v>
      </c>
      <c r="U50" s="47">
        <v>0.30155000000000004</v>
      </c>
      <c r="V50" s="47">
        <v>0.54725000000000001</v>
      </c>
      <c r="W50" s="47">
        <v>0.58050000000000002</v>
      </c>
      <c r="X50" s="47">
        <v>0.58649999999999991</v>
      </c>
      <c r="Y50" s="47">
        <v>0.56150000000000011</v>
      </c>
      <c r="Z50" s="47">
        <v>0.50354999999999994</v>
      </c>
      <c r="AA50" s="47">
        <v>0.35704999999999998</v>
      </c>
      <c r="AB50" s="47">
        <v>0.24885000000000002</v>
      </c>
      <c r="AC50" s="47">
        <v>0.25535000000000002</v>
      </c>
      <c r="AD50" s="47">
        <v>0.41915000000000002</v>
      </c>
      <c r="AE50" s="47">
        <v>0.57055</v>
      </c>
      <c r="AF50" s="47">
        <v>0.60400000000000009</v>
      </c>
      <c r="AG50" s="47">
        <v>0.55979999999999996</v>
      </c>
      <c r="AH50" s="47">
        <v>0.59335000000000004</v>
      </c>
      <c r="AI50" s="47">
        <v>0.64744999999999997</v>
      </c>
      <c r="AJ50" s="47">
        <v>0.72160000000000002</v>
      </c>
      <c r="AK50" s="47">
        <v>0.78730000000000011</v>
      </c>
      <c r="AL50" s="47">
        <v>0.82660000000000022</v>
      </c>
      <c r="AM50" s="47">
        <v>0.87080000000000002</v>
      </c>
      <c r="AN50" s="47">
        <v>0.90715000000000012</v>
      </c>
      <c r="AO50" s="47">
        <v>0.95865</v>
      </c>
      <c r="AP50" s="47">
        <v>0.9859</v>
      </c>
      <c r="AQ50" s="47">
        <v>0.97650000000000003</v>
      </c>
      <c r="AR50" s="47">
        <v>0.95525000000000004</v>
      </c>
      <c r="AS50" s="47">
        <v>0.57750000000000001</v>
      </c>
      <c r="AT50" s="47">
        <v>0.41395000000000004</v>
      </c>
      <c r="AU50" s="47">
        <v>0.38519999999999999</v>
      </c>
      <c r="AV50" s="47">
        <v>0.32079999999999997</v>
      </c>
      <c r="AW50" s="47">
        <v>0.2419</v>
      </c>
      <c r="AX50" s="47">
        <v>0.20324999999999999</v>
      </c>
      <c r="AY50" s="47">
        <v>0.15279999999999999</v>
      </c>
      <c r="AZ50" s="47">
        <v>0.125</v>
      </c>
      <c r="BA50" s="47">
        <v>8.7300000000000016E-2</v>
      </c>
      <c r="BB50" s="47">
        <v>3.9150000000000004E-2</v>
      </c>
      <c r="BC50" s="47">
        <v>4.1050000000000003E-2</v>
      </c>
      <c r="BD50" s="47">
        <v>8.77E-2</v>
      </c>
      <c r="BE50" s="47">
        <v>0.2427</v>
      </c>
      <c r="BF50" s="47">
        <v>0.30405000000000004</v>
      </c>
      <c r="BG50" s="47">
        <v>0.2797</v>
      </c>
      <c r="BH50" s="47">
        <v>0.26594999999999996</v>
      </c>
      <c r="BI50" s="47">
        <v>0.25335000000000002</v>
      </c>
      <c r="BJ50" s="47">
        <v>0.2311</v>
      </c>
      <c r="BK50" s="47">
        <v>0.21065</v>
      </c>
      <c r="BL50" s="47">
        <v>0.18490000000000001</v>
      </c>
      <c r="BM50" s="47">
        <v>0.21984999999999999</v>
      </c>
      <c r="BN50" s="47">
        <v>0.19685000000000002</v>
      </c>
      <c r="BO50" s="47">
        <v>0.21565000000000001</v>
      </c>
      <c r="BP50" s="47">
        <v>0.25375000000000003</v>
      </c>
      <c r="BQ50" s="47">
        <v>0.32075000000000004</v>
      </c>
      <c r="BR50" s="47">
        <v>0.33865000000000001</v>
      </c>
      <c r="BS50" s="47">
        <v>0.36699999999999999</v>
      </c>
      <c r="BT50" s="47">
        <v>0.38934999999999997</v>
      </c>
      <c r="BU50" s="47">
        <v>0.43780000000000002</v>
      </c>
      <c r="BV50" s="47">
        <v>0.51480000000000004</v>
      </c>
      <c r="BW50" s="47">
        <v>0.53569999999999995</v>
      </c>
      <c r="BX50" s="47">
        <v>0.56200000000000006</v>
      </c>
      <c r="BY50" s="47">
        <v>0.51980000000000004</v>
      </c>
      <c r="BZ50" s="47">
        <v>0.48405000000000004</v>
      </c>
      <c r="CA50" s="47">
        <v>0.55154999999999998</v>
      </c>
      <c r="CB50" s="47">
        <v>0.58340000000000014</v>
      </c>
      <c r="CC50" s="47">
        <v>0.58850000000000002</v>
      </c>
      <c r="CD50" s="47">
        <v>0.51415</v>
      </c>
      <c r="CE50" s="47">
        <v>0.54389999999999994</v>
      </c>
      <c r="CF50" s="47">
        <v>0.56285000000000007</v>
      </c>
      <c r="CG50" s="47">
        <v>0.55940000000000001</v>
      </c>
      <c r="CH50" s="47">
        <v>0.5212500000000001</v>
      </c>
      <c r="CI50" s="47">
        <v>0.52310000000000001</v>
      </c>
      <c r="CJ50" s="47">
        <v>0.52685000000000004</v>
      </c>
      <c r="CK50" s="47">
        <v>0.5676000000000001</v>
      </c>
      <c r="CL50" s="47">
        <v>0.64300000000000002</v>
      </c>
      <c r="CM50" s="47">
        <v>0.5989000000000001</v>
      </c>
      <c r="CN50" s="47">
        <v>0.62434999999999996</v>
      </c>
      <c r="CO50" s="47">
        <v>0.64505000000000001</v>
      </c>
      <c r="CP50" s="47">
        <v>0.69950000000000012</v>
      </c>
      <c r="CQ50" s="47">
        <v>0.68924999999999992</v>
      </c>
      <c r="CR50" s="47">
        <v>0.68620000000000014</v>
      </c>
      <c r="CS50" s="47">
        <v>0.67710000000000004</v>
      </c>
      <c r="CT50" s="47">
        <v>0.64639999999999997</v>
      </c>
      <c r="CU50" s="47">
        <v>0.61360000000000003</v>
      </c>
      <c r="CV50" s="47">
        <v>0.58555000000000001</v>
      </c>
      <c r="CW50" s="47">
        <v>0.55790000000000006</v>
      </c>
      <c r="CX50" s="47">
        <v>0.50854999999999995</v>
      </c>
      <c r="CY50" s="47">
        <v>0.51470000000000005</v>
      </c>
      <c r="CZ50" s="47">
        <v>0.50839999999999996</v>
      </c>
    </row>
    <row r="51" spans="1:104" x14ac:dyDescent="0.2">
      <c r="A51" s="45" t="s">
        <v>47</v>
      </c>
      <c r="B51" s="46">
        <f t="shared" si="23"/>
        <v>45.561406029182407</v>
      </c>
      <c r="C51" s="46">
        <f t="shared" si="24"/>
        <v>-5.1492743359848987</v>
      </c>
      <c r="D51" s="48">
        <f t="shared" si="25"/>
        <v>19.333633960037588</v>
      </c>
      <c r="E51" s="49">
        <v>2.1991536696902299E-2</v>
      </c>
      <c r="F51" s="47">
        <v>0.69497447789524913</v>
      </c>
      <c r="G51" s="47">
        <v>0.69497447789524913</v>
      </c>
      <c r="H51" s="47">
        <v>0.72803858037283109</v>
      </c>
      <c r="I51" s="47">
        <v>0.74646722125509812</v>
      </c>
      <c r="J51" s="47">
        <v>0.73484701361016702</v>
      </c>
      <c r="K51" s="47">
        <v>0.65659317153918628</v>
      </c>
      <c r="L51" s="47">
        <v>0.61450847608708614</v>
      </c>
      <c r="M51" s="47">
        <v>0.59681861190615715</v>
      </c>
      <c r="N51" s="47">
        <v>0.6453848754190763</v>
      </c>
      <c r="O51" s="47">
        <v>0.63388414869292475</v>
      </c>
      <c r="P51" s="47">
        <v>0.64545005815923462</v>
      </c>
      <c r="Q51" s="47">
        <v>0.55898990899698553</v>
      </c>
      <c r="R51" s="47">
        <v>0.60353061158136145</v>
      </c>
      <c r="S51" s="47">
        <v>0.42919524141266002</v>
      </c>
      <c r="T51" s="47">
        <v>0.3572515703284162</v>
      </c>
      <c r="U51" s="47">
        <v>0.12015897937936744</v>
      </c>
      <c r="V51" s="47">
        <v>0.20533846653377438</v>
      </c>
      <c r="W51" s="47">
        <v>0.23936041760342508</v>
      </c>
      <c r="X51" s="47">
        <v>0.31730945007201961</v>
      </c>
      <c r="Y51" s="47">
        <v>0.32181691285390623</v>
      </c>
      <c r="Z51" s="47">
        <v>0.24145286210433187</v>
      </c>
      <c r="AA51" s="47">
        <v>0.20231568944700046</v>
      </c>
      <c r="AB51" s="47">
        <v>0.18582256000043534</v>
      </c>
      <c r="AC51" s="47">
        <v>0.26133049158804456</v>
      </c>
      <c r="AD51" s="47">
        <v>0.34265385992382569</v>
      </c>
      <c r="AE51" s="47">
        <v>0.34395040985081049</v>
      </c>
      <c r="AF51" s="47">
        <v>0.31127324356340802</v>
      </c>
      <c r="AG51" s="47">
        <v>0.19634469980416963</v>
      </c>
      <c r="AH51" s="47">
        <v>0.27990299012515946</v>
      </c>
      <c r="AI51" s="47">
        <v>0.2741266157065877</v>
      </c>
      <c r="AJ51" s="47">
        <v>0.34431085313245707</v>
      </c>
      <c r="AK51" s="47">
        <v>0.30439908924259096</v>
      </c>
      <c r="AL51" s="47">
        <v>0.34137558273493696</v>
      </c>
      <c r="AM51" s="47">
        <v>0.37040910916184622</v>
      </c>
      <c r="AN51" s="47">
        <v>0.4222152355274682</v>
      </c>
      <c r="AO51" s="47">
        <v>0.59418798344800716</v>
      </c>
      <c r="AP51" s="47">
        <v>0.77856716141373294</v>
      </c>
      <c r="AQ51" s="47">
        <v>0.91583852016619505</v>
      </c>
      <c r="AR51" s="47">
        <v>0.91557869222199639</v>
      </c>
      <c r="AS51" s="47">
        <v>0.79747647323137261</v>
      </c>
      <c r="AT51" s="47">
        <v>0.7039061970502819</v>
      </c>
      <c r="AU51" s="47">
        <v>0.71647661086774195</v>
      </c>
      <c r="AV51" s="47">
        <v>0.65461264062177194</v>
      </c>
      <c r="AW51" s="47">
        <v>0.65191674823602253</v>
      </c>
      <c r="AX51" s="47">
        <v>0.64581232901589181</v>
      </c>
      <c r="AY51" s="47">
        <v>0.58969646885019511</v>
      </c>
      <c r="AZ51" s="47">
        <v>0.39218421606307957</v>
      </c>
      <c r="BA51" s="47">
        <v>0.3131710895647859</v>
      </c>
      <c r="BB51" s="47">
        <v>0.23349027281919069</v>
      </c>
      <c r="BC51" s="47">
        <v>0.16898166266704254</v>
      </c>
      <c r="BD51" s="47">
        <v>0.18732222203827661</v>
      </c>
      <c r="BE51" s="47">
        <v>0.2352790236900561</v>
      </c>
      <c r="BF51" s="47">
        <v>0.4293390874718685</v>
      </c>
      <c r="BG51" s="47">
        <v>0.45304154834014981</v>
      </c>
      <c r="BH51" s="47">
        <v>0.55425785569135089</v>
      </c>
      <c r="BI51" s="47">
        <v>0.48414233621730096</v>
      </c>
      <c r="BJ51" s="47">
        <v>0.42306735458049927</v>
      </c>
      <c r="BK51" s="47">
        <v>0.37224556643852641</v>
      </c>
      <c r="BL51" s="47">
        <v>0.38663195802119332</v>
      </c>
      <c r="BM51" s="47">
        <v>0.4142210734059677</v>
      </c>
      <c r="BN51" s="47">
        <v>0.32129084293942778</v>
      </c>
      <c r="BO51" s="47">
        <v>0.41383054630349791</v>
      </c>
      <c r="BP51" s="47">
        <v>0.49705615638184847</v>
      </c>
      <c r="BQ51" s="47">
        <v>0.74124393488323359</v>
      </c>
      <c r="BR51" s="47">
        <v>0.65836283751506686</v>
      </c>
      <c r="BS51" s="47">
        <v>0.64238138792264665</v>
      </c>
      <c r="BT51" s="47">
        <v>0.38411798484511045</v>
      </c>
      <c r="BU51" s="47">
        <v>0.35599751164196253</v>
      </c>
      <c r="BV51" s="47">
        <v>0.38691173830641817</v>
      </c>
      <c r="BW51" s="47">
        <v>0.50470214533147417</v>
      </c>
      <c r="BX51" s="47">
        <v>0.56663937411427023</v>
      </c>
      <c r="BY51" s="47">
        <v>0.56024210464982738</v>
      </c>
      <c r="BZ51" s="47">
        <v>0.48451653624043495</v>
      </c>
      <c r="CA51" s="47">
        <v>0.52727249434341339</v>
      </c>
      <c r="CB51" s="47">
        <v>0.48685861060138713</v>
      </c>
      <c r="CC51" s="47">
        <v>0.57163453595760738</v>
      </c>
      <c r="CD51" s="47">
        <v>0.51607990281344096</v>
      </c>
      <c r="CE51" s="47">
        <v>0.54546169453831328</v>
      </c>
      <c r="CF51" s="47">
        <v>0.59978645143833687</v>
      </c>
      <c r="CG51" s="47">
        <v>0.64524849049852584</v>
      </c>
      <c r="CH51" s="47">
        <v>0.68625315203076631</v>
      </c>
      <c r="CI51" s="47">
        <v>0.72285501891321524</v>
      </c>
      <c r="CJ51" s="47">
        <v>0.79223273705216557</v>
      </c>
      <c r="CK51" s="47">
        <v>0.78412969020162449</v>
      </c>
      <c r="CL51" s="47">
        <v>0.8396331591910261</v>
      </c>
      <c r="CM51" s="47">
        <v>0.72412696320947123</v>
      </c>
      <c r="CN51" s="47">
        <v>0.74801061211912856</v>
      </c>
      <c r="CO51" s="47">
        <v>0.61600041844400855</v>
      </c>
      <c r="CP51" s="47">
        <v>0.64367555574210389</v>
      </c>
      <c r="CQ51" s="47">
        <v>0.64828054232124266</v>
      </c>
      <c r="CR51" s="47">
        <v>0.69992441274709527</v>
      </c>
      <c r="CS51" s="47">
        <v>0.66193087576037668</v>
      </c>
      <c r="CT51" s="47">
        <v>0.60408021191670858</v>
      </c>
      <c r="CU51" s="47">
        <v>0.45647875928968834</v>
      </c>
      <c r="CV51" s="47">
        <v>0.3393100080517219</v>
      </c>
      <c r="CW51" s="47">
        <v>0.34046610311508357</v>
      </c>
      <c r="CX51" s="47">
        <v>0.218245306662668</v>
      </c>
      <c r="CY51" s="47">
        <v>0.31021246803040342</v>
      </c>
      <c r="CZ51" s="47">
        <v>0.21564948145126445</v>
      </c>
    </row>
    <row r="52" spans="1:104" x14ac:dyDescent="0.2">
      <c r="A52" s="45" t="s">
        <v>50</v>
      </c>
      <c r="B52" s="46">
        <f t="shared" si="23"/>
        <v>-16.084432566043187</v>
      </c>
      <c r="C52" s="46">
        <f t="shared" si="24"/>
        <v>-15.500090940805153</v>
      </c>
      <c r="D52" s="48">
        <f t="shared" si="25"/>
        <v>16.343346819381463</v>
      </c>
      <c r="E52" s="49">
        <v>8.2374142249752799E-3</v>
      </c>
      <c r="F52" s="47">
        <v>0.20139872167346587</v>
      </c>
      <c r="G52" s="47">
        <v>0.24042024272869675</v>
      </c>
      <c r="H52" s="47">
        <v>0.33079007221435636</v>
      </c>
      <c r="I52" s="47">
        <v>0.3563996310815174</v>
      </c>
      <c r="J52" s="47">
        <v>0.36435387143773368</v>
      </c>
      <c r="K52" s="47">
        <v>0.35443230529113906</v>
      </c>
      <c r="L52" s="47">
        <v>0.36602609428591193</v>
      </c>
      <c r="M52" s="47">
        <v>0.3478878900919643</v>
      </c>
      <c r="N52" s="47">
        <v>0.34060399392170354</v>
      </c>
      <c r="O52" s="47">
        <v>0.34313921292672633</v>
      </c>
      <c r="P52" s="47">
        <v>0.37327012612848742</v>
      </c>
      <c r="Q52" s="47">
        <v>0.40924730802325915</v>
      </c>
      <c r="R52" s="47">
        <v>0.44080664029042782</v>
      </c>
      <c r="S52" s="47">
        <v>0.44815331090799759</v>
      </c>
      <c r="T52" s="47">
        <v>0.3792266470940221</v>
      </c>
      <c r="U52" s="47">
        <v>0.32391051967233597</v>
      </c>
      <c r="V52" s="47">
        <v>0.33529892575820064</v>
      </c>
      <c r="W52" s="47">
        <v>0.36224304733389773</v>
      </c>
      <c r="X52" s="47">
        <v>0.38371771417040074</v>
      </c>
      <c r="Y52" s="47">
        <v>0.43100367514167082</v>
      </c>
      <c r="Z52" s="47">
        <v>0.52471026627230244</v>
      </c>
      <c r="AA52" s="47">
        <v>0.55434091752474501</v>
      </c>
      <c r="AB52" s="47">
        <v>0.57197013868479152</v>
      </c>
      <c r="AC52" s="47">
        <v>0.60934226026501859</v>
      </c>
      <c r="AD52" s="47">
        <v>0.6698375430729242</v>
      </c>
      <c r="AE52" s="47">
        <v>0.72688394328203754</v>
      </c>
      <c r="AF52" s="47">
        <v>0.76705683205211317</v>
      </c>
      <c r="AG52" s="47">
        <v>0.80137581458502405</v>
      </c>
      <c r="AH52" s="47">
        <v>0.79987749737825375</v>
      </c>
      <c r="AI52" s="47">
        <v>0.8066302220782362</v>
      </c>
      <c r="AJ52" s="47">
        <v>0.8043426735536926</v>
      </c>
      <c r="AK52" s="47">
        <v>0.8274063892167417</v>
      </c>
      <c r="AL52" s="47">
        <v>0.85140982649515706</v>
      </c>
      <c r="AM52" s="47">
        <v>0.84078841844835439</v>
      </c>
      <c r="AN52" s="47">
        <v>0.81892473153420497</v>
      </c>
      <c r="AO52" s="47">
        <v>0.75456703178434148</v>
      </c>
      <c r="AP52" s="47">
        <v>0.75883214947374822</v>
      </c>
      <c r="AQ52" s="47">
        <v>0.73163583235901775</v>
      </c>
      <c r="AR52" s="47">
        <v>0.68928149574756825</v>
      </c>
      <c r="AS52" s="47">
        <v>0.57284194815752998</v>
      </c>
      <c r="AT52" s="47">
        <v>0.52949517951954261</v>
      </c>
      <c r="AU52" s="47">
        <v>0.52411921008226081</v>
      </c>
      <c r="AV52" s="47">
        <v>0.47188561934807188</v>
      </c>
      <c r="AW52" s="47">
        <v>0.41096519009746535</v>
      </c>
      <c r="AX52" s="47">
        <v>0.36875133338192279</v>
      </c>
      <c r="AY52" s="47">
        <v>0.30513991182258493</v>
      </c>
      <c r="AZ52" s="47">
        <v>0.29165376858827152</v>
      </c>
      <c r="BA52" s="47">
        <v>0.3064264888392903</v>
      </c>
      <c r="BB52" s="47">
        <v>0.28395946936729421</v>
      </c>
      <c r="BC52" s="47">
        <v>0.29800298283497001</v>
      </c>
      <c r="BD52" s="47">
        <v>0.24292943928906938</v>
      </c>
      <c r="BE52" s="47">
        <v>0.27780805929196634</v>
      </c>
      <c r="BF52" s="47">
        <v>0.26528059943895455</v>
      </c>
      <c r="BG52" s="47">
        <v>0.25688460414163589</v>
      </c>
      <c r="BH52" s="47">
        <v>0.26735007612210154</v>
      </c>
      <c r="BI52" s="47">
        <v>0.29993213697322174</v>
      </c>
      <c r="BJ52" s="47">
        <v>0.32553500154872012</v>
      </c>
      <c r="BK52" s="47">
        <v>0.3094368373952186</v>
      </c>
      <c r="BL52" s="47">
        <v>0.338511661581606</v>
      </c>
      <c r="BM52" s="47">
        <v>0.35630528625364966</v>
      </c>
      <c r="BN52" s="47">
        <v>0.38806256839174297</v>
      </c>
      <c r="BO52" s="47">
        <v>0.35050727328400039</v>
      </c>
      <c r="BP52" s="47">
        <v>0.45726382907093999</v>
      </c>
      <c r="BQ52" s="47">
        <v>0.46877440075114291</v>
      </c>
      <c r="BR52" s="47">
        <v>0.4951580996033032</v>
      </c>
      <c r="BS52" s="47">
        <v>0.51125341334165775</v>
      </c>
      <c r="BT52" s="47">
        <v>0.5372305790551023</v>
      </c>
      <c r="BU52" s="47">
        <v>0.59276064918943638</v>
      </c>
      <c r="BV52" s="47">
        <v>0.61906209849941218</v>
      </c>
      <c r="BW52" s="47">
        <v>0.64835468732143253</v>
      </c>
      <c r="BX52" s="47">
        <v>0.65574924882470764</v>
      </c>
      <c r="BY52" s="47">
        <v>0.65878424411668512</v>
      </c>
      <c r="BZ52" s="47">
        <v>0.61036730351964408</v>
      </c>
      <c r="CA52" s="47">
        <v>0.64351224524748485</v>
      </c>
      <c r="CB52" s="47">
        <v>0.67230949839339527</v>
      </c>
      <c r="CC52" s="47">
        <v>0.7019669857768619</v>
      </c>
      <c r="CD52" s="47">
        <v>0.66187108589077781</v>
      </c>
      <c r="CE52" s="47">
        <v>0.63832298992140002</v>
      </c>
      <c r="CF52" s="47">
        <v>0.60620763808841516</v>
      </c>
      <c r="CG52" s="47">
        <v>0.59510814344613605</v>
      </c>
      <c r="CH52" s="47">
        <v>0.60407835333552751</v>
      </c>
      <c r="CI52" s="47">
        <v>0.58406542218175583</v>
      </c>
      <c r="CJ52" s="47">
        <v>0.55020058215648593</v>
      </c>
      <c r="CK52" s="47">
        <v>0.55425551541831486</v>
      </c>
      <c r="CL52" s="47">
        <v>0.58394792110005223</v>
      </c>
      <c r="CM52" s="47">
        <v>0.58700010278410608</v>
      </c>
      <c r="CN52" s="47">
        <v>0.5430582202403933</v>
      </c>
      <c r="CO52" s="47">
        <v>0.49391825744268414</v>
      </c>
      <c r="CP52" s="47">
        <v>0.51209930428068495</v>
      </c>
      <c r="CQ52" s="47">
        <v>0.47640931132384423</v>
      </c>
      <c r="CR52" s="47">
        <v>0.47749531445502114</v>
      </c>
      <c r="CS52" s="47">
        <v>0.44454526028757774</v>
      </c>
      <c r="CT52" s="47">
        <v>0.47586483929282869</v>
      </c>
      <c r="CU52" s="47">
        <v>0.47529526102565361</v>
      </c>
      <c r="CV52" s="47">
        <v>0.49047882784055075</v>
      </c>
      <c r="CW52" s="47">
        <v>0.46887507622182656</v>
      </c>
      <c r="CX52" s="47">
        <v>0.46409338708711656</v>
      </c>
      <c r="CY52" s="47">
        <v>0.39863081988869042</v>
      </c>
      <c r="CZ52" s="47">
        <v>0.37162169804582107</v>
      </c>
    </row>
    <row r="53" spans="1:104" x14ac:dyDescent="0.2">
      <c r="A53" s="45" t="s">
        <v>53</v>
      </c>
      <c r="B53" s="46">
        <f t="shared" si="23"/>
        <v>27.103443190556796</v>
      </c>
      <c r="C53" s="46">
        <f t="shared" si="24"/>
        <v>-8.8321356634750607</v>
      </c>
      <c r="D53" s="48">
        <f t="shared" si="25"/>
        <v>25.239613484158951</v>
      </c>
      <c r="E53" s="49">
        <v>2.01864336162801E-2</v>
      </c>
      <c r="F53" s="47">
        <v>0.44206455468493067</v>
      </c>
      <c r="G53" s="47">
        <v>0.42590038076813158</v>
      </c>
      <c r="H53" s="47">
        <v>0.46773348517973229</v>
      </c>
      <c r="I53" s="47">
        <v>0.53038591131968127</v>
      </c>
      <c r="J53" s="47">
        <v>0.51908354671114254</v>
      </c>
      <c r="K53" s="47">
        <v>0.51684624102476706</v>
      </c>
      <c r="L53" s="47">
        <v>0.50149622112371806</v>
      </c>
      <c r="M53" s="47">
        <v>0.47404564937215632</v>
      </c>
      <c r="N53" s="47">
        <v>0.44398742893825743</v>
      </c>
      <c r="O53" s="47">
        <v>0.47996786046277956</v>
      </c>
      <c r="P53" s="47">
        <v>0.49303834346333214</v>
      </c>
      <c r="Q53" s="47">
        <v>0.46313846140808879</v>
      </c>
      <c r="R53" s="47">
        <v>0.36116315452437864</v>
      </c>
      <c r="S53" s="47">
        <v>0.25469184750749424</v>
      </c>
      <c r="T53" s="47">
        <v>0.16320380079465555</v>
      </c>
      <c r="U53" s="47">
        <v>0.15019234125249473</v>
      </c>
      <c r="V53" s="47">
        <v>0.16474994186029598</v>
      </c>
      <c r="W53" s="47">
        <v>0.17103012277936269</v>
      </c>
      <c r="X53" s="47">
        <v>0.1706928335962962</v>
      </c>
      <c r="Y53" s="47">
        <v>0.16781760509861071</v>
      </c>
      <c r="Z53" s="47">
        <v>0.14284842371409118</v>
      </c>
      <c r="AA53" s="47">
        <v>0.11969437548846708</v>
      </c>
      <c r="AB53" s="47">
        <v>9.261852834262975E-2</v>
      </c>
      <c r="AC53" s="47">
        <v>0.12614660253546237</v>
      </c>
      <c r="AD53" s="47">
        <v>0.2889448622207681</v>
      </c>
      <c r="AE53" s="47">
        <v>0.46531908811360451</v>
      </c>
      <c r="AF53" s="47">
        <v>0.70219989225047497</v>
      </c>
      <c r="AG53" s="47">
        <v>0.68914965048531185</v>
      </c>
      <c r="AH53" s="47">
        <v>0.70440751395738421</v>
      </c>
      <c r="AI53" s="47">
        <v>0.72801438002982721</v>
      </c>
      <c r="AJ53" s="47">
        <v>0.74868056228388125</v>
      </c>
      <c r="AK53" s="47">
        <v>0.76822248674938376</v>
      </c>
      <c r="AL53" s="47">
        <v>0.80688775675916657</v>
      </c>
      <c r="AM53" s="47">
        <v>0.84299823849837174</v>
      </c>
      <c r="AN53" s="47">
        <v>0.86949259908786913</v>
      </c>
      <c r="AO53" s="47">
        <v>0.89535579619663108</v>
      </c>
      <c r="AP53" s="47">
        <v>0.92842097383521605</v>
      </c>
      <c r="AQ53" s="47">
        <v>0.93051970678186924</v>
      </c>
      <c r="AR53" s="47">
        <v>0.84754290844244973</v>
      </c>
      <c r="AS53" s="47">
        <v>0.23065579645273529</v>
      </c>
      <c r="AT53" s="47">
        <v>0.21135137272520876</v>
      </c>
      <c r="AU53" s="47">
        <v>0.21221742175003924</v>
      </c>
      <c r="AV53" s="47">
        <v>0.21846223793370859</v>
      </c>
      <c r="AW53" s="47">
        <v>0.20865139703969959</v>
      </c>
      <c r="AX53" s="47">
        <v>0.18656946259243043</v>
      </c>
      <c r="AY53" s="47">
        <v>0.16780700431045042</v>
      </c>
      <c r="AZ53" s="47">
        <v>0.11149685221304242</v>
      </c>
      <c r="BA53" s="47">
        <v>8.0570404208247279E-2</v>
      </c>
      <c r="BB53" s="47">
        <v>2.8826025037777751E-2</v>
      </c>
      <c r="BC53" s="47">
        <v>5.8578089422994715E-2</v>
      </c>
      <c r="BD53" s="47">
        <v>0.12952441023498543</v>
      </c>
      <c r="BE53" s="47">
        <v>0.36275113783061391</v>
      </c>
      <c r="BF53" s="47">
        <v>0.34969871473709974</v>
      </c>
      <c r="BG53" s="47">
        <v>0.36011680584327632</v>
      </c>
      <c r="BH53" s="47">
        <v>0.35243032846465616</v>
      </c>
      <c r="BI53" s="47">
        <v>0.37409251050661296</v>
      </c>
      <c r="BJ53" s="47">
        <v>0.39025584116975703</v>
      </c>
      <c r="BK53" s="47">
        <v>0.37727706148795309</v>
      </c>
      <c r="BL53" s="47">
        <v>0.35527984723591649</v>
      </c>
      <c r="BM53" s="47">
        <v>0.31170707474316195</v>
      </c>
      <c r="BN53" s="47">
        <v>0.28987086659186551</v>
      </c>
      <c r="BO53" s="47">
        <v>0.30681489085202474</v>
      </c>
      <c r="BP53" s="47">
        <v>0.38128597478662329</v>
      </c>
      <c r="BQ53" s="47">
        <v>0.41112944581518374</v>
      </c>
      <c r="BR53" s="47">
        <v>0.42167658771908983</v>
      </c>
      <c r="BS53" s="47">
        <v>0.43274105446034322</v>
      </c>
      <c r="BT53" s="47">
        <v>0.45501711437926168</v>
      </c>
      <c r="BU53" s="47">
        <v>0.51817381599652557</v>
      </c>
      <c r="BV53" s="47">
        <v>0.54128439333572054</v>
      </c>
      <c r="BW53" s="47">
        <v>0.57861715493291199</v>
      </c>
      <c r="BX53" s="47">
        <v>0.6540157314729006</v>
      </c>
      <c r="BY53" s="47">
        <v>0.71996837911090872</v>
      </c>
      <c r="BZ53" s="47">
        <v>0.75885031510150813</v>
      </c>
      <c r="CA53" s="47">
        <v>0.76781780508457753</v>
      </c>
      <c r="CB53" s="47">
        <v>0.76562735030524642</v>
      </c>
      <c r="CC53" s="47">
        <v>0.74200416200030528</v>
      </c>
      <c r="CD53" s="47">
        <v>0.76252317683790383</v>
      </c>
      <c r="CE53" s="47">
        <v>0.77667009385204422</v>
      </c>
      <c r="CF53" s="47">
        <v>0.78760700194182076</v>
      </c>
      <c r="CG53" s="47">
        <v>0.79290218348110231</v>
      </c>
      <c r="CH53" s="47">
        <v>0.78908050250564576</v>
      </c>
      <c r="CI53" s="47">
        <v>0.78057776894061459</v>
      </c>
      <c r="CJ53" s="47">
        <v>0.7642813470183687</v>
      </c>
      <c r="CK53" s="47">
        <v>0.7055655915353527</v>
      </c>
      <c r="CL53" s="47">
        <v>0.62312814137596939</v>
      </c>
      <c r="CM53" s="47">
        <v>0.58063314417280298</v>
      </c>
      <c r="CN53" s="47">
        <v>0.58141708819628202</v>
      </c>
      <c r="CO53" s="47">
        <v>0.65558962699317069</v>
      </c>
      <c r="CP53" s="47">
        <v>0.646497061196182</v>
      </c>
      <c r="CQ53" s="47">
        <v>0.63880280511467979</v>
      </c>
      <c r="CR53" s="47">
        <v>0.62351137407572343</v>
      </c>
      <c r="CS53" s="47">
        <v>0.60866309637797045</v>
      </c>
      <c r="CT53" s="47">
        <v>0.59492534280066567</v>
      </c>
      <c r="CU53" s="47">
        <v>0.58274126668501247</v>
      </c>
      <c r="CV53" s="47">
        <v>0.59531020951975189</v>
      </c>
      <c r="CW53" s="47">
        <v>0.61155679693299136</v>
      </c>
      <c r="CX53" s="47">
        <v>0.62101838484442751</v>
      </c>
      <c r="CY53" s="47">
        <v>0.63897401746548377</v>
      </c>
      <c r="CZ53" s="47">
        <v>0.64285110582695959</v>
      </c>
    </row>
    <row r="54" spans="1:104" x14ac:dyDescent="0.2">
      <c r="A54" s="45" t="s">
        <v>56</v>
      </c>
      <c r="B54" s="46">
        <f t="shared" si="23"/>
        <v>50.118216676076166</v>
      </c>
      <c r="C54" s="46">
        <f t="shared" si="24"/>
        <v>-5.5801111956601757</v>
      </c>
      <c r="D54" s="48">
        <f t="shared" si="25"/>
        <v>19.604584246504476</v>
      </c>
      <c r="E54" s="49">
        <v>1.80309517953146E-3</v>
      </c>
      <c r="F54" s="47">
        <v>0.79312489260904795</v>
      </c>
      <c r="G54" s="47">
        <v>0.78328261309801428</v>
      </c>
      <c r="H54" s="47">
        <v>0.81453685452923907</v>
      </c>
      <c r="I54" s="47">
        <v>0.84892600456564971</v>
      </c>
      <c r="J54" s="47">
        <v>0.86150541659507263</v>
      </c>
      <c r="K54" s="47">
        <v>0.86441584538157534</v>
      </c>
      <c r="L54" s="47">
        <v>0.8465151462153383</v>
      </c>
      <c r="M54" s="47">
        <v>0.8174981804904391</v>
      </c>
      <c r="N54" s="47">
        <v>0.80072405025487448</v>
      </c>
      <c r="O54" s="47">
        <v>0.81107092916697354</v>
      </c>
      <c r="P54" s="47">
        <v>0.90140918202868658</v>
      </c>
      <c r="Q54" s="47">
        <v>0.90353992079661583</v>
      </c>
      <c r="R54" s="47">
        <v>0.84997608454633977</v>
      </c>
      <c r="S54" s="47">
        <v>0.76401140594189032</v>
      </c>
      <c r="T54" s="47">
        <v>0.5367485384602797</v>
      </c>
      <c r="U54" s="47">
        <v>0.35902338463552541</v>
      </c>
      <c r="V54" s="47">
        <v>0.27562728487035359</v>
      </c>
      <c r="W54" s="47">
        <v>0.29194272584828634</v>
      </c>
      <c r="X54" s="47">
        <v>0.35432909599319251</v>
      </c>
      <c r="Y54" s="47">
        <v>0.34387012035968817</v>
      </c>
      <c r="Z54" s="47">
        <v>0.3268770700884493</v>
      </c>
      <c r="AA54" s="47">
        <v>0.15516078675634326</v>
      </c>
      <c r="AB54" s="47">
        <v>0.13164367784350786</v>
      </c>
      <c r="AC54" s="47">
        <v>0.10609235110500176</v>
      </c>
      <c r="AD54" s="47">
        <v>0.15496717212008149</v>
      </c>
      <c r="AE54" s="47">
        <v>0.2227154242044887</v>
      </c>
      <c r="AF54" s="47">
        <v>0.39390151636024451</v>
      </c>
      <c r="AG54" s="47">
        <v>0.41997273190309042</v>
      </c>
      <c r="AH54" s="47">
        <v>0.45180250190235405</v>
      </c>
      <c r="AI54" s="47">
        <v>0.58457859483541574</v>
      </c>
      <c r="AJ54" s="47">
        <v>0.60995077914692719</v>
      </c>
      <c r="AK54" s="47">
        <v>0.53517885605112214</v>
      </c>
      <c r="AL54" s="47">
        <v>0.58213155596193655</v>
      </c>
      <c r="AM54" s="47">
        <v>0.68997771893435433</v>
      </c>
      <c r="AN54" s="47">
        <v>0.68030844931556156</v>
      </c>
      <c r="AO54" s="47">
        <v>0.78345088040125355</v>
      </c>
      <c r="AP54" s="47">
        <v>0.85614296190382677</v>
      </c>
      <c r="AQ54" s="47">
        <v>0.91756105635877172</v>
      </c>
      <c r="AR54" s="47">
        <v>0.88468623534369206</v>
      </c>
      <c r="AS54" s="47">
        <v>0.55164703048675723</v>
      </c>
      <c r="AT54" s="47">
        <v>0.46701255144538001</v>
      </c>
      <c r="AU54" s="47">
        <v>0.43569155068443849</v>
      </c>
      <c r="AV54" s="47">
        <v>0.39812186827528095</v>
      </c>
      <c r="AW54" s="47">
        <v>0.16723032597756451</v>
      </c>
      <c r="AX54" s="47">
        <v>0.16885119193729192</v>
      </c>
      <c r="AY54" s="47">
        <v>0.15990098554210957</v>
      </c>
      <c r="AZ54" s="47">
        <v>0.13552741128484583</v>
      </c>
      <c r="BA54" s="47">
        <v>8.5159396810591009E-2</v>
      </c>
      <c r="BB54" s="47">
        <v>5.8574138622286616E-2</v>
      </c>
      <c r="BC54" s="47">
        <v>6.3247291702463668E-2</v>
      </c>
      <c r="BD54" s="47">
        <v>8.2151874330085001E-2</v>
      </c>
      <c r="BE54" s="47">
        <v>0.20260778369621246</v>
      </c>
      <c r="BF54" s="47">
        <v>0.22885756891430811</v>
      </c>
      <c r="BG54" s="47">
        <v>0.24817439983799305</v>
      </c>
      <c r="BH54" s="47">
        <v>0.29653963442074344</v>
      </c>
      <c r="BI54" s="47">
        <v>0.39750014318793625</v>
      </c>
      <c r="BJ54" s="47">
        <v>0.4408598179876777</v>
      </c>
      <c r="BK54" s="47">
        <v>0.40922337624880339</v>
      </c>
      <c r="BL54" s="47">
        <v>0.39114382103144413</v>
      </c>
      <c r="BM54" s="47">
        <v>0.42052324144758918</v>
      </c>
      <c r="BN54" s="47">
        <v>0.43835718128410955</v>
      </c>
      <c r="BO54" s="47">
        <v>0.47099779286024046</v>
      </c>
      <c r="BP54" s="47">
        <v>0.45830125514453801</v>
      </c>
      <c r="BQ54" s="47">
        <v>0.39253546458348676</v>
      </c>
      <c r="BR54" s="47">
        <v>0.39819304188451687</v>
      </c>
      <c r="BS54" s="47">
        <v>0.42719443183026906</v>
      </c>
      <c r="BT54" s="47">
        <v>0.51096856206583374</v>
      </c>
      <c r="BU54" s="47">
        <v>0.48306201674071525</v>
      </c>
      <c r="BV54" s="47">
        <v>0.56420555139628692</v>
      </c>
      <c r="BW54" s="47">
        <v>0.54129512260978419</v>
      </c>
      <c r="BX54" s="47">
        <v>0.57327815688488504</v>
      </c>
      <c r="BY54" s="47">
        <v>0.57664756130489214</v>
      </c>
      <c r="BZ54" s="47">
        <v>0.582116266558662</v>
      </c>
      <c r="CA54" s="47">
        <v>0.50428567936539115</v>
      </c>
      <c r="CB54" s="47">
        <v>0.49444895963736629</v>
      </c>
      <c r="CC54" s="47">
        <v>0.52777274028981236</v>
      </c>
      <c r="CD54" s="47">
        <v>0.59369150875082843</v>
      </c>
      <c r="CE54" s="47">
        <v>0.58201974561640357</v>
      </c>
      <c r="CF54" s="47">
        <v>0.55769179512670086</v>
      </c>
      <c r="CG54" s="47">
        <v>0.58341613175744778</v>
      </c>
      <c r="CH54" s="47">
        <v>0.61683643335215232</v>
      </c>
      <c r="CI54" s="47">
        <v>0.64769845847958962</v>
      </c>
      <c r="CJ54" s="47">
        <v>0.63488455063534532</v>
      </c>
      <c r="CK54" s="47">
        <v>0.62282057119713286</v>
      </c>
      <c r="CL54" s="47">
        <v>0.59329929244704094</v>
      </c>
      <c r="CM54" s="47">
        <v>0.62128621018352603</v>
      </c>
      <c r="CN54" s="47">
        <v>0.5960105468142729</v>
      </c>
      <c r="CO54" s="47">
        <v>0.57542389868021626</v>
      </c>
      <c r="CP54" s="47">
        <v>0.50627370067175592</v>
      </c>
      <c r="CQ54" s="47">
        <v>0.51544838688562145</v>
      </c>
      <c r="CR54" s="47">
        <v>0.49989734652298778</v>
      </c>
      <c r="CS54" s="47">
        <v>0.48698691773648511</v>
      </c>
      <c r="CT54" s="47">
        <v>0.46423420943894877</v>
      </c>
      <c r="CU54" s="47">
        <v>0.44618609215575578</v>
      </c>
      <c r="CV54" s="47">
        <v>0.45635938842386903</v>
      </c>
      <c r="CW54" s="47">
        <v>0.42309680731813093</v>
      </c>
      <c r="CX54" s="47">
        <v>0.42600723610463359</v>
      </c>
      <c r="CY54" s="47">
        <v>0.41823449581482119</v>
      </c>
      <c r="CZ54" s="47">
        <v>0.41856551257190083</v>
      </c>
    </row>
    <row r="55" spans="1:104" x14ac:dyDescent="0.2">
      <c r="A55" s="45" t="s">
        <v>59</v>
      </c>
      <c r="B55" s="46">
        <f t="shared" si="23"/>
        <v>-10.138097193963505</v>
      </c>
      <c r="C55" s="46">
        <f t="shared" si="24"/>
        <v>-0.19110063965216695</v>
      </c>
      <c r="D55" s="48">
        <f t="shared" si="25"/>
        <v>17.566386343735413</v>
      </c>
      <c r="E55" s="49">
        <v>1.20875645665695E-3</v>
      </c>
      <c r="F55" s="47">
        <v>0.18454490187981673</v>
      </c>
      <c r="G55" s="47">
        <v>0.18930514326577857</v>
      </c>
      <c r="H55" s="47">
        <v>0.25042415110461119</v>
      </c>
      <c r="I55" s="47">
        <v>0.1864559082763384</v>
      </c>
      <c r="J55" s="47">
        <v>0.17561793739249607</v>
      </c>
      <c r="K55" s="47">
        <v>0.16576603648430538</v>
      </c>
      <c r="L55" s="47">
        <v>0.22639151644355845</v>
      </c>
      <c r="M55" s="47">
        <v>0.16974498308534641</v>
      </c>
      <c r="N55" s="47">
        <v>0.19299796002075748</v>
      </c>
      <c r="O55" s="47">
        <v>0.22695517535909818</v>
      </c>
      <c r="P55" s="47">
        <v>0.49898514539626881</v>
      </c>
      <c r="Q55" s="47">
        <v>0.60285114090661374</v>
      </c>
      <c r="R55" s="47">
        <v>0.56546887254448064</v>
      </c>
      <c r="S55" s="47">
        <v>0.39293920151406353</v>
      </c>
      <c r="T55" s="47">
        <v>0.25209198250563358</v>
      </c>
      <c r="U55" s="47">
        <v>0.22169617780238579</v>
      </c>
      <c r="V55" s="47">
        <v>0.27048658134086467</v>
      </c>
      <c r="W55" s="47">
        <v>0.28592587381945178</v>
      </c>
      <c r="X55" s="47">
        <v>0.26896898228459948</v>
      </c>
      <c r="Y55" s="47">
        <v>0.21596351560810914</v>
      </c>
      <c r="Z55" s="47">
        <v>0.29634586766191967</v>
      </c>
      <c r="AA55" s="47">
        <v>0.28624702476949898</v>
      </c>
      <c r="AB55" s="47">
        <v>0.25445907703575016</v>
      </c>
      <c r="AC55" s="47">
        <v>0.13588081217442405</v>
      </c>
      <c r="AD55" s="47">
        <v>0.20771368990822073</v>
      </c>
      <c r="AE55" s="47">
        <v>0.28872988897407653</v>
      </c>
      <c r="AF55" s="47">
        <v>0.5014887329809472</v>
      </c>
      <c r="AG55" s="47">
        <v>0.48113742950357313</v>
      </c>
      <c r="AH55" s="47">
        <v>0.43113644708672416</v>
      </c>
      <c r="AI55" s="47">
        <v>0.43003539475991637</v>
      </c>
      <c r="AJ55" s="47">
        <v>0.41514277493719515</v>
      </c>
      <c r="AK55" s="47">
        <v>0.41779729064272181</v>
      </c>
      <c r="AL55" s="47">
        <v>0.55882097819298693</v>
      </c>
      <c r="AM55" s="47">
        <v>0.67712257770539108</v>
      </c>
      <c r="AN55" s="47">
        <v>0.71123998193571825</v>
      </c>
      <c r="AO55" s="47">
        <v>0.83614426144641141</v>
      </c>
      <c r="AP55" s="47">
        <v>0.8256367284401015</v>
      </c>
      <c r="AQ55" s="47">
        <v>0.95610164572194922</v>
      </c>
      <c r="AR55" s="47">
        <v>0.94134657375379682</v>
      </c>
      <c r="AS55" s="47">
        <v>0.80002648602040294</v>
      </c>
      <c r="AT55" s="47">
        <v>0.70042266671034625</v>
      </c>
      <c r="AU55" s="47">
        <v>0.71861524600799476</v>
      </c>
      <c r="AV55" s="47">
        <v>0.69889877631890618</v>
      </c>
      <c r="AW55" s="47">
        <v>0.62602090228778629</v>
      </c>
      <c r="AX55" s="47">
        <v>0.70725686309521962</v>
      </c>
      <c r="AY55" s="47">
        <v>0.69094655360564083</v>
      </c>
      <c r="AZ55" s="47">
        <v>0.63565429678639873</v>
      </c>
      <c r="BA55" s="47">
        <v>0.31035671822963101</v>
      </c>
      <c r="BB55" s="47">
        <v>0.20069608578038672</v>
      </c>
      <c r="BC55" s="47">
        <v>0.15249254093069015</v>
      </c>
      <c r="BD55" s="47">
        <v>0.2456063947174881</v>
      </c>
      <c r="BE55" s="47">
        <v>0.7103468810261292</v>
      </c>
      <c r="BF55" s="47">
        <v>0.62536214623271058</v>
      </c>
      <c r="BG55" s="47">
        <v>0.63326872927157996</v>
      </c>
      <c r="BH55" s="47">
        <v>0.58079500817774232</v>
      </c>
      <c r="BI55" s="47">
        <v>0.60046796907145727</v>
      </c>
      <c r="BJ55" s="47">
        <v>0.6834629455421829</v>
      </c>
      <c r="BK55" s="47">
        <v>0.69371972132009374</v>
      </c>
      <c r="BL55" s="47">
        <v>0.68723953097612789</v>
      </c>
      <c r="BM55" s="47">
        <v>0.6590510511031562</v>
      </c>
      <c r="BN55" s="47">
        <v>0.6229196937998186</v>
      </c>
      <c r="BO55" s="47">
        <v>0.65456379556734456</v>
      </c>
      <c r="BP55" s="47">
        <v>0.49777165543734936</v>
      </c>
      <c r="BQ55" s="47">
        <v>0.45463678118441841</v>
      </c>
      <c r="BR55" s="47">
        <v>0.46809452985757738</v>
      </c>
      <c r="BS55" s="47">
        <v>0.49759115808434135</v>
      </c>
      <c r="BT55" s="47">
        <v>0.51961408623730221</v>
      </c>
      <c r="BU55" s="47">
        <v>0.55391786661065856</v>
      </c>
      <c r="BV55" s="47">
        <v>0.56321666445891494</v>
      </c>
      <c r="BW55" s="47">
        <v>0.55473949487087371</v>
      </c>
      <c r="BX55" s="47">
        <v>0.6120571621926143</v>
      </c>
      <c r="BY55" s="47">
        <v>0.71277611103723093</v>
      </c>
      <c r="BZ55" s="47">
        <v>0.72149307027299592</v>
      </c>
      <c r="CA55" s="47">
        <v>0.75506140547719869</v>
      </c>
      <c r="CB55" s="47">
        <v>0.5799824403724847</v>
      </c>
      <c r="CC55" s="47">
        <v>0.67877821588939313</v>
      </c>
      <c r="CD55" s="47">
        <v>0.67648463066439679</v>
      </c>
      <c r="CE55" s="47">
        <v>0.67915386898337604</v>
      </c>
      <c r="CF55" s="47">
        <v>0.6250959704852812</v>
      </c>
      <c r="CG55" s="47">
        <v>0.59171705013554399</v>
      </c>
      <c r="CH55" s="47">
        <v>0.63668785490461421</v>
      </c>
      <c r="CI55" s="47">
        <v>0.61068681581568063</v>
      </c>
      <c r="CJ55" s="47">
        <v>0.5745256675986693</v>
      </c>
      <c r="CK55" s="47">
        <v>0.48414373201778088</v>
      </c>
      <c r="CL55" s="47">
        <v>0.47101621240300262</v>
      </c>
      <c r="CM55" s="47">
        <v>0.49277091403871942</v>
      </c>
      <c r="CN55" s="47">
        <v>0.57170310664456192</v>
      </c>
      <c r="CO55" s="47">
        <v>0.54051326504454966</v>
      </c>
      <c r="CP55" s="47">
        <v>0.49745487699977842</v>
      </c>
      <c r="CQ55" s="47">
        <v>0.4449479009596396</v>
      </c>
      <c r="CR55" s="47">
        <v>0.42118498480665817</v>
      </c>
      <c r="CS55" s="47">
        <v>0.47159118924751375</v>
      </c>
      <c r="CT55" s="47">
        <v>0.47672170203751413</v>
      </c>
      <c r="CU55" s="47">
        <v>0.49661832412660079</v>
      </c>
      <c r="CV55" s="47">
        <v>0.48720136295284899</v>
      </c>
      <c r="CW55" s="47">
        <v>0.50619321253158289</v>
      </c>
      <c r="CX55" s="47">
        <v>0.53307077506046663</v>
      </c>
      <c r="CY55" s="47">
        <v>0.55623141258128006</v>
      </c>
      <c r="CZ55" s="47">
        <v>0.54832150255004908</v>
      </c>
    </row>
    <row r="56" spans="1:104" x14ac:dyDescent="0.2">
      <c r="A56" s="45" t="s">
        <v>62</v>
      </c>
      <c r="B56" s="46">
        <f t="shared" si="23"/>
        <v>33.490071265508533</v>
      </c>
      <c r="C56" s="46">
        <f t="shared" si="24"/>
        <v>-3.7706705939977714</v>
      </c>
      <c r="D56" s="48">
        <f t="shared" si="25"/>
        <v>20.711650834436199</v>
      </c>
      <c r="E56" s="49">
        <v>3.6858036373128303E-2</v>
      </c>
      <c r="F56" s="47">
        <v>0.53801433709008439</v>
      </c>
      <c r="G56" s="47">
        <v>0.53719821631802389</v>
      </c>
      <c r="H56" s="47">
        <v>0.57472747400635715</v>
      </c>
      <c r="I56" s="47">
        <v>0.57572104303006211</v>
      </c>
      <c r="J56" s="47">
        <v>0.52664181047104452</v>
      </c>
      <c r="K56" s="47">
        <v>0.4619006458075729</v>
      </c>
      <c r="L56" s="47">
        <v>0.41985326579805582</v>
      </c>
      <c r="M56" s="47">
        <v>0.3198222677330318</v>
      </c>
      <c r="N56" s="47">
        <v>0.25169333754389062</v>
      </c>
      <c r="O56" s="47">
        <v>0.19699693477630914</v>
      </c>
      <c r="P56" s="47">
        <v>0.1871320746237515</v>
      </c>
      <c r="Q56" s="47">
        <v>0.16363395353340698</v>
      </c>
      <c r="R56" s="47">
        <v>0.12996177744169929</v>
      </c>
      <c r="S56" s="47">
        <v>0.11480317539170803</v>
      </c>
      <c r="T56" s="47">
        <v>0.10581638114750154</v>
      </c>
      <c r="U56" s="47">
        <v>0.12985489706510928</v>
      </c>
      <c r="V56" s="47">
        <v>0.16642758594623325</v>
      </c>
      <c r="W56" s="47">
        <v>0.20311362443499906</v>
      </c>
      <c r="X56" s="47">
        <v>0.2336132189855141</v>
      </c>
      <c r="Y56" s="47">
        <v>0.25745039089856714</v>
      </c>
      <c r="Z56" s="47">
        <v>0.30831413437093941</v>
      </c>
      <c r="AA56" s="47">
        <v>0.36388922898510601</v>
      </c>
      <c r="AB56" s="47">
        <v>0.39909766445707495</v>
      </c>
      <c r="AC56" s="47">
        <v>0.43777485650989095</v>
      </c>
      <c r="AD56" s="47">
        <v>0.49417195142725623</v>
      </c>
      <c r="AE56" s="47">
        <v>0.53479464543994049</v>
      </c>
      <c r="AF56" s="47">
        <v>0.58697295775427938</v>
      </c>
      <c r="AG56" s="47">
        <v>0.60143240242373985</v>
      </c>
      <c r="AH56" s="47">
        <v>0.64472223344654211</v>
      </c>
      <c r="AI56" s="47">
        <v>0.69711050349825265</v>
      </c>
      <c r="AJ56" s="47">
        <v>0.78313048377753813</v>
      </c>
      <c r="AK56" s="47">
        <v>0.84624451861255046</v>
      </c>
      <c r="AL56" s="47">
        <v>0.88028069442835533</v>
      </c>
      <c r="AM56" s="47">
        <v>0.88159432745884314</v>
      </c>
      <c r="AN56" s="47">
        <v>0.8592719197887041</v>
      </c>
      <c r="AO56" s="47">
        <v>0.83588608128179409</v>
      </c>
      <c r="AP56" s="47">
        <v>0.80463586696971012</v>
      </c>
      <c r="AQ56" s="47">
        <v>0.80031645228405457</v>
      </c>
      <c r="AR56" s="47">
        <v>0.68660131220685572</v>
      </c>
      <c r="AS56" s="47">
        <v>0.65859040158339621</v>
      </c>
      <c r="AT56" s="47">
        <v>0.59947227369095157</v>
      </c>
      <c r="AU56" s="47">
        <v>0.55105548446314467</v>
      </c>
      <c r="AV56" s="47">
        <v>0.47670273640642669</v>
      </c>
      <c r="AW56" s="47">
        <v>0.42857451037755806</v>
      </c>
      <c r="AX56" s="47">
        <v>0.40501704724026305</v>
      </c>
      <c r="AY56" s="47">
        <v>0.40139949491006899</v>
      </c>
      <c r="AZ56" s="47">
        <v>0.46357095107457308</v>
      </c>
      <c r="BA56" s="47">
        <v>0.47087624579915571</v>
      </c>
      <c r="BB56" s="47">
        <v>0.50594118571894664</v>
      </c>
      <c r="BC56" s="47">
        <v>0.40258690356953741</v>
      </c>
      <c r="BD56" s="47">
        <v>0.44178597134226633</v>
      </c>
      <c r="BE56" s="47">
        <v>0.38970411609333611</v>
      </c>
      <c r="BF56" s="47">
        <v>0.37392291538301287</v>
      </c>
      <c r="BG56" s="47">
        <v>0.31737665487049932</v>
      </c>
      <c r="BH56" s="47">
        <v>0.27827506348951425</v>
      </c>
      <c r="BI56" s="47">
        <v>0.24589343806311412</v>
      </c>
      <c r="BJ56" s="47">
        <v>0.21409929529420291</v>
      </c>
      <c r="BK56" s="47">
        <v>0.23557125685103592</v>
      </c>
      <c r="BL56" s="47">
        <v>0.24588303903770942</v>
      </c>
      <c r="BM56" s="47">
        <v>0.2717543111389632</v>
      </c>
      <c r="BN56" s="47">
        <v>0.25812117260725137</v>
      </c>
      <c r="BO56" s="47">
        <v>0.24623765487306815</v>
      </c>
      <c r="BP56" s="47">
        <v>0.26119885946337051</v>
      </c>
      <c r="BQ56" s="47">
        <v>0.32064179062794324</v>
      </c>
      <c r="BR56" s="47">
        <v>0.37006936699676907</v>
      </c>
      <c r="BS56" s="47">
        <v>0.42507113555756781</v>
      </c>
      <c r="BT56" s="47">
        <v>0.4560480053083254</v>
      </c>
      <c r="BU56" s="47">
        <v>0.50972245367911806</v>
      </c>
      <c r="BV56" s="47">
        <v>0.55346593154890666</v>
      </c>
      <c r="BW56" s="47">
        <v>0.61041881824838029</v>
      </c>
      <c r="BX56" s="47">
        <v>0.62528308872641958</v>
      </c>
      <c r="BY56" s="47">
        <v>0.60082345571395535</v>
      </c>
      <c r="BZ56" s="47">
        <v>0.56923663619233578</v>
      </c>
      <c r="CA56" s="47">
        <v>0.59015808661453539</v>
      </c>
      <c r="CB56" s="47">
        <v>0.60203442093574211</v>
      </c>
      <c r="CC56" s="47">
        <v>0.63129213227304481</v>
      </c>
      <c r="CD56" s="47">
        <v>0.62469162693329006</v>
      </c>
      <c r="CE56" s="47">
        <v>0.65846606528573204</v>
      </c>
      <c r="CF56" s="47">
        <v>0.72533226094786518</v>
      </c>
      <c r="CG56" s="47">
        <v>0.73867393422280392</v>
      </c>
      <c r="CH56" s="47">
        <v>0.76340066110997484</v>
      </c>
      <c r="CI56" s="47">
        <v>0.75144117657823972</v>
      </c>
      <c r="CJ56" s="47">
        <v>0.77052118424845928</v>
      </c>
      <c r="CK56" s="47">
        <v>0.76476924277522029</v>
      </c>
      <c r="CL56" s="47">
        <v>0.78807678101548362</v>
      </c>
      <c r="CM56" s="47">
        <v>0.76997320493749499</v>
      </c>
      <c r="CN56" s="47">
        <v>0.70691152389892042</v>
      </c>
      <c r="CO56" s="47">
        <v>0.68223208084471298</v>
      </c>
      <c r="CP56" s="47">
        <v>0.67410561929576673</v>
      </c>
      <c r="CQ56" s="47">
        <v>0.61340720819207883</v>
      </c>
      <c r="CR56" s="47">
        <v>0.58554041994519712</v>
      </c>
      <c r="CS56" s="47">
        <v>0.54017026721221806</v>
      </c>
      <c r="CT56" s="47">
        <v>0.49950403674106869</v>
      </c>
      <c r="CU56" s="47">
        <v>0.40878239043493358</v>
      </c>
      <c r="CV56" s="47">
        <v>0.35895618017384684</v>
      </c>
      <c r="CW56" s="47">
        <v>0.35511116489985656</v>
      </c>
      <c r="CX56" s="47">
        <v>0.35940451783254695</v>
      </c>
      <c r="CY56" s="47">
        <v>0.39331618005991237</v>
      </c>
      <c r="CZ56" s="47">
        <v>0.32755123995411856</v>
      </c>
    </row>
    <row r="57" spans="1:104" x14ac:dyDescent="0.2">
      <c r="A57" s="45" t="s">
        <v>65</v>
      </c>
      <c r="B57" s="46">
        <f t="shared" si="23"/>
        <v>22.596714222770554</v>
      </c>
      <c r="C57" s="46">
        <f t="shared" si="24"/>
        <v>12.135549645960515</v>
      </c>
      <c r="D57" s="48">
        <f t="shared" si="25"/>
        <v>18.671730977964916</v>
      </c>
      <c r="E57" s="49">
        <v>1.5499992470370901E-2</v>
      </c>
      <c r="F57" s="47">
        <v>0.39883642522078722</v>
      </c>
      <c r="G57" s="47">
        <v>0.39375236466362618</v>
      </c>
      <c r="H57" s="47">
        <v>0.33371798840679134</v>
      </c>
      <c r="I57" s="47">
        <v>0.27748092876118208</v>
      </c>
      <c r="J57" s="47">
        <v>0.25474649188916448</v>
      </c>
      <c r="K57" s="47">
        <v>0.24438809586942145</v>
      </c>
      <c r="L57" s="47">
        <v>0.22651221655507062</v>
      </c>
      <c r="M57" s="47">
        <v>0.2233799812506588</v>
      </c>
      <c r="N57" s="47">
        <v>0.23570778897383349</v>
      </c>
      <c r="O57" s="47">
        <v>0.23425295346690278</v>
      </c>
      <c r="P57" s="47">
        <v>0.21562347002613688</v>
      </c>
      <c r="Q57" s="47">
        <v>0.20783501201062182</v>
      </c>
      <c r="R57" s="47">
        <v>0.20760557312056094</v>
      </c>
      <c r="S57" s="47">
        <v>0.19782026644363018</v>
      </c>
      <c r="T57" s="47">
        <v>0.19874240344825234</v>
      </c>
      <c r="U57" s="47">
        <v>0.24147652900496325</v>
      </c>
      <c r="V57" s="47">
        <v>0.17720786300678773</v>
      </c>
      <c r="W57" s="47">
        <v>0.17286928299308166</v>
      </c>
      <c r="X57" s="47">
        <v>0.19132732219755252</v>
      </c>
      <c r="Y57" s="47">
        <v>0.18711381686678699</v>
      </c>
      <c r="Z57" s="47">
        <v>0.20434836704214485</v>
      </c>
      <c r="AA57" s="47">
        <v>0.21633812143211392</v>
      </c>
      <c r="AB57" s="47">
        <v>0.19030693860397349</v>
      </c>
      <c r="AC57" s="47">
        <v>0.19812839811354019</v>
      </c>
      <c r="AD57" s="47">
        <v>0.24233735037552756</v>
      </c>
      <c r="AE57" s="47">
        <v>0.32681741247136953</v>
      </c>
      <c r="AF57" s="47">
        <v>0.46493265995766286</v>
      </c>
      <c r="AG57" s="47">
        <v>0.64721538145732316</v>
      </c>
      <c r="AH57" s="47">
        <v>0.68215910791543277</v>
      </c>
      <c r="AI57" s="47">
        <v>0.67934773543330618</v>
      </c>
      <c r="AJ57" s="47">
        <v>0.68360801461816101</v>
      </c>
      <c r="AK57" s="47">
        <v>0.67139103843152093</v>
      </c>
      <c r="AL57" s="47">
        <v>0.71330033825653172</v>
      </c>
      <c r="AM57" s="47">
        <v>0.7172236835713699</v>
      </c>
      <c r="AN57" s="47">
        <v>0.70583194037249741</v>
      </c>
      <c r="AO57" s="47">
        <v>0.73302481732677194</v>
      </c>
      <c r="AP57" s="47">
        <v>0.75628154973830586</v>
      </c>
      <c r="AQ57" s="47">
        <v>0.84872949519101959</v>
      </c>
      <c r="AR57" s="47">
        <v>0.77098643694485391</v>
      </c>
      <c r="AS57" s="47">
        <v>0.49389017659197709</v>
      </c>
      <c r="AT57" s="47">
        <v>0.38314628989404542</v>
      </c>
      <c r="AU57" s="47">
        <v>0.32976411862963545</v>
      </c>
      <c r="AV57" s="47">
        <v>0.2999912292412662</v>
      </c>
      <c r="AW57" s="47">
        <v>0.31449232599702553</v>
      </c>
      <c r="AX57" s="47">
        <v>0.35222452662678078</v>
      </c>
      <c r="AY57" s="47">
        <v>0.36687380097663663</v>
      </c>
      <c r="AZ57" s="47">
        <v>0.35283430816447331</v>
      </c>
      <c r="BA57" s="47">
        <v>0.30035357861235473</v>
      </c>
      <c r="BB57" s="47">
        <v>0.25068856688211555</v>
      </c>
      <c r="BC57" s="47">
        <v>0.45008392267592778</v>
      </c>
      <c r="BD57" s="47">
        <v>0.48831078582053128</v>
      </c>
      <c r="BE57" s="47">
        <v>0.55845166587053552</v>
      </c>
      <c r="BF57" s="47">
        <v>0.55315951939407193</v>
      </c>
      <c r="BG57" s="47">
        <v>0.55866616606822472</v>
      </c>
      <c r="BH57" s="47">
        <v>0.49244395578631545</v>
      </c>
      <c r="BI57" s="47">
        <v>0.47964972202196871</v>
      </c>
      <c r="BJ57" s="47">
        <v>0.48276270867407761</v>
      </c>
      <c r="BK57" s="47">
        <v>0.54376968911377799</v>
      </c>
      <c r="BL57" s="47">
        <v>0.58967804048274619</v>
      </c>
      <c r="BM57" s="47">
        <v>0.5554480786811693</v>
      </c>
      <c r="BN57" s="47">
        <v>0.58084345802879578</v>
      </c>
      <c r="BO57" s="47">
        <v>0.52769095313556891</v>
      </c>
      <c r="BP57" s="47">
        <v>0.55292550111780792</v>
      </c>
      <c r="BQ57" s="47">
        <v>0.6223730369763748</v>
      </c>
      <c r="BR57" s="47">
        <v>0.70391064000759596</v>
      </c>
      <c r="BS57" s="47">
        <v>0.70738301369321654</v>
      </c>
      <c r="BT57" s="47">
        <v>0.76727761185101939</v>
      </c>
      <c r="BU57" s="47">
        <v>0.75199807100946248</v>
      </c>
      <c r="BV57" s="47">
        <v>0.71982364978050728</v>
      </c>
      <c r="BW57" s="47">
        <v>0.67638879158372922</v>
      </c>
      <c r="BX57" s="47">
        <v>0.63750330714821324</v>
      </c>
      <c r="BY57" s="47">
        <v>0.65964539027581115</v>
      </c>
      <c r="BZ57" s="47">
        <v>0.60905226579746019</v>
      </c>
      <c r="CA57" s="47">
        <v>0.67632678270905211</v>
      </c>
      <c r="CB57" s="47">
        <v>0.63681155299590531</v>
      </c>
      <c r="CC57" s="47">
        <v>0.76811841284867977</v>
      </c>
      <c r="CD57" s="47">
        <v>0.68389613644120162</v>
      </c>
      <c r="CE57" s="47">
        <v>0.71200448504468894</v>
      </c>
      <c r="CF57" s="47">
        <v>0.712087776490546</v>
      </c>
      <c r="CG57" s="47">
        <v>0.73848007874296961</v>
      </c>
      <c r="CH57" s="47">
        <v>0.72460170487063924</v>
      </c>
      <c r="CI57" s="47">
        <v>0.67256921745951481</v>
      </c>
      <c r="CJ57" s="47">
        <v>0.63606836515466014</v>
      </c>
      <c r="CK57" s="47">
        <v>0.61117635524168878</v>
      </c>
      <c r="CL57" s="47">
        <v>0.68003426729764682</v>
      </c>
      <c r="CM57" s="47">
        <v>0.65488667993773197</v>
      </c>
      <c r="CN57" s="47">
        <v>0.68125711396743027</v>
      </c>
      <c r="CO57" s="47">
        <v>0.58657335582310377</v>
      </c>
      <c r="CP57" s="47">
        <v>0.57679285937098057</v>
      </c>
      <c r="CQ57" s="47">
        <v>0.54106669035546662</v>
      </c>
      <c r="CR57" s="47">
        <v>0.52110403211563805</v>
      </c>
      <c r="CS57" s="47">
        <v>0.53770753830363716</v>
      </c>
      <c r="CT57" s="47">
        <v>0.54885413486021073</v>
      </c>
      <c r="CU57" s="47">
        <v>0.53685197443719557</v>
      </c>
      <c r="CV57" s="47">
        <v>0.5463956187248985</v>
      </c>
      <c r="CW57" s="47">
        <v>0.5772580249767888</v>
      </c>
      <c r="CX57" s="47">
        <v>0.61169485453478445</v>
      </c>
      <c r="CY57" s="47">
        <v>0.6003518129974712</v>
      </c>
      <c r="CZ57" s="47">
        <v>0.6098006686084827</v>
      </c>
    </row>
    <row r="58" spans="1:104" x14ac:dyDescent="0.2">
      <c r="A58" s="45" t="s">
        <v>68</v>
      </c>
      <c r="B58" s="46">
        <f t="shared" si="23"/>
        <v>58.726499999999994</v>
      </c>
      <c r="C58" s="46">
        <f t="shared" si="24"/>
        <v>6.7350000000000021</v>
      </c>
      <c r="D58" s="48">
        <f t="shared" si="25"/>
        <v>11.351910710762436</v>
      </c>
      <c r="E58" s="49">
        <v>7.1902938061271099E-3</v>
      </c>
      <c r="F58" s="47">
        <v>0.73033499999999996</v>
      </c>
      <c r="G58" s="47">
        <v>0.63968499999999995</v>
      </c>
      <c r="H58" s="47">
        <v>0.66023500000000002</v>
      </c>
      <c r="I58" s="47">
        <v>0.66298499999999994</v>
      </c>
      <c r="J58" s="47">
        <v>0.68928500000000015</v>
      </c>
      <c r="K58" s="47">
        <v>0.76888500000000004</v>
      </c>
      <c r="L58" s="47">
        <v>0.77878499999999995</v>
      </c>
      <c r="M58" s="47">
        <v>0.82683499999999999</v>
      </c>
      <c r="N58" s="47">
        <v>0.78703000000000001</v>
      </c>
      <c r="O58" s="47">
        <v>0.80669000000000002</v>
      </c>
      <c r="P58" s="47">
        <v>0.70739000000000007</v>
      </c>
      <c r="Q58" s="47">
        <v>0.58493500000000009</v>
      </c>
      <c r="R58" s="47">
        <v>0.37219000000000002</v>
      </c>
      <c r="S58" s="47">
        <v>0.34362999999999999</v>
      </c>
      <c r="T58" s="47">
        <v>0.27368999999999999</v>
      </c>
      <c r="U58" s="47">
        <v>0.22787000000000002</v>
      </c>
      <c r="V58" s="47">
        <v>0.17536500000000002</v>
      </c>
      <c r="W58" s="47">
        <v>0.14307</v>
      </c>
      <c r="X58" s="47">
        <v>0.20732</v>
      </c>
      <c r="Y58" s="47">
        <v>0.23304999999999998</v>
      </c>
      <c r="Z58" s="47">
        <v>0.18035499999999999</v>
      </c>
      <c r="AA58" s="47">
        <v>0.19066</v>
      </c>
      <c r="AB58" s="47">
        <v>0.26293</v>
      </c>
      <c r="AC58" s="47">
        <v>0.42651000000000006</v>
      </c>
      <c r="AD58" s="47">
        <v>0.53459000000000001</v>
      </c>
      <c r="AE58" s="47">
        <v>0.51492500000000008</v>
      </c>
      <c r="AF58" s="47">
        <v>0.48558000000000001</v>
      </c>
      <c r="AG58" s="47">
        <v>0.54203500000000004</v>
      </c>
      <c r="AH58" s="47">
        <v>0.38697499999999996</v>
      </c>
      <c r="AI58" s="47">
        <v>0.42054999999999998</v>
      </c>
      <c r="AJ58" s="47">
        <v>0.39271</v>
      </c>
      <c r="AK58" s="47">
        <v>0.48630499999999999</v>
      </c>
      <c r="AL58" s="47">
        <v>0.51500000000000001</v>
      </c>
      <c r="AM58" s="47">
        <v>0.55190499999999998</v>
      </c>
      <c r="AN58" s="47">
        <v>0.53496500000000002</v>
      </c>
      <c r="AO58" s="47">
        <v>0.49837500000000001</v>
      </c>
      <c r="AP58" s="47">
        <v>0.523065</v>
      </c>
      <c r="AQ58" s="47">
        <v>0.47290500000000002</v>
      </c>
      <c r="AR58" s="47">
        <v>0.47869000000000006</v>
      </c>
      <c r="AS58" s="47">
        <v>0.39675000000000005</v>
      </c>
      <c r="AT58" s="47">
        <v>0.41189000000000003</v>
      </c>
      <c r="AU58" s="47">
        <v>0.40886499999999998</v>
      </c>
      <c r="AV58" s="47">
        <v>0.41363500000000003</v>
      </c>
      <c r="AW58" s="47">
        <v>0.39453500000000002</v>
      </c>
      <c r="AX58" s="47">
        <v>0.37804000000000004</v>
      </c>
      <c r="AY58" s="47">
        <v>0.37357999999999997</v>
      </c>
      <c r="AZ58" s="47">
        <v>0.35631999999999997</v>
      </c>
      <c r="BA58" s="47">
        <v>0.355325</v>
      </c>
      <c r="BB58" s="47">
        <v>0.36508499999999999</v>
      </c>
      <c r="BC58" s="47">
        <v>0.37501000000000001</v>
      </c>
      <c r="BD58" s="47">
        <v>0.47114499999999998</v>
      </c>
      <c r="BE58" s="47">
        <v>0.53621500000000011</v>
      </c>
      <c r="BF58" s="47">
        <v>0.55770500000000012</v>
      </c>
      <c r="BG58" s="47">
        <v>0.53993000000000002</v>
      </c>
      <c r="BH58" s="47">
        <v>0.51977499999999999</v>
      </c>
      <c r="BI58" s="47">
        <v>0.46727000000000002</v>
      </c>
      <c r="BJ58" s="47">
        <v>0.46542999999999995</v>
      </c>
      <c r="BK58" s="47">
        <v>0.470835</v>
      </c>
      <c r="BL58" s="47">
        <v>0.47758499999999998</v>
      </c>
      <c r="BM58" s="47">
        <v>0.48295500000000002</v>
      </c>
      <c r="BN58" s="47">
        <v>0.488145</v>
      </c>
      <c r="BO58" s="47">
        <v>0.46359500000000009</v>
      </c>
      <c r="BP58" s="47">
        <v>0.45252500000000001</v>
      </c>
      <c r="BQ58" s="47">
        <v>0.47491000000000005</v>
      </c>
      <c r="BR58" s="47">
        <v>0.51355499999999998</v>
      </c>
      <c r="BS58" s="47">
        <v>0.55675999999999992</v>
      </c>
      <c r="BT58" s="47">
        <v>0.58828999999999998</v>
      </c>
      <c r="BU58" s="47">
        <v>0.60555000000000003</v>
      </c>
      <c r="BV58" s="47">
        <v>0.57944000000000007</v>
      </c>
      <c r="BW58" s="47">
        <v>0.57504500000000003</v>
      </c>
      <c r="BX58" s="47">
        <v>0.57758500000000013</v>
      </c>
      <c r="BY58" s="47">
        <v>0.59042500000000009</v>
      </c>
      <c r="BZ58" s="47">
        <v>0.59648500000000004</v>
      </c>
      <c r="CA58" s="47">
        <v>0.58598000000000006</v>
      </c>
      <c r="CB58" s="47">
        <v>0.57042999999999999</v>
      </c>
      <c r="CC58" s="47">
        <v>0.58207000000000009</v>
      </c>
      <c r="CD58" s="47">
        <v>0.59841999999999995</v>
      </c>
      <c r="CE58" s="47">
        <v>0.60130499999999998</v>
      </c>
      <c r="CF58" s="47">
        <v>0.59125500000000009</v>
      </c>
      <c r="CG58" s="47">
        <v>0.58004000000000011</v>
      </c>
      <c r="CH58" s="47">
        <v>0.57329000000000008</v>
      </c>
      <c r="CI58" s="47">
        <v>0.57044000000000006</v>
      </c>
      <c r="CJ58" s="47">
        <v>0.55149000000000004</v>
      </c>
      <c r="CK58" s="47">
        <v>0.52927499999999994</v>
      </c>
      <c r="CL58" s="47">
        <v>0.49337500000000001</v>
      </c>
      <c r="CM58" s="47">
        <v>0.49772500000000003</v>
      </c>
      <c r="CN58" s="47">
        <v>0.47167500000000001</v>
      </c>
      <c r="CO58" s="47">
        <v>0.45266000000000001</v>
      </c>
      <c r="CP58" s="47">
        <v>0.44416000000000005</v>
      </c>
      <c r="CQ58" s="47">
        <v>0.43976000000000004</v>
      </c>
      <c r="CR58" s="47">
        <v>0.44869500000000001</v>
      </c>
      <c r="CS58" s="47">
        <v>0.45374500000000001</v>
      </c>
      <c r="CT58" s="47">
        <v>0.47377999999999998</v>
      </c>
      <c r="CU58" s="47">
        <v>0.47853000000000001</v>
      </c>
      <c r="CV58" s="47">
        <v>0.55304500000000001</v>
      </c>
      <c r="CW58" s="47">
        <v>0.59614500000000004</v>
      </c>
      <c r="CX58" s="47">
        <v>0.60670999999999997</v>
      </c>
      <c r="CY58" s="47">
        <v>0.61101000000000005</v>
      </c>
      <c r="CZ58" s="47">
        <v>0.62334999999999996</v>
      </c>
    </row>
    <row r="59" spans="1:104" x14ac:dyDescent="0.2">
      <c r="A59" s="45" t="s">
        <v>71</v>
      </c>
      <c r="B59" s="46">
        <f t="shared" si="23"/>
        <v>-14.30569625599068</v>
      </c>
      <c r="C59" s="46">
        <f t="shared" si="24"/>
        <v>-5.7968288639520527</v>
      </c>
      <c r="D59" s="48">
        <f t="shared" si="25"/>
        <v>19.383724349650578</v>
      </c>
      <c r="E59" s="49">
        <v>3.5037874034325102E-2</v>
      </c>
      <c r="F59" s="47">
        <v>0.19661303935491015</v>
      </c>
      <c r="G59" s="47">
        <v>0.19661303935491015</v>
      </c>
      <c r="H59" s="47">
        <v>0.2381964974592484</v>
      </c>
      <c r="I59" s="47">
        <v>0.25458132799443067</v>
      </c>
      <c r="J59" s="47">
        <v>0.2115228851772713</v>
      </c>
      <c r="K59" s="47">
        <v>0.15400143936796867</v>
      </c>
      <c r="L59" s="47">
        <v>0.10656273197901994</v>
      </c>
      <c r="M59" s="47">
        <v>8.8639368818422007E-2</v>
      </c>
      <c r="N59" s="47">
        <v>0.12393744857292222</v>
      </c>
      <c r="O59" s="47">
        <v>0.16147109754412867</v>
      </c>
      <c r="P59" s="47">
        <v>0.18029352826212994</v>
      </c>
      <c r="Q59" s="47">
        <v>0.13937010974122557</v>
      </c>
      <c r="R59" s="47">
        <v>0.11833657149063213</v>
      </c>
      <c r="S59" s="47">
        <v>7.6117107075544796E-2</v>
      </c>
      <c r="T59" s="47">
        <v>0.17752336894900694</v>
      </c>
      <c r="U59" s="47">
        <v>0.2887102915990174</v>
      </c>
      <c r="V59" s="47">
        <v>0.3089404789187562</v>
      </c>
      <c r="W59" s="47">
        <v>0.33967000191481694</v>
      </c>
      <c r="X59" s="47">
        <v>0.33087495250615084</v>
      </c>
      <c r="Y59" s="47">
        <v>0.32373822651141737</v>
      </c>
      <c r="Z59" s="47">
        <v>0.30271755574640558</v>
      </c>
      <c r="AA59" s="47">
        <v>0.32585152819683733</v>
      </c>
      <c r="AB59" s="47">
        <v>0.33624174062898704</v>
      </c>
      <c r="AC59" s="47">
        <v>0.36674586370992818</v>
      </c>
      <c r="AD59" s="47">
        <v>0.3780538359644825</v>
      </c>
      <c r="AE59" s="47">
        <v>0.39535158355714384</v>
      </c>
      <c r="AF59" s="47">
        <v>0.44693047569808908</v>
      </c>
      <c r="AG59" s="47">
        <v>0.4621221159213893</v>
      </c>
      <c r="AH59" s="47">
        <v>0.48221090056238874</v>
      </c>
      <c r="AI59" s="47">
        <v>0.47543315941106146</v>
      </c>
      <c r="AJ59" s="47">
        <v>0.49188566093977931</v>
      </c>
      <c r="AK59" s="47">
        <v>0.43877983037195101</v>
      </c>
      <c r="AL59" s="47">
        <v>0.39011171070755435</v>
      </c>
      <c r="AM59" s="47">
        <v>0.39036327400526644</v>
      </c>
      <c r="AN59" s="47">
        <v>0.41175749879774448</v>
      </c>
      <c r="AO59" s="47">
        <v>0.42246838488911076</v>
      </c>
      <c r="AP59" s="47">
        <v>0.40646476005092802</v>
      </c>
      <c r="AQ59" s="47">
        <v>0.39951863690469447</v>
      </c>
      <c r="AR59" s="47">
        <v>0.41272440342960293</v>
      </c>
      <c r="AS59" s="47">
        <v>0.43175293283435134</v>
      </c>
      <c r="AT59" s="47">
        <v>0.39785584377695887</v>
      </c>
      <c r="AU59" s="47">
        <v>0.30166080015670188</v>
      </c>
      <c r="AV59" s="47">
        <v>0.2596551968185084</v>
      </c>
      <c r="AW59" s="47">
        <v>0.30983150728448061</v>
      </c>
      <c r="AX59" s="47">
        <v>0.40600974089015707</v>
      </c>
      <c r="AY59" s="47">
        <v>0.43559072225172613</v>
      </c>
      <c r="AZ59" s="47">
        <v>0.42345432841883168</v>
      </c>
      <c r="BA59" s="47">
        <v>0.40369363319433366</v>
      </c>
      <c r="BB59" s="47">
        <v>0.43631435063703827</v>
      </c>
      <c r="BC59" s="47">
        <v>0.45876783418025013</v>
      </c>
      <c r="BD59" s="47">
        <v>0.43768284045835298</v>
      </c>
      <c r="BE59" s="47">
        <v>0.44030708648965011</v>
      </c>
      <c r="BF59" s="47">
        <v>0.45581132029120425</v>
      </c>
      <c r="BG59" s="47">
        <v>0.50010670186170914</v>
      </c>
      <c r="BH59" s="47">
        <v>0.53316590525213681</v>
      </c>
      <c r="BI59" s="47">
        <v>0.54334495479138789</v>
      </c>
      <c r="BJ59" s="47">
        <v>0.62475051145188842</v>
      </c>
      <c r="BK59" s="47">
        <v>0.67577179118027153</v>
      </c>
      <c r="BL59" s="47">
        <v>0.69894958190349643</v>
      </c>
      <c r="BM59" s="47">
        <v>0.71770587724552093</v>
      </c>
      <c r="BN59" s="47">
        <v>0.77478234800400347</v>
      </c>
      <c r="BO59" s="47">
        <v>0.79334430493873265</v>
      </c>
      <c r="BP59" s="47">
        <v>0.83030900962935417</v>
      </c>
      <c r="BQ59" s="47">
        <v>0.84119927742181055</v>
      </c>
      <c r="BR59" s="47">
        <v>0.85725897905499626</v>
      </c>
      <c r="BS59" s="47">
        <v>0.87196755448451291</v>
      </c>
      <c r="BT59" s="47">
        <v>0.884597569934923</v>
      </c>
      <c r="BU59" s="47">
        <v>0.8956614500093566</v>
      </c>
      <c r="BV59" s="47">
        <v>0.89930191156288553</v>
      </c>
      <c r="BW59" s="47">
        <v>0.87335760083574332</v>
      </c>
      <c r="BX59" s="47">
        <v>0.80732576428362834</v>
      </c>
      <c r="BY59" s="47">
        <v>0.78425753968702772</v>
      </c>
      <c r="BZ59" s="47">
        <v>0.77089811196116997</v>
      </c>
      <c r="CA59" s="47">
        <v>0.77561961023657455</v>
      </c>
      <c r="CB59" s="47">
        <v>0.73063357045726318</v>
      </c>
      <c r="CC59" s="47">
        <v>0.71389382279930935</v>
      </c>
      <c r="CD59" s="47">
        <v>0.71353862887500541</v>
      </c>
      <c r="CE59" s="47">
        <v>0.68924104736326353</v>
      </c>
      <c r="CF59" s="47">
        <v>0.70253500403682256</v>
      </c>
      <c r="CG59" s="47">
        <v>0.70047552384486289</v>
      </c>
      <c r="CH59" s="47">
        <v>0.7201910866202349</v>
      </c>
      <c r="CI59" s="47">
        <v>0.67096117610202877</v>
      </c>
      <c r="CJ59" s="47">
        <v>0.6331324777221562</v>
      </c>
      <c r="CK59" s="47">
        <v>0.58451461007334349</v>
      </c>
      <c r="CL59" s="47">
        <v>0.53791412051319865</v>
      </c>
      <c r="CM59" s="47">
        <v>0.54580851138659603</v>
      </c>
      <c r="CN59" s="47">
        <v>0.58674028678999557</v>
      </c>
      <c r="CO59" s="47">
        <v>0.62956414240494274</v>
      </c>
      <c r="CP59" s="47">
        <v>0.61217783161250805</v>
      </c>
      <c r="CQ59" s="47">
        <v>0.6138724468213359</v>
      </c>
      <c r="CR59" s="47">
        <v>0.60716816055367995</v>
      </c>
      <c r="CS59" s="47">
        <v>0.63157393865540656</v>
      </c>
      <c r="CT59" s="47">
        <v>0.65794018764620077</v>
      </c>
      <c r="CU59" s="47">
        <v>0.66331457207826405</v>
      </c>
      <c r="CV59" s="47">
        <v>0.66468659048817125</v>
      </c>
      <c r="CW59" s="47">
        <v>0.66302353502992595</v>
      </c>
      <c r="CX59" s="47">
        <v>0.65235602432890072</v>
      </c>
      <c r="CY59" s="47">
        <v>0.64649049502209099</v>
      </c>
      <c r="CZ59" s="47">
        <v>0.54015865557577136</v>
      </c>
    </row>
    <row r="60" spans="1:104" x14ac:dyDescent="0.2">
      <c r="A60" s="45" t="s">
        <v>74</v>
      </c>
      <c r="B60" s="46">
        <f t="shared" si="23"/>
        <v>49.424999999999997</v>
      </c>
      <c r="C60" s="46">
        <f t="shared" si="24"/>
        <v>6.1200000000000028</v>
      </c>
      <c r="D60" s="48">
        <f t="shared" si="25"/>
        <v>20.261342562877836</v>
      </c>
      <c r="E60" s="49">
        <v>0</v>
      </c>
      <c r="F60" s="47">
        <v>0.5857</v>
      </c>
      <c r="G60" s="47">
        <v>0.49959999999999999</v>
      </c>
      <c r="H60" s="47">
        <v>0.57279999999999998</v>
      </c>
      <c r="I60" s="47">
        <v>0.52449999999999997</v>
      </c>
      <c r="J60" s="47">
        <v>0.52649999999999997</v>
      </c>
      <c r="K60" s="47">
        <v>0.55364999999999998</v>
      </c>
      <c r="L60" s="47">
        <v>0.56384999999999996</v>
      </c>
      <c r="M60" s="47">
        <v>0.56994999999999996</v>
      </c>
      <c r="N60" s="47">
        <v>0.55079999999999996</v>
      </c>
      <c r="O60" s="47">
        <v>0.55964999999999998</v>
      </c>
      <c r="P60" s="47">
        <v>0.47229999999999994</v>
      </c>
      <c r="Q60" s="47">
        <v>0.3493</v>
      </c>
      <c r="R60" s="47">
        <v>0.23849999999999999</v>
      </c>
      <c r="S60" s="47">
        <v>0.188</v>
      </c>
      <c r="T60" s="47">
        <v>0.1353</v>
      </c>
      <c r="U60" s="47">
        <v>9.8449999999999982E-2</v>
      </c>
      <c r="V60" s="47">
        <v>8.3850000000000008E-2</v>
      </c>
      <c r="W60" s="47">
        <v>9.1450000000000004E-2</v>
      </c>
      <c r="X60" s="47">
        <v>6.855E-2</v>
      </c>
      <c r="Y60" s="47">
        <v>7.9899999999999999E-2</v>
      </c>
      <c r="Z60" s="47">
        <v>9.240000000000001E-2</v>
      </c>
      <c r="AA60" s="47">
        <v>0.10439999999999999</v>
      </c>
      <c r="AB60" s="47">
        <v>0.11380000000000001</v>
      </c>
      <c r="AC60" s="47">
        <v>0.1447</v>
      </c>
      <c r="AD60" s="47">
        <v>0.21910000000000002</v>
      </c>
      <c r="AE60" s="47">
        <v>0.29309999999999997</v>
      </c>
      <c r="AF60" s="47">
        <v>0.41419999999999996</v>
      </c>
      <c r="AG60" s="47">
        <v>0.45014999999999999</v>
      </c>
      <c r="AH60" s="47">
        <v>0.42949999999999999</v>
      </c>
      <c r="AI60" s="47">
        <v>0.48919999999999997</v>
      </c>
      <c r="AJ60" s="47">
        <v>0.48225000000000001</v>
      </c>
      <c r="AK60" s="47">
        <v>0.51555000000000006</v>
      </c>
      <c r="AL60" s="47">
        <v>0.58914999999999995</v>
      </c>
      <c r="AM60" s="47">
        <v>0.60660000000000003</v>
      </c>
      <c r="AN60" s="47">
        <v>0.70284999999999997</v>
      </c>
      <c r="AO60" s="47">
        <v>0.6845</v>
      </c>
      <c r="AP60" s="47">
        <v>0.75829999999999997</v>
      </c>
      <c r="AQ60" s="47">
        <v>0.64155000000000006</v>
      </c>
      <c r="AR60" s="47">
        <v>0.54484999999999995</v>
      </c>
      <c r="AS60" s="47">
        <v>0.39605000000000001</v>
      </c>
      <c r="AT60" s="47">
        <v>0.36654999999999999</v>
      </c>
      <c r="AU60" s="47">
        <v>0.34559999999999996</v>
      </c>
      <c r="AV60" s="47">
        <v>0.4103</v>
      </c>
      <c r="AW60" s="47">
        <v>0.40810000000000002</v>
      </c>
      <c r="AX60" s="47">
        <v>0.39729999999999999</v>
      </c>
      <c r="AY60" s="47">
        <v>0.34045000000000003</v>
      </c>
      <c r="AZ60" s="47">
        <v>0.28999999999999998</v>
      </c>
      <c r="BA60" s="47">
        <v>0.23704999999999998</v>
      </c>
      <c r="BB60" s="47">
        <v>0.19855</v>
      </c>
      <c r="BC60" s="47">
        <v>0.24764999999999998</v>
      </c>
      <c r="BD60" s="47">
        <v>0.32805000000000001</v>
      </c>
      <c r="BE60" s="47">
        <v>0.5323</v>
      </c>
      <c r="BF60" s="47">
        <v>0.50729999999999997</v>
      </c>
      <c r="BG60" s="47">
        <v>0.51734999999999998</v>
      </c>
      <c r="BH60" s="47">
        <v>0.50980000000000003</v>
      </c>
      <c r="BI60" s="47">
        <v>0.51214999999999999</v>
      </c>
      <c r="BJ60" s="47">
        <v>0.51959999999999995</v>
      </c>
      <c r="BK60" s="47">
        <v>0.52359999999999995</v>
      </c>
      <c r="BL60" s="47">
        <v>0.53089999999999993</v>
      </c>
      <c r="BM60" s="47">
        <v>0.50295000000000001</v>
      </c>
      <c r="BN60" s="47">
        <v>0.46630000000000005</v>
      </c>
      <c r="BO60" s="47">
        <v>0.44495000000000001</v>
      </c>
      <c r="BP60" s="47">
        <v>0.50465000000000004</v>
      </c>
      <c r="BQ60" s="47">
        <v>0.52339999999999998</v>
      </c>
      <c r="BR60" s="47">
        <v>0.54720000000000002</v>
      </c>
      <c r="BS60" s="47">
        <v>0.58325000000000005</v>
      </c>
      <c r="BT60" s="47">
        <v>0.61919999999999997</v>
      </c>
      <c r="BU60" s="47">
        <v>0.65034999999999998</v>
      </c>
      <c r="BV60" s="47">
        <v>0.65339999999999998</v>
      </c>
      <c r="BW60" s="47">
        <v>0.67169999999999996</v>
      </c>
      <c r="BX60" s="47">
        <v>0.68464999999999998</v>
      </c>
      <c r="BY60" s="47">
        <v>0.71509999999999996</v>
      </c>
      <c r="BZ60" s="47">
        <v>0.74914999999999998</v>
      </c>
      <c r="CA60" s="47">
        <v>0.74695</v>
      </c>
      <c r="CB60" s="47">
        <v>0.75834999999999986</v>
      </c>
      <c r="CC60" s="47">
        <v>0.72649999999999992</v>
      </c>
      <c r="CD60" s="47">
        <v>0.74219999999999997</v>
      </c>
      <c r="CE60" s="47">
        <v>0.74854999999999994</v>
      </c>
      <c r="CF60" s="47">
        <v>0.75764999999999993</v>
      </c>
      <c r="CG60" s="47">
        <v>0.74539999999999995</v>
      </c>
      <c r="CH60" s="47">
        <v>0.74264999999999992</v>
      </c>
      <c r="CI60" s="47">
        <v>0.73629999999999995</v>
      </c>
      <c r="CJ60" s="47">
        <v>0.71894999999999998</v>
      </c>
      <c r="CK60" s="47">
        <v>0.69940000000000002</v>
      </c>
      <c r="CL60" s="47">
        <v>0.69799999999999995</v>
      </c>
      <c r="CM60" s="47">
        <v>0.68645</v>
      </c>
      <c r="CN60" s="47">
        <v>0.64115</v>
      </c>
      <c r="CO60" s="47">
        <v>0.59470000000000001</v>
      </c>
      <c r="CP60" s="47">
        <v>0.59824999999999995</v>
      </c>
      <c r="CQ60" s="47">
        <v>0.61529999999999996</v>
      </c>
      <c r="CR60" s="47">
        <v>0.62204999999999999</v>
      </c>
      <c r="CS60" s="47">
        <v>0.64159999999999995</v>
      </c>
      <c r="CT60" s="47">
        <v>0.5855999999999999</v>
      </c>
      <c r="CU60" s="47">
        <v>0.60199999999999998</v>
      </c>
      <c r="CV60" s="47">
        <v>0.60199999999999998</v>
      </c>
      <c r="CW60" s="47">
        <v>0.59759999999999991</v>
      </c>
      <c r="CX60" s="47">
        <v>0.5895999999999999</v>
      </c>
      <c r="CY60" s="47">
        <v>0.5895999999999999</v>
      </c>
      <c r="CZ60" s="47">
        <v>0.63039999999999996</v>
      </c>
    </row>
    <row r="61" spans="1:104" x14ac:dyDescent="0.2">
      <c r="A61" s="45" t="s">
        <v>77</v>
      </c>
      <c r="B61" s="46">
        <f t="shared" si="23"/>
        <v>-2.7637086885644924</v>
      </c>
      <c r="C61" s="46">
        <f t="shared" si="24"/>
        <v>0</v>
      </c>
      <c r="D61" s="48">
        <f t="shared" si="25"/>
        <v>12.104171876252568</v>
      </c>
      <c r="E61" s="49">
        <v>7.9536978008463294E-2</v>
      </c>
      <c r="F61" s="47">
        <v>0.48442182682747492</v>
      </c>
      <c r="G61" s="47">
        <v>0.48442182682747492</v>
      </c>
      <c r="H61" s="47">
        <v>0.48442182682747492</v>
      </c>
      <c r="I61" s="47">
        <v>0.48442182682747492</v>
      </c>
      <c r="J61" s="47">
        <v>0.48400764975188021</v>
      </c>
      <c r="K61" s="47">
        <v>0.48570432815872489</v>
      </c>
      <c r="L61" s="47">
        <v>0.48630949169080456</v>
      </c>
      <c r="M61" s="47">
        <v>0.47735524145495623</v>
      </c>
      <c r="N61" s="47">
        <v>0.47845131969058635</v>
      </c>
      <c r="O61" s="47">
        <v>0.48260541005410779</v>
      </c>
      <c r="P61" s="47">
        <v>0.47924367142734847</v>
      </c>
      <c r="Q61" s="47">
        <v>0.48384176118831412</v>
      </c>
      <c r="R61" s="47">
        <v>0.49728407132922214</v>
      </c>
      <c r="S61" s="47">
        <v>0.50679257420273371</v>
      </c>
      <c r="T61" s="47">
        <v>0.5127053494866709</v>
      </c>
      <c r="U61" s="47">
        <v>0.515128161638987</v>
      </c>
      <c r="V61" s="47">
        <v>0.51913382606151293</v>
      </c>
      <c r="W61" s="47">
        <v>0.51205891371311985</v>
      </c>
      <c r="X61" s="47">
        <v>0.51615505574847165</v>
      </c>
      <c r="Y61" s="47">
        <v>0.51778058054766074</v>
      </c>
      <c r="Z61" s="47">
        <v>0.51528142435838131</v>
      </c>
      <c r="AA61" s="47">
        <v>0.5113387501064357</v>
      </c>
      <c r="AB61" s="47">
        <v>0.50857672182663038</v>
      </c>
      <c r="AC61" s="47">
        <v>0.50647554243719528</v>
      </c>
      <c r="AD61" s="47">
        <v>0.50534693061121583</v>
      </c>
      <c r="AE61" s="47">
        <v>0.50587181640008227</v>
      </c>
      <c r="AF61" s="47">
        <v>0.51885324254001153</v>
      </c>
      <c r="AG61" s="47">
        <v>0.55101944004006309</v>
      </c>
      <c r="AH61" s="47">
        <v>0.63381417510624338</v>
      </c>
      <c r="AI61" s="47">
        <v>0.60624407212385412</v>
      </c>
      <c r="AJ61" s="47">
        <v>0.56742818022807107</v>
      </c>
      <c r="AK61" s="47">
        <v>0.55045836085456179</v>
      </c>
      <c r="AL61" s="47">
        <v>0.54080076311042102</v>
      </c>
      <c r="AM61" s="47">
        <v>0.53596499997294866</v>
      </c>
      <c r="AN61" s="47">
        <v>0.52570504222835468</v>
      </c>
      <c r="AO61" s="47">
        <v>0.52572274793563589</v>
      </c>
      <c r="AP61" s="47">
        <v>0.52706717878453557</v>
      </c>
      <c r="AQ61" s="47">
        <v>0.5271391430513156</v>
      </c>
      <c r="AR61" s="47">
        <v>0.53471361887928615</v>
      </c>
      <c r="AS61" s="47">
        <v>0.53276758700351246</v>
      </c>
      <c r="AT61" s="47">
        <v>0.5064997225076503</v>
      </c>
      <c r="AU61" s="47">
        <v>0.48966933200662571</v>
      </c>
      <c r="AV61" s="47">
        <v>0.47857137466596356</v>
      </c>
      <c r="AW61" s="47">
        <v>0.45883302395174758</v>
      </c>
      <c r="AX61" s="47">
        <v>0.4694752840835566</v>
      </c>
      <c r="AY61" s="47">
        <v>0.4789389797571777</v>
      </c>
      <c r="AZ61" s="47">
        <v>0.48559352035593401</v>
      </c>
      <c r="BA61" s="47">
        <v>0.52374839552030061</v>
      </c>
      <c r="BB61" s="47">
        <v>0.54289927354568734</v>
      </c>
      <c r="BC61" s="47">
        <v>0.56968606999261362</v>
      </c>
      <c r="BD61" s="47">
        <v>0.60464243409455432</v>
      </c>
      <c r="BE61" s="47">
        <v>0.62798815913930717</v>
      </c>
      <c r="BF61" s="47">
        <v>0.6980576092104811</v>
      </c>
      <c r="BG61" s="47">
        <v>0.7011607948684816</v>
      </c>
      <c r="BH61" s="47">
        <v>0.71536572376872321</v>
      </c>
      <c r="BI61" s="47">
        <v>0.73388808358033975</v>
      </c>
      <c r="BJ61" s="47">
        <v>0.71814748231194014</v>
      </c>
      <c r="BK61" s="47">
        <v>0.72964412844245574</v>
      </c>
      <c r="BL61" s="47">
        <v>0.74661415124488184</v>
      </c>
      <c r="BM61" s="47">
        <v>0.7326497387259322</v>
      </c>
      <c r="BN61" s="47">
        <v>0.71556842185308456</v>
      </c>
      <c r="BO61" s="47">
        <v>0.70308618151678082</v>
      </c>
      <c r="BP61" s="47">
        <v>0.67503022901427745</v>
      </c>
      <c r="BQ61" s="47">
        <v>0.64800176011869637</v>
      </c>
      <c r="BR61" s="47">
        <v>0.63611017139414683</v>
      </c>
      <c r="BS61" s="47">
        <v>0.61816507288716249</v>
      </c>
      <c r="BT61" s="47">
        <v>0.5887428901379087</v>
      </c>
      <c r="BU61" s="47">
        <v>0.56243258546714325</v>
      </c>
      <c r="BV61" s="47">
        <v>0.54496345764581589</v>
      </c>
      <c r="BW61" s="47">
        <v>0.52047570377748942</v>
      </c>
      <c r="BX61" s="47">
        <v>0.4817578322881067</v>
      </c>
      <c r="BY61" s="47">
        <v>0.46506203605038299</v>
      </c>
      <c r="BZ61" s="47">
        <v>0.44626966948060337</v>
      </c>
      <c r="CA61" s="47">
        <v>0.4248802513473679</v>
      </c>
      <c r="CB61" s="47">
        <v>0.41782639844307201</v>
      </c>
      <c r="CC61" s="47">
        <v>0.40840944771725679</v>
      </c>
      <c r="CD61" s="47">
        <v>0.4172743073701019</v>
      </c>
      <c r="CE61" s="47">
        <v>0.40071751123951227</v>
      </c>
      <c r="CF61" s="47">
        <v>0.38359532441027389</v>
      </c>
      <c r="CG61" s="47">
        <v>0.38057922300350278</v>
      </c>
      <c r="CH61" s="47">
        <v>0.35498313315507946</v>
      </c>
      <c r="CI61" s="47">
        <v>0.30798558078215682</v>
      </c>
      <c r="CJ61" s="47">
        <v>0.28279263043346464</v>
      </c>
      <c r="CK61" s="47">
        <v>0.27855597579873165</v>
      </c>
      <c r="CL61" s="47">
        <v>0.27581595336260817</v>
      </c>
      <c r="CM61" s="47">
        <v>0.26714167504344177</v>
      </c>
      <c r="CN61" s="47">
        <v>0.26492859206527791</v>
      </c>
      <c r="CO61" s="47">
        <v>0.33968770776691504</v>
      </c>
      <c r="CP61" s="47">
        <v>0.32439081730942987</v>
      </c>
      <c r="CQ61" s="47">
        <v>0.33603851214065822</v>
      </c>
      <c r="CR61" s="47">
        <v>0.3609261552291389</v>
      </c>
      <c r="CS61" s="47">
        <v>0.36776493533586552</v>
      </c>
      <c r="CT61" s="47">
        <v>0.36532408185964821</v>
      </c>
      <c r="CU61" s="47">
        <v>0.35980072757940873</v>
      </c>
      <c r="CV61" s="47">
        <v>0.37728030312767635</v>
      </c>
      <c r="CW61" s="47">
        <v>0.37672939620297458</v>
      </c>
      <c r="CX61" s="47">
        <v>0.37221698328126435</v>
      </c>
      <c r="CY61" s="47">
        <v>0.37077872018161134</v>
      </c>
      <c r="CZ61" s="47">
        <v>0.38389843128735979</v>
      </c>
    </row>
    <row r="62" spans="1:104" x14ac:dyDescent="0.2">
      <c r="A62" s="45" t="s">
        <v>80</v>
      </c>
      <c r="B62" s="46">
        <f t="shared" si="23"/>
        <v>13.126202779151958</v>
      </c>
      <c r="C62" s="46">
        <f t="shared" si="24"/>
        <v>-0.55329089842407475</v>
      </c>
      <c r="D62" s="48">
        <f t="shared" si="25"/>
        <v>20.873673134479269</v>
      </c>
      <c r="E62" s="49">
        <v>4.8040037547750401E-2</v>
      </c>
      <c r="F62" s="47">
        <v>0.47380063718141219</v>
      </c>
      <c r="G62" s="47">
        <v>0.48585048611393605</v>
      </c>
      <c r="H62" s="47">
        <v>0.48899110052040184</v>
      </c>
      <c r="I62" s="47">
        <v>0.47933354616565294</v>
      </c>
      <c r="J62" s="47">
        <v>0.47680219722343414</v>
      </c>
      <c r="K62" s="47">
        <v>0.50587094438464508</v>
      </c>
      <c r="L62" s="47">
        <v>0.5257824235280788</v>
      </c>
      <c r="M62" s="47">
        <v>0.57668283756444194</v>
      </c>
      <c r="N62" s="47">
        <v>0.5924017996428248</v>
      </c>
      <c r="O62" s="47">
        <v>0.60481307143919072</v>
      </c>
      <c r="P62" s="47">
        <v>0.59149001770666609</v>
      </c>
      <c r="Q62" s="47">
        <v>0.54906756890181874</v>
      </c>
      <c r="R62" s="47">
        <v>0.49887299811070646</v>
      </c>
      <c r="S62" s="47">
        <v>0.42183607712000015</v>
      </c>
      <c r="T62" s="47">
        <v>0.36736408217535388</v>
      </c>
      <c r="U62" s="47">
        <v>0.38832020352969965</v>
      </c>
      <c r="V62" s="47">
        <v>0.36781238686383666</v>
      </c>
      <c r="W62" s="47">
        <v>0.34253860938989261</v>
      </c>
      <c r="X62" s="47">
        <v>0.29163701709413636</v>
      </c>
      <c r="Y62" s="47">
        <v>0.29762526741171191</v>
      </c>
      <c r="Z62" s="47">
        <v>0.35146366813899099</v>
      </c>
      <c r="AA62" s="47">
        <v>0.28529100375919908</v>
      </c>
      <c r="AB62" s="47">
        <v>0.25477208907475851</v>
      </c>
      <c r="AC62" s="47">
        <v>0.18658036848647189</v>
      </c>
      <c r="AD62" s="47">
        <v>0.2155962256210191</v>
      </c>
      <c r="AE62" s="47">
        <v>0.23176182044445218</v>
      </c>
      <c r="AF62" s="47">
        <v>0.21538059097374795</v>
      </c>
      <c r="AG62" s="47">
        <v>0.19763273191758968</v>
      </c>
      <c r="AH62" s="47">
        <v>0.23915807766143235</v>
      </c>
      <c r="AI62" s="47">
        <v>0.21889114594102593</v>
      </c>
      <c r="AJ62" s="47">
        <v>0.25685346138506232</v>
      </c>
      <c r="AK62" s="47">
        <v>0.21406643672082215</v>
      </c>
      <c r="AL62" s="47">
        <v>0.22495635832405744</v>
      </c>
      <c r="AM62" s="47">
        <v>0.26061714466426084</v>
      </c>
      <c r="AN62" s="47">
        <v>0.34426648411476463</v>
      </c>
      <c r="AO62" s="47">
        <v>0.45801190766223299</v>
      </c>
      <c r="AP62" s="47">
        <v>0.47938336218666999</v>
      </c>
      <c r="AQ62" s="47">
        <v>0.58966831666909558</v>
      </c>
      <c r="AR62" s="47">
        <v>0.57854040640162629</v>
      </c>
      <c r="AS62" s="47">
        <v>0.56027785201456071</v>
      </c>
      <c r="AT62" s="47">
        <v>0.51566239246062318</v>
      </c>
      <c r="AU62" s="47">
        <v>0.48838040008243389</v>
      </c>
      <c r="AV62" s="47">
        <v>0.47244895635233042</v>
      </c>
      <c r="AW62" s="47">
        <v>0.46991878566950468</v>
      </c>
      <c r="AX62" s="47">
        <v>0.48659698918627708</v>
      </c>
      <c r="AY62" s="47">
        <v>0.39732857641375241</v>
      </c>
      <c r="AZ62" s="47">
        <v>0.38806084821658171</v>
      </c>
      <c r="BA62" s="47">
        <v>0.30889331156849792</v>
      </c>
      <c r="BB62" s="47">
        <v>0.28417560673941195</v>
      </c>
      <c r="BC62" s="47">
        <v>0.27393688742142719</v>
      </c>
      <c r="BD62" s="47">
        <v>0.42802168260849988</v>
      </c>
      <c r="BE62" s="47">
        <v>0.54065607330263143</v>
      </c>
      <c r="BF62" s="47">
        <v>0.64633430973091088</v>
      </c>
      <c r="BG62" s="47">
        <v>0.6228802585583797</v>
      </c>
      <c r="BH62" s="47">
        <v>0.63683216055919234</v>
      </c>
      <c r="BI62" s="47">
        <v>0.61638043299394074</v>
      </c>
      <c r="BJ62" s="47">
        <v>0.63563013842909244</v>
      </c>
      <c r="BK62" s="47">
        <v>0.61250286665857989</v>
      </c>
      <c r="BL62" s="47">
        <v>0.60631996655998843</v>
      </c>
      <c r="BM62" s="47">
        <v>0.61295048677170871</v>
      </c>
      <c r="BN62" s="47">
        <v>0.69343461318140831</v>
      </c>
      <c r="BO62" s="47">
        <v>0.75849895009777202</v>
      </c>
      <c r="BP62" s="47">
        <v>0.68513763913534032</v>
      </c>
      <c r="BQ62" s="47">
        <v>0.52909973077655514</v>
      </c>
      <c r="BR62" s="47">
        <v>0.25114357651070246</v>
      </c>
      <c r="BS62" s="47">
        <v>0.31118871240565388</v>
      </c>
      <c r="BT62" s="47">
        <v>0.29370321684524681</v>
      </c>
      <c r="BU62" s="47">
        <v>0.30609137105939255</v>
      </c>
      <c r="BV62" s="47">
        <v>0.2265176245236373</v>
      </c>
      <c r="BW62" s="47">
        <v>0.25502209730263536</v>
      </c>
      <c r="BX62" s="47">
        <v>0.21831165292122262</v>
      </c>
      <c r="BY62" s="47">
        <v>0.23488802585698224</v>
      </c>
      <c r="BZ62" s="47">
        <v>0.20700612826667758</v>
      </c>
      <c r="CA62" s="47">
        <v>0.29254812762183191</v>
      </c>
      <c r="CB62" s="47">
        <v>0.3455342123119356</v>
      </c>
      <c r="CC62" s="47">
        <v>0.55662169972202624</v>
      </c>
      <c r="CD62" s="47">
        <v>0.74996273013817305</v>
      </c>
      <c r="CE62" s="47">
        <v>0.75502687616322206</v>
      </c>
      <c r="CF62" s="47">
        <v>0.77236107399272136</v>
      </c>
      <c r="CG62" s="47">
        <v>0.80778938118302768</v>
      </c>
      <c r="CH62" s="47">
        <v>0.80351765743514458</v>
      </c>
      <c r="CI62" s="47">
        <v>0.79470039955392857</v>
      </c>
      <c r="CJ62" s="47">
        <v>0.76088127883796552</v>
      </c>
      <c r="CK62" s="47">
        <v>0.74959837808160135</v>
      </c>
      <c r="CL62" s="47">
        <v>0.76011265871837319</v>
      </c>
      <c r="CM62" s="47">
        <v>0.78416760247109829</v>
      </c>
      <c r="CN62" s="47">
        <v>0.73974036163877444</v>
      </c>
      <c r="CO62" s="47">
        <v>0.70169621311190178</v>
      </c>
      <c r="CP62" s="47">
        <v>0.69462100197978205</v>
      </c>
      <c r="CQ62" s="47">
        <v>0.74721722760080089</v>
      </c>
      <c r="CR62" s="47">
        <v>0.76376040521534816</v>
      </c>
      <c r="CS62" s="47">
        <v>0.7426930601163515</v>
      </c>
      <c r="CT62" s="47">
        <v>0.74407075480887608</v>
      </c>
      <c r="CU62" s="47">
        <v>0.73026562839271336</v>
      </c>
      <c r="CV62" s="47">
        <v>0.76536863723311921</v>
      </c>
      <c r="CW62" s="47">
        <v>0.84215691914665647</v>
      </c>
      <c r="CX62" s="47">
        <v>0.82389215305372188</v>
      </c>
      <c r="CY62" s="47">
        <v>0.74822334270058766</v>
      </c>
      <c r="CZ62" s="47">
        <v>0.74402866000806489</v>
      </c>
    </row>
    <row r="63" spans="1:104" x14ac:dyDescent="0.2">
      <c r="A63" s="45" t="s">
        <v>83</v>
      </c>
      <c r="B63" s="46">
        <f t="shared" si="23"/>
        <v>-16.657371016819056</v>
      </c>
      <c r="C63" s="46">
        <f t="shared" si="24"/>
        <v>-9.1684242317866129</v>
      </c>
      <c r="D63" s="48">
        <f t="shared" si="25"/>
        <v>20.658046125286365</v>
      </c>
      <c r="E63" s="49">
        <v>3.6421317885880898E-2</v>
      </c>
      <c r="F63" s="47">
        <v>0.12599833667704846</v>
      </c>
      <c r="G63" s="47">
        <v>0.10341661885178668</v>
      </c>
      <c r="H63" s="47">
        <v>0.1510480018056175</v>
      </c>
      <c r="I63" s="47">
        <v>0.21768257899491458</v>
      </c>
      <c r="J63" s="47">
        <v>0.24408961514030267</v>
      </c>
      <c r="K63" s="47">
        <v>0.20620662403453557</v>
      </c>
      <c r="L63" s="47">
        <v>0.19973552663257446</v>
      </c>
      <c r="M63" s="47">
        <v>0.19692946199887001</v>
      </c>
      <c r="N63" s="47">
        <v>0.19731890778078795</v>
      </c>
      <c r="O63" s="47">
        <v>0.24028845220182835</v>
      </c>
      <c r="P63" s="47">
        <v>0.33138778245896655</v>
      </c>
      <c r="Q63" s="47">
        <v>0.41040379777310992</v>
      </c>
      <c r="R63" s="47">
        <v>0.4756537426020947</v>
      </c>
      <c r="S63" s="47">
        <v>0.36322911609323627</v>
      </c>
      <c r="T63" s="47">
        <v>0.30100958270639899</v>
      </c>
      <c r="U63" s="47">
        <v>0.16872279382752242</v>
      </c>
      <c r="V63" s="47">
        <v>0.26286054318387952</v>
      </c>
      <c r="W63" s="47">
        <v>0.29257204684523902</v>
      </c>
      <c r="X63" s="47">
        <v>0.30586688751799945</v>
      </c>
      <c r="Y63" s="47">
        <v>0.24564415989569596</v>
      </c>
      <c r="Z63" s="47">
        <v>0.25635246932158928</v>
      </c>
      <c r="AA63" s="47">
        <v>0.17675635536832335</v>
      </c>
      <c r="AB63" s="47">
        <v>0.14943902263686237</v>
      </c>
      <c r="AC63" s="47">
        <v>0.13413293593475162</v>
      </c>
      <c r="AD63" s="47">
        <v>0.13062818871836473</v>
      </c>
      <c r="AE63" s="47">
        <v>0.17346632811716819</v>
      </c>
      <c r="AF63" s="47">
        <v>0.20421471996523191</v>
      </c>
      <c r="AG63" s="47">
        <v>0.39832840221356169</v>
      </c>
      <c r="AH63" s="47">
        <v>0.42007359982615938</v>
      </c>
      <c r="AI63" s="47">
        <v>0.42973066907415675</v>
      </c>
      <c r="AJ63" s="47">
        <v>0.47552553181532348</v>
      </c>
      <c r="AK63" s="47">
        <v>0.52860884675831832</v>
      </c>
      <c r="AL63" s="47">
        <v>0.57578352843819214</v>
      </c>
      <c r="AM63" s="47">
        <v>0.64897260624606989</v>
      </c>
      <c r="AN63" s="47">
        <v>0.78443574012777184</v>
      </c>
      <c r="AO63" s="47">
        <v>0.84031720032102453</v>
      </c>
      <c r="AP63" s="47">
        <v>0.96016982412145691</v>
      </c>
      <c r="AQ63" s="47">
        <v>0.9416154117765011</v>
      </c>
      <c r="AR63" s="47">
        <v>0.89310580700169617</v>
      </c>
      <c r="AS63" s="47">
        <v>0.55712987410972314</v>
      </c>
      <c r="AT63" s="47">
        <v>0.54997593289197344</v>
      </c>
      <c r="AU63" s="47">
        <v>0.52894867154847991</v>
      </c>
      <c r="AV63" s="47">
        <v>0.45460420988396277</v>
      </c>
      <c r="AW63" s="47">
        <v>0.46686225064364373</v>
      </c>
      <c r="AX63" s="47">
        <v>0.46480138362253698</v>
      </c>
      <c r="AY63" s="47">
        <v>0.4345642157354172</v>
      </c>
      <c r="AZ63" s="47">
        <v>0.37112834319720867</v>
      </c>
      <c r="BA63" s="47">
        <v>0.31041202611424368</v>
      </c>
      <c r="BB63" s="47">
        <v>0.10417805246258974</v>
      </c>
      <c r="BC63" s="47">
        <v>0.13770524760086467</v>
      </c>
      <c r="BD63" s="47">
        <v>0.20831580181894677</v>
      </c>
      <c r="BE63" s="47">
        <v>0.52059944059916974</v>
      </c>
      <c r="BF63" s="47">
        <v>0.53709469338278304</v>
      </c>
      <c r="BG63" s="47">
        <v>0.54475014344464101</v>
      </c>
      <c r="BH63" s="47">
        <v>0.52261550005012547</v>
      </c>
      <c r="BI63" s="47">
        <v>0.45613158156948719</v>
      </c>
      <c r="BJ63" s="47">
        <v>0.46066520931550681</v>
      </c>
      <c r="BK63" s="47">
        <v>0.52274852425850182</v>
      </c>
      <c r="BL63" s="47">
        <v>0.5812933980338717</v>
      </c>
      <c r="BM63" s="47">
        <v>0.57978055488678837</v>
      </c>
      <c r="BN63" s="47">
        <v>0.47733348045604201</v>
      </c>
      <c r="BO63" s="47">
        <v>0.42243438576250691</v>
      </c>
      <c r="BP63" s="47">
        <v>0.45422609840501982</v>
      </c>
      <c r="BQ63" s="47">
        <v>0.53527099424879598</v>
      </c>
      <c r="BR63" s="47">
        <v>0.50309635670573449</v>
      </c>
      <c r="BS63" s="47">
        <v>0.50954990788103793</v>
      </c>
      <c r="BT63" s="47">
        <v>0.53276786621854832</v>
      </c>
      <c r="BU63" s="47">
        <v>0.64325821730693133</v>
      </c>
      <c r="BV63" s="47">
        <v>0.67186395810340804</v>
      </c>
      <c r="BW63" s="47">
        <v>0.67994403467412423</v>
      </c>
      <c r="BX63" s="47">
        <v>0.65678532417158164</v>
      </c>
      <c r="BY63" s="47">
        <v>0.64217792005215313</v>
      </c>
      <c r="BZ63" s="47">
        <v>0.64030451165278468</v>
      </c>
      <c r="CA63" s="47">
        <v>0.68113149329586276</v>
      </c>
      <c r="CB63" s="47">
        <v>0.68216037382549533</v>
      </c>
      <c r="CC63" s="47">
        <v>0.68555625221515804</v>
      </c>
      <c r="CD63" s="47">
        <v>0.69638795900621686</v>
      </c>
      <c r="CE63" s="47">
        <v>0.69859948473598232</v>
      </c>
      <c r="CF63" s="47">
        <v>0.69668437472830391</v>
      </c>
      <c r="CG63" s="47">
        <v>0.70628040040794493</v>
      </c>
      <c r="CH63" s="47">
        <v>0.68881722238943066</v>
      </c>
      <c r="CI63" s="47">
        <v>0.65468577323038124</v>
      </c>
      <c r="CJ63" s="47">
        <v>0.64727230447724826</v>
      </c>
      <c r="CK63" s="47">
        <v>0.65256084495270139</v>
      </c>
      <c r="CL63" s="47">
        <v>0.67153857357806301</v>
      </c>
      <c r="CM63" s="47">
        <v>0.69761711923626468</v>
      </c>
      <c r="CN63" s="47">
        <v>0.73050006620521934</v>
      </c>
      <c r="CO63" s="47">
        <v>0.70801588290370676</v>
      </c>
      <c r="CP63" s="47">
        <v>0.70866004279940209</v>
      </c>
      <c r="CQ63" s="47">
        <v>0.70889721068652189</v>
      </c>
      <c r="CR63" s="47">
        <v>0.71683153024380963</v>
      </c>
      <c r="CS63" s="47">
        <v>0.71080921473235892</v>
      </c>
      <c r="CT63" s="47">
        <v>0.72165855602370022</v>
      </c>
      <c r="CU63" s="47">
        <v>0.76950947236436829</v>
      </c>
      <c r="CV63" s="47">
        <v>0.85112956515203675</v>
      </c>
      <c r="CW63" s="47">
        <v>0.90862311047588573</v>
      </c>
      <c r="CX63" s="47">
        <v>0.84796293526604682</v>
      </c>
      <c r="CY63" s="47">
        <v>0.75602227137463907</v>
      </c>
      <c r="CZ63" s="47">
        <v>0.59092141020498623</v>
      </c>
    </row>
    <row r="64" spans="1:104" x14ac:dyDescent="0.2">
      <c r="A64" s="45" t="s">
        <v>86</v>
      </c>
      <c r="B64" s="46">
        <f t="shared" si="23"/>
        <v>31.056183968747963</v>
      </c>
      <c r="C64" s="46">
        <f t="shared" si="24"/>
        <v>11.01410974405923</v>
      </c>
      <c r="D64" s="48">
        <f t="shared" si="25"/>
        <v>17.517422896147288</v>
      </c>
      <c r="E64" s="49">
        <v>2.9882587983715899E-2</v>
      </c>
      <c r="F64" s="47">
        <v>0.5854522381843178</v>
      </c>
      <c r="G64" s="47">
        <v>0.59491153526525276</v>
      </c>
      <c r="H64" s="47">
        <v>0.54376456130173356</v>
      </c>
      <c r="I64" s="47">
        <v>0.47531114074372549</v>
      </c>
      <c r="J64" s="47">
        <v>0.45065292824009606</v>
      </c>
      <c r="K64" s="47">
        <v>0.42327137740412302</v>
      </c>
      <c r="L64" s="47">
        <v>0.41365974686193707</v>
      </c>
      <c r="M64" s="47">
        <v>0.40611426369787956</v>
      </c>
      <c r="N64" s="47">
        <v>0.38838221521516364</v>
      </c>
      <c r="O64" s="47">
        <v>0.38520883802785699</v>
      </c>
      <c r="P64" s="47">
        <v>0.34360977976348961</v>
      </c>
      <c r="Q64" s="47">
        <v>0.30091321871570159</v>
      </c>
      <c r="R64" s="47">
        <v>0.23965241676472662</v>
      </c>
      <c r="S64" s="47">
        <v>0.19829236679107193</v>
      </c>
      <c r="T64" s="47">
        <v>0.21101014248109778</v>
      </c>
      <c r="U64" s="47">
        <v>0.22892058677531074</v>
      </c>
      <c r="V64" s="47">
        <v>0.27592622578707132</v>
      </c>
      <c r="W64" s="47">
        <v>0.27489039849683816</v>
      </c>
      <c r="X64" s="47">
        <v>0.32091153599704014</v>
      </c>
      <c r="Y64" s="47">
        <v>0.3222493602697139</v>
      </c>
      <c r="Z64" s="47">
        <v>0.32134057790056353</v>
      </c>
      <c r="AA64" s="47">
        <v>0.29661961363203915</v>
      </c>
      <c r="AB64" s="47">
        <v>0.31141975539753647</v>
      </c>
      <c r="AC64" s="47">
        <v>0.35564624351679863</v>
      </c>
      <c r="AD64" s="47">
        <v>0.431037065524288</v>
      </c>
      <c r="AE64" s="47">
        <v>0.49219600216650172</v>
      </c>
      <c r="AF64" s="47">
        <v>0.55914186337914074</v>
      </c>
      <c r="AG64" s="47">
        <v>0.65040390009629012</v>
      </c>
      <c r="AH64" s="47">
        <v>0.65045796127257383</v>
      </c>
      <c r="AI64" s="47">
        <v>0.67842112047327352</v>
      </c>
      <c r="AJ64" s="47">
        <v>0.68534616463108322</v>
      </c>
      <c r="AK64" s="47">
        <v>0.72149544053704884</v>
      </c>
      <c r="AL64" s="47">
        <v>0.73037873976225864</v>
      </c>
      <c r="AM64" s="47">
        <v>0.73492245323107064</v>
      </c>
      <c r="AN64" s="47">
        <v>0.75889621058119583</v>
      </c>
      <c r="AO64" s="47">
        <v>0.75742644590926844</v>
      </c>
      <c r="AP64" s="47">
        <v>0.7573292134011933</v>
      </c>
      <c r="AQ64" s="47">
        <v>0.78880905764408071</v>
      </c>
      <c r="AR64" s="47">
        <v>0.75538274286518947</v>
      </c>
      <c r="AS64" s="47">
        <v>0.36804495402365867</v>
      </c>
      <c r="AT64" s="47">
        <v>0.35140072043076931</v>
      </c>
      <c r="AU64" s="47">
        <v>0.34424918707439145</v>
      </c>
      <c r="AV64" s="47">
        <v>0.33987968599302554</v>
      </c>
      <c r="AW64" s="47">
        <v>0.3193096673386468</v>
      </c>
      <c r="AX64" s="47">
        <v>0.29795906527824623</v>
      </c>
      <c r="AY64" s="47">
        <v>0.28654154465897586</v>
      </c>
      <c r="AZ64" s="47">
        <v>0.27809963802693882</v>
      </c>
      <c r="BA64" s="47">
        <v>0.27851966366380454</v>
      </c>
      <c r="BB64" s="47">
        <v>0.2743620752635782</v>
      </c>
      <c r="BC64" s="47">
        <v>0.24452148797967801</v>
      </c>
      <c r="BD64" s="47">
        <v>0.2927899763037845</v>
      </c>
      <c r="BE64" s="47">
        <v>0.49719518477023072</v>
      </c>
      <c r="BF64" s="47">
        <v>0.4837463790750286</v>
      </c>
      <c r="BG64" s="47">
        <v>0.44589512229200806</v>
      </c>
      <c r="BH64" s="47">
        <v>0.40558293467836526</v>
      </c>
      <c r="BI64" s="47">
        <v>0.41475495812956642</v>
      </c>
      <c r="BJ64" s="47">
        <v>0.43927224266521142</v>
      </c>
      <c r="BK64" s="47">
        <v>0.45627171027943558</v>
      </c>
      <c r="BL64" s="47">
        <v>0.50130266564812498</v>
      </c>
      <c r="BM64" s="47">
        <v>0.52336352045443579</v>
      </c>
      <c r="BN64" s="47">
        <v>0.5229074791594559</v>
      </c>
      <c r="BO64" s="47">
        <v>0.50504891900817794</v>
      </c>
      <c r="BP64" s="47">
        <v>0.56017246733760451</v>
      </c>
      <c r="BQ64" s="47">
        <v>0.64636489747734438</v>
      </c>
      <c r="BR64" s="47">
        <v>0.64840798499501762</v>
      </c>
      <c r="BS64" s="47">
        <v>0.6741940987004984</v>
      </c>
      <c r="BT64" s="47">
        <v>0.7137718324733755</v>
      </c>
      <c r="BU64" s="47">
        <v>0.74459297718371875</v>
      </c>
      <c r="BV64" s="47">
        <v>0.75176766345579593</v>
      </c>
      <c r="BW64" s="47">
        <v>0.74115392969992344</v>
      </c>
      <c r="BX64" s="47">
        <v>0.73391383308533531</v>
      </c>
      <c r="BY64" s="47">
        <v>0.73500938103020319</v>
      </c>
      <c r="BZ64" s="47">
        <v>0.76640216984881393</v>
      </c>
      <c r="CA64" s="47">
        <v>0.78918474985808496</v>
      </c>
      <c r="CB64" s="47">
        <v>0.75296656039444065</v>
      </c>
      <c r="CC64" s="47">
        <v>0.6316098892492954</v>
      </c>
      <c r="CD64" s="47">
        <v>0.63258901712366589</v>
      </c>
      <c r="CE64" s="47">
        <v>0.63947601689570532</v>
      </c>
      <c r="CF64" s="47">
        <v>0.64506861363318746</v>
      </c>
      <c r="CG64" s="47">
        <v>0.63951367455089736</v>
      </c>
      <c r="CH64" s="47">
        <v>0.65130610924084642</v>
      </c>
      <c r="CI64" s="47">
        <v>0.63131094487851314</v>
      </c>
      <c r="CJ64" s="47">
        <v>0.61245463826569657</v>
      </c>
      <c r="CK64" s="47">
        <v>0.63377000304377229</v>
      </c>
      <c r="CL64" s="47">
        <v>0.61562594183861929</v>
      </c>
      <c r="CM64" s="47">
        <v>0.61513569780087418</v>
      </c>
      <c r="CN64" s="47">
        <v>0.56317490177782936</v>
      </c>
      <c r="CO64" s="47">
        <v>0.50276345615403972</v>
      </c>
      <c r="CP64" s="47">
        <v>0.47410383576276705</v>
      </c>
      <c r="CQ64" s="47">
        <v>0.47194485507022838</v>
      </c>
      <c r="CR64" s="47">
        <v>0.49074947705919275</v>
      </c>
      <c r="CS64" s="47">
        <v>0.45423728687303178</v>
      </c>
      <c r="CT64" s="47">
        <v>0.4124402485059222</v>
      </c>
      <c r="CU64" s="47">
        <v>0.40182108169150094</v>
      </c>
      <c r="CV64" s="47">
        <v>0.3622567274443213</v>
      </c>
      <c r="CW64" s="47">
        <v>0.39388934977314938</v>
      </c>
      <c r="CX64" s="47">
        <v>0.37447489941249884</v>
      </c>
      <c r="CY64" s="47">
        <v>0.37725340892799014</v>
      </c>
      <c r="CZ64" s="47">
        <v>0.34099005575903313</v>
      </c>
    </row>
    <row r="65" spans="1:104" x14ac:dyDescent="0.2">
      <c r="A65" s="45" t="s">
        <v>89</v>
      </c>
      <c r="B65" s="46">
        <f t="shared" si="23"/>
        <v>33.848960240003379</v>
      </c>
      <c r="C65" s="46">
        <f t="shared" si="24"/>
        <v>4.2401345620397102</v>
      </c>
      <c r="D65" s="48">
        <f t="shared" si="25"/>
        <v>15.697918032077471</v>
      </c>
      <c r="E65" s="49">
        <v>6.9076817275981001E-2</v>
      </c>
      <c r="F65" s="47">
        <v>0.54915539128618518</v>
      </c>
      <c r="G65" s="47">
        <v>0.54772000013043742</v>
      </c>
      <c r="H65" s="47">
        <v>0.53017308999159607</v>
      </c>
      <c r="I65" s="47">
        <v>0.50675404566578808</v>
      </c>
      <c r="J65" s="47">
        <v>0.48188170047479034</v>
      </c>
      <c r="K65" s="47">
        <v>0.50066672259317013</v>
      </c>
      <c r="L65" s="47">
        <v>0.43392559809476622</v>
      </c>
      <c r="M65" s="47">
        <v>0.38628423484013041</v>
      </c>
      <c r="N65" s="47">
        <v>0.35800350630364064</v>
      </c>
      <c r="O65" s="47">
        <v>0.35709205619388151</v>
      </c>
      <c r="P65" s="47">
        <v>0.38262417420075256</v>
      </c>
      <c r="Q65" s="47">
        <v>0.46042552701507378</v>
      </c>
      <c r="R65" s="47">
        <v>0.41207137815387207</v>
      </c>
      <c r="S65" s="47">
        <v>0.30720654541540637</v>
      </c>
      <c r="T65" s="47">
        <v>0.22444899314219</v>
      </c>
      <c r="U65" s="47">
        <v>0.20613748877601218</v>
      </c>
      <c r="V65" s="47">
        <v>0.18496339315779012</v>
      </c>
      <c r="W65" s="47">
        <v>0.21066578888615139</v>
      </c>
      <c r="X65" s="47">
        <v>0.2289641931580205</v>
      </c>
      <c r="Y65" s="47">
        <v>0.25043265603399045</v>
      </c>
      <c r="Z65" s="47">
        <v>0.25673301877265242</v>
      </c>
      <c r="AA65" s="47">
        <v>0.25668020387895812</v>
      </c>
      <c r="AB65" s="47">
        <v>0.21804174506743373</v>
      </c>
      <c r="AC65" s="47">
        <v>0.22278673615635303</v>
      </c>
      <c r="AD65" s="47">
        <v>0.23585393536305993</v>
      </c>
      <c r="AE65" s="47">
        <v>0.32257881320008119</v>
      </c>
      <c r="AF65" s="47">
        <v>0.38890519224003078</v>
      </c>
      <c r="AG65" s="47">
        <v>0.45909448680564641</v>
      </c>
      <c r="AH65" s="47">
        <v>0.56384996913357011</v>
      </c>
      <c r="AI65" s="47">
        <v>0.62111323304615518</v>
      </c>
      <c r="AJ65" s="47">
        <v>0.47812113427503311</v>
      </c>
      <c r="AK65" s="47">
        <v>0.44409271421307267</v>
      </c>
      <c r="AL65" s="47">
        <v>0.45129664285779658</v>
      </c>
      <c r="AM65" s="47">
        <v>0.58572338163474913</v>
      </c>
      <c r="AN65" s="47">
        <v>0.70110886984297038</v>
      </c>
      <c r="AO65" s="47">
        <v>0.7267899449883779</v>
      </c>
      <c r="AP65" s="47">
        <v>0.64860879026323193</v>
      </c>
      <c r="AQ65" s="47">
        <v>0.55060639394889377</v>
      </c>
      <c r="AR65" s="47">
        <v>0.6064719887839839</v>
      </c>
      <c r="AS65" s="47">
        <v>0.70870564371241074</v>
      </c>
      <c r="AT65" s="47">
        <v>0.64813325103808861</v>
      </c>
      <c r="AU65" s="47">
        <v>0.63830486467939718</v>
      </c>
      <c r="AV65" s="47">
        <v>0.56958763640716858</v>
      </c>
      <c r="AW65" s="47">
        <v>0.44139907880400159</v>
      </c>
      <c r="AX65" s="47">
        <v>0.37631711430441772</v>
      </c>
      <c r="AY65" s="47">
        <v>0.42472678963618871</v>
      </c>
      <c r="AZ65" s="47">
        <v>0.45327398197983237</v>
      </c>
      <c r="BA65" s="47">
        <v>0.38257845077251507</v>
      </c>
      <c r="BB65" s="47">
        <v>0.17801637794932557</v>
      </c>
      <c r="BC65" s="47">
        <v>0.18700448456049984</v>
      </c>
      <c r="BD65" s="47">
        <v>0.215331835509953</v>
      </c>
      <c r="BE65" s="47">
        <v>0.55285444827825625</v>
      </c>
      <c r="BF65" s="47">
        <v>0.6523082019594717</v>
      </c>
      <c r="BG65" s="47">
        <v>0.60756427921753731</v>
      </c>
      <c r="BH65" s="47">
        <v>0.48607622085455526</v>
      </c>
      <c r="BI65" s="47">
        <v>0.4525022170345403</v>
      </c>
      <c r="BJ65" s="47">
        <v>0.42407469639624307</v>
      </c>
      <c r="BK65" s="47">
        <v>0.44944132753284427</v>
      </c>
      <c r="BL65" s="47">
        <v>0.4882816458864418</v>
      </c>
      <c r="BM65" s="47">
        <v>0.5051532598378643</v>
      </c>
      <c r="BN65" s="47">
        <v>0.44128286349881746</v>
      </c>
      <c r="BO65" s="47">
        <v>0.47512856498095579</v>
      </c>
      <c r="BP65" s="47">
        <v>0.51661603410830848</v>
      </c>
      <c r="BQ65" s="47">
        <v>0.64980195858754397</v>
      </c>
      <c r="BR65" s="47">
        <v>0.66620255596118372</v>
      </c>
      <c r="BS65" s="47">
        <v>0.65401596506197324</v>
      </c>
      <c r="BT65" s="47">
        <v>0.55311721654570989</v>
      </c>
      <c r="BU65" s="47">
        <v>0.47176227502316909</v>
      </c>
      <c r="BV65" s="47">
        <v>0.48865974161685904</v>
      </c>
      <c r="BW65" s="47">
        <v>0.60545749592508291</v>
      </c>
      <c r="BX65" s="47">
        <v>0.63496335894435474</v>
      </c>
      <c r="BY65" s="47">
        <v>0.60885732545740845</v>
      </c>
      <c r="BZ65" s="47">
        <v>0.47667239208736345</v>
      </c>
      <c r="CA65" s="47">
        <v>0.5112309094789913</v>
      </c>
      <c r="CB65" s="47">
        <v>0.60336596938088027</v>
      </c>
      <c r="CC65" s="47">
        <v>0.70926193536056414</v>
      </c>
      <c r="CD65" s="47">
        <v>0.69482135532673506</v>
      </c>
      <c r="CE65" s="47">
        <v>0.67390194889187394</v>
      </c>
      <c r="CF65" s="47">
        <v>0.63949987035916234</v>
      </c>
      <c r="CG65" s="47">
        <v>0.57511344579164625</v>
      </c>
      <c r="CH65" s="47">
        <v>0.6007997933610163</v>
      </c>
      <c r="CI65" s="47">
        <v>0.65695928258241043</v>
      </c>
      <c r="CJ65" s="47">
        <v>0.69570322306072574</v>
      </c>
      <c r="CK65" s="47">
        <v>0.69657983790095224</v>
      </c>
      <c r="CL65" s="47">
        <v>0.64936518919172936</v>
      </c>
      <c r="CM65" s="47">
        <v>0.51468602624963011</v>
      </c>
      <c r="CN65" s="47">
        <v>0.5730657550158812</v>
      </c>
      <c r="CO65" s="47">
        <v>0.66717550840441786</v>
      </c>
      <c r="CP65" s="47">
        <v>0.70583682983215101</v>
      </c>
      <c r="CQ65" s="47">
        <v>0.70709066127768927</v>
      </c>
      <c r="CR65" s="47">
        <v>0.69222462487761349</v>
      </c>
      <c r="CS65" s="47">
        <v>0.65993471103861823</v>
      </c>
      <c r="CT65" s="47">
        <v>0.61554239145217005</v>
      </c>
      <c r="CU65" s="47">
        <v>0.61129927883252932</v>
      </c>
      <c r="CV65" s="47">
        <v>0.6031934479351958</v>
      </c>
      <c r="CW65" s="47">
        <v>0.56915559850187403</v>
      </c>
      <c r="CX65" s="47">
        <v>0.46259095125879302</v>
      </c>
      <c r="CY65" s="47">
        <v>0.45377305140831353</v>
      </c>
      <c r="CZ65" s="47">
        <v>0.50401352087140516</v>
      </c>
    </row>
    <row r="66" spans="1:104" x14ac:dyDescent="0.2">
      <c r="A66" s="45" t="s">
        <v>285</v>
      </c>
      <c r="B66" s="46">
        <f t="shared" si="23"/>
        <v>14.3</v>
      </c>
      <c r="C66" s="46">
        <f t="shared" si="24"/>
        <v>2.5500000000000025</v>
      </c>
      <c r="D66" s="48">
        <f t="shared" si="25"/>
        <v>15.388858388037994</v>
      </c>
      <c r="E66" s="49">
        <v>4.56897893209781E-3</v>
      </c>
      <c r="F66" s="47">
        <v>0.27550000000000002</v>
      </c>
      <c r="G66" s="47">
        <v>0.27550000000000002</v>
      </c>
      <c r="H66" s="47">
        <v>0.27550000000000002</v>
      </c>
      <c r="I66" s="47">
        <v>0.25</v>
      </c>
      <c r="J66" s="47">
        <v>0.2445</v>
      </c>
      <c r="K66" s="47">
        <v>0.219</v>
      </c>
      <c r="L66" s="47">
        <v>0.214</v>
      </c>
      <c r="M66" s="47">
        <v>0.19850000000000001</v>
      </c>
      <c r="N66" s="47">
        <v>0.17849999999999999</v>
      </c>
      <c r="O66" s="47">
        <v>0.158</v>
      </c>
      <c r="P66" s="47">
        <v>0.153</v>
      </c>
      <c r="Q66" s="47">
        <v>0.14749999999999999</v>
      </c>
      <c r="R66" s="47">
        <v>0.13750000000000001</v>
      </c>
      <c r="S66" s="47">
        <v>0.11700000000000001</v>
      </c>
      <c r="T66" s="47">
        <v>0.112</v>
      </c>
      <c r="U66" s="47">
        <v>0.122</v>
      </c>
      <c r="V66" s="47">
        <v>0.122</v>
      </c>
      <c r="W66" s="47">
        <v>0.13250000000000001</v>
      </c>
      <c r="X66" s="47">
        <v>0.14249999999999999</v>
      </c>
      <c r="Y66" s="47">
        <v>0.16300000000000001</v>
      </c>
      <c r="Z66" s="47">
        <v>0.17299999999999999</v>
      </c>
      <c r="AA66" s="47">
        <v>0.1885</v>
      </c>
      <c r="AB66" s="47">
        <v>0.20399999999999999</v>
      </c>
      <c r="AC66" s="47">
        <v>0.23449999999999999</v>
      </c>
      <c r="AD66" s="47">
        <v>0.32100000000000001</v>
      </c>
      <c r="AE66" s="47">
        <v>5.6000000000000001E-2</v>
      </c>
      <c r="AF66" s="47">
        <v>5.6000000000000001E-2</v>
      </c>
      <c r="AG66" s="47">
        <v>5.6000000000000001E-2</v>
      </c>
      <c r="AH66" s="47">
        <v>5.6000000000000001E-2</v>
      </c>
      <c r="AI66" s="47">
        <v>9.6500000000000002E-2</v>
      </c>
      <c r="AJ66" s="47">
        <v>9.1499999999999998E-2</v>
      </c>
      <c r="AK66" s="47">
        <v>8.1500000000000003E-2</v>
      </c>
      <c r="AL66" s="47">
        <v>7.6499999999999999E-2</v>
      </c>
      <c r="AM66" s="47">
        <v>8.6499999999999994E-2</v>
      </c>
      <c r="AN66" s="47">
        <v>0.107</v>
      </c>
      <c r="AO66" s="47">
        <v>0.20399999999999999</v>
      </c>
      <c r="AP66" s="47">
        <v>0.29549999999999998</v>
      </c>
      <c r="AQ66" s="47">
        <v>5.0000000000000001E-3</v>
      </c>
      <c r="AR66" s="47">
        <v>5.0000000000000001E-3</v>
      </c>
      <c r="AS66" s="47">
        <v>5.0000000000000001E-3</v>
      </c>
      <c r="AT66" s="47">
        <v>5.0000000000000001E-3</v>
      </c>
      <c r="AU66" s="47">
        <v>0</v>
      </c>
      <c r="AV66" s="47">
        <v>2.5499999999999998E-2</v>
      </c>
      <c r="AW66" s="47">
        <v>3.5499999999999997E-2</v>
      </c>
      <c r="AX66" s="47">
        <v>3.0499999999999999E-2</v>
      </c>
      <c r="AY66" s="47">
        <v>4.0500000000000001E-2</v>
      </c>
      <c r="AZ66" s="47">
        <v>4.5499999999999999E-2</v>
      </c>
      <c r="BA66" s="47">
        <v>5.0999999999999997E-2</v>
      </c>
      <c r="BB66" s="47">
        <v>0.10199999999999999</v>
      </c>
      <c r="BC66" s="47">
        <v>0.39750000000000002</v>
      </c>
      <c r="BD66" s="47">
        <v>0.39750000000000002</v>
      </c>
      <c r="BE66" s="47">
        <v>0.39750000000000002</v>
      </c>
      <c r="BF66" s="47">
        <v>0.39750000000000002</v>
      </c>
      <c r="BG66" s="47">
        <v>0.38750000000000001</v>
      </c>
      <c r="BH66" s="47">
        <v>0.38250000000000001</v>
      </c>
      <c r="BI66" s="47">
        <v>0.39250000000000002</v>
      </c>
      <c r="BJ66" s="47">
        <v>0.41799999999999998</v>
      </c>
      <c r="BK66" s="47">
        <v>0.4335</v>
      </c>
      <c r="BL66" s="47">
        <v>0.4385</v>
      </c>
      <c r="BM66" s="47">
        <v>0.44850000000000001</v>
      </c>
      <c r="BN66" s="47">
        <v>0.46400000000000002</v>
      </c>
      <c r="BO66" s="47">
        <v>0.34649999999999997</v>
      </c>
      <c r="BP66" s="47">
        <v>0.34649999999999997</v>
      </c>
      <c r="BQ66" s="47">
        <v>0.34649999999999997</v>
      </c>
      <c r="BR66" s="47">
        <v>0.34649999999999997</v>
      </c>
      <c r="BS66" s="47">
        <v>0.33150000000000002</v>
      </c>
      <c r="BT66" s="47">
        <v>0.33650000000000002</v>
      </c>
      <c r="BU66" s="47">
        <v>0.34150000000000003</v>
      </c>
      <c r="BV66" s="47">
        <v>0.3775</v>
      </c>
      <c r="BW66" s="47">
        <v>0.36699999999999999</v>
      </c>
      <c r="BX66" s="47">
        <v>0.32650000000000001</v>
      </c>
      <c r="BY66" s="47">
        <v>0.22950000000000001</v>
      </c>
      <c r="BZ66" s="47">
        <v>0.372</v>
      </c>
      <c r="CA66" s="47">
        <v>0.19350000000000001</v>
      </c>
      <c r="CB66" s="47">
        <v>0.316</v>
      </c>
      <c r="CC66" s="47">
        <v>0.29049999999999998</v>
      </c>
      <c r="CD66" s="47">
        <v>0.42849999999999999</v>
      </c>
      <c r="CE66" s="47">
        <v>0.44350000000000001</v>
      </c>
      <c r="CF66" s="47">
        <v>0.45900000000000002</v>
      </c>
      <c r="CG66" s="47">
        <v>0.46899999999999997</v>
      </c>
      <c r="CH66" s="47">
        <v>0.47399999999999998</v>
      </c>
      <c r="CI66" s="47">
        <v>0.47949999999999998</v>
      </c>
      <c r="CJ66" s="47">
        <v>0.48449999999999999</v>
      </c>
      <c r="CK66" s="47">
        <v>0.5</v>
      </c>
      <c r="CL66" s="47">
        <v>0.48949999999999999</v>
      </c>
      <c r="CM66" s="47">
        <v>0.4945</v>
      </c>
      <c r="CN66" s="47">
        <v>0.255</v>
      </c>
      <c r="CO66" s="47">
        <v>0.255</v>
      </c>
      <c r="CP66" s="47">
        <v>0.255</v>
      </c>
      <c r="CQ66" s="47">
        <v>0.255</v>
      </c>
      <c r="CR66" s="47">
        <v>0.23949999999999999</v>
      </c>
      <c r="CS66" s="47">
        <v>0.30099999999999999</v>
      </c>
      <c r="CT66" s="47">
        <v>0.311</v>
      </c>
      <c r="CU66" s="47">
        <v>0.30599999999999999</v>
      </c>
      <c r="CV66" s="47">
        <v>0.224</v>
      </c>
      <c r="CW66" s="47">
        <v>0.16800000000000001</v>
      </c>
      <c r="CX66" s="47">
        <v>0.1835</v>
      </c>
      <c r="CY66" s="47">
        <v>0.42299999999999999</v>
      </c>
      <c r="CZ66" s="47">
        <v>0.45400000000000001</v>
      </c>
    </row>
    <row r="67" spans="1:104" x14ac:dyDescent="0.2">
      <c r="A67" s="45" t="s">
        <v>284</v>
      </c>
      <c r="B67" s="46">
        <f t="shared" si="23"/>
        <v>-11.07749999999999</v>
      </c>
      <c r="C67" s="46">
        <f t="shared" si="24"/>
        <v>-2.3024999999999904</v>
      </c>
      <c r="D67" s="48">
        <f t="shared" si="25"/>
        <v>16.870796062455369</v>
      </c>
      <c r="E67" s="49">
        <v>0.12685617906461899</v>
      </c>
      <c r="F67" s="47">
        <v>0.27102500000000007</v>
      </c>
      <c r="G67" s="47">
        <v>0.28389999999999999</v>
      </c>
      <c r="H67" s="47">
        <v>0.26722499999999999</v>
      </c>
      <c r="I67" s="47">
        <v>0.29404999999999998</v>
      </c>
      <c r="J67" s="47">
        <v>0.27310000000000001</v>
      </c>
      <c r="K67" s="47">
        <v>0.32470000000000004</v>
      </c>
      <c r="L67" s="47">
        <v>0.33297500000000008</v>
      </c>
      <c r="M67" s="47">
        <v>0.30152500000000004</v>
      </c>
      <c r="N67" s="47">
        <v>0.23867500000000003</v>
      </c>
      <c r="O67" s="47">
        <v>0.23157499999999998</v>
      </c>
      <c r="P67" s="47">
        <v>0.35427500000000001</v>
      </c>
      <c r="Q67" s="47">
        <v>0.56710000000000005</v>
      </c>
      <c r="R67" s="47">
        <v>0.63437500000000002</v>
      </c>
      <c r="S67" s="47">
        <v>0.489425</v>
      </c>
      <c r="T67" s="47">
        <v>0.28689999999999999</v>
      </c>
      <c r="U67" s="47">
        <v>0.226825</v>
      </c>
      <c r="V67" s="47">
        <v>0.31987499999999996</v>
      </c>
      <c r="W67" s="47">
        <v>0.38179999999999997</v>
      </c>
      <c r="X67" s="47">
        <v>0.37445000000000001</v>
      </c>
      <c r="Y67" s="47">
        <v>0.35262500000000002</v>
      </c>
      <c r="Z67" s="47">
        <v>0.32717499999999999</v>
      </c>
      <c r="AA67" s="47">
        <v>0.30009999999999998</v>
      </c>
      <c r="AB67" s="47">
        <v>0.31635000000000002</v>
      </c>
      <c r="AC67" s="47">
        <v>0.32952500000000001</v>
      </c>
      <c r="AD67" s="47">
        <v>0.37887500000000002</v>
      </c>
      <c r="AE67" s="47">
        <v>0.42207500000000003</v>
      </c>
      <c r="AF67" s="47">
        <v>0.40902499999999992</v>
      </c>
      <c r="AG67" s="47">
        <v>0.39622499999999988</v>
      </c>
      <c r="AH67" s="47">
        <v>0.34757499999999997</v>
      </c>
      <c r="AI67" s="47">
        <v>0.34372499999999995</v>
      </c>
      <c r="AJ67" s="47">
        <v>0.39982499999999999</v>
      </c>
      <c r="AK67" s="47">
        <v>0.4511</v>
      </c>
      <c r="AL67" s="47">
        <v>0.53542499999999993</v>
      </c>
      <c r="AM67" s="47">
        <v>0.54812499999999997</v>
      </c>
      <c r="AN67" s="47">
        <v>0.60017500000000013</v>
      </c>
      <c r="AO67" s="47">
        <v>0.7379</v>
      </c>
      <c r="AP67" s="47">
        <v>0.696025</v>
      </c>
      <c r="AQ67" s="47">
        <v>0.69817499999999988</v>
      </c>
      <c r="AR67" s="47">
        <v>0.62560000000000016</v>
      </c>
      <c r="AS67" s="47">
        <v>0.65915000000000001</v>
      </c>
      <c r="AT67" s="47">
        <v>0.60539999999999994</v>
      </c>
      <c r="AU67" s="47">
        <v>0.58965000000000001</v>
      </c>
      <c r="AV67" s="47">
        <v>0.56157499999999994</v>
      </c>
      <c r="AW67" s="47">
        <v>0.56247500000000006</v>
      </c>
      <c r="AX67" s="47">
        <v>0.52297499999999997</v>
      </c>
      <c r="AY67" s="47">
        <v>0.47510000000000013</v>
      </c>
      <c r="AZ67" s="47">
        <v>0.42545000000000011</v>
      </c>
      <c r="BA67" s="47">
        <v>0.32097500000000001</v>
      </c>
      <c r="BB67" s="47">
        <v>0.15395</v>
      </c>
      <c r="BC67" s="47">
        <v>0.15210000000000001</v>
      </c>
      <c r="BD67" s="47">
        <v>0.16614999999999999</v>
      </c>
      <c r="BE67" s="47">
        <v>0.34545000000000003</v>
      </c>
      <c r="BF67" s="47">
        <v>0.41805000000000009</v>
      </c>
      <c r="BG67" s="47">
        <v>0.42407500000000009</v>
      </c>
      <c r="BH67" s="47">
        <v>0.46050000000000013</v>
      </c>
      <c r="BI67" s="47">
        <v>0.38005000000000005</v>
      </c>
      <c r="BJ67" s="47">
        <v>0.39042500000000008</v>
      </c>
      <c r="BK67" s="47">
        <v>0.32740000000000002</v>
      </c>
      <c r="BL67" s="47">
        <v>0.36587500000000006</v>
      </c>
      <c r="BM67" s="47">
        <v>0.4507000000000001</v>
      </c>
      <c r="BN67" s="47">
        <v>0.52535000000000009</v>
      </c>
      <c r="BO67" s="47">
        <v>0.62645000000000006</v>
      </c>
      <c r="BP67" s="47">
        <v>0.62627500000000003</v>
      </c>
      <c r="BQ67" s="47">
        <v>0.57250000000000012</v>
      </c>
      <c r="BR67" s="47">
        <v>0.54565000000000008</v>
      </c>
      <c r="BS67" s="47">
        <v>0.55027500000000007</v>
      </c>
      <c r="BT67" s="47">
        <v>0.53395000000000004</v>
      </c>
      <c r="BU67" s="47">
        <v>0.46465000000000012</v>
      </c>
      <c r="BV67" s="47">
        <v>0.36982500000000007</v>
      </c>
      <c r="BW67" s="47">
        <v>0.4174750000000001</v>
      </c>
      <c r="BX67" s="47">
        <v>0.58625000000000005</v>
      </c>
      <c r="BY67" s="47">
        <v>0.6437250000000001</v>
      </c>
      <c r="BZ67" s="47">
        <v>0.62040000000000006</v>
      </c>
      <c r="CA67" s="47">
        <v>0.68984999999999996</v>
      </c>
      <c r="CB67" s="47">
        <v>0.77315000000000023</v>
      </c>
      <c r="CC67" s="47">
        <v>0.81527500000000008</v>
      </c>
      <c r="CD67" s="47">
        <v>0.71897500000000014</v>
      </c>
      <c r="CE67" s="47">
        <v>0.65875000000000017</v>
      </c>
      <c r="CF67" s="47">
        <v>0.59777500000000006</v>
      </c>
      <c r="CG67" s="47">
        <v>0.71382500000000004</v>
      </c>
      <c r="CH67" s="47">
        <v>0.74095000000000022</v>
      </c>
      <c r="CI67" s="47">
        <v>0.77232500000000015</v>
      </c>
      <c r="CJ67" s="47">
        <v>0.73829999999999996</v>
      </c>
      <c r="CK67" s="47">
        <v>0.689025</v>
      </c>
      <c r="CL67" s="47">
        <v>0.70087500000000014</v>
      </c>
      <c r="CM67" s="47">
        <v>0.66982500000000011</v>
      </c>
      <c r="CN67" s="47">
        <v>0.70782500000000015</v>
      </c>
      <c r="CO67" s="47">
        <v>0.71187500000000015</v>
      </c>
      <c r="CP67" s="47">
        <v>0.77544999999999997</v>
      </c>
      <c r="CQ67" s="47">
        <v>0.78079999999999994</v>
      </c>
      <c r="CR67" s="47">
        <v>0.72047500000000009</v>
      </c>
      <c r="CS67" s="47">
        <v>0.70607500000000012</v>
      </c>
      <c r="CT67" s="47">
        <v>0.72610000000000008</v>
      </c>
      <c r="CU67" s="47">
        <v>0.79570000000000018</v>
      </c>
      <c r="CV67" s="47">
        <v>0.74540000000000006</v>
      </c>
      <c r="CW67" s="47">
        <v>0.67840000000000011</v>
      </c>
      <c r="CX67" s="47">
        <v>0.55642500000000017</v>
      </c>
      <c r="CY67" s="47">
        <v>0.33962500000000001</v>
      </c>
      <c r="CZ67" s="47">
        <v>0.29949999999999999</v>
      </c>
    </row>
    <row r="68" spans="1:104" x14ac:dyDescent="0.2">
      <c r="I68" s="35"/>
      <c r="J68" s="35"/>
      <c r="K68" s="35"/>
      <c r="L68" s="35"/>
      <c r="M68" s="35"/>
      <c r="N68" s="35"/>
      <c r="O68" s="35"/>
      <c r="P68" s="35"/>
      <c r="Q68" s="35"/>
    </row>
    <row r="69" spans="1:104" s="44" customFormat="1" x14ac:dyDescent="0.2">
      <c r="A69" s="41" t="s">
        <v>1</v>
      </c>
      <c r="B69" s="42" t="s">
        <v>316</v>
      </c>
      <c r="C69" s="43" t="s">
        <v>319</v>
      </c>
      <c r="D69" s="43" t="s">
        <v>317</v>
      </c>
      <c r="E69" s="43"/>
      <c r="F69" s="43">
        <v>45382</v>
      </c>
      <c r="G69" s="43">
        <v>45351</v>
      </c>
      <c r="H69" s="43">
        <v>45322</v>
      </c>
      <c r="I69" s="43">
        <v>45291</v>
      </c>
      <c r="J69" s="43">
        <v>45260</v>
      </c>
      <c r="K69" s="43">
        <v>45230</v>
      </c>
      <c r="L69" s="43">
        <v>45199</v>
      </c>
      <c r="M69" s="43">
        <v>45169</v>
      </c>
      <c r="N69" s="43">
        <v>45138</v>
      </c>
      <c r="O69" s="43">
        <v>45107</v>
      </c>
      <c r="P69" s="43">
        <v>45077</v>
      </c>
      <c r="Q69" s="43">
        <v>45046</v>
      </c>
      <c r="R69" s="43">
        <v>45016</v>
      </c>
      <c r="S69" s="43">
        <v>44985</v>
      </c>
      <c r="T69" s="43">
        <v>44957</v>
      </c>
      <c r="U69" s="43">
        <v>44926</v>
      </c>
      <c r="V69" s="43">
        <v>44895</v>
      </c>
      <c r="W69" s="43">
        <v>44865</v>
      </c>
      <c r="X69" s="43">
        <v>44834</v>
      </c>
      <c r="Y69" s="43">
        <v>44804</v>
      </c>
      <c r="Z69" s="43">
        <v>44773</v>
      </c>
      <c r="AA69" s="43">
        <v>44742</v>
      </c>
      <c r="AB69" s="43">
        <v>44712</v>
      </c>
      <c r="AC69" s="43">
        <v>44681</v>
      </c>
      <c r="AD69" s="43">
        <v>44651</v>
      </c>
      <c r="AE69" s="43">
        <v>44620</v>
      </c>
      <c r="AF69" s="43">
        <v>44592</v>
      </c>
      <c r="AG69" s="43">
        <v>44561</v>
      </c>
      <c r="AH69" s="43">
        <v>44530</v>
      </c>
      <c r="AI69" s="43">
        <v>44500</v>
      </c>
      <c r="AJ69" s="43">
        <v>44469</v>
      </c>
      <c r="AK69" s="43">
        <v>44439</v>
      </c>
      <c r="AL69" s="43">
        <v>44408</v>
      </c>
      <c r="AM69" s="43">
        <v>44377</v>
      </c>
      <c r="AN69" s="43">
        <v>44347</v>
      </c>
      <c r="AO69" s="43">
        <v>44316</v>
      </c>
      <c r="AP69" s="43">
        <v>44286</v>
      </c>
      <c r="AQ69" s="43">
        <v>44255</v>
      </c>
      <c r="AR69" s="43">
        <v>44227</v>
      </c>
      <c r="AS69" s="43">
        <v>44196</v>
      </c>
      <c r="AT69" s="43">
        <v>44165</v>
      </c>
      <c r="AU69" s="43">
        <v>44135</v>
      </c>
      <c r="AV69" s="43">
        <v>44104</v>
      </c>
      <c r="AW69" s="43">
        <v>44074</v>
      </c>
      <c r="AX69" s="43">
        <v>44043</v>
      </c>
      <c r="AY69" s="43">
        <v>44012</v>
      </c>
      <c r="AZ69" s="43">
        <v>43982</v>
      </c>
      <c r="BA69" s="43">
        <v>43951</v>
      </c>
      <c r="BB69" s="43">
        <v>43921</v>
      </c>
      <c r="BC69" s="43">
        <v>43890</v>
      </c>
      <c r="BD69" s="43">
        <v>43861</v>
      </c>
      <c r="BE69" s="43">
        <v>43830</v>
      </c>
      <c r="BF69" s="43">
        <v>43799</v>
      </c>
      <c r="BG69" s="43">
        <v>43769</v>
      </c>
      <c r="BH69" s="43">
        <v>43738</v>
      </c>
      <c r="BI69" s="43">
        <v>43708</v>
      </c>
      <c r="BJ69" s="43">
        <v>43677</v>
      </c>
      <c r="BK69" s="43">
        <v>43646</v>
      </c>
      <c r="BL69" s="43">
        <v>43616</v>
      </c>
      <c r="BM69" s="43">
        <v>43585</v>
      </c>
      <c r="BN69" s="43">
        <v>43555</v>
      </c>
      <c r="BO69" s="43">
        <v>43524</v>
      </c>
      <c r="BP69" s="43">
        <v>43496</v>
      </c>
      <c r="BQ69" s="43">
        <v>43465</v>
      </c>
      <c r="BR69" s="43">
        <v>43434</v>
      </c>
      <c r="BS69" s="43">
        <v>43404</v>
      </c>
      <c r="BT69" s="43">
        <v>43373</v>
      </c>
      <c r="BU69" s="43">
        <v>43343</v>
      </c>
      <c r="BV69" s="43">
        <v>43312</v>
      </c>
      <c r="BW69" s="43">
        <v>43281</v>
      </c>
      <c r="BX69" s="43">
        <v>43251</v>
      </c>
      <c r="BY69" s="43">
        <v>43220</v>
      </c>
      <c r="BZ69" s="43">
        <v>43190</v>
      </c>
      <c r="CA69" s="43">
        <v>43159</v>
      </c>
      <c r="CB69" s="43">
        <v>43131</v>
      </c>
      <c r="CC69" s="43">
        <v>43100</v>
      </c>
      <c r="CD69" s="43">
        <v>43069</v>
      </c>
      <c r="CE69" s="43">
        <v>43039</v>
      </c>
      <c r="CF69" s="43">
        <v>43008</v>
      </c>
      <c r="CG69" s="43">
        <v>42978</v>
      </c>
      <c r="CH69" s="43">
        <v>42947</v>
      </c>
      <c r="CI69" s="43">
        <v>42916</v>
      </c>
      <c r="CJ69" s="43">
        <v>42886</v>
      </c>
      <c r="CK69" s="43">
        <v>42855</v>
      </c>
      <c r="CL69" s="43">
        <v>42825</v>
      </c>
      <c r="CM69" s="43">
        <v>42794</v>
      </c>
      <c r="CN69" s="43">
        <v>42766</v>
      </c>
      <c r="CO69" s="43">
        <v>42735</v>
      </c>
      <c r="CP69" s="43">
        <v>42704</v>
      </c>
      <c r="CQ69" s="43">
        <v>42674</v>
      </c>
      <c r="CR69" s="43">
        <v>42643</v>
      </c>
      <c r="CS69" s="43">
        <v>42613</v>
      </c>
      <c r="CT69" s="43">
        <v>42582</v>
      </c>
      <c r="CU69" s="43">
        <v>42551</v>
      </c>
      <c r="CV69" s="43">
        <v>42521</v>
      </c>
      <c r="CW69" s="43">
        <v>42490</v>
      </c>
      <c r="CX69" s="43">
        <v>42460</v>
      </c>
      <c r="CY69" s="43">
        <v>42429</v>
      </c>
      <c r="CZ69" s="43">
        <v>42400</v>
      </c>
    </row>
    <row r="70" spans="1:104" x14ac:dyDescent="0.2">
      <c r="A70" s="45" t="s">
        <v>6</v>
      </c>
      <c r="B70" s="46">
        <f t="shared" ref="B70:B133" si="26">(F70-W70)*100</f>
        <v>-4.3384615384615461</v>
      </c>
      <c r="C70" s="46">
        <f t="shared" ref="C70:C133" si="27">(F70-I70)*100</f>
        <v>5.361538461538462</v>
      </c>
      <c r="D70" s="48">
        <f t="shared" ref="D70:D133" si="28">_xlfn.STDEV.P(Q70:CZ70)*100</f>
        <v>22.162771250625575</v>
      </c>
      <c r="E70" s="46"/>
      <c r="F70" s="47">
        <v>0.70715384615384591</v>
      </c>
      <c r="G70" s="47">
        <v>0.6740769230769228</v>
      </c>
      <c r="H70" s="47">
        <v>0.65799999999999981</v>
      </c>
      <c r="I70" s="47">
        <v>0.65353846153846129</v>
      </c>
      <c r="J70" s="47">
        <v>0.6786153846153844</v>
      </c>
      <c r="K70" s="47">
        <v>0.71569230769230752</v>
      </c>
      <c r="L70" s="47">
        <v>0.75815384615384596</v>
      </c>
      <c r="M70" s="47">
        <v>0.75615384615384595</v>
      </c>
      <c r="N70" s="47">
        <v>0.69853846153846144</v>
      </c>
      <c r="O70" s="47">
        <v>0.64776923076923065</v>
      </c>
      <c r="P70" s="47">
        <v>0.60476923076923061</v>
      </c>
      <c r="Q70" s="47">
        <v>0.64161538461538448</v>
      </c>
      <c r="R70" s="47">
        <v>0.66392307692307673</v>
      </c>
      <c r="S70" s="47">
        <v>0.68376923076923068</v>
      </c>
      <c r="T70" s="47">
        <v>0.71061538461538443</v>
      </c>
      <c r="U70" s="47">
        <v>0.7167692307692306</v>
      </c>
      <c r="V70" s="47">
        <v>0.73423076923076913</v>
      </c>
      <c r="W70" s="47">
        <v>0.75053846153846138</v>
      </c>
      <c r="X70" s="47">
        <v>0.77661538461538449</v>
      </c>
      <c r="Y70" s="47">
        <v>0.78915384615384598</v>
      </c>
      <c r="Z70" s="47">
        <v>0.81607692307692292</v>
      </c>
      <c r="AA70" s="47">
        <v>0.84853846153846135</v>
      </c>
      <c r="AB70" s="47">
        <v>0.85099999999999987</v>
      </c>
      <c r="AC70" s="47">
        <v>0.85199999999999998</v>
      </c>
      <c r="AD70" s="47">
        <v>0.83661538461538432</v>
      </c>
      <c r="AE70" s="47">
        <v>0.85561538461538444</v>
      </c>
      <c r="AF70" s="47">
        <v>0.84599999999999986</v>
      </c>
      <c r="AG70" s="47">
        <v>0.7479230769230768</v>
      </c>
      <c r="AH70" s="47">
        <v>0.68738461538461526</v>
      </c>
      <c r="AI70" s="47">
        <v>0.715230769230769</v>
      </c>
      <c r="AJ70" s="47">
        <v>0.74769230769230755</v>
      </c>
      <c r="AK70" s="47">
        <v>0.68869230769230749</v>
      </c>
      <c r="AL70" s="47">
        <v>0.67707692307692291</v>
      </c>
      <c r="AM70" s="47">
        <v>0.66007692307692289</v>
      </c>
      <c r="AN70" s="47">
        <v>0.62507692307692286</v>
      </c>
      <c r="AO70" s="47">
        <v>0.5446153846153845</v>
      </c>
      <c r="AP70" s="47">
        <v>0.51592307692307682</v>
      </c>
      <c r="AQ70" s="47">
        <v>0.44907692307692298</v>
      </c>
      <c r="AR70" s="47">
        <v>0.40538461538461534</v>
      </c>
      <c r="AS70" s="47">
        <v>0.34007692307692294</v>
      </c>
      <c r="AT70" s="47">
        <v>0.24069230769230765</v>
      </c>
      <c r="AU70" s="47">
        <v>0.20438461538461533</v>
      </c>
      <c r="AV70" s="47">
        <v>0.18669230769230766</v>
      </c>
      <c r="AW70" s="47">
        <v>0.20899999999999996</v>
      </c>
      <c r="AX70" s="47">
        <v>0.20953846153846148</v>
      </c>
      <c r="AY70" s="47">
        <v>0.15699999999999997</v>
      </c>
      <c r="AZ70" s="47">
        <v>8.9153846153846139E-2</v>
      </c>
      <c r="BA70" s="47">
        <v>5.9615384615384612E-2</v>
      </c>
      <c r="BB70" s="47">
        <v>7.046153846153845E-2</v>
      </c>
      <c r="BC70" s="47">
        <v>0.16153846153846152</v>
      </c>
      <c r="BD70" s="47">
        <v>0.34623076923076912</v>
      </c>
      <c r="BE70" s="47">
        <v>0.38746153846153841</v>
      </c>
      <c r="BF70" s="47">
        <v>0.40053846153846151</v>
      </c>
      <c r="BG70" s="47">
        <v>0.37230769230769228</v>
      </c>
      <c r="BH70" s="47">
        <v>0.36099999999999993</v>
      </c>
      <c r="BI70" s="47">
        <v>0.41438461538461524</v>
      </c>
      <c r="BJ70" s="47">
        <v>0.47792307692307689</v>
      </c>
      <c r="BK70" s="47">
        <v>0.49192307692307685</v>
      </c>
      <c r="BL70" s="47">
        <v>0.5466923076923077</v>
      </c>
      <c r="BM70" s="47">
        <v>0.55730769230769217</v>
      </c>
      <c r="BN70" s="47">
        <v>0.55953846153846154</v>
      </c>
      <c r="BO70" s="47">
        <v>0.49330769230769228</v>
      </c>
      <c r="BP70" s="47">
        <v>0.39461538461538453</v>
      </c>
      <c r="BQ70" s="47">
        <v>0.36838461538461537</v>
      </c>
      <c r="BR70" s="47">
        <v>0.43053846153846143</v>
      </c>
      <c r="BS70" s="47">
        <v>0.56846153846153835</v>
      </c>
      <c r="BT70" s="47">
        <v>0.67015384615384599</v>
      </c>
      <c r="BU70" s="47">
        <v>0.67738461538461525</v>
      </c>
      <c r="BV70" s="47">
        <v>0.63515384615384607</v>
      </c>
      <c r="BW70" s="47">
        <v>0.64753846153846151</v>
      </c>
      <c r="BX70" s="47">
        <v>0.66623076923076918</v>
      </c>
      <c r="BY70" s="47">
        <v>0.63961538461538447</v>
      </c>
      <c r="BZ70" s="47">
        <v>0.6229230769230768</v>
      </c>
      <c r="CA70" s="47">
        <v>0.60061538461538455</v>
      </c>
      <c r="CB70" s="47">
        <v>0.5782307692307691</v>
      </c>
      <c r="CC70" s="47">
        <v>0.55423076923076919</v>
      </c>
      <c r="CD70" s="47">
        <v>0.49930769230769229</v>
      </c>
      <c r="CE70" s="47">
        <v>0.44538461538461532</v>
      </c>
      <c r="CF70" s="47">
        <v>0.41107692307692301</v>
      </c>
      <c r="CG70" s="47">
        <v>0.40153846153846146</v>
      </c>
      <c r="CH70" s="47">
        <v>0.36392307692307685</v>
      </c>
      <c r="CI70" s="47">
        <v>0.34599999999999997</v>
      </c>
      <c r="CJ70" s="47">
        <v>0.3146923076923076</v>
      </c>
      <c r="CK70" s="47">
        <v>0.31192307692307686</v>
      </c>
      <c r="CL70" s="47">
        <v>0.32315384615384612</v>
      </c>
      <c r="CM70" s="47">
        <v>0.33369230769230762</v>
      </c>
      <c r="CN70" s="47">
        <v>0.32015384615384612</v>
      </c>
      <c r="CO70" s="47">
        <v>0.28753846153846152</v>
      </c>
      <c r="CP70" s="47">
        <v>0.26838461538461533</v>
      </c>
      <c r="CQ70" s="47">
        <v>0.24353846153846148</v>
      </c>
      <c r="CR70" s="47">
        <v>0.25869230769230767</v>
      </c>
      <c r="CS70" s="47">
        <v>0.2442307692307692</v>
      </c>
      <c r="CT70" s="47">
        <v>0.24807692307692303</v>
      </c>
      <c r="CU70" s="47">
        <v>0.24399999999999997</v>
      </c>
      <c r="CV70" s="47">
        <v>0.25453846153846149</v>
      </c>
      <c r="CW70" s="47">
        <v>0.20907692307692302</v>
      </c>
      <c r="CX70" s="47">
        <v>0.15830769230769226</v>
      </c>
      <c r="CY70" s="47">
        <v>0.11084615384615383</v>
      </c>
      <c r="CZ70" s="47">
        <v>8.9846153846153839E-2</v>
      </c>
    </row>
    <row r="71" spans="1:104" x14ac:dyDescent="0.2">
      <c r="A71" s="45" t="s">
        <v>9</v>
      </c>
      <c r="B71" s="46">
        <f t="shared" si="26"/>
        <v>3.099999999999997</v>
      </c>
      <c r="C71" s="46">
        <f t="shared" si="27"/>
        <v>45.4</v>
      </c>
      <c r="D71" s="48">
        <f t="shared" si="28"/>
        <v>29.139097140778951</v>
      </c>
      <c r="E71" s="46"/>
      <c r="F71" s="47">
        <v>0.505</v>
      </c>
      <c r="G71" s="47">
        <v>0.443</v>
      </c>
      <c r="H71" s="47">
        <v>0.14399999999999999</v>
      </c>
      <c r="I71" s="47">
        <v>5.0999999999999997E-2</v>
      </c>
      <c r="J71" s="47">
        <v>0.371</v>
      </c>
      <c r="K71" s="47">
        <v>0.752</v>
      </c>
      <c r="L71" s="47">
        <v>0.88600000000000001</v>
      </c>
      <c r="M71" s="47">
        <v>0.74199999999999999</v>
      </c>
      <c r="N71" s="47">
        <v>0.54600000000000004</v>
      </c>
      <c r="O71" s="47">
        <v>0.5</v>
      </c>
      <c r="P71" s="47">
        <v>0.98899999999999999</v>
      </c>
      <c r="Q71" s="47">
        <v>1</v>
      </c>
      <c r="R71" s="47">
        <v>0.97899999999999998</v>
      </c>
      <c r="S71" s="47">
        <v>0.57699999999999996</v>
      </c>
      <c r="T71" s="47">
        <v>0.43200000000000005</v>
      </c>
      <c r="U71" s="47">
        <v>0.22600000000000003</v>
      </c>
      <c r="V71" s="47">
        <v>0.27800000000000002</v>
      </c>
      <c r="W71" s="47">
        <v>0.47400000000000003</v>
      </c>
      <c r="X71" s="47">
        <v>0.53600000000000003</v>
      </c>
      <c r="Y71" s="47">
        <v>0.48400000000000004</v>
      </c>
      <c r="Z71" s="47">
        <v>0.46300000000000002</v>
      </c>
      <c r="AA71" s="47">
        <v>0.309</v>
      </c>
      <c r="AB71" s="47">
        <v>0.39100000000000001</v>
      </c>
      <c r="AC71" s="47">
        <v>0.32900000000000001</v>
      </c>
      <c r="AD71" s="47">
        <v>0.51500000000000001</v>
      </c>
      <c r="AE71" s="47">
        <v>0.65900000000000003</v>
      </c>
      <c r="AF71" s="47">
        <v>0.92700000000000016</v>
      </c>
      <c r="AG71" s="47">
        <v>0.96899999999999997</v>
      </c>
      <c r="AH71" s="47">
        <v>0.94800000000000006</v>
      </c>
      <c r="AI71" s="47">
        <v>0.86499999999999999</v>
      </c>
      <c r="AJ71" s="47">
        <v>0.91700000000000015</v>
      </c>
      <c r="AK71" s="47">
        <v>0.83499999999999996</v>
      </c>
      <c r="AL71" s="47">
        <v>0.64900000000000002</v>
      </c>
      <c r="AM71" s="47">
        <v>0.42200000000000004</v>
      </c>
      <c r="AN71" s="47">
        <v>0.154</v>
      </c>
      <c r="AO71" s="47">
        <v>6.0999999999999999E-2</v>
      </c>
      <c r="AP71" s="47">
        <v>0.13400000000000001</v>
      </c>
      <c r="AQ71" s="47">
        <v>0.21600000000000003</v>
      </c>
      <c r="AR71" s="47">
        <v>0.25700000000000001</v>
      </c>
      <c r="AS71" s="47">
        <v>0.34</v>
      </c>
      <c r="AT71" s="47">
        <v>0.31900000000000001</v>
      </c>
      <c r="AU71" s="47">
        <v>0.29799999999999999</v>
      </c>
      <c r="AV71" s="47">
        <v>0.16400000000000001</v>
      </c>
      <c r="AW71" s="47">
        <v>0.19499999999999998</v>
      </c>
      <c r="AX71" s="47">
        <v>0.40200000000000002</v>
      </c>
      <c r="AY71" s="47">
        <v>0.58699999999999997</v>
      </c>
      <c r="AZ71" s="47">
        <v>0.78300000000000014</v>
      </c>
      <c r="BA71" s="47">
        <v>0.81400000000000006</v>
      </c>
      <c r="BB71" s="47">
        <v>0.63900000000000001</v>
      </c>
      <c r="BC71" s="47">
        <v>0.49400000000000005</v>
      </c>
      <c r="BD71" s="47">
        <v>0.28799999999999998</v>
      </c>
      <c r="BE71" s="47">
        <v>8.2000000000000003E-2</v>
      </c>
      <c r="BF71" s="47">
        <v>0.11300000000000002</v>
      </c>
      <c r="BG71" s="47">
        <v>0.20600000000000002</v>
      </c>
      <c r="BH71" s="47">
        <v>0.26800000000000002</v>
      </c>
      <c r="BI71" s="47">
        <v>0.36000000000000004</v>
      </c>
      <c r="BJ71" s="47">
        <v>0.38100000000000001</v>
      </c>
      <c r="BK71" s="47">
        <v>0.41200000000000003</v>
      </c>
      <c r="BL71" s="47">
        <v>0.23700000000000002</v>
      </c>
      <c r="BM71" s="47">
        <v>0.18500000000000003</v>
      </c>
      <c r="BN71" s="47">
        <v>9.1999999999999998E-2</v>
      </c>
      <c r="BO71" s="47">
        <v>0.35</v>
      </c>
      <c r="BP71" s="47">
        <v>0.52500000000000002</v>
      </c>
      <c r="BQ71" s="47">
        <v>0.69</v>
      </c>
      <c r="BR71" s="47">
        <v>0.72099999999999997</v>
      </c>
      <c r="BS71" s="47">
        <v>0.71099999999999997</v>
      </c>
      <c r="BT71" s="47">
        <v>0.68</v>
      </c>
      <c r="BU71" s="47">
        <v>0.628</v>
      </c>
      <c r="BV71" s="47">
        <v>0.60799999999999998</v>
      </c>
      <c r="BW71" s="47">
        <v>0.56699999999999995</v>
      </c>
      <c r="BX71" s="47">
        <v>0.61799999999999999</v>
      </c>
      <c r="BY71" s="47">
        <v>0.73099999999999998</v>
      </c>
      <c r="BZ71" s="47">
        <v>0.90700000000000014</v>
      </c>
      <c r="CA71" s="47">
        <v>0.93800000000000006</v>
      </c>
      <c r="CB71" s="47">
        <v>0.95800000000000007</v>
      </c>
      <c r="CC71" s="47">
        <v>0.876</v>
      </c>
      <c r="CD71" s="47">
        <v>0.84499999999999997</v>
      </c>
      <c r="CE71" s="47">
        <v>0.77300000000000013</v>
      </c>
      <c r="CF71" s="47">
        <v>0.79300000000000015</v>
      </c>
      <c r="CG71" s="47">
        <v>0.82400000000000007</v>
      </c>
      <c r="CH71" s="47">
        <v>0.85499999999999998</v>
      </c>
      <c r="CI71" s="47">
        <v>0.89600000000000002</v>
      </c>
      <c r="CJ71" s="47">
        <v>0.80400000000000005</v>
      </c>
      <c r="CK71" s="47">
        <v>0.55600000000000005</v>
      </c>
      <c r="CL71" s="47">
        <v>0.24700000000000003</v>
      </c>
      <c r="CM71" s="47">
        <v>4.1000000000000002E-2</v>
      </c>
      <c r="CN71" s="47">
        <v>0.03</v>
      </c>
      <c r="CO71" s="47">
        <v>0.123</v>
      </c>
      <c r="CP71" s="47">
        <v>0.17499999999999999</v>
      </c>
      <c r="CQ71" s="47">
        <v>0.10300000000000001</v>
      </c>
      <c r="CR71" s="47">
        <v>0.02</v>
      </c>
      <c r="CS71" s="47">
        <v>0</v>
      </c>
      <c r="CT71" s="47">
        <v>0.01</v>
      </c>
      <c r="CU71" s="47">
        <v>7.1999999999999995E-2</v>
      </c>
      <c r="CV71" s="47">
        <v>0.45300000000000001</v>
      </c>
      <c r="CW71" s="47">
        <v>0.59699999999999998</v>
      </c>
      <c r="CX71" s="47">
        <v>0.76200000000000001</v>
      </c>
      <c r="CY71" s="47">
        <v>0.67</v>
      </c>
      <c r="CZ71" s="47">
        <v>0.70099999999999996</v>
      </c>
    </row>
    <row r="72" spans="1:104" x14ac:dyDescent="0.2">
      <c r="A72" s="45" t="s">
        <v>12</v>
      </c>
      <c r="B72" s="46">
        <f t="shared" si="26"/>
        <v>-27.499999999999993</v>
      </c>
      <c r="C72" s="46">
        <f t="shared" si="27"/>
        <v>-4.0999999999999925</v>
      </c>
      <c r="D72" s="48">
        <f t="shared" si="28"/>
        <v>29.944338320774612</v>
      </c>
      <c r="E72" s="46"/>
      <c r="F72" s="47">
        <v>0.66300000000000003</v>
      </c>
      <c r="G72" s="47">
        <v>0.67300000000000004</v>
      </c>
      <c r="H72" s="47">
        <v>0.68300000000000005</v>
      </c>
      <c r="I72" s="47">
        <v>0.70399999999999996</v>
      </c>
      <c r="J72" s="47">
        <v>0.72399999999999998</v>
      </c>
      <c r="K72" s="47">
        <v>0.68300000000000005</v>
      </c>
      <c r="L72" s="47">
        <v>0.65300000000000002</v>
      </c>
      <c r="M72" s="47">
        <v>0.61199999999999999</v>
      </c>
      <c r="N72" s="47">
        <v>0.60199999999999998</v>
      </c>
      <c r="O72" s="47">
        <v>0.64200000000000002</v>
      </c>
      <c r="P72" s="47">
        <v>0.78500000000000003</v>
      </c>
      <c r="Q72" s="47">
        <v>0.84599999999999997</v>
      </c>
      <c r="R72" s="47">
        <v>0.86699999999999999</v>
      </c>
      <c r="S72" s="47">
        <v>0.877</v>
      </c>
      <c r="T72" s="47">
        <v>0.89700000000000002</v>
      </c>
      <c r="U72" s="47">
        <v>0.98899999999999999</v>
      </c>
      <c r="V72" s="47">
        <v>0.93799999999999994</v>
      </c>
      <c r="W72" s="47">
        <v>0.93799999999999994</v>
      </c>
      <c r="X72" s="47">
        <v>0.93799999999999994</v>
      </c>
      <c r="Y72" s="47">
        <v>0.93799999999999994</v>
      </c>
      <c r="Z72" s="47">
        <v>0.90800000000000003</v>
      </c>
      <c r="AA72" s="47">
        <v>0.92800000000000005</v>
      </c>
      <c r="AB72" s="47">
        <v>0.91800000000000004</v>
      </c>
      <c r="AC72" s="47">
        <v>1</v>
      </c>
      <c r="AD72" s="47">
        <v>0.97899999999999998</v>
      </c>
      <c r="AE72" s="47">
        <v>0.88700000000000001</v>
      </c>
      <c r="AF72" s="47">
        <v>0.85699999999999998</v>
      </c>
      <c r="AG72" s="47">
        <v>0.79500000000000004</v>
      </c>
      <c r="AH72" s="47">
        <v>0.80600000000000005</v>
      </c>
      <c r="AI72" s="47">
        <v>0.81599999999999995</v>
      </c>
      <c r="AJ72" s="47">
        <v>0.81599999999999995</v>
      </c>
      <c r="AK72" s="47">
        <v>0.81599999999999995</v>
      </c>
      <c r="AL72" s="47">
        <v>0.74399999999999999</v>
      </c>
      <c r="AM72" s="47">
        <v>0.74399999999999999</v>
      </c>
      <c r="AN72" s="47">
        <v>0.74399999999999999</v>
      </c>
      <c r="AO72" s="47">
        <v>0.74399999999999999</v>
      </c>
      <c r="AP72" s="47">
        <v>0.55100000000000005</v>
      </c>
      <c r="AQ72" s="47">
        <v>0.63200000000000001</v>
      </c>
      <c r="AR72" s="47">
        <v>0.73399999999999999</v>
      </c>
      <c r="AS72" s="47">
        <v>0.71399999999999997</v>
      </c>
      <c r="AT72" s="47">
        <v>0.44800000000000001</v>
      </c>
      <c r="AU72" s="47">
        <v>0.26500000000000001</v>
      </c>
      <c r="AV72" s="47">
        <v>0.214</v>
      </c>
      <c r="AW72" s="47">
        <v>0.193</v>
      </c>
      <c r="AX72" s="47">
        <v>0.17299999999999999</v>
      </c>
      <c r="AY72" s="47">
        <v>0.112</v>
      </c>
      <c r="AZ72" s="47">
        <v>9.0999999999999998E-2</v>
      </c>
      <c r="BA72" s="47">
        <v>8.1000000000000003E-2</v>
      </c>
      <c r="BB72" s="47">
        <v>0.10199999999999999</v>
      </c>
      <c r="BC72" s="47">
        <v>0.16300000000000001</v>
      </c>
      <c r="BD72" s="47">
        <v>0.153</v>
      </c>
      <c r="BE72" s="47">
        <v>0.122</v>
      </c>
      <c r="BF72" s="47">
        <v>0.14199999999999999</v>
      </c>
      <c r="BG72" s="47">
        <v>0.183</v>
      </c>
      <c r="BH72" s="47">
        <v>0.20399999999999999</v>
      </c>
      <c r="BI72" s="47">
        <v>0.224</v>
      </c>
      <c r="BJ72" s="47">
        <v>0.23400000000000001</v>
      </c>
      <c r="BK72" s="47">
        <v>0.27500000000000002</v>
      </c>
      <c r="BL72" s="47">
        <v>0.32600000000000001</v>
      </c>
      <c r="BM72" s="47">
        <v>0.36699999999999999</v>
      </c>
      <c r="BN72" s="47">
        <v>0.34599999999999997</v>
      </c>
      <c r="BO72" s="47">
        <v>0.28499999999999998</v>
      </c>
      <c r="BP72" s="47">
        <v>0.255</v>
      </c>
      <c r="BQ72" s="47">
        <v>0.316</v>
      </c>
      <c r="BR72" s="47">
        <v>0.40799999999999997</v>
      </c>
      <c r="BS72" s="47">
        <v>0.45900000000000002</v>
      </c>
      <c r="BT72" s="47">
        <v>0.41799999999999998</v>
      </c>
      <c r="BU72" s="47">
        <v>0.42799999999999999</v>
      </c>
      <c r="BV72" s="47">
        <v>0.5</v>
      </c>
      <c r="BW72" s="47">
        <v>0.53</v>
      </c>
      <c r="BX72" s="47">
        <v>0.39700000000000002</v>
      </c>
      <c r="BY72" s="47">
        <v>0.35699999999999998</v>
      </c>
      <c r="BZ72" s="47">
        <v>0.51</v>
      </c>
      <c r="CA72" s="47">
        <v>0.59099999999999997</v>
      </c>
      <c r="CB72" s="47">
        <v>0.622</v>
      </c>
      <c r="CC72" s="47">
        <v>0.58099999999999996</v>
      </c>
      <c r="CD72" s="47">
        <v>0.57099999999999995</v>
      </c>
      <c r="CE72" s="47">
        <v>0.56100000000000005</v>
      </c>
      <c r="CF72" s="47">
        <v>0.54</v>
      </c>
      <c r="CG72" s="47">
        <v>0.47899999999999998</v>
      </c>
      <c r="CH72" s="47">
        <v>0.30599999999999999</v>
      </c>
      <c r="CI72" s="47">
        <v>0.24399999999999999</v>
      </c>
      <c r="CJ72" s="47">
        <v>0.29499999999999998</v>
      </c>
      <c r="CK72" s="47">
        <v>0.438</v>
      </c>
      <c r="CL72" s="47">
        <v>0.46899999999999997</v>
      </c>
      <c r="CM72" s="47">
        <v>0.377</v>
      </c>
      <c r="CN72" s="47">
        <v>0.33600000000000002</v>
      </c>
      <c r="CO72" s="47">
        <v>0.48899999999999999</v>
      </c>
      <c r="CP72" s="47">
        <v>0.52</v>
      </c>
      <c r="CQ72" s="47">
        <v>0.38700000000000001</v>
      </c>
      <c r="CR72" s="47">
        <v>0.13200000000000001</v>
      </c>
      <c r="CS72" s="47">
        <v>7.0999999999999994E-2</v>
      </c>
      <c r="CT72" s="47">
        <v>6.0999999999999999E-2</v>
      </c>
      <c r="CU72" s="47">
        <v>5.0999999999999997E-2</v>
      </c>
      <c r="CV72" s="47">
        <v>0.04</v>
      </c>
      <c r="CW72" s="47">
        <v>0.03</v>
      </c>
      <c r="CX72" s="47">
        <v>0.02</v>
      </c>
      <c r="CY72" s="47">
        <v>0.01</v>
      </c>
      <c r="CZ72" s="47">
        <v>0</v>
      </c>
    </row>
    <row r="73" spans="1:104" x14ac:dyDescent="0.2">
      <c r="A73" s="45" t="s">
        <v>15</v>
      </c>
      <c r="B73" s="46">
        <f t="shared" si="26"/>
        <v>-10.199999999999987</v>
      </c>
      <c r="C73" s="46">
        <f t="shared" si="27"/>
        <v>-4.1000000000000032</v>
      </c>
      <c r="D73" s="48">
        <f t="shared" si="28"/>
        <v>29.861322987054507</v>
      </c>
      <c r="E73" s="46"/>
      <c r="F73" s="47">
        <v>0.73399999999999999</v>
      </c>
      <c r="G73" s="47">
        <v>0.76500000000000001</v>
      </c>
      <c r="H73" s="47">
        <v>0.78499999999999992</v>
      </c>
      <c r="I73" s="47">
        <v>0.77500000000000002</v>
      </c>
      <c r="J73" s="47">
        <v>0.74399999999999999</v>
      </c>
      <c r="K73" s="47">
        <v>0.71399999999999997</v>
      </c>
      <c r="L73" s="47">
        <v>0.68300000000000005</v>
      </c>
      <c r="M73" s="47">
        <v>0.59099999999999997</v>
      </c>
      <c r="N73" s="47">
        <v>0.622</v>
      </c>
      <c r="O73" s="47">
        <v>0.65300000000000002</v>
      </c>
      <c r="P73" s="47">
        <v>0.70399999999999996</v>
      </c>
      <c r="Q73" s="47">
        <v>0.755</v>
      </c>
      <c r="R73" s="47">
        <v>0.79500000000000004</v>
      </c>
      <c r="S73" s="47">
        <v>0.82600000000000007</v>
      </c>
      <c r="T73" s="47">
        <v>0.84599999999999997</v>
      </c>
      <c r="U73" s="47">
        <v>0.8570000000000001</v>
      </c>
      <c r="V73" s="47">
        <v>0.86699999999999988</v>
      </c>
      <c r="W73" s="47">
        <v>0.83599999999999985</v>
      </c>
      <c r="X73" s="47">
        <v>0.81599999999999995</v>
      </c>
      <c r="Y73" s="47">
        <v>0.877</v>
      </c>
      <c r="Z73" s="47">
        <v>0.89700000000000002</v>
      </c>
      <c r="AA73" s="47">
        <v>0.92800000000000005</v>
      </c>
      <c r="AB73" s="47">
        <v>0.95899999999999996</v>
      </c>
      <c r="AC73" s="47">
        <v>0.96899999999999997</v>
      </c>
      <c r="AD73" s="47">
        <v>0.93799999999999994</v>
      </c>
      <c r="AE73" s="47">
        <v>0.91800000000000004</v>
      </c>
      <c r="AF73" s="47">
        <v>0.88700000000000001</v>
      </c>
      <c r="AG73" s="47">
        <v>0.90800000000000003</v>
      </c>
      <c r="AH73" s="47">
        <v>0.97899999999999998</v>
      </c>
      <c r="AI73" s="47">
        <v>1</v>
      </c>
      <c r="AJ73" s="47">
        <v>0.9890000000000001</v>
      </c>
      <c r="AK73" s="47">
        <v>0.94799999999999995</v>
      </c>
      <c r="AL73" s="47">
        <v>0.80600000000000005</v>
      </c>
      <c r="AM73" s="47">
        <v>0.72399999999999998</v>
      </c>
      <c r="AN73" s="47">
        <v>0.69299999999999995</v>
      </c>
      <c r="AO73" s="47">
        <v>0.54</v>
      </c>
      <c r="AP73" s="47">
        <v>0.39700000000000008</v>
      </c>
      <c r="AQ73" s="47">
        <v>0.40799999999999997</v>
      </c>
      <c r="AR73" s="47">
        <v>0.38700000000000001</v>
      </c>
      <c r="AS73" s="47">
        <v>0.32600000000000001</v>
      </c>
      <c r="AT73" s="47">
        <v>0.224</v>
      </c>
      <c r="AU73" s="47">
        <v>0.16300000000000001</v>
      </c>
      <c r="AV73" s="47">
        <v>0.13200000000000001</v>
      </c>
      <c r="AW73" s="47">
        <v>0.122</v>
      </c>
      <c r="AX73" s="47">
        <v>0.14199999999999999</v>
      </c>
      <c r="AY73" s="47">
        <v>0.153</v>
      </c>
      <c r="AZ73" s="47">
        <v>0.183</v>
      </c>
      <c r="BA73" s="47">
        <v>0.214</v>
      </c>
      <c r="BB73" s="47">
        <v>0.255</v>
      </c>
      <c r="BC73" s="47">
        <v>0.30599999999999999</v>
      </c>
      <c r="BD73" s="47">
        <v>0.26500000000000001</v>
      </c>
      <c r="BE73" s="47">
        <v>0.24399999999999999</v>
      </c>
      <c r="BF73" s="47">
        <v>0.23400000000000001</v>
      </c>
      <c r="BG73" s="47">
        <v>0.29499999999999998</v>
      </c>
      <c r="BH73" s="47">
        <v>0.36699999999999999</v>
      </c>
      <c r="BI73" s="47">
        <v>0.42799999999999999</v>
      </c>
      <c r="BJ73" s="47">
        <v>0.44800000000000001</v>
      </c>
      <c r="BK73" s="47">
        <v>0.52</v>
      </c>
      <c r="BL73" s="47">
        <v>0.57099999999999995</v>
      </c>
      <c r="BM73" s="47">
        <v>0.60199999999999998</v>
      </c>
      <c r="BN73" s="47">
        <v>0.63200000000000001</v>
      </c>
      <c r="BO73" s="47">
        <v>0.66300000000000003</v>
      </c>
      <c r="BP73" s="47">
        <v>0.67300000000000004</v>
      </c>
      <c r="BQ73" s="47">
        <v>0.64200000000000002</v>
      </c>
      <c r="BR73" s="47">
        <v>0.61199999999999999</v>
      </c>
      <c r="BS73" s="47">
        <v>0.56100000000000005</v>
      </c>
      <c r="BT73" s="47">
        <v>0.46899999999999997</v>
      </c>
      <c r="BU73" s="47">
        <v>0.47900000000000004</v>
      </c>
      <c r="BV73" s="47">
        <v>0.48899999999999999</v>
      </c>
      <c r="BW73" s="47">
        <v>0.5</v>
      </c>
      <c r="BX73" s="47">
        <v>0.53</v>
      </c>
      <c r="BY73" s="47">
        <v>0.55100000000000005</v>
      </c>
      <c r="BZ73" s="47">
        <v>0.58099999999999996</v>
      </c>
      <c r="CA73" s="47">
        <v>0.51</v>
      </c>
      <c r="CB73" s="47">
        <v>0.41799999999999993</v>
      </c>
      <c r="CC73" s="47">
        <v>0.34599999999999997</v>
      </c>
      <c r="CD73" s="47">
        <v>0.33600000000000002</v>
      </c>
      <c r="CE73" s="47">
        <v>0.35699999999999998</v>
      </c>
      <c r="CF73" s="47">
        <v>0.316</v>
      </c>
      <c r="CG73" s="47">
        <v>0.193</v>
      </c>
      <c r="CH73" s="47">
        <v>0.10199999999999999</v>
      </c>
      <c r="CI73" s="47">
        <v>0.112</v>
      </c>
      <c r="CJ73" s="47">
        <v>0.17299999999999999</v>
      </c>
      <c r="CK73" s="47">
        <v>0.20399999999999999</v>
      </c>
      <c r="CL73" s="47">
        <v>0.27500000000000002</v>
      </c>
      <c r="CM73" s="47">
        <v>0.37699999999999995</v>
      </c>
      <c r="CN73" s="47">
        <v>0.45900000000000002</v>
      </c>
      <c r="CO73" s="47">
        <v>0.43800000000000006</v>
      </c>
      <c r="CP73" s="47">
        <v>0.28499999999999998</v>
      </c>
      <c r="CQ73" s="47">
        <v>9.0999999999999998E-2</v>
      </c>
      <c r="CR73" s="47">
        <v>8.1000000000000003E-2</v>
      </c>
      <c r="CS73" s="47">
        <v>7.0999999999999994E-2</v>
      </c>
      <c r="CT73" s="47">
        <v>6.0999999999999999E-2</v>
      </c>
      <c r="CU73" s="47">
        <v>5.0999999999999997E-2</v>
      </c>
      <c r="CV73" s="47">
        <v>0.04</v>
      </c>
      <c r="CW73" s="47">
        <v>0.03</v>
      </c>
      <c r="CX73" s="47">
        <v>0.01</v>
      </c>
      <c r="CY73" s="47">
        <v>0</v>
      </c>
      <c r="CZ73" s="47">
        <v>0.02</v>
      </c>
    </row>
    <row r="74" spans="1:104" x14ac:dyDescent="0.2">
      <c r="A74" s="45" t="s">
        <v>18</v>
      </c>
      <c r="B74" s="46">
        <f t="shared" si="26"/>
        <v>-26.6</v>
      </c>
      <c r="C74" s="46">
        <f t="shared" si="27"/>
        <v>-5.0999999999999934</v>
      </c>
      <c r="D74" s="48">
        <f t="shared" si="28"/>
        <v>29.827147609252414</v>
      </c>
      <c r="E74" s="46"/>
      <c r="F74" s="47">
        <v>0.64200000000000002</v>
      </c>
      <c r="G74" s="47">
        <v>0.66300000000000003</v>
      </c>
      <c r="H74" s="47">
        <v>0.68300000000000005</v>
      </c>
      <c r="I74" s="47">
        <v>0.69299999999999995</v>
      </c>
      <c r="J74" s="47">
        <v>0.76500000000000001</v>
      </c>
      <c r="K74" s="47">
        <v>0.755</v>
      </c>
      <c r="L74" s="47">
        <v>0.73399999999999999</v>
      </c>
      <c r="M74" s="47">
        <v>0.72399999999999998</v>
      </c>
      <c r="N74" s="47">
        <v>0.70399999999999996</v>
      </c>
      <c r="O74" s="47">
        <v>0.71399999999999997</v>
      </c>
      <c r="P74" s="47">
        <v>0.77500000000000002</v>
      </c>
      <c r="Q74" s="47">
        <v>0.80600000000000005</v>
      </c>
      <c r="R74" s="47">
        <v>0.877</v>
      </c>
      <c r="S74" s="47">
        <v>0.96899999999999997</v>
      </c>
      <c r="T74" s="47">
        <v>0.97899999999999998</v>
      </c>
      <c r="U74" s="47">
        <v>0.94799999999999995</v>
      </c>
      <c r="V74" s="47">
        <v>0.93799999999999994</v>
      </c>
      <c r="W74" s="47">
        <v>0.90800000000000003</v>
      </c>
      <c r="X74" s="47">
        <v>0.8570000000000001</v>
      </c>
      <c r="Y74" s="47">
        <v>0.81599999999999995</v>
      </c>
      <c r="Z74" s="47">
        <v>0.82600000000000007</v>
      </c>
      <c r="AA74" s="47">
        <v>0.82600000000000007</v>
      </c>
      <c r="AB74" s="47">
        <v>0.84599999999999997</v>
      </c>
      <c r="AC74" s="47">
        <v>0.86699999999999988</v>
      </c>
      <c r="AD74" s="47">
        <v>0.89700000000000002</v>
      </c>
      <c r="AE74" s="47">
        <v>0.91800000000000004</v>
      </c>
      <c r="AF74" s="47">
        <v>0.88700000000000001</v>
      </c>
      <c r="AG74" s="47">
        <v>0.92800000000000005</v>
      </c>
      <c r="AH74" s="47">
        <v>0.9890000000000001</v>
      </c>
      <c r="AI74" s="47">
        <v>1</v>
      </c>
      <c r="AJ74" s="47">
        <v>0.95899999999999996</v>
      </c>
      <c r="AK74" s="47">
        <v>0.79500000000000004</v>
      </c>
      <c r="AL74" s="47">
        <v>0.78499999999999992</v>
      </c>
      <c r="AM74" s="47">
        <v>0.74399999999999999</v>
      </c>
      <c r="AN74" s="47">
        <v>0.67300000000000004</v>
      </c>
      <c r="AO74" s="47">
        <v>0.47900000000000004</v>
      </c>
      <c r="AP74" s="47">
        <v>0.28499999999999998</v>
      </c>
      <c r="AQ74" s="47">
        <v>0.38700000000000001</v>
      </c>
      <c r="AR74" s="47">
        <v>0.40799999999999997</v>
      </c>
      <c r="AS74" s="47">
        <v>0.37699999999999995</v>
      </c>
      <c r="AT74" s="47">
        <v>0.23400000000000001</v>
      </c>
      <c r="AU74" s="47">
        <v>0.14199999999999999</v>
      </c>
      <c r="AV74" s="47">
        <v>9.0999999999999998E-2</v>
      </c>
      <c r="AW74" s="47">
        <v>0.10199999999999999</v>
      </c>
      <c r="AX74" s="47">
        <v>0.112</v>
      </c>
      <c r="AY74" s="47">
        <v>0.122</v>
      </c>
      <c r="AZ74" s="47">
        <v>0.13200000000000001</v>
      </c>
      <c r="BA74" s="47">
        <v>0.153</v>
      </c>
      <c r="BB74" s="47">
        <v>0.17299999999999999</v>
      </c>
      <c r="BC74" s="47">
        <v>0.183</v>
      </c>
      <c r="BD74" s="47">
        <v>0.183</v>
      </c>
      <c r="BE74" s="47">
        <v>0.20399999999999999</v>
      </c>
      <c r="BF74" s="47">
        <v>0.214</v>
      </c>
      <c r="BG74" s="47">
        <v>0.224</v>
      </c>
      <c r="BH74" s="47">
        <v>0.24399999999999999</v>
      </c>
      <c r="BI74" s="47">
        <v>0.255</v>
      </c>
      <c r="BJ74" s="47">
        <v>0.33600000000000002</v>
      </c>
      <c r="BK74" s="47">
        <v>0.39700000000000008</v>
      </c>
      <c r="BL74" s="47">
        <v>0.42799999999999999</v>
      </c>
      <c r="BM74" s="47">
        <v>0.47900000000000004</v>
      </c>
      <c r="BN74" s="47">
        <v>0.52</v>
      </c>
      <c r="BO74" s="47">
        <v>0.53</v>
      </c>
      <c r="BP74" s="47">
        <v>0.56100000000000005</v>
      </c>
      <c r="BQ74" s="47">
        <v>0.58099999999999996</v>
      </c>
      <c r="BR74" s="47">
        <v>0.60199999999999998</v>
      </c>
      <c r="BS74" s="47">
        <v>0.63200000000000001</v>
      </c>
      <c r="BT74" s="47">
        <v>0.59099999999999997</v>
      </c>
      <c r="BU74" s="47">
        <v>0.57099999999999995</v>
      </c>
      <c r="BV74" s="47">
        <v>0.54</v>
      </c>
      <c r="BW74" s="47">
        <v>0.46899999999999997</v>
      </c>
      <c r="BX74" s="47">
        <v>0.44800000000000001</v>
      </c>
      <c r="BY74" s="47">
        <v>0.43800000000000006</v>
      </c>
      <c r="BZ74" s="47">
        <v>0.51</v>
      </c>
      <c r="CA74" s="47">
        <v>0.5</v>
      </c>
      <c r="CB74" s="47">
        <v>0.45900000000000002</v>
      </c>
      <c r="CC74" s="47">
        <v>0.55100000000000005</v>
      </c>
      <c r="CD74" s="47">
        <v>0.622</v>
      </c>
      <c r="CE74" s="47">
        <v>0.65300000000000002</v>
      </c>
      <c r="CF74" s="47">
        <v>0.61199999999999999</v>
      </c>
      <c r="CG74" s="47">
        <v>0.41799999999999993</v>
      </c>
      <c r="CH74" s="47">
        <v>0.27500000000000002</v>
      </c>
      <c r="CI74" s="47">
        <v>0.26500000000000001</v>
      </c>
      <c r="CJ74" s="47">
        <v>0.30599999999999999</v>
      </c>
      <c r="CK74" s="47">
        <v>0.35699999999999998</v>
      </c>
      <c r="CL74" s="47">
        <v>0.34599999999999997</v>
      </c>
      <c r="CM74" s="47">
        <v>0.316</v>
      </c>
      <c r="CN74" s="47">
        <v>0.32600000000000001</v>
      </c>
      <c r="CO74" s="47">
        <v>0.36699999999999999</v>
      </c>
      <c r="CP74" s="47">
        <v>0.29499999999999998</v>
      </c>
      <c r="CQ74" s="47">
        <v>0.16300000000000001</v>
      </c>
      <c r="CR74" s="47">
        <v>8.1000000000000003E-2</v>
      </c>
      <c r="CS74" s="47">
        <v>7.0999999999999994E-2</v>
      </c>
      <c r="CT74" s="47">
        <v>6.0999999999999999E-2</v>
      </c>
      <c r="CU74" s="47">
        <v>5.0999999999999997E-2</v>
      </c>
      <c r="CV74" s="47">
        <v>0.04</v>
      </c>
      <c r="CW74" s="47">
        <v>0.03</v>
      </c>
      <c r="CX74" s="47">
        <v>0.01</v>
      </c>
      <c r="CY74" s="47">
        <v>0</v>
      </c>
      <c r="CZ74" s="47">
        <v>0.02</v>
      </c>
    </row>
    <row r="75" spans="1:104" x14ac:dyDescent="0.2">
      <c r="A75" s="45" t="s">
        <v>21</v>
      </c>
      <c r="B75" s="46">
        <f t="shared" si="26"/>
        <v>22.371605385871408</v>
      </c>
      <c r="C75" s="46">
        <f t="shared" si="27"/>
        <v>3.6041529255237736</v>
      </c>
      <c r="D75" s="48">
        <f t="shared" si="28"/>
        <v>26.700444219133768</v>
      </c>
      <c r="E75" s="46"/>
      <c r="F75" s="47">
        <v>0.51100625101558872</v>
      </c>
      <c r="G75" s="47">
        <v>0.50740782563726128</v>
      </c>
      <c r="H75" s="47">
        <v>0.45449131995453718</v>
      </c>
      <c r="I75" s="47">
        <v>0.47496472176035098</v>
      </c>
      <c r="J75" s="47">
        <v>0.47442664720179367</v>
      </c>
      <c r="K75" s="47">
        <v>0.54047340180581394</v>
      </c>
      <c r="L75" s="47">
        <v>0.52079141193983269</v>
      </c>
      <c r="M75" s="47">
        <v>0.5524464423525125</v>
      </c>
      <c r="N75" s="47">
        <v>0.43771430732628924</v>
      </c>
      <c r="O75" s="47">
        <v>0.36627700878698255</v>
      </c>
      <c r="P75" s="47">
        <v>0.22554746725106573</v>
      </c>
      <c r="Q75" s="47">
        <v>0.18713326396991062</v>
      </c>
      <c r="R75" s="47">
        <v>0.25756408454534935</v>
      </c>
      <c r="S75" s="47">
        <v>0.33615520693295076</v>
      </c>
      <c r="T75" s="47">
        <v>0.37434353223339067</v>
      </c>
      <c r="U75" s="47">
        <v>0.37362297389151267</v>
      </c>
      <c r="V75" s="47">
        <v>0.32133070074530612</v>
      </c>
      <c r="W75" s="47">
        <v>0.28729019715687465</v>
      </c>
      <c r="X75" s="47">
        <v>0.27021949211824831</v>
      </c>
      <c r="Y75" s="47">
        <v>0.26361435798650829</v>
      </c>
      <c r="Z75" s="47">
        <v>0.31062784182244546</v>
      </c>
      <c r="AA75" s="47">
        <v>0.38658995803265145</v>
      </c>
      <c r="AB75" s="47">
        <v>0.56108020408102799</v>
      </c>
      <c r="AC75" s="47">
        <v>0.61987466724899087</v>
      </c>
      <c r="AD75" s="47">
        <v>0.68381058873356104</v>
      </c>
      <c r="AE75" s="47">
        <v>0.69912469246299502</v>
      </c>
      <c r="AF75" s="47">
        <v>0.70365915170570514</v>
      </c>
      <c r="AG75" s="47">
        <v>0.70056925781351198</v>
      </c>
      <c r="AH75" s="47">
        <v>0.76607641827482909</v>
      </c>
      <c r="AI75" s="47">
        <v>0.77198391883249096</v>
      </c>
      <c r="AJ75" s="47">
        <v>0.75156796517764546</v>
      </c>
      <c r="AK75" s="47">
        <v>0.73102735523932061</v>
      </c>
      <c r="AL75" s="47">
        <v>0.81600083324543127</v>
      </c>
      <c r="AM75" s="47">
        <v>0.86277845217083138</v>
      </c>
      <c r="AN75" s="47">
        <v>0.89355470007141402</v>
      </c>
      <c r="AO75" s="47">
        <v>0.91166180549520437</v>
      </c>
      <c r="AP75" s="47">
        <v>0.88560201273323225</v>
      </c>
      <c r="AQ75" s="47">
        <v>0.8213679064149586</v>
      </c>
      <c r="AR75" s="47">
        <v>0.69957679159378272</v>
      </c>
      <c r="AS75" s="47">
        <v>0.59216996969230451</v>
      </c>
      <c r="AT75" s="47">
        <v>0.55346122704288947</v>
      </c>
      <c r="AU75" s="47">
        <v>0.48539052200426308</v>
      </c>
      <c r="AV75" s="47">
        <v>0.47399382737336199</v>
      </c>
      <c r="AW75" s="47">
        <v>0.47148331856525794</v>
      </c>
      <c r="AX75" s="47">
        <v>0.43556773822936617</v>
      </c>
      <c r="AY75" s="47">
        <v>0.2772089054572357</v>
      </c>
      <c r="AZ75" s="47">
        <v>0.11447653142289473</v>
      </c>
      <c r="BA75" s="47">
        <v>5.6206540567820082E-2</v>
      </c>
      <c r="BB75" s="47">
        <v>5.2754453496870961E-2</v>
      </c>
      <c r="BC75" s="47">
        <v>0.13995504016775906</v>
      </c>
      <c r="BD75" s="47">
        <v>0.25364694679318428</v>
      </c>
      <c r="BE75" s="47">
        <v>0.28557831939650158</v>
      </c>
      <c r="BF75" s="47">
        <v>0.25989219617765658</v>
      </c>
      <c r="BG75" s="47">
        <v>0.24997896045276877</v>
      </c>
      <c r="BH75" s="47">
        <v>0.25984282780491824</v>
      </c>
      <c r="BI75" s="47">
        <v>0.28126161395818799</v>
      </c>
      <c r="BJ75" s="47">
        <v>0.20544948152080408</v>
      </c>
      <c r="BK75" s="47">
        <v>0.18538395359160584</v>
      </c>
      <c r="BL75" s="47">
        <v>0.21209689976426241</v>
      </c>
      <c r="BM75" s="47">
        <v>0.29906628278567876</v>
      </c>
      <c r="BN75" s="47">
        <v>0.2870681115483199</v>
      </c>
      <c r="BO75" s="47">
        <v>0.20383369605155099</v>
      </c>
      <c r="BP75" s="47">
        <v>0.16087314766484515</v>
      </c>
      <c r="BQ75" s="47">
        <v>0.17445543541773609</v>
      </c>
      <c r="BR75" s="47">
        <v>0.19959209597378796</v>
      </c>
      <c r="BS75" s="47">
        <v>0.21095924753226608</v>
      </c>
      <c r="BT75" s="47">
        <v>0.23696837928563336</v>
      </c>
      <c r="BU75" s="47">
        <v>0.37043655574266471</v>
      </c>
      <c r="BV75" s="47">
        <v>0.55945078621650934</v>
      </c>
      <c r="BW75" s="47">
        <v>0.63804000967109209</v>
      </c>
      <c r="BX75" s="47">
        <v>0.68508341592832533</v>
      </c>
      <c r="BY75" s="47">
        <v>0.66297768152935221</v>
      </c>
      <c r="BZ75" s="47">
        <v>0.60418575374115679</v>
      </c>
      <c r="CA75" s="47">
        <v>0.63850533169867585</v>
      </c>
      <c r="CB75" s="47">
        <v>0.62781242955604066</v>
      </c>
      <c r="CC75" s="47">
        <v>0.67350298708767187</v>
      </c>
      <c r="CD75" s="47">
        <v>0.80436402194139711</v>
      </c>
      <c r="CE75" s="47">
        <v>0.86949285159852152</v>
      </c>
      <c r="CF75" s="47">
        <v>0.92955935311390647</v>
      </c>
      <c r="CG75" s="47">
        <v>0.89892519175810603</v>
      </c>
      <c r="CH75" s="47">
        <v>0.87340347355469128</v>
      </c>
      <c r="CI75" s="47">
        <v>0.84926063215342851</v>
      </c>
      <c r="CJ75" s="47">
        <v>0.84815870383906611</v>
      </c>
      <c r="CK75" s="47">
        <v>0.85241773417813249</v>
      </c>
      <c r="CL75" s="47">
        <v>0.88423250834517697</v>
      </c>
      <c r="CM75" s="47">
        <v>0.90747935570274574</v>
      </c>
      <c r="CN75" s="47">
        <v>0.92654585721813043</v>
      </c>
      <c r="CO75" s="47">
        <v>0.91322184494782543</v>
      </c>
      <c r="CP75" s="47">
        <v>0.85630991007737722</v>
      </c>
      <c r="CQ75" s="47">
        <v>0.74033869829331989</v>
      </c>
      <c r="CR75" s="47">
        <v>0.62088373048459222</v>
      </c>
      <c r="CS75" s="47">
        <v>0.5095449417424831</v>
      </c>
      <c r="CT75" s="47">
        <v>0.33779488856753642</v>
      </c>
      <c r="CU75" s="47">
        <v>0.23800296077934088</v>
      </c>
      <c r="CV75" s="47">
        <v>0.20657799378086009</v>
      </c>
      <c r="CW75" s="47">
        <v>0.26433582961537988</v>
      </c>
      <c r="CX75" s="47">
        <v>0.29806178379639209</v>
      </c>
      <c r="CY75" s="47">
        <v>0.24263644950887681</v>
      </c>
      <c r="CZ75" s="47">
        <v>0.18848552832938384</v>
      </c>
    </row>
    <row r="76" spans="1:104" x14ac:dyDescent="0.2">
      <c r="A76" s="45" t="s">
        <v>24</v>
      </c>
      <c r="B76" s="46">
        <f t="shared" si="26"/>
        <v>59.699999999999996</v>
      </c>
      <c r="C76" s="46">
        <f t="shared" si="27"/>
        <v>1.5000000000000013</v>
      </c>
      <c r="D76" s="48">
        <f t="shared" si="28"/>
        <v>28.181159518512533</v>
      </c>
      <c r="E76" s="46"/>
      <c r="F76" s="47">
        <v>0.64749999999999996</v>
      </c>
      <c r="G76" s="47">
        <v>0.60699999999999998</v>
      </c>
      <c r="H76" s="47">
        <v>0.57599999999999996</v>
      </c>
      <c r="I76" s="47">
        <v>0.63249999999999995</v>
      </c>
      <c r="J76" s="47">
        <v>0.69850000000000001</v>
      </c>
      <c r="K76" s="47">
        <v>0.74950000000000006</v>
      </c>
      <c r="L76" s="47">
        <v>0.75950000000000017</v>
      </c>
      <c r="M76" s="47">
        <v>0.78499999999999992</v>
      </c>
      <c r="N76" s="47">
        <v>0.69850000000000001</v>
      </c>
      <c r="O76" s="47">
        <v>0.66799999999999993</v>
      </c>
      <c r="P76" s="47">
        <v>0.57099999999999995</v>
      </c>
      <c r="Q76" s="47">
        <v>0.46900000000000003</v>
      </c>
      <c r="R76" s="47">
        <v>0.32600000000000001</v>
      </c>
      <c r="S76" s="47">
        <v>0.33599999999999997</v>
      </c>
      <c r="T76" s="47">
        <v>0.433</v>
      </c>
      <c r="U76" s="47">
        <v>0.38200000000000006</v>
      </c>
      <c r="V76" s="47">
        <v>0.17799999999999999</v>
      </c>
      <c r="W76" s="47">
        <v>5.0500000000000003E-2</v>
      </c>
      <c r="X76" s="47">
        <v>7.0999999999999994E-2</v>
      </c>
      <c r="Y76" s="47">
        <v>8.6499999999999994E-2</v>
      </c>
      <c r="Z76" s="47">
        <v>0.127</v>
      </c>
      <c r="AA76" s="47">
        <v>0.13250000000000001</v>
      </c>
      <c r="AB76" s="47">
        <v>0.23449999999999999</v>
      </c>
      <c r="AC76" s="47">
        <v>0.38199999999999995</v>
      </c>
      <c r="AD76" s="47">
        <v>0.45399999999999996</v>
      </c>
      <c r="AE76" s="47">
        <v>0.34150000000000003</v>
      </c>
      <c r="AF76" s="47">
        <v>0.19850000000000001</v>
      </c>
      <c r="AG76" s="47">
        <v>0.219</v>
      </c>
      <c r="AH76" s="47">
        <v>0.22900000000000001</v>
      </c>
      <c r="AI76" s="47">
        <v>0.219</v>
      </c>
      <c r="AJ76" s="47">
        <v>0.10699999999999998</v>
      </c>
      <c r="AK76" s="47">
        <v>0.2545</v>
      </c>
      <c r="AL76" s="47">
        <v>0.4995</v>
      </c>
      <c r="AM76" s="47">
        <v>0.68299999999999994</v>
      </c>
      <c r="AN76" s="47">
        <v>0.73399999999999999</v>
      </c>
      <c r="AO76" s="47">
        <v>0.76000000000000012</v>
      </c>
      <c r="AP76" s="47">
        <v>0.78499999999999992</v>
      </c>
      <c r="AQ76" s="47">
        <v>0.85650000000000004</v>
      </c>
      <c r="AR76" s="47">
        <v>0.89249999999999996</v>
      </c>
      <c r="AS76" s="47">
        <v>0.90750000000000008</v>
      </c>
      <c r="AT76" s="47">
        <v>0.91799999999999993</v>
      </c>
      <c r="AU76" s="47">
        <v>0.91749999999999998</v>
      </c>
      <c r="AV76" s="47">
        <v>0.94299999999999995</v>
      </c>
      <c r="AW76" s="47">
        <v>0.94350000000000012</v>
      </c>
      <c r="AX76" s="47">
        <v>0.92800000000000005</v>
      </c>
      <c r="AY76" s="47">
        <v>0.90749999999999997</v>
      </c>
      <c r="AZ76" s="47">
        <v>0.82100000000000006</v>
      </c>
      <c r="BA76" s="47">
        <v>0.77999999999999992</v>
      </c>
      <c r="BB76" s="47">
        <v>0.74450000000000005</v>
      </c>
      <c r="BC76" s="47">
        <v>0.74450000000000005</v>
      </c>
      <c r="BD76" s="47">
        <v>0.76450000000000007</v>
      </c>
      <c r="BE76" s="47">
        <v>0.7699999999999998</v>
      </c>
      <c r="BF76" s="47">
        <v>0.80599999999999994</v>
      </c>
      <c r="BG76" s="47">
        <v>0.86150000000000004</v>
      </c>
      <c r="BH76" s="47">
        <v>0.85699999999999987</v>
      </c>
      <c r="BI76" s="47">
        <v>0.77000000000000013</v>
      </c>
      <c r="BJ76" s="47">
        <v>0.65250000000000008</v>
      </c>
      <c r="BK76" s="47">
        <v>0.41749999999999998</v>
      </c>
      <c r="BL76" s="47">
        <v>0.24450000000000002</v>
      </c>
      <c r="BM76" s="47">
        <v>0.18299999999999997</v>
      </c>
      <c r="BN76" s="47">
        <v>0.23949999999999999</v>
      </c>
      <c r="BO76" s="47">
        <v>0.2545</v>
      </c>
      <c r="BP76" s="47">
        <v>0.23899999999999999</v>
      </c>
      <c r="BQ76" s="47">
        <v>0.1525</v>
      </c>
      <c r="BR76" s="47">
        <v>0.112</v>
      </c>
      <c r="BS76" s="47">
        <v>4.5499999999999999E-2</v>
      </c>
      <c r="BT76" s="47">
        <v>4.5499999999999999E-2</v>
      </c>
      <c r="BU76" s="47">
        <v>0.112</v>
      </c>
      <c r="BV76" s="47">
        <v>0.29549999999999998</v>
      </c>
      <c r="BW76" s="47">
        <v>0.41249999999999998</v>
      </c>
      <c r="BX76" s="47">
        <v>0.42800000000000005</v>
      </c>
      <c r="BY76" s="47">
        <v>0.4335</v>
      </c>
      <c r="BZ76" s="47">
        <v>0.40800000000000003</v>
      </c>
      <c r="CA76" s="47">
        <v>0.50449999999999995</v>
      </c>
      <c r="CB76" s="47">
        <v>0.5455000000000001</v>
      </c>
      <c r="CC76" s="47">
        <v>0.52999999999999992</v>
      </c>
      <c r="CD76" s="47">
        <v>0.44849999999999995</v>
      </c>
      <c r="CE76" s="47">
        <v>0.35649999999999998</v>
      </c>
      <c r="CF76" s="47">
        <v>0.22900000000000001</v>
      </c>
      <c r="CG76" s="47">
        <v>9.1499999999999984E-2</v>
      </c>
      <c r="CH76" s="47">
        <v>0.10649999999999998</v>
      </c>
      <c r="CI76" s="47">
        <v>0.18299999999999997</v>
      </c>
      <c r="CJ76" s="47">
        <v>0.41249999999999998</v>
      </c>
      <c r="CK76" s="47">
        <v>0.45399999999999996</v>
      </c>
      <c r="CL76" s="47">
        <v>0.51500000000000001</v>
      </c>
      <c r="CM76" s="47">
        <v>0.58099999999999996</v>
      </c>
      <c r="CN76" s="47">
        <v>0.64749999999999996</v>
      </c>
      <c r="CO76" s="47">
        <v>0.72400000000000009</v>
      </c>
      <c r="CP76" s="47">
        <v>0.68800000000000006</v>
      </c>
      <c r="CQ76" s="47">
        <v>0.78549999999999986</v>
      </c>
      <c r="CR76" s="47">
        <v>0.83650000000000002</v>
      </c>
      <c r="CS76" s="47">
        <v>0.84649999999999992</v>
      </c>
      <c r="CT76" s="47">
        <v>0.82599999999999996</v>
      </c>
      <c r="CU76" s="47">
        <v>0.67299999999999993</v>
      </c>
      <c r="CV76" s="47">
        <v>0.52</v>
      </c>
      <c r="CW76" s="47">
        <v>0.46400000000000002</v>
      </c>
      <c r="CX76" s="47">
        <v>0.38199999999999995</v>
      </c>
      <c r="CY76" s="47">
        <v>0.16249999999999998</v>
      </c>
      <c r="CZ76" s="47">
        <v>4.5499999999999999E-2</v>
      </c>
    </row>
    <row r="77" spans="1:104" x14ac:dyDescent="0.2">
      <c r="A77" s="45" t="s">
        <v>27</v>
      </c>
      <c r="B77" s="46">
        <f t="shared" si="26"/>
        <v>-7.6499999999999959</v>
      </c>
      <c r="C77" s="46">
        <f t="shared" si="27"/>
        <v>-7.6749999999999927</v>
      </c>
      <c r="D77" s="48">
        <f t="shared" si="28"/>
        <v>22.213769834225179</v>
      </c>
      <c r="E77" s="46"/>
      <c r="F77" s="47">
        <v>0.40250000000000002</v>
      </c>
      <c r="G77" s="47">
        <v>0.39224999999999999</v>
      </c>
      <c r="H77" s="47">
        <v>0.39750000000000002</v>
      </c>
      <c r="I77" s="47">
        <v>0.47924999999999995</v>
      </c>
      <c r="J77" s="47">
        <v>0.55325000000000002</v>
      </c>
      <c r="K77" s="47">
        <v>0.64275000000000004</v>
      </c>
      <c r="L77" s="47">
        <v>0.67799999999999994</v>
      </c>
      <c r="M77" s="47">
        <v>0.71125000000000005</v>
      </c>
      <c r="N77" s="47">
        <v>0.69850000000000001</v>
      </c>
      <c r="O77" s="47">
        <v>0.55325000000000002</v>
      </c>
      <c r="P77" s="47">
        <v>0.45349999999999996</v>
      </c>
      <c r="Q77" s="47">
        <v>0.43575000000000003</v>
      </c>
      <c r="R77" s="47">
        <v>0.52249999999999996</v>
      </c>
      <c r="S77" s="47">
        <v>0.56300000000000006</v>
      </c>
      <c r="T77" s="47">
        <v>0.59400000000000008</v>
      </c>
      <c r="U77" s="47">
        <v>0.57350000000000001</v>
      </c>
      <c r="V77" s="47">
        <v>0.53525</v>
      </c>
      <c r="W77" s="47">
        <v>0.47899999999999998</v>
      </c>
      <c r="X77" s="47">
        <v>0.47675000000000006</v>
      </c>
      <c r="Y77" s="47">
        <v>0.48199999999999998</v>
      </c>
      <c r="Z77" s="47">
        <v>0.52249999999999996</v>
      </c>
      <c r="AA77" s="47">
        <v>0.7034999999999999</v>
      </c>
      <c r="AB77" s="47">
        <v>0.82099999999999995</v>
      </c>
      <c r="AC77" s="47">
        <v>0.87475000000000003</v>
      </c>
      <c r="AD77" s="47">
        <v>0.90750000000000008</v>
      </c>
      <c r="AE77" s="47">
        <v>0.90775000000000006</v>
      </c>
      <c r="AF77" s="47">
        <v>0.91024999999999989</v>
      </c>
      <c r="AG77" s="47">
        <v>0.89499999999999991</v>
      </c>
      <c r="AH77" s="47">
        <v>0.9</v>
      </c>
      <c r="AI77" s="47">
        <v>0.90024999999999999</v>
      </c>
      <c r="AJ77" s="47">
        <v>0.90749999999999986</v>
      </c>
      <c r="AK77" s="47">
        <v>0.88975000000000015</v>
      </c>
      <c r="AL77" s="47">
        <v>0.8590000000000001</v>
      </c>
      <c r="AM77" s="47">
        <v>0.79299999999999993</v>
      </c>
      <c r="AN77" s="47">
        <v>0.73150000000000004</v>
      </c>
      <c r="AO77" s="47">
        <v>0.71375000000000011</v>
      </c>
      <c r="AP77" s="47">
        <v>0.63450000000000006</v>
      </c>
      <c r="AQ77" s="47">
        <v>0.55049999999999999</v>
      </c>
      <c r="AR77" s="47">
        <v>0.45850000000000002</v>
      </c>
      <c r="AS77" s="47">
        <v>0.42825000000000002</v>
      </c>
      <c r="AT77" s="47">
        <v>0.38224999999999998</v>
      </c>
      <c r="AU77" s="47">
        <v>0.37975000000000003</v>
      </c>
      <c r="AV77" s="47">
        <v>0.38724999999999998</v>
      </c>
      <c r="AW77" s="47">
        <v>0.40799999999999997</v>
      </c>
      <c r="AX77" s="47">
        <v>0.33875000000000005</v>
      </c>
      <c r="AY77" s="47">
        <v>0.26224999999999998</v>
      </c>
      <c r="AZ77" s="47">
        <v>0.17049999999999998</v>
      </c>
      <c r="BA77" s="47">
        <v>0.15275</v>
      </c>
      <c r="BB77" s="47">
        <v>0.19325000000000003</v>
      </c>
      <c r="BC77" s="47">
        <v>0.252</v>
      </c>
      <c r="BD77" s="47">
        <v>0.28000000000000003</v>
      </c>
      <c r="BE77" s="47">
        <v>0.23674999999999999</v>
      </c>
      <c r="BF77" s="47">
        <v>0.23149999999999998</v>
      </c>
      <c r="BG77" s="47">
        <v>0.23949999999999999</v>
      </c>
      <c r="BH77" s="47">
        <v>0.25974999999999998</v>
      </c>
      <c r="BI77" s="47">
        <v>0.26750000000000002</v>
      </c>
      <c r="BJ77" s="47">
        <v>0.29799999999999999</v>
      </c>
      <c r="BK77" s="47">
        <v>0.31325000000000003</v>
      </c>
      <c r="BL77" s="47">
        <v>0.31575000000000003</v>
      </c>
      <c r="BM77" s="47">
        <v>0.26224999999999998</v>
      </c>
      <c r="BN77" s="47">
        <v>0.27249999999999996</v>
      </c>
      <c r="BO77" s="47">
        <v>0.27975000000000005</v>
      </c>
      <c r="BP77" s="47">
        <v>0.34649999999999997</v>
      </c>
      <c r="BQ77" s="47">
        <v>0.372</v>
      </c>
      <c r="BR77" s="47">
        <v>0.41799999999999998</v>
      </c>
      <c r="BS77" s="47">
        <v>0.41799999999999998</v>
      </c>
      <c r="BT77" s="47">
        <v>0.41549999999999992</v>
      </c>
      <c r="BU77" s="47">
        <v>0.48149999999999998</v>
      </c>
      <c r="BV77" s="47">
        <v>0.58875</v>
      </c>
      <c r="BW77" s="47">
        <v>0.65774999999999995</v>
      </c>
      <c r="BX77" s="47">
        <v>0.65774999999999995</v>
      </c>
      <c r="BY77" s="47">
        <v>0.64500000000000013</v>
      </c>
      <c r="BZ77" s="47">
        <v>0.63175000000000003</v>
      </c>
      <c r="CA77" s="47">
        <v>0.63225000000000009</v>
      </c>
      <c r="CB77" s="47">
        <v>0.56300000000000006</v>
      </c>
      <c r="CC77" s="47">
        <v>0.5784999999999999</v>
      </c>
      <c r="CD77" s="47">
        <v>0.60924999999999996</v>
      </c>
      <c r="CE77" s="47">
        <v>0.70374999999999988</v>
      </c>
      <c r="CF77" s="47">
        <v>0.72175</v>
      </c>
      <c r="CG77" s="47">
        <v>0.70374999999999999</v>
      </c>
      <c r="CH77" s="47">
        <v>0.6422500000000001</v>
      </c>
      <c r="CI77" s="47">
        <v>0.52274999999999994</v>
      </c>
      <c r="CJ77" s="47">
        <v>0.48675000000000002</v>
      </c>
      <c r="CK77" s="47">
        <v>0.51749999999999996</v>
      </c>
      <c r="CL77" s="47">
        <v>0.53749999999999998</v>
      </c>
      <c r="CM77" s="47">
        <v>0.51724999999999999</v>
      </c>
      <c r="CN77" s="47">
        <v>0.52749999999999997</v>
      </c>
      <c r="CO77" s="47">
        <v>0.55800000000000005</v>
      </c>
      <c r="CP77" s="47">
        <v>0.54025000000000001</v>
      </c>
      <c r="CQ77" s="47">
        <v>0.47400000000000003</v>
      </c>
      <c r="CR77" s="47">
        <v>0.41025</v>
      </c>
      <c r="CS77" s="47">
        <v>0.33350000000000002</v>
      </c>
      <c r="CT77" s="47">
        <v>0.30299999999999999</v>
      </c>
      <c r="CU77" s="47">
        <v>0.24700000000000003</v>
      </c>
      <c r="CV77" s="47">
        <v>0.18325</v>
      </c>
      <c r="CW77" s="47">
        <v>0.127</v>
      </c>
      <c r="CX77" s="47">
        <v>9.1499999999999998E-2</v>
      </c>
      <c r="CY77" s="47">
        <v>9.1249999999999998E-2</v>
      </c>
      <c r="CZ77" s="47">
        <v>8.1000000000000003E-2</v>
      </c>
    </row>
    <row r="78" spans="1:104" x14ac:dyDescent="0.2">
      <c r="A78" s="45" t="s">
        <v>30</v>
      </c>
      <c r="B78" s="46">
        <f t="shared" si="26"/>
        <v>-50.100000000000009</v>
      </c>
      <c r="C78" s="46">
        <f t="shared" si="27"/>
        <v>5.333333333333333</v>
      </c>
      <c r="D78" s="48">
        <f t="shared" si="28"/>
        <v>21.014149970125899</v>
      </c>
      <c r="E78" s="46"/>
      <c r="F78" s="47">
        <v>0.17233333333333334</v>
      </c>
      <c r="G78" s="47">
        <v>0.15266666666666667</v>
      </c>
      <c r="H78" s="47">
        <v>0.14066666666666666</v>
      </c>
      <c r="I78" s="47">
        <v>0.11900000000000001</v>
      </c>
      <c r="J78" s="47">
        <v>0.11766666666666667</v>
      </c>
      <c r="K78" s="47">
        <v>0.14800000000000002</v>
      </c>
      <c r="L78" s="47">
        <v>0.17466666666666666</v>
      </c>
      <c r="M78" s="47">
        <v>0.20833333333333337</v>
      </c>
      <c r="N78" s="47">
        <v>0.23166666666666666</v>
      </c>
      <c r="O78" s="47">
        <v>0.2203333333333333</v>
      </c>
      <c r="P78" s="47">
        <v>0.14833333333333332</v>
      </c>
      <c r="Q78" s="47">
        <v>0.11966666666666667</v>
      </c>
      <c r="R78" s="47">
        <v>0.248</v>
      </c>
      <c r="S78" s="47">
        <v>0.39766666666666667</v>
      </c>
      <c r="T78" s="47">
        <v>0.56266666666666665</v>
      </c>
      <c r="U78" s="47">
        <v>0.6303333333333333</v>
      </c>
      <c r="V78" s="47">
        <v>0.67566666666666675</v>
      </c>
      <c r="W78" s="47">
        <v>0.67333333333333345</v>
      </c>
      <c r="X78" s="47">
        <v>0.66466666666666663</v>
      </c>
      <c r="Y78" s="47">
        <v>0.69400000000000006</v>
      </c>
      <c r="Z78" s="47">
        <v>0.77233333333333343</v>
      </c>
      <c r="AA78" s="47">
        <v>0.85566666666666646</v>
      </c>
      <c r="AB78" s="47">
        <v>0.89066666666666661</v>
      </c>
      <c r="AC78" s="47">
        <v>0.92600000000000005</v>
      </c>
      <c r="AD78" s="47">
        <v>0.92800000000000005</v>
      </c>
      <c r="AE78" s="47">
        <v>0.93533333333333324</v>
      </c>
      <c r="AF78" s="47">
        <v>0.87033333333333329</v>
      </c>
      <c r="AG78" s="47">
        <v>0.85299999999999998</v>
      </c>
      <c r="AH78" s="47">
        <v>0.8610000000000001</v>
      </c>
      <c r="AI78" s="47">
        <v>0.84299999999999997</v>
      </c>
      <c r="AJ78" s="47">
        <v>0.82366666666666666</v>
      </c>
      <c r="AK78" s="47">
        <v>0.84466666666666657</v>
      </c>
      <c r="AL78" s="47">
        <v>0.85499999999999998</v>
      </c>
      <c r="AM78" s="47">
        <v>0.85433333333333339</v>
      </c>
      <c r="AN78" s="47">
        <v>0.83733333333333337</v>
      </c>
      <c r="AO78" s="47">
        <v>0.84366666666666679</v>
      </c>
      <c r="AP78" s="47">
        <v>0.84366666666666679</v>
      </c>
      <c r="AQ78" s="47">
        <v>0.78999999999999992</v>
      </c>
      <c r="AR78" s="47">
        <v>0.69066666666666676</v>
      </c>
      <c r="AS78" s="47">
        <v>0.57866666666666666</v>
      </c>
      <c r="AT78" s="47">
        <v>0.46566666666666673</v>
      </c>
      <c r="AU78" s="47">
        <v>0.3776666666666666</v>
      </c>
      <c r="AV78" s="47">
        <v>0.3656666666666667</v>
      </c>
      <c r="AW78" s="47">
        <v>0.37533333333333335</v>
      </c>
      <c r="AX78" s="47">
        <v>0.42566666666666669</v>
      </c>
      <c r="AY78" s="47">
        <v>0.41233333333333333</v>
      </c>
      <c r="AZ78" s="47">
        <v>0.40933333333333333</v>
      </c>
      <c r="BA78" s="47">
        <v>0.40566666666666668</v>
      </c>
      <c r="BB78" s="47">
        <v>0.41966666666666669</v>
      </c>
      <c r="BC78" s="47">
        <v>0.43466666666666665</v>
      </c>
      <c r="BD78" s="47">
        <v>0.46333333333333337</v>
      </c>
      <c r="BE78" s="47">
        <v>0.49100000000000005</v>
      </c>
      <c r="BF78" s="47">
        <v>0.51500000000000001</v>
      </c>
      <c r="BG78" s="47">
        <v>0.53933333333333333</v>
      </c>
      <c r="BH78" s="47">
        <v>0.45633333333333337</v>
      </c>
      <c r="BI78" s="47">
        <v>0.37699999999999995</v>
      </c>
      <c r="BJ78" s="47">
        <v>0.25566666666666665</v>
      </c>
      <c r="BK78" s="47">
        <v>0.18700000000000003</v>
      </c>
      <c r="BL78" s="47">
        <v>0.18166666666666664</v>
      </c>
      <c r="BM78" s="47">
        <v>0.17666666666666667</v>
      </c>
      <c r="BN78" s="47">
        <v>0.20666666666666667</v>
      </c>
      <c r="BO78" s="47">
        <v>0.19</v>
      </c>
      <c r="BP78" s="47">
        <v>0.19433333333333333</v>
      </c>
      <c r="BQ78" s="47">
        <v>0.25866666666666666</v>
      </c>
      <c r="BR78" s="47">
        <v>0.32066666666666666</v>
      </c>
      <c r="BS78" s="47">
        <v>0.3826666666666666</v>
      </c>
      <c r="BT78" s="47">
        <v>0.48433333333333334</v>
      </c>
      <c r="BU78" s="47">
        <v>0.60666666666666669</v>
      </c>
      <c r="BV78" s="47">
        <v>0.71866666666666668</v>
      </c>
      <c r="BW78" s="47">
        <v>0.74333333333333329</v>
      </c>
      <c r="BX78" s="47">
        <v>0.76033333333333331</v>
      </c>
      <c r="BY78" s="47">
        <v>0.72300000000000009</v>
      </c>
      <c r="BZ78" s="47">
        <v>0.66266666666666663</v>
      </c>
      <c r="CA78" s="47">
        <v>0.58500000000000008</v>
      </c>
      <c r="CB78" s="47">
        <v>0.56533333333333335</v>
      </c>
      <c r="CC78" s="47">
        <v>0.55299999999999994</v>
      </c>
      <c r="CD78" s="47">
        <v>0.48266666666666669</v>
      </c>
      <c r="CE78" s="47">
        <v>0.51333333333333331</v>
      </c>
      <c r="CF78" s="47">
        <v>0.51700000000000002</v>
      </c>
      <c r="CG78" s="47">
        <v>0.47933333333333328</v>
      </c>
      <c r="CH78" s="47">
        <v>0.46933333333333332</v>
      </c>
      <c r="CI78" s="47">
        <v>0.47599999999999998</v>
      </c>
      <c r="CJ78" s="47">
        <v>0.5066666666666666</v>
      </c>
      <c r="CK78" s="47">
        <v>0.52366666666666661</v>
      </c>
      <c r="CL78" s="47">
        <v>0.54066666666666663</v>
      </c>
      <c r="CM78" s="47">
        <v>0.54400000000000004</v>
      </c>
      <c r="CN78" s="47">
        <v>0.57133333333333336</v>
      </c>
      <c r="CO78" s="47">
        <v>0.55433333333333334</v>
      </c>
      <c r="CP78" s="47">
        <v>0.52699999999999991</v>
      </c>
      <c r="CQ78" s="47">
        <v>0.48633333333333334</v>
      </c>
      <c r="CR78" s="47">
        <v>0.45899999999999996</v>
      </c>
      <c r="CS78" s="47">
        <v>0.442</v>
      </c>
      <c r="CT78" s="47">
        <v>0.39433333333333337</v>
      </c>
      <c r="CU78" s="47">
        <v>0.36733333333333329</v>
      </c>
      <c r="CV78" s="47">
        <v>0.35699999999999998</v>
      </c>
      <c r="CW78" s="47">
        <v>0.35033333333333333</v>
      </c>
      <c r="CX78" s="47">
        <v>0.34666666666666668</v>
      </c>
      <c r="CY78" s="47">
        <v>0.33666666666666667</v>
      </c>
      <c r="CZ78" s="47">
        <v>0.33333333333333331</v>
      </c>
    </row>
    <row r="79" spans="1:104" x14ac:dyDescent="0.2">
      <c r="A79" s="45" t="s">
        <v>33</v>
      </c>
      <c r="B79" s="46">
        <f t="shared" si="26"/>
        <v>-47.900000000000006</v>
      </c>
      <c r="C79" s="46">
        <f t="shared" si="27"/>
        <v>-3.0000000000000004</v>
      </c>
      <c r="D79" s="48">
        <f t="shared" si="28"/>
        <v>26.708800047924296</v>
      </c>
      <c r="E79" s="46"/>
      <c r="F79" s="47">
        <v>1.0000000000000002E-2</v>
      </c>
      <c r="G79" s="47">
        <v>0</v>
      </c>
      <c r="H79" s="47">
        <v>2.0000000000000004E-2</v>
      </c>
      <c r="I79" s="47">
        <v>4.0000000000000008E-2</v>
      </c>
      <c r="J79" s="47">
        <v>7.0999999999999994E-2</v>
      </c>
      <c r="K79" s="47">
        <v>0.122</v>
      </c>
      <c r="L79" s="47">
        <v>0.17299999999999999</v>
      </c>
      <c r="M79" s="47">
        <v>0.16300000000000001</v>
      </c>
      <c r="N79" s="47">
        <v>0.13200000000000001</v>
      </c>
      <c r="O79" s="47">
        <v>0.14199999999999999</v>
      </c>
      <c r="P79" s="47">
        <v>9.1000000000000011E-2</v>
      </c>
      <c r="Q79" s="47">
        <v>5.1000000000000004E-2</v>
      </c>
      <c r="R79" s="47">
        <v>0.03</v>
      </c>
      <c r="S79" s="47">
        <v>6.0999999999999999E-2</v>
      </c>
      <c r="T79" s="47">
        <v>0.10200000000000001</v>
      </c>
      <c r="U79" s="47">
        <v>0.183</v>
      </c>
      <c r="V79" s="47">
        <v>0.29499999999999998</v>
      </c>
      <c r="W79" s="47">
        <v>0.48900000000000005</v>
      </c>
      <c r="X79" s="47">
        <v>0.63200000000000001</v>
      </c>
      <c r="Y79" s="47">
        <v>0.69299999999999995</v>
      </c>
      <c r="Z79" s="47">
        <v>0.78500000000000003</v>
      </c>
      <c r="AA79" s="47">
        <v>0.84599999999999997</v>
      </c>
      <c r="AB79" s="47">
        <v>0.83599999999999997</v>
      </c>
      <c r="AC79" s="47">
        <v>0.81600000000000006</v>
      </c>
      <c r="AD79" s="47">
        <v>0.89700000000000002</v>
      </c>
      <c r="AE79" s="47">
        <v>0.95899999999999996</v>
      </c>
      <c r="AF79" s="47">
        <v>1</v>
      </c>
      <c r="AG79" s="47">
        <v>0.98899999999999999</v>
      </c>
      <c r="AH79" s="47">
        <v>0.96899999999999997</v>
      </c>
      <c r="AI79" s="47">
        <v>0.93799999999999994</v>
      </c>
      <c r="AJ79" s="47">
        <v>0.91800000000000004</v>
      </c>
      <c r="AK79" s="47">
        <v>0.90800000000000003</v>
      </c>
      <c r="AL79" s="47">
        <v>0.86699999999999999</v>
      </c>
      <c r="AM79" s="47">
        <v>0.877</v>
      </c>
      <c r="AN79" s="47">
        <v>0.92800000000000005</v>
      </c>
      <c r="AO79" s="47">
        <v>0.97899999999999998</v>
      </c>
      <c r="AP79" s="47">
        <v>0.94800000000000006</v>
      </c>
      <c r="AQ79" s="47">
        <v>0.85699999999999998</v>
      </c>
      <c r="AR79" s="47">
        <v>0.79500000000000004</v>
      </c>
      <c r="AS79" s="47">
        <v>0.76500000000000001</v>
      </c>
      <c r="AT79" s="47">
        <v>0.72399999999999998</v>
      </c>
      <c r="AU79" s="47">
        <v>0.65300000000000002</v>
      </c>
      <c r="AV79" s="47">
        <v>0.60199999999999998</v>
      </c>
      <c r="AW79" s="47">
        <v>0.54</v>
      </c>
      <c r="AX79" s="47">
        <v>0.39700000000000002</v>
      </c>
      <c r="AY79" s="47">
        <v>0.255</v>
      </c>
      <c r="AZ79" s="47">
        <v>0.30599999999999999</v>
      </c>
      <c r="BA79" s="47">
        <v>0.40800000000000003</v>
      </c>
      <c r="BB79" s="47">
        <v>0.377</v>
      </c>
      <c r="BC79" s="47">
        <v>0.32600000000000001</v>
      </c>
      <c r="BD79" s="47">
        <v>0.316</v>
      </c>
      <c r="BE79" s="47">
        <v>0.28499999999999998</v>
      </c>
      <c r="BF79" s="47">
        <v>0.35699999999999998</v>
      </c>
      <c r="BG79" s="47">
        <v>0.41799999999999998</v>
      </c>
      <c r="BH79" s="47">
        <v>0.46899999999999997</v>
      </c>
      <c r="BI79" s="47">
        <v>0.45900000000000002</v>
      </c>
      <c r="BJ79" s="47">
        <v>0.5</v>
      </c>
      <c r="BK79" s="47">
        <v>0.42799999999999999</v>
      </c>
      <c r="BL79" s="47">
        <v>0.26500000000000001</v>
      </c>
      <c r="BM79" s="47">
        <v>0.19299999999999998</v>
      </c>
      <c r="BN79" s="47">
        <v>0.20400000000000001</v>
      </c>
      <c r="BO79" s="47">
        <v>0.27500000000000002</v>
      </c>
      <c r="BP79" s="47">
        <v>0.44800000000000001</v>
      </c>
      <c r="BQ79" s="47">
        <v>0.38700000000000001</v>
      </c>
      <c r="BR79" s="47">
        <v>0.224</v>
      </c>
      <c r="BS79" s="47">
        <v>0.112</v>
      </c>
      <c r="BT79" s="47">
        <v>8.1000000000000003E-2</v>
      </c>
      <c r="BU79" s="47">
        <v>0.153</v>
      </c>
      <c r="BV79" s="47">
        <v>0.34599999999999997</v>
      </c>
      <c r="BW79" s="47">
        <v>0.59099999999999997</v>
      </c>
      <c r="BX79" s="47">
        <v>0.66300000000000003</v>
      </c>
      <c r="BY79" s="47">
        <v>0.68300000000000005</v>
      </c>
      <c r="BZ79" s="47">
        <v>0.71399999999999997</v>
      </c>
      <c r="CA79" s="47">
        <v>0.73399999999999999</v>
      </c>
      <c r="CB79" s="47">
        <v>0.70399999999999996</v>
      </c>
      <c r="CC79" s="47">
        <v>0.74399999999999999</v>
      </c>
      <c r="CD79" s="47">
        <v>0.77500000000000002</v>
      </c>
      <c r="CE79" s="47">
        <v>0.82599999999999996</v>
      </c>
      <c r="CF79" s="47">
        <v>0.88700000000000001</v>
      </c>
      <c r="CG79" s="47">
        <v>0.80600000000000005</v>
      </c>
      <c r="CH79" s="47">
        <v>0.755</v>
      </c>
      <c r="CI79" s="47">
        <v>0.67300000000000004</v>
      </c>
      <c r="CJ79" s="47">
        <v>0.64200000000000002</v>
      </c>
      <c r="CK79" s="47">
        <v>0.61199999999999999</v>
      </c>
      <c r="CL79" s="47">
        <v>0.58100000000000007</v>
      </c>
      <c r="CM79" s="47">
        <v>0.55100000000000005</v>
      </c>
      <c r="CN79" s="47">
        <v>0.52</v>
      </c>
      <c r="CO79" s="47">
        <v>0.47899999999999998</v>
      </c>
      <c r="CP79" s="47">
        <v>0.438</v>
      </c>
      <c r="CQ79" s="47">
        <v>0.53</v>
      </c>
      <c r="CR79" s="47">
        <v>0.57099999999999995</v>
      </c>
      <c r="CS79" s="47">
        <v>0.622</v>
      </c>
      <c r="CT79" s="47">
        <v>0.56100000000000005</v>
      </c>
      <c r="CU79" s="47">
        <v>0.51</v>
      </c>
      <c r="CV79" s="47">
        <v>0.36699999999999999</v>
      </c>
      <c r="CW79" s="47">
        <v>0.24399999999999999</v>
      </c>
      <c r="CX79" s="47">
        <v>0.214</v>
      </c>
      <c r="CY79" s="47">
        <v>0.23400000000000001</v>
      </c>
      <c r="CZ79" s="47">
        <v>0.33600000000000002</v>
      </c>
    </row>
    <row r="80" spans="1:104" x14ac:dyDescent="0.2">
      <c r="A80" s="45" t="s">
        <v>36</v>
      </c>
      <c r="B80" s="46">
        <f t="shared" si="26"/>
        <v>7.7306571885948472</v>
      </c>
      <c r="C80" s="46">
        <f t="shared" si="27"/>
        <v>-7.0964899274459707</v>
      </c>
      <c r="D80" s="48">
        <f t="shared" si="28"/>
        <v>18.812073852381875</v>
      </c>
      <c r="E80" s="46"/>
      <c r="F80" s="47">
        <v>0.24918725927695651</v>
      </c>
      <c r="G80" s="47">
        <v>0.2369370586111923</v>
      </c>
      <c r="H80" s="47">
        <v>0.28890281887237679</v>
      </c>
      <c r="I80" s="47">
        <v>0.32015215855141621</v>
      </c>
      <c r="J80" s="47">
        <v>0.40331709477070393</v>
      </c>
      <c r="K80" s="47">
        <v>0.43610154278148094</v>
      </c>
      <c r="L80" s="47">
        <v>0.42447936192968727</v>
      </c>
      <c r="M80" s="47">
        <v>0.36939494016203972</v>
      </c>
      <c r="N80" s="47">
        <v>0.25872218764138893</v>
      </c>
      <c r="O80" s="47">
        <v>0.20179675144464346</v>
      </c>
      <c r="P80" s="47">
        <v>0.1795942656375073</v>
      </c>
      <c r="Q80" s="47">
        <v>0.21636421707638812</v>
      </c>
      <c r="R80" s="47">
        <v>0.25952883667281634</v>
      </c>
      <c r="S80" s="47">
        <v>0.25378950721548099</v>
      </c>
      <c r="T80" s="47">
        <v>0.23776970522960103</v>
      </c>
      <c r="U80" s="47">
        <v>0.20479151696453479</v>
      </c>
      <c r="V80" s="47">
        <v>0.16611581579893772</v>
      </c>
      <c r="W80" s="47">
        <v>0.17188068739100804</v>
      </c>
      <c r="X80" s="47">
        <v>0.20687762210140703</v>
      </c>
      <c r="Y80" s="47">
        <v>0.25737408409832319</v>
      </c>
      <c r="Z80" s="47">
        <v>0.32978296887117375</v>
      </c>
      <c r="AA80" s="47">
        <v>0.3915833913984752</v>
      </c>
      <c r="AB80" s="47">
        <v>0.48806559283970002</v>
      </c>
      <c r="AC80" s="47">
        <v>0.58531485619291024</v>
      </c>
      <c r="AD80" s="47">
        <v>0.62454636721552081</v>
      </c>
      <c r="AE80" s="47">
        <v>0.61527111013073588</v>
      </c>
      <c r="AF80" s="47">
        <v>0.62595981154612412</v>
      </c>
      <c r="AG80" s="47">
        <v>0.62377522812269659</v>
      </c>
      <c r="AH80" s="47">
        <v>0.64226342198274711</v>
      </c>
      <c r="AI80" s="47">
        <v>0.68193435557408444</v>
      </c>
      <c r="AJ80" s="47">
        <v>0.68313216853159919</v>
      </c>
      <c r="AK80" s="47">
        <v>0.68919385370262365</v>
      </c>
      <c r="AL80" s="47">
        <v>0.70147223233679934</v>
      </c>
      <c r="AM80" s="47">
        <v>0.72131151071886601</v>
      </c>
      <c r="AN80" s="47">
        <v>0.77290356760917112</v>
      </c>
      <c r="AO80" s="47">
        <v>0.73467370962351675</v>
      </c>
      <c r="AP80" s="47">
        <v>0.74722652182007188</v>
      </c>
      <c r="AQ80" s="47">
        <v>0.6500398359907934</v>
      </c>
      <c r="AR80" s="47">
        <v>0.581767694594294</v>
      </c>
      <c r="AS80" s="47">
        <v>0.51665529265588372</v>
      </c>
      <c r="AT80" s="47">
        <v>0.58393451683678133</v>
      </c>
      <c r="AU80" s="47">
        <v>0.582178871553655</v>
      </c>
      <c r="AV80" s="47">
        <v>0.51522491793967717</v>
      </c>
      <c r="AW80" s="47">
        <v>0.44918689918656335</v>
      </c>
      <c r="AX80" s="47">
        <v>0.36744889917196338</v>
      </c>
      <c r="AY80" s="47">
        <v>0.28925356631971427</v>
      </c>
      <c r="AZ80" s="47">
        <v>0.19144469942015011</v>
      </c>
      <c r="BA80" s="47">
        <v>0.16681431853363721</v>
      </c>
      <c r="BB80" s="47">
        <v>0.19226320293233659</v>
      </c>
      <c r="BC80" s="47">
        <v>0.3004951207342112</v>
      </c>
      <c r="BD80" s="47">
        <v>0.53344073980157325</v>
      </c>
      <c r="BE80" s="47">
        <v>0.61592558885657189</v>
      </c>
      <c r="BF80" s="47">
        <v>0.59497181129231802</v>
      </c>
      <c r="BG80" s="47">
        <v>0.53315078205964572</v>
      </c>
      <c r="BH80" s="47">
        <v>0.42234100533669744</v>
      </c>
      <c r="BI80" s="47">
        <v>0.40884093990105125</v>
      </c>
      <c r="BJ80" s="47">
        <v>0.45565391314518211</v>
      </c>
      <c r="BK80" s="47">
        <v>0.52602474344067729</v>
      </c>
      <c r="BL80" s="47">
        <v>0.52616243782474481</v>
      </c>
      <c r="BM80" s="47">
        <v>0.51126944066829316</v>
      </c>
      <c r="BN80" s="47">
        <v>0.48014435129860467</v>
      </c>
      <c r="BO80" s="47">
        <v>0.52181458444810069</v>
      </c>
      <c r="BP80" s="47">
        <v>0.55581601936232772</v>
      </c>
      <c r="BQ80" s="47">
        <v>0.55215867645839678</v>
      </c>
      <c r="BR80" s="47">
        <v>0.501149583681743</v>
      </c>
      <c r="BS80" s="47">
        <v>0.47649135232037348</v>
      </c>
      <c r="BT80" s="47">
        <v>0.48522548491131845</v>
      </c>
      <c r="BU80" s="47">
        <v>0.57565702515286621</v>
      </c>
      <c r="BV80" s="47">
        <v>0.695128770452206</v>
      </c>
      <c r="BW80" s="47">
        <v>0.73329002002619348</v>
      </c>
      <c r="BX80" s="47">
        <v>0.74782873818181672</v>
      </c>
      <c r="BY80" s="47">
        <v>0.6888228330578543</v>
      </c>
      <c r="BZ80" s="47">
        <v>0.60992264919275263</v>
      </c>
      <c r="CA80" s="47">
        <v>0.56429987534089276</v>
      </c>
      <c r="CB80" s="47">
        <v>0.55790652080459191</v>
      </c>
      <c r="CC80" s="47">
        <v>0.48159683406461301</v>
      </c>
      <c r="CD80" s="47">
        <v>0.46376959407556412</v>
      </c>
      <c r="CE80" s="47">
        <v>0.54537639009856564</v>
      </c>
      <c r="CF80" s="47">
        <v>0.76427745502432543</v>
      </c>
      <c r="CG80" s="47">
        <v>0.79767418093015452</v>
      </c>
      <c r="CH80" s="47">
        <v>0.76981212746085181</v>
      </c>
      <c r="CI80" s="47">
        <v>0.69641869146541868</v>
      </c>
      <c r="CJ80" s="47">
        <v>0.6166236691178747</v>
      </c>
      <c r="CK80" s="47">
        <v>0.66515339408165519</v>
      </c>
      <c r="CL80" s="47">
        <v>0.7590836956757685</v>
      </c>
      <c r="CM80" s="47">
        <v>0.82216206906658473</v>
      </c>
      <c r="CN80" s="47">
        <v>0.85484824194770725</v>
      </c>
      <c r="CO80" s="47">
        <v>0.85090033752992722</v>
      </c>
      <c r="CP80" s="47">
        <v>0.82376901179346318</v>
      </c>
      <c r="CQ80" s="47">
        <v>0.77486825123715042</v>
      </c>
      <c r="CR80" s="47">
        <v>0.70213642546108368</v>
      </c>
      <c r="CS80" s="47">
        <v>0.58622063683488024</v>
      </c>
      <c r="CT80" s="47">
        <v>0.43462525735033131</v>
      </c>
      <c r="CU80" s="47">
        <v>0.31784787304775025</v>
      </c>
      <c r="CV80" s="47">
        <v>0.26604590638827053</v>
      </c>
      <c r="CW80" s="47">
        <v>0.29784652363316888</v>
      </c>
      <c r="CX80" s="47">
        <v>0.3279998518834642</v>
      </c>
      <c r="CY80" s="47">
        <v>0.31631564903344472</v>
      </c>
      <c r="CZ80" s="47">
        <v>0.25361460559127508</v>
      </c>
    </row>
    <row r="81" spans="1:104" x14ac:dyDescent="0.2">
      <c r="A81" s="45" t="s">
        <v>39</v>
      </c>
      <c r="B81" s="46">
        <f t="shared" si="26"/>
        <v>-0.3942204605484112</v>
      </c>
      <c r="C81" s="46">
        <f t="shared" si="27"/>
        <v>-3.7973722076420859</v>
      </c>
      <c r="D81" s="48">
        <f t="shared" si="28"/>
        <v>18.228567487151189</v>
      </c>
      <c r="E81" s="46"/>
      <c r="F81" s="47">
        <v>0.41705215744218005</v>
      </c>
      <c r="G81" s="47">
        <v>0.4151559578385301</v>
      </c>
      <c r="H81" s="47">
        <v>0.43100398145984808</v>
      </c>
      <c r="I81" s="47">
        <v>0.45502587951860091</v>
      </c>
      <c r="J81" s="47">
        <v>0.46313569196582743</v>
      </c>
      <c r="K81" s="47">
        <v>0.4698748086503341</v>
      </c>
      <c r="L81" s="47">
        <v>0.47078157858950598</v>
      </c>
      <c r="M81" s="47">
        <v>0.48679030667652035</v>
      </c>
      <c r="N81" s="47">
        <v>0.33991038478293056</v>
      </c>
      <c r="O81" s="47">
        <v>0.24248097048719547</v>
      </c>
      <c r="P81" s="47">
        <v>0.18543822602032053</v>
      </c>
      <c r="Q81" s="47">
        <v>0.18558362405310472</v>
      </c>
      <c r="R81" s="47">
        <v>0.2336767451368929</v>
      </c>
      <c r="S81" s="47">
        <v>0.29219880243118324</v>
      </c>
      <c r="T81" s="47">
        <v>0.3680903499037888</v>
      </c>
      <c r="U81" s="47">
        <v>0.37888187984772681</v>
      </c>
      <c r="V81" s="47">
        <v>0.38006109317770226</v>
      </c>
      <c r="W81" s="47">
        <v>0.42099436204766416</v>
      </c>
      <c r="X81" s="47">
        <v>0.43064002289850056</v>
      </c>
      <c r="Y81" s="47">
        <v>0.4422013900265564</v>
      </c>
      <c r="Z81" s="47">
        <v>0.4581730118332818</v>
      </c>
      <c r="AA81" s="47">
        <v>0.48943957648790459</v>
      </c>
      <c r="AB81" s="47">
        <v>0.52014204005063991</v>
      </c>
      <c r="AC81" s="47">
        <v>0.55390928442543186</v>
      </c>
      <c r="AD81" s="47">
        <v>0.54971014138579477</v>
      </c>
      <c r="AE81" s="47">
        <v>0.55403425260452022</v>
      </c>
      <c r="AF81" s="47">
        <v>0.54430025801512183</v>
      </c>
      <c r="AG81" s="47">
        <v>0.59832532981627817</v>
      </c>
      <c r="AH81" s="47">
        <v>0.67224761258521293</v>
      </c>
      <c r="AI81" s="47">
        <v>0.70441375726594313</v>
      </c>
      <c r="AJ81" s="47">
        <v>0.70402505782675162</v>
      </c>
      <c r="AK81" s="47">
        <v>0.72384426297723281</v>
      </c>
      <c r="AL81" s="47">
        <v>0.71545790993018565</v>
      </c>
      <c r="AM81" s="47">
        <v>0.68213829905187018</v>
      </c>
      <c r="AN81" s="47">
        <v>0.67054609452214997</v>
      </c>
      <c r="AO81" s="47">
        <v>0.7153338516204949</v>
      </c>
      <c r="AP81" s="47">
        <v>0.77675398999517042</v>
      </c>
      <c r="AQ81" s="47">
        <v>0.71281376858855794</v>
      </c>
      <c r="AR81" s="47">
        <v>0.6368479938092515</v>
      </c>
      <c r="AS81" s="47">
        <v>0.55374484414812775</v>
      </c>
      <c r="AT81" s="47">
        <v>0.59214501556915999</v>
      </c>
      <c r="AU81" s="47">
        <v>0.56000177909422555</v>
      </c>
      <c r="AV81" s="47">
        <v>0.49861816728227076</v>
      </c>
      <c r="AW81" s="47">
        <v>0.37179998547894977</v>
      </c>
      <c r="AX81" s="47">
        <v>0.31138253260509285</v>
      </c>
      <c r="AY81" s="47">
        <v>0.30542226552597618</v>
      </c>
      <c r="AZ81" s="47">
        <v>0.29131593283429369</v>
      </c>
      <c r="BA81" s="47">
        <v>0.21760766050274458</v>
      </c>
      <c r="BB81" s="47">
        <v>0.18919673670624343</v>
      </c>
      <c r="BC81" s="47">
        <v>0.20710875219767541</v>
      </c>
      <c r="BD81" s="47">
        <v>0.26410969963887032</v>
      </c>
      <c r="BE81" s="47">
        <v>0.32644974052681597</v>
      </c>
      <c r="BF81" s="47">
        <v>0.33633278289508728</v>
      </c>
      <c r="BG81" s="47">
        <v>0.3447660188605764</v>
      </c>
      <c r="BH81" s="47">
        <v>0.31891866747983344</v>
      </c>
      <c r="BI81" s="47">
        <v>0.3162652185056109</v>
      </c>
      <c r="BJ81" s="47">
        <v>0.31752918933056312</v>
      </c>
      <c r="BK81" s="47">
        <v>0.33911439281361105</v>
      </c>
      <c r="BL81" s="47">
        <v>0.37302416985816678</v>
      </c>
      <c r="BM81" s="47">
        <v>0.41127564551337414</v>
      </c>
      <c r="BN81" s="47">
        <v>0.43537186462596189</v>
      </c>
      <c r="BO81" s="47">
        <v>0.4234764584372474</v>
      </c>
      <c r="BP81" s="47">
        <v>0.40982585592972059</v>
      </c>
      <c r="BQ81" s="47">
        <v>0.4271393454074347</v>
      </c>
      <c r="BR81" s="47">
        <v>0.4426189747035465</v>
      </c>
      <c r="BS81" s="47">
        <v>0.50886704286774831</v>
      </c>
      <c r="BT81" s="47">
        <v>0.54754410439493084</v>
      </c>
      <c r="BU81" s="47">
        <v>0.59383094707233131</v>
      </c>
      <c r="BV81" s="47">
        <v>0.62852243747088976</v>
      </c>
      <c r="BW81" s="47">
        <v>0.66230936245347227</v>
      </c>
      <c r="BX81" s="47">
        <v>0.69308948625434996</v>
      </c>
      <c r="BY81" s="47">
        <v>0.68440900589875686</v>
      </c>
      <c r="BZ81" s="47">
        <v>0.71443418670669223</v>
      </c>
      <c r="CA81" s="47">
        <v>0.67888164662503225</v>
      </c>
      <c r="CB81" s="47">
        <v>0.6796022894154331</v>
      </c>
      <c r="CC81" s="47">
        <v>0.6773654440117387</v>
      </c>
      <c r="CD81" s="47">
        <v>0.71893836549815671</v>
      </c>
      <c r="CE81" s="47">
        <v>0.74680179949646486</v>
      </c>
      <c r="CF81" s="47">
        <v>0.79082236114413784</v>
      </c>
      <c r="CG81" s="47">
        <v>0.84843674205260489</v>
      </c>
      <c r="CH81" s="47">
        <v>0.82864966451173006</v>
      </c>
      <c r="CI81" s="47">
        <v>0.80309043539645353</v>
      </c>
      <c r="CJ81" s="47">
        <v>0.80885529532558553</v>
      </c>
      <c r="CK81" s="47">
        <v>0.83603323558770315</v>
      </c>
      <c r="CL81" s="47">
        <v>0.76203358966361978</v>
      </c>
      <c r="CM81" s="47">
        <v>0.69355998963335475</v>
      </c>
      <c r="CN81" s="47">
        <v>0.6525506854049371</v>
      </c>
      <c r="CO81" s="47">
        <v>0.62548444899433953</v>
      </c>
      <c r="CP81" s="47">
        <v>0.61400493033676418</v>
      </c>
      <c r="CQ81" s="47">
        <v>0.57095676629399161</v>
      </c>
      <c r="CR81" s="47">
        <v>0.517982895998925</v>
      </c>
      <c r="CS81" s="47">
        <v>0.39676362239161594</v>
      </c>
      <c r="CT81" s="47">
        <v>0.35541132140604847</v>
      </c>
      <c r="CU81" s="47">
        <v>0.31539122175815359</v>
      </c>
      <c r="CV81" s="47">
        <v>0.28654698564808456</v>
      </c>
      <c r="CW81" s="47">
        <v>0.28835439746277919</v>
      </c>
      <c r="CX81" s="47">
        <v>0.28065689153306783</v>
      </c>
      <c r="CY81" s="47">
        <v>0.28578125605562388</v>
      </c>
      <c r="CZ81" s="47">
        <v>0.2658415596553162</v>
      </c>
    </row>
    <row r="82" spans="1:104" x14ac:dyDescent="0.2">
      <c r="A82" s="45" t="s">
        <v>42</v>
      </c>
      <c r="B82" s="46">
        <f t="shared" si="26"/>
        <v>-10.086080039803141</v>
      </c>
      <c r="C82" s="46">
        <f t="shared" si="27"/>
        <v>-9.6152946221886531</v>
      </c>
      <c r="D82" s="48">
        <f t="shared" si="28"/>
        <v>14.989338543813032</v>
      </c>
      <c r="E82" s="46"/>
      <c r="F82" s="47">
        <v>0.35373444098748702</v>
      </c>
      <c r="G82" s="47">
        <v>0.35032429214388594</v>
      </c>
      <c r="H82" s="47">
        <v>0.43294850004699209</v>
      </c>
      <c r="I82" s="47">
        <v>0.44988738720937355</v>
      </c>
      <c r="J82" s="47">
        <v>0.41229810185756383</v>
      </c>
      <c r="K82" s="47">
        <v>0.34794621296007922</v>
      </c>
      <c r="L82" s="47">
        <v>0.32840464393779151</v>
      </c>
      <c r="M82" s="47">
        <v>0.33930889223698874</v>
      </c>
      <c r="N82" s="47">
        <v>0.31699943904768862</v>
      </c>
      <c r="O82" s="47">
        <v>0.27512965872015505</v>
      </c>
      <c r="P82" s="47">
        <v>0.26573697902767923</v>
      </c>
      <c r="Q82" s="47">
        <v>0.27180202972369155</v>
      </c>
      <c r="R82" s="47">
        <v>0.27152628855639738</v>
      </c>
      <c r="S82" s="47">
        <v>0.29944455128711689</v>
      </c>
      <c r="T82" s="47">
        <v>0.34809231239689375</v>
      </c>
      <c r="U82" s="47">
        <v>0.42040955941244806</v>
      </c>
      <c r="V82" s="47">
        <v>0.41024873161499747</v>
      </c>
      <c r="W82" s="47">
        <v>0.45459524138551843</v>
      </c>
      <c r="X82" s="47">
        <v>0.52533416864686577</v>
      </c>
      <c r="Y82" s="47">
        <v>0.53518755375122573</v>
      </c>
      <c r="Z82" s="47">
        <v>0.49609055704422172</v>
      </c>
      <c r="AA82" s="47">
        <v>0.46233850620698647</v>
      </c>
      <c r="AB82" s="47">
        <v>0.59924905711045817</v>
      </c>
      <c r="AC82" s="47">
        <v>0.53901248812756786</v>
      </c>
      <c r="AD82" s="47">
        <v>0.46529578997800281</v>
      </c>
      <c r="AE82" s="47">
        <v>0.53884100341201613</v>
      </c>
      <c r="AF82" s="47">
        <v>0.56252352676224804</v>
      </c>
      <c r="AG82" s="47">
        <v>0.67830226545501082</v>
      </c>
      <c r="AH82" s="47">
        <v>0.66652259716152518</v>
      </c>
      <c r="AI82" s="47">
        <v>0.71138157347942765</v>
      </c>
      <c r="AJ82" s="47">
        <v>0.68110767068472655</v>
      </c>
      <c r="AK82" s="47">
        <v>0.68969647943199874</v>
      </c>
      <c r="AL82" s="47">
        <v>0.64755402026491249</v>
      </c>
      <c r="AM82" s="47">
        <v>0.65984775274778396</v>
      </c>
      <c r="AN82" s="47">
        <v>0.61411030889293361</v>
      </c>
      <c r="AO82" s="47">
        <v>0.59263915826881242</v>
      </c>
      <c r="AP82" s="47">
        <v>0.53743269346654376</v>
      </c>
      <c r="AQ82" s="47">
        <v>0.40829971822907019</v>
      </c>
      <c r="AR82" s="47">
        <v>0.37948503680642981</v>
      </c>
      <c r="AS82" s="47">
        <v>0.43912847930732296</v>
      </c>
      <c r="AT82" s="47">
        <v>0.45607520887327035</v>
      </c>
      <c r="AU82" s="47">
        <v>0.39668965137554896</v>
      </c>
      <c r="AV82" s="47">
        <v>0.33756339066976399</v>
      </c>
      <c r="AW82" s="47">
        <v>0.31407756088658645</v>
      </c>
      <c r="AX82" s="47">
        <v>0.33741618411189689</v>
      </c>
      <c r="AY82" s="47">
        <v>0.37001264795067484</v>
      </c>
      <c r="AZ82" s="47">
        <v>0.35510699032300819</v>
      </c>
      <c r="BA82" s="47">
        <v>0.30424847671882849</v>
      </c>
      <c r="BB82" s="47">
        <v>0.222533197499174</v>
      </c>
      <c r="BC82" s="47">
        <v>0.2313486111426323</v>
      </c>
      <c r="BD82" s="47">
        <v>0.24773437410885826</v>
      </c>
      <c r="BE82" s="47">
        <v>0.28103281183239359</v>
      </c>
      <c r="BF82" s="47">
        <v>0.28588892477355432</v>
      </c>
      <c r="BG82" s="47">
        <v>0.33093619002825386</v>
      </c>
      <c r="BH82" s="47">
        <v>0.36034093809766021</v>
      </c>
      <c r="BI82" s="47">
        <v>0.44255914970691862</v>
      </c>
      <c r="BJ82" s="47">
        <v>0.48873171061124299</v>
      </c>
      <c r="BK82" s="47">
        <v>0.54223092915629767</v>
      </c>
      <c r="BL82" s="47">
        <v>0.61920679443542859</v>
      </c>
      <c r="BM82" s="47">
        <v>0.66479753398444397</v>
      </c>
      <c r="BN82" s="47">
        <v>0.695256756353126</v>
      </c>
      <c r="BO82" s="47">
        <v>0.64299101418032678</v>
      </c>
      <c r="BP82" s="47">
        <v>0.60300113004195777</v>
      </c>
      <c r="BQ82" s="47">
        <v>0.66704414801171419</v>
      </c>
      <c r="BR82" s="47">
        <v>0.66718227281939191</v>
      </c>
      <c r="BS82" s="47">
        <v>0.69761562750749329</v>
      </c>
      <c r="BT82" s="47">
        <v>0.81480035949983809</v>
      </c>
      <c r="BU82" s="47">
        <v>0.79182748232074762</v>
      </c>
      <c r="BV82" s="47">
        <v>0.75577078120902108</v>
      </c>
      <c r="BW82" s="47">
        <v>0.66535741120765679</v>
      </c>
      <c r="BX82" s="47">
        <v>0.66172461973698782</v>
      </c>
      <c r="BY82" s="47">
        <v>0.65127869509995073</v>
      </c>
      <c r="BZ82" s="47">
        <v>0.63581559201998217</v>
      </c>
      <c r="CA82" s="47">
        <v>0.61195481564456256</v>
      </c>
      <c r="CB82" s="47">
        <v>0.62401062280705732</v>
      </c>
      <c r="CC82" s="47">
        <v>0.62934953634678881</v>
      </c>
      <c r="CD82" s="47">
        <v>0.64486424182685986</v>
      </c>
      <c r="CE82" s="47">
        <v>0.68589051214973218</v>
      </c>
      <c r="CF82" s="47">
        <v>0.70580211647467017</v>
      </c>
      <c r="CG82" s="47">
        <v>0.72750319239753691</v>
      </c>
      <c r="CH82" s="47">
        <v>0.67031439787467573</v>
      </c>
      <c r="CI82" s="47">
        <v>0.60861907503899049</v>
      </c>
      <c r="CJ82" s="47">
        <v>0.47711762527905421</v>
      </c>
      <c r="CK82" s="47">
        <v>0.49101067455170155</v>
      </c>
      <c r="CL82" s="47">
        <v>0.59460001074856506</v>
      </c>
      <c r="CM82" s="47">
        <v>0.69627048231081778</v>
      </c>
      <c r="CN82" s="47">
        <v>0.68779466304632009</v>
      </c>
      <c r="CO82" s="47">
        <v>0.64622031859000628</v>
      </c>
      <c r="CP82" s="47">
        <v>0.55434391745084965</v>
      </c>
      <c r="CQ82" s="47">
        <v>0.49029180479242579</v>
      </c>
      <c r="CR82" s="47">
        <v>0.4470948517593798</v>
      </c>
      <c r="CS82" s="47">
        <v>0.4055802508361584</v>
      </c>
      <c r="CT82" s="47">
        <v>0.38625061300710783</v>
      </c>
      <c r="CU82" s="47">
        <v>0.34109435369306595</v>
      </c>
      <c r="CV82" s="47">
        <v>0.39656101923496545</v>
      </c>
      <c r="CW82" s="47">
        <v>0.40747308074200833</v>
      </c>
      <c r="CX82" s="47">
        <v>0.43719631633469219</v>
      </c>
      <c r="CY82" s="47">
        <v>0.3962371951482469</v>
      </c>
      <c r="CZ82" s="47">
        <v>0.36843079513618066</v>
      </c>
    </row>
    <row r="83" spans="1:104" x14ac:dyDescent="0.2">
      <c r="A83" s="45" t="s">
        <v>45</v>
      </c>
      <c r="B83" s="46">
        <f t="shared" si="26"/>
        <v>30.649999999999995</v>
      </c>
      <c r="C83" s="46">
        <f t="shared" si="27"/>
        <v>2.0666666666666611</v>
      </c>
      <c r="D83" s="48">
        <f t="shared" si="28"/>
        <v>25.055876342270551</v>
      </c>
      <c r="E83" s="46"/>
      <c r="F83" s="47">
        <v>0.54916666666666658</v>
      </c>
      <c r="G83" s="47">
        <v>0.53849999999999998</v>
      </c>
      <c r="H83" s="47">
        <v>0.53549999999999998</v>
      </c>
      <c r="I83" s="47">
        <v>0.52849999999999997</v>
      </c>
      <c r="J83" s="47">
        <v>0.49099999999999988</v>
      </c>
      <c r="K83" s="47">
        <v>0.45516666666666666</v>
      </c>
      <c r="L83" s="47">
        <v>0.4365</v>
      </c>
      <c r="M83" s="47">
        <v>0.3836666666666666</v>
      </c>
      <c r="N83" s="47">
        <v>0.34616666666666657</v>
      </c>
      <c r="O83" s="47">
        <v>0.27849999999999997</v>
      </c>
      <c r="P83" s="47">
        <v>0.23416666666666661</v>
      </c>
      <c r="Q83" s="47">
        <v>0.22883333333333333</v>
      </c>
      <c r="R83" s="47">
        <v>0.22599999999999998</v>
      </c>
      <c r="S83" s="47">
        <v>0.26283333333333331</v>
      </c>
      <c r="T83" s="47">
        <v>0.30883333333333335</v>
      </c>
      <c r="U83" s="47">
        <v>0.32433333333333325</v>
      </c>
      <c r="V83" s="47">
        <v>0.28333333333333333</v>
      </c>
      <c r="W83" s="47">
        <v>0.24266666666666664</v>
      </c>
      <c r="X83" s="47">
        <v>0.2273333333333333</v>
      </c>
      <c r="Y83" s="47">
        <v>0.24433333333333329</v>
      </c>
      <c r="Z83" s="47">
        <v>0.32616666666666666</v>
      </c>
      <c r="AA83" s="47">
        <v>0.39749999999999996</v>
      </c>
      <c r="AB83" s="47">
        <v>0.42833333333333329</v>
      </c>
      <c r="AC83" s="47">
        <v>0.46899999999999992</v>
      </c>
      <c r="AD83" s="47">
        <v>0.45350000000000001</v>
      </c>
      <c r="AE83" s="47">
        <v>0.46550000000000002</v>
      </c>
      <c r="AF83" s="47">
        <v>0.48416666666666663</v>
      </c>
      <c r="AG83" s="47">
        <v>0.63383333333333336</v>
      </c>
      <c r="AH83" s="47">
        <v>0.73433333333333328</v>
      </c>
      <c r="AI83" s="47">
        <v>0.85499999999999987</v>
      </c>
      <c r="AJ83" s="47">
        <v>0.85983333333333334</v>
      </c>
      <c r="AK83" s="47">
        <v>0.79866666666666664</v>
      </c>
      <c r="AL83" s="47">
        <v>0.82950000000000002</v>
      </c>
      <c r="AM83" s="47">
        <v>0.89233333333333331</v>
      </c>
      <c r="AN83" s="47">
        <v>0.88016666666666665</v>
      </c>
      <c r="AO83" s="47">
        <v>0.8194999999999999</v>
      </c>
      <c r="AP83" s="47">
        <v>0.74966666666666659</v>
      </c>
      <c r="AQ83" s="47">
        <v>0.70366666666666666</v>
      </c>
      <c r="AR83" s="47">
        <v>0.65266666666666651</v>
      </c>
      <c r="AS83" s="47">
        <v>0.60149999999999992</v>
      </c>
      <c r="AT83" s="47">
        <v>0.52333333333333321</v>
      </c>
      <c r="AU83" s="47">
        <v>0.36849999999999999</v>
      </c>
      <c r="AV83" s="47">
        <v>0.31066666666666659</v>
      </c>
      <c r="AW83" s="47">
        <v>0.24966666666666662</v>
      </c>
      <c r="AX83" s="47">
        <v>0.27200000000000002</v>
      </c>
      <c r="AY83" s="47">
        <v>0.24249999999999997</v>
      </c>
      <c r="AZ83" s="47">
        <v>0.21183333333333329</v>
      </c>
      <c r="BA83" s="47">
        <v>0.19</v>
      </c>
      <c r="BB83" s="47">
        <v>0.17449999999999996</v>
      </c>
      <c r="BC83" s="47">
        <v>0.19516666666666663</v>
      </c>
      <c r="BD83" s="47">
        <v>0.22233333333333333</v>
      </c>
      <c r="BE83" s="47">
        <v>0.28199999999999997</v>
      </c>
      <c r="BF83" s="47">
        <v>0.26833333333333331</v>
      </c>
      <c r="BG83" s="47">
        <v>0.26983333333333331</v>
      </c>
      <c r="BH83" s="47">
        <v>0.22766666666666663</v>
      </c>
      <c r="BI83" s="47">
        <v>0.18333333333333332</v>
      </c>
      <c r="BJ83" s="47">
        <v>0.14916666666666664</v>
      </c>
      <c r="BK83" s="47">
        <v>0.11699999999999999</v>
      </c>
      <c r="BL83" s="47">
        <v>0.1288333333333333</v>
      </c>
      <c r="BM83" s="47">
        <v>0.16799999999999995</v>
      </c>
      <c r="BN83" s="47">
        <v>0.20033333333333331</v>
      </c>
      <c r="BO83" s="47">
        <v>0.21383333333333335</v>
      </c>
      <c r="BP83" s="47">
        <v>0.21716666666666665</v>
      </c>
      <c r="BQ83" s="47">
        <v>0.23249999999999998</v>
      </c>
      <c r="BR83" s="47">
        <v>0.33649999999999997</v>
      </c>
      <c r="BS83" s="47">
        <v>0.4363333333333333</v>
      </c>
      <c r="BT83" s="47">
        <v>0.55066666666666664</v>
      </c>
      <c r="BU83" s="47">
        <v>0.67466666666666664</v>
      </c>
      <c r="BV83" s="47">
        <v>0.70016666666666671</v>
      </c>
      <c r="BW83" s="47">
        <v>0.73566666666666658</v>
      </c>
      <c r="BX83" s="47">
        <v>0.78683333333333327</v>
      </c>
      <c r="BY83" s="47">
        <v>0.79216666666666657</v>
      </c>
      <c r="BZ83" s="47">
        <v>0.7613333333333332</v>
      </c>
      <c r="CA83" s="47">
        <v>0.75966666666666649</v>
      </c>
      <c r="CB83" s="47">
        <v>0.76183333333333314</v>
      </c>
      <c r="CC83" s="47">
        <v>0.78849999999999987</v>
      </c>
      <c r="CD83" s="47">
        <v>0.82250000000000001</v>
      </c>
      <c r="CE83" s="47">
        <v>0.84649999999999992</v>
      </c>
      <c r="CF83" s="47">
        <v>0.86483333333333323</v>
      </c>
      <c r="CG83" s="47">
        <v>0.84633333333333338</v>
      </c>
      <c r="CH83" s="47">
        <v>0.80366666666666675</v>
      </c>
      <c r="CI83" s="47">
        <v>0.75666666666666671</v>
      </c>
      <c r="CJ83" s="47">
        <v>0.73916666666666664</v>
      </c>
      <c r="CK83" s="47">
        <v>0.75283333333333335</v>
      </c>
      <c r="CL83" s="47">
        <v>0.81249999999999978</v>
      </c>
      <c r="CM83" s="47">
        <v>0.85499999999999987</v>
      </c>
      <c r="CN83" s="47">
        <v>0.88066666666666671</v>
      </c>
      <c r="CO83" s="47">
        <v>0.85816666666666674</v>
      </c>
      <c r="CP83" s="47">
        <v>0.79066666666666652</v>
      </c>
      <c r="CQ83" s="47">
        <v>0.68833333333333335</v>
      </c>
      <c r="CR83" s="47">
        <v>0.58133333333333326</v>
      </c>
      <c r="CS83" s="47">
        <v>0.54700000000000004</v>
      </c>
      <c r="CT83" s="47">
        <v>0.50816666666666666</v>
      </c>
      <c r="CU83" s="47">
        <v>0.45849999999999991</v>
      </c>
      <c r="CV83" s="47">
        <v>0.41783333333333328</v>
      </c>
      <c r="CW83" s="47">
        <v>0.43333333333333329</v>
      </c>
      <c r="CX83" s="47">
        <v>0.44166666666666665</v>
      </c>
      <c r="CY83" s="47">
        <v>0.42466666666666664</v>
      </c>
      <c r="CZ83" s="47">
        <v>0.39416666666666667</v>
      </c>
    </row>
    <row r="84" spans="1:104" x14ac:dyDescent="0.2">
      <c r="A84" s="45" t="s">
        <v>48</v>
      </c>
      <c r="B84" s="46">
        <f t="shared" si="26"/>
        <v>38.345558008465147</v>
      </c>
      <c r="C84" s="46">
        <f t="shared" si="27"/>
        <v>4.9498860588275679</v>
      </c>
      <c r="D84" s="48">
        <f t="shared" si="28"/>
        <v>21.581670752613206</v>
      </c>
      <c r="E84" s="46"/>
      <c r="F84" s="47">
        <v>0.80166514811033796</v>
      </c>
      <c r="G84" s="47">
        <v>0.79700227816414471</v>
      </c>
      <c r="H84" s="47">
        <v>0.74908428284310347</v>
      </c>
      <c r="I84" s="47">
        <v>0.75216628752206227</v>
      </c>
      <c r="J84" s="47">
        <v>0.82366742627448286</v>
      </c>
      <c r="K84" s="47">
        <v>0.86108428284310345</v>
      </c>
      <c r="L84" s="47">
        <v>0.85803872483463828</v>
      </c>
      <c r="M84" s="47">
        <v>0.7590455586677689</v>
      </c>
      <c r="N84" s="47">
        <v>0.67295899831982431</v>
      </c>
      <c r="O84" s="47">
        <v>0.6002072898615417</v>
      </c>
      <c r="P84" s="47">
        <v>0.66037813305258974</v>
      </c>
      <c r="Q84" s="47">
        <v>0.63374943161274522</v>
      </c>
      <c r="R84" s="47">
        <v>0.63808428350240731</v>
      </c>
      <c r="S84" s="47">
        <v>0.64037813305258984</v>
      </c>
      <c r="T84" s="47">
        <v>0.59554441991534834</v>
      </c>
      <c r="U84" s="47">
        <v>0.58658542225482768</v>
      </c>
      <c r="V84" s="47">
        <v>0.41896127648396908</v>
      </c>
      <c r="W84" s="47">
        <v>0.41820956802568648</v>
      </c>
      <c r="X84" s="47">
        <v>0.42900000065930366</v>
      </c>
      <c r="Y84" s="47">
        <v>0.51612528518258294</v>
      </c>
      <c r="Z84" s="47">
        <v>0.54304328050362405</v>
      </c>
      <c r="AA84" s="47">
        <v>0.6053325743848208</v>
      </c>
      <c r="AB84" s="47">
        <v>0.6227494309534416</v>
      </c>
      <c r="AC84" s="47">
        <v>0.68400000065930366</v>
      </c>
      <c r="AD84" s="47">
        <v>0.591710706778107</v>
      </c>
      <c r="AE84" s="47">
        <v>0.55741457906377967</v>
      </c>
      <c r="AF84" s="47">
        <v>0.54508428284310351</v>
      </c>
      <c r="AG84" s="47">
        <v>0.63117084319104799</v>
      </c>
      <c r="AH84" s="47">
        <v>0.6701662875220622</v>
      </c>
      <c r="AI84" s="47">
        <v>0.67246013707224483</v>
      </c>
      <c r="AJ84" s="47">
        <v>0.67296127582466525</v>
      </c>
      <c r="AK84" s="47">
        <v>0.72166970377932382</v>
      </c>
      <c r="AL84" s="47">
        <v>0.77116628686275857</v>
      </c>
      <c r="AM84" s="47">
        <v>0.82141457840447596</v>
      </c>
      <c r="AN84" s="47">
        <v>0.85316628686275875</v>
      </c>
      <c r="AO84" s="47">
        <v>0.91595899766052058</v>
      </c>
      <c r="AP84" s="47">
        <v>0.97004100233947943</v>
      </c>
      <c r="AQ84" s="47">
        <v>0.75887471481741708</v>
      </c>
      <c r="AR84" s="47">
        <v>0.72529157138603784</v>
      </c>
      <c r="AS84" s="47">
        <v>0.48803872351603095</v>
      </c>
      <c r="AT84" s="47">
        <v>0.57616628620345489</v>
      </c>
      <c r="AU84" s="47">
        <v>0.61358314277207571</v>
      </c>
      <c r="AV84" s="47">
        <v>0.60591343899275174</v>
      </c>
      <c r="AW84" s="47">
        <v>0.55666742561517912</v>
      </c>
      <c r="AX84" s="47">
        <v>0.47979043263361731</v>
      </c>
      <c r="AY84" s="47">
        <v>0.4067471527892968</v>
      </c>
      <c r="AZ84" s="47">
        <v>0.34646013707224482</v>
      </c>
      <c r="BA84" s="47">
        <v>0.35341457906377965</v>
      </c>
      <c r="BB84" s="47">
        <v>0.36570842861396219</v>
      </c>
      <c r="BC84" s="47">
        <v>0.42875170845828253</v>
      </c>
      <c r="BD84" s="47">
        <v>0.50104327984432051</v>
      </c>
      <c r="BE84" s="47">
        <v>0.556416855909317</v>
      </c>
      <c r="BF84" s="47">
        <v>0.54133029556137247</v>
      </c>
      <c r="BG84" s="47">
        <v>0.49387471481741707</v>
      </c>
      <c r="BH84" s="47">
        <v>0.45391571715689649</v>
      </c>
      <c r="BI84" s="47">
        <v>0.42929157138603785</v>
      </c>
      <c r="BJ84" s="47">
        <v>0.4226651474510344</v>
      </c>
      <c r="BK84" s="47">
        <v>0.41033485123035823</v>
      </c>
      <c r="BL84" s="47">
        <v>0.36320728854293427</v>
      </c>
      <c r="BM84" s="47">
        <v>0.35628929322189307</v>
      </c>
      <c r="BN84" s="47">
        <v>0.32270614979051376</v>
      </c>
      <c r="BO84" s="47">
        <v>0.29553986292775519</v>
      </c>
      <c r="BP84" s="47">
        <v>0.21787471481741708</v>
      </c>
      <c r="BQ84" s="47">
        <v>0.21629384955018255</v>
      </c>
      <c r="BR84" s="47">
        <v>0.11433257372551719</v>
      </c>
      <c r="BS84" s="47">
        <v>0.14178815446947254</v>
      </c>
      <c r="BT84" s="47">
        <v>9.895671949637587E-2</v>
      </c>
      <c r="BU84" s="47">
        <v>7.7166286862758601E-2</v>
      </c>
      <c r="BV84" s="47">
        <v>9.9920273485185951E-2</v>
      </c>
      <c r="BW84" s="47">
        <v>0.10737585422914131</v>
      </c>
      <c r="BX84" s="47">
        <v>7.0999999999999994E-2</v>
      </c>
      <c r="BY84" s="47">
        <v>4.9710706118803231E-2</v>
      </c>
      <c r="BZ84" s="47">
        <v>6.8706150449817469E-2</v>
      </c>
      <c r="CA84" s="47">
        <v>6.0209567366382721E-2</v>
      </c>
      <c r="CB84" s="47">
        <v>0.1142915720453415</v>
      </c>
      <c r="CC84" s="47">
        <v>3.6665148110338074E-2</v>
      </c>
      <c r="CD84" s="47">
        <v>8.6375854229141319E-2</v>
      </c>
      <c r="CE84" s="47">
        <v>0.15995671949637588</v>
      </c>
      <c r="CF84" s="47">
        <v>0.42624829088241367</v>
      </c>
      <c r="CG84" s="47">
        <v>0.4895421404325962</v>
      </c>
      <c r="CH84" s="47">
        <v>0.53903872351603088</v>
      </c>
      <c r="CI84" s="47">
        <v>0.53129384889087883</v>
      </c>
      <c r="CJ84" s="47">
        <v>0.51979043197431363</v>
      </c>
      <c r="CK84" s="47">
        <v>0.60079043197431359</v>
      </c>
      <c r="CL84" s="47">
        <v>0.58053986226845156</v>
      </c>
      <c r="CM84" s="47">
        <v>0.60591571649759268</v>
      </c>
      <c r="CN84" s="47">
        <v>0.62691571649759281</v>
      </c>
      <c r="CO84" s="47">
        <v>0.6820387235160309</v>
      </c>
      <c r="CP84" s="47">
        <v>0.7109589970012169</v>
      </c>
      <c r="CQ84" s="47">
        <v>0.70328929322189304</v>
      </c>
      <c r="CR84" s="47">
        <v>0.61895671949637587</v>
      </c>
      <c r="CS84" s="47">
        <v>0.53204100233947937</v>
      </c>
      <c r="CT84" s="47">
        <v>0.45695672015567956</v>
      </c>
      <c r="CU84" s="47">
        <v>0.3452072898615417</v>
      </c>
      <c r="CV84" s="47">
        <v>0.37029385020948624</v>
      </c>
      <c r="CW84" s="47">
        <v>0.37771070677810686</v>
      </c>
      <c r="CX84" s="47">
        <v>0.38771070677810693</v>
      </c>
      <c r="CY84" s="47">
        <v>0.36570615110912114</v>
      </c>
      <c r="CZ84" s="47">
        <v>0.33620956802568641</v>
      </c>
    </row>
    <row r="85" spans="1:104" x14ac:dyDescent="0.2">
      <c r="A85" s="45" t="s">
        <v>51</v>
      </c>
      <c r="B85" s="46">
        <f t="shared" si="26"/>
        <v>-28.057142857142857</v>
      </c>
      <c r="C85" s="46">
        <f t="shared" si="27"/>
        <v>-11.592857142857142</v>
      </c>
      <c r="D85" s="48">
        <f t="shared" si="28"/>
        <v>24.328945258011874</v>
      </c>
      <c r="E85" s="46"/>
      <c r="F85" s="47">
        <v>0.15321428571428572</v>
      </c>
      <c r="G85" s="47">
        <v>0.13814285714285712</v>
      </c>
      <c r="H85" s="47">
        <v>0.21807142857142855</v>
      </c>
      <c r="I85" s="47">
        <v>0.26914285714285713</v>
      </c>
      <c r="J85" s="47">
        <v>0.35728571428571426</v>
      </c>
      <c r="K85" s="47">
        <v>0.36549999999999999</v>
      </c>
      <c r="L85" s="47">
        <v>0.41928571428571437</v>
      </c>
      <c r="M85" s="47">
        <v>0.38414285714285723</v>
      </c>
      <c r="N85" s="47">
        <v>0.28950000000000004</v>
      </c>
      <c r="O85" s="47">
        <v>0.11485714285714287</v>
      </c>
      <c r="P85" s="47">
        <v>5.0928571428571434E-2</v>
      </c>
      <c r="Q85" s="47">
        <v>0.11271428571428573</v>
      </c>
      <c r="R85" s="47">
        <v>0.35278571428571426</v>
      </c>
      <c r="S85" s="47">
        <v>0.49864285714285711</v>
      </c>
      <c r="T85" s="47">
        <v>0.57335714285714279</v>
      </c>
      <c r="U85" s="47">
        <v>0.58635714285714302</v>
      </c>
      <c r="V85" s="47">
        <v>0.50164285714285717</v>
      </c>
      <c r="W85" s="47">
        <v>0.43378571428571433</v>
      </c>
      <c r="X85" s="47">
        <v>0.41292857142857137</v>
      </c>
      <c r="Y85" s="47">
        <v>0.46092857142857141</v>
      </c>
      <c r="Z85" s="47">
        <v>0.56635714285714289</v>
      </c>
      <c r="AA85" s="47">
        <v>0.73357142857142854</v>
      </c>
      <c r="AB85" s="47">
        <v>0.87857142857142856</v>
      </c>
      <c r="AC85" s="47">
        <v>0.92649999999999999</v>
      </c>
      <c r="AD85" s="47">
        <v>0.90871428571428581</v>
      </c>
      <c r="AE85" s="47">
        <v>0.85285714285714276</v>
      </c>
      <c r="AF85" s="47">
        <v>0.85678571428571437</v>
      </c>
      <c r="AG85" s="47">
        <v>0.89971428571428569</v>
      </c>
      <c r="AH85" s="47">
        <v>0.9096428571428572</v>
      </c>
      <c r="AI85" s="47">
        <v>0.92614285714285716</v>
      </c>
      <c r="AJ85" s="47">
        <v>0.94271428571428562</v>
      </c>
      <c r="AK85" s="47">
        <v>0.96585714285714264</v>
      </c>
      <c r="AL85" s="47">
        <v>0.96621428571428591</v>
      </c>
      <c r="AM85" s="47">
        <v>0.94542857142857151</v>
      </c>
      <c r="AN85" s="47">
        <v>0.90885714285714281</v>
      </c>
      <c r="AO85" s="47">
        <v>0.85485714285714276</v>
      </c>
      <c r="AP85" s="47">
        <v>0.77707142857142864</v>
      </c>
      <c r="AQ85" s="47">
        <v>0.70742857142857141</v>
      </c>
      <c r="AR85" s="47">
        <v>0.61835714285714283</v>
      </c>
      <c r="AS85" s="47">
        <v>0.57157142857142873</v>
      </c>
      <c r="AT85" s="47">
        <v>0.52192857142857152</v>
      </c>
      <c r="AU85" s="47">
        <v>0.44871428571428573</v>
      </c>
      <c r="AV85" s="47">
        <v>0.38599999999999995</v>
      </c>
      <c r="AW85" s="47">
        <v>0.32178571428571434</v>
      </c>
      <c r="AX85" s="47">
        <v>0.29100000000000004</v>
      </c>
      <c r="AY85" s="47">
        <v>0.25821428571428579</v>
      </c>
      <c r="AZ85" s="47">
        <v>0.22407142857142859</v>
      </c>
      <c r="BA85" s="47">
        <v>0.23035714285714282</v>
      </c>
      <c r="BB85" s="47">
        <v>0.28100000000000003</v>
      </c>
      <c r="BC85" s="47">
        <v>0.27692857142857147</v>
      </c>
      <c r="BD85" s="47">
        <v>0.27200000000000002</v>
      </c>
      <c r="BE85" s="47">
        <v>0.22757142857142859</v>
      </c>
      <c r="BF85" s="47">
        <v>0.20500000000000002</v>
      </c>
      <c r="BG85" s="47">
        <v>0.21614285714285711</v>
      </c>
      <c r="BH85" s="47">
        <v>0.26792857142857135</v>
      </c>
      <c r="BI85" s="47">
        <v>0.34957142857142859</v>
      </c>
      <c r="BJ85" s="47">
        <v>0.39750000000000008</v>
      </c>
      <c r="BK85" s="47">
        <v>0.41914285714285715</v>
      </c>
      <c r="BL85" s="47">
        <v>0.45107142857142851</v>
      </c>
      <c r="BM85" s="47">
        <v>0.49221428571428572</v>
      </c>
      <c r="BN85" s="47">
        <v>0.47792857142857148</v>
      </c>
      <c r="BO85" s="47">
        <v>0.46607142857142853</v>
      </c>
      <c r="BP85" s="47">
        <v>0.45507142857142852</v>
      </c>
      <c r="BQ85" s="47">
        <v>0.53021428571428575</v>
      </c>
      <c r="BR85" s="47">
        <v>0.60571428571428565</v>
      </c>
      <c r="BS85" s="47">
        <v>0.65971428571428581</v>
      </c>
      <c r="BT85" s="47">
        <v>0.71499999999999997</v>
      </c>
      <c r="BU85" s="47">
        <v>0.71957142857142853</v>
      </c>
      <c r="BV85" s="47">
        <v>0.71021428571428569</v>
      </c>
      <c r="BW85" s="47">
        <v>0.68171428571428572</v>
      </c>
      <c r="BX85" s="47">
        <v>0.68100000000000005</v>
      </c>
      <c r="BY85" s="47">
        <v>0.65828571428571425</v>
      </c>
      <c r="BZ85" s="47">
        <v>0.65328571428571436</v>
      </c>
      <c r="CA85" s="47">
        <v>0.6379999999999999</v>
      </c>
      <c r="CB85" s="47">
        <v>0.63592857142857129</v>
      </c>
      <c r="CC85" s="47">
        <v>0.63457142857142856</v>
      </c>
      <c r="CD85" s="47">
        <v>0.65721428571428564</v>
      </c>
      <c r="CE85" s="47">
        <v>0.70771428571428574</v>
      </c>
      <c r="CF85" s="47">
        <v>0.69685714285714284</v>
      </c>
      <c r="CG85" s="47">
        <v>0.67864285714285721</v>
      </c>
      <c r="CH85" s="47">
        <v>0.6468571428571428</v>
      </c>
      <c r="CI85" s="47">
        <v>0.61028571428571421</v>
      </c>
      <c r="CJ85" s="47">
        <v>0.5675</v>
      </c>
      <c r="CK85" s="47">
        <v>0.51414285714285712</v>
      </c>
      <c r="CL85" s="47">
        <v>0.5416428571428572</v>
      </c>
      <c r="CM85" s="47">
        <v>0.62357142857142855</v>
      </c>
      <c r="CN85" s="47">
        <v>0.6875714285714285</v>
      </c>
      <c r="CO85" s="47">
        <v>0.56085714285714283</v>
      </c>
      <c r="CP85" s="47">
        <v>0.42735714285714288</v>
      </c>
      <c r="CQ85" s="47">
        <v>0.28099999999999997</v>
      </c>
      <c r="CR85" s="47">
        <v>0.18885714285714283</v>
      </c>
      <c r="CS85" s="47">
        <v>0.10949999999999999</v>
      </c>
      <c r="CT85" s="47">
        <v>0.11114285714285714</v>
      </c>
      <c r="CU85" s="47">
        <v>0.11478571428571428</v>
      </c>
      <c r="CV85" s="47">
        <v>0.12621428571428572</v>
      </c>
      <c r="CW85" s="47">
        <v>0.15857142857142856</v>
      </c>
      <c r="CX85" s="47">
        <v>0.17021428571428568</v>
      </c>
      <c r="CY85" s="47">
        <v>0.18614285714285717</v>
      </c>
      <c r="CZ85" s="47">
        <v>0.20864285714285716</v>
      </c>
    </row>
    <row r="86" spans="1:104" x14ac:dyDescent="0.2">
      <c r="A86" s="45" t="s">
        <v>54</v>
      </c>
      <c r="B86" s="46">
        <f t="shared" si="26"/>
        <v>-41.900000000000006</v>
      </c>
      <c r="C86" s="46">
        <f t="shared" si="27"/>
        <v>3.0000000000000013</v>
      </c>
      <c r="D86" s="48">
        <f t="shared" si="28"/>
        <v>26.630199701786456</v>
      </c>
      <c r="E86" s="46"/>
      <c r="F86" s="47">
        <v>0.13200000000000001</v>
      </c>
      <c r="G86" s="47">
        <v>0.112</v>
      </c>
      <c r="H86" s="47">
        <v>8.1000000000000003E-2</v>
      </c>
      <c r="I86" s="47">
        <v>0.10199999999999999</v>
      </c>
      <c r="J86" s="47">
        <v>0.17299999999999999</v>
      </c>
      <c r="K86" s="47">
        <v>0.193</v>
      </c>
      <c r="L86" s="47">
        <v>6.0999999999999999E-2</v>
      </c>
      <c r="M86" s="47">
        <v>5.0999999999999997E-2</v>
      </c>
      <c r="N86" s="47">
        <v>0</v>
      </c>
      <c r="O86" s="47">
        <v>0.03</v>
      </c>
      <c r="P86" s="47">
        <v>0.02</v>
      </c>
      <c r="Q86" s="47">
        <v>0.01</v>
      </c>
      <c r="R86" s="47">
        <v>0.04</v>
      </c>
      <c r="S86" s="47">
        <v>7.0999999999999994E-2</v>
      </c>
      <c r="T86" s="47">
        <v>0.39700000000000002</v>
      </c>
      <c r="U86" s="47">
        <v>0.56100000000000005</v>
      </c>
      <c r="V86" s="47">
        <v>0.53</v>
      </c>
      <c r="W86" s="47">
        <v>0.55100000000000005</v>
      </c>
      <c r="X86" s="47">
        <v>0.59099999999999997</v>
      </c>
      <c r="Y86" s="47">
        <v>0.63200000000000001</v>
      </c>
      <c r="Z86" s="47">
        <v>0.65300000000000002</v>
      </c>
      <c r="AA86" s="47">
        <v>0.70399999999999996</v>
      </c>
      <c r="AB86" s="47">
        <v>0.69299999999999995</v>
      </c>
      <c r="AC86" s="47">
        <v>0.74399999999999999</v>
      </c>
      <c r="AD86" s="47">
        <v>0.86699999999999999</v>
      </c>
      <c r="AE86" s="47">
        <v>0.89700000000000002</v>
      </c>
      <c r="AF86" s="47">
        <v>0.94799999999999995</v>
      </c>
      <c r="AG86" s="47">
        <v>0.96899999999999986</v>
      </c>
      <c r="AH86" s="47">
        <v>0.98899999999999988</v>
      </c>
      <c r="AI86" s="47">
        <v>1</v>
      </c>
      <c r="AJ86" s="47">
        <v>0.97899999999999987</v>
      </c>
      <c r="AK86" s="47">
        <v>0.95899999999999985</v>
      </c>
      <c r="AL86" s="47">
        <v>0.93799999999999994</v>
      </c>
      <c r="AM86" s="47">
        <v>0.92800000000000005</v>
      </c>
      <c r="AN86" s="47">
        <v>0.91800000000000004</v>
      </c>
      <c r="AO86" s="47">
        <v>0.90800000000000003</v>
      </c>
      <c r="AP86" s="47">
        <v>0.88700000000000001</v>
      </c>
      <c r="AQ86" s="47">
        <v>0.78500000000000003</v>
      </c>
      <c r="AR86" s="47">
        <v>0.60199999999999998</v>
      </c>
      <c r="AS86" s="47">
        <v>0.47899999999999998</v>
      </c>
      <c r="AT86" s="47">
        <v>0.41799999999999998</v>
      </c>
      <c r="AU86" s="47">
        <v>0.377</v>
      </c>
      <c r="AV86" s="47">
        <v>0.33600000000000002</v>
      </c>
      <c r="AW86" s="47">
        <v>0.30599999999999999</v>
      </c>
      <c r="AX86" s="47">
        <v>0.23400000000000001</v>
      </c>
      <c r="AY86" s="47">
        <v>0.183</v>
      </c>
      <c r="AZ86" s="47">
        <v>0.153</v>
      </c>
      <c r="BA86" s="47">
        <v>0.14199999999999999</v>
      </c>
      <c r="BB86" s="47">
        <v>0.122</v>
      </c>
      <c r="BC86" s="47">
        <v>9.0999999999999998E-2</v>
      </c>
      <c r="BD86" s="47">
        <v>0.16300000000000001</v>
      </c>
      <c r="BE86" s="47">
        <v>0.20399999999999999</v>
      </c>
      <c r="BF86" s="47">
        <v>0.32600000000000001</v>
      </c>
      <c r="BG86" s="47">
        <v>0.36699999999999999</v>
      </c>
      <c r="BH86" s="47">
        <v>0.438</v>
      </c>
      <c r="BI86" s="47">
        <v>0.45900000000000002</v>
      </c>
      <c r="BJ86" s="47">
        <v>0.51</v>
      </c>
      <c r="BK86" s="47">
        <v>0.58099999999999996</v>
      </c>
      <c r="BL86" s="47">
        <v>0.64200000000000002</v>
      </c>
      <c r="BM86" s="47">
        <v>0.66300000000000003</v>
      </c>
      <c r="BN86" s="47">
        <v>0.73399999999999999</v>
      </c>
      <c r="BO86" s="47">
        <v>0.79500000000000004</v>
      </c>
      <c r="BP86" s="47">
        <v>0.81599999999999995</v>
      </c>
      <c r="BQ86" s="47">
        <v>0.877</v>
      </c>
      <c r="BR86" s="47">
        <v>0.82599999999999996</v>
      </c>
      <c r="BS86" s="47">
        <v>0.82599999999999996</v>
      </c>
      <c r="BT86" s="47">
        <v>0.82599999999999996</v>
      </c>
      <c r="BU86" s="47">
        <v>0.82599999999999996</v>
      </c>
      <c r="BV86" s="47">
        <v>0.80600000000000005</v>
      </c>
      <c r="BW86" s="47">
        <v>0.77500000000000002</v>
      </c>
      <c r="BX86" s="47">
        <v>0.755</v>
      </c>
      <c r="BY86" s="47">
        <v>0.68300000000000005</v>
      </c>
      <c r="BZ86" s="47">
        <v>0.61199999999999999</v>
      </c>
      <c r="CA86" s="47">
        <v>0.48899999999999999</v>
      </c>
      <c r="CB86" s="47">
        <v>0.42799999999999999</v>
      </c>
      <c r="CC86" s="47">
        <v>0.34599999999999997</v>
      </c>
      <c r="CD86" s="47">
        <v>0.316</v>
      </c>
      <c r="CE86" s="47">
        <v>0.26500000000000001</v>
      </c>
      <c r="CF86" s="47">
        <v>0.214</v>
      </c>
      <c r="CG86" s="47">
        <v>0.255</v>
      </c>
      <c r="CH86" s="47">
        <v>0.27500000000000002</v>
      </c>
      <c r="CI86" s="47">
        <v>0.27500000000000002</v>
      </c>
      <c r="CJ86" s="47">
        <v>0.24399999999999999</v>
      </c>
      <c r="CK86" s="47">
        <v>0.224</v>
      </c>
      <c r="CL86" s="47">
        <v>0.29499999999999998</v>
      </c>
      <c r="CM86" s="47">
        <v>0.35699999999999998</v>
      </c>
      <c r="CN86" s="47">
        <v>0.38700000000000001</v>
      </c>
      <c r="CO86" s="47">
        <v>0.40799999999999997</v>
      </c>
      <c r="CP86" s="47">
        <v>0.44800000000000001</v>
      </c>
      <c r="CQ86" s="47">
        <v>0.46899999999999997</v>
      </c>
      <c r="CR86" s="47">
        <v>0.5</v>
      </c>
      <c r="CS86" s="47">
        <v>0.52</v>
      </c>
      <c r="CT86" s="47">
        <v>0.54</v>
      </c>
      <c r="CU86" s="47">
        <v>0.57099999999999995</v>
      </c>
      <c r="CV86" s="47">
        <v>0.622</v>
      </c>
      <c r="CW86" s="47">
        <v>0.67300000000000004</v>
      </c>
      <c r="CX86" s="47">
        <v>0.71399999999999997</v>
      </c>
      <c r="CY86" s="47">
        <v>0.72399999999999998</v>
      </c>
      <c r="CZ86" s="47">
        <v>0.76500000000000001</v>
      </c>
    </row>
    <row r="87" spans="1:104" x14ac:dyDescent="0.2">
      <c r="A87" s="45" t="s">
        <v>57</v>
      </c>
      <c r="B87" s="46">
        <f t="shared" si="26"/>
        <v>-73</v>
      </c>
      <c r="C87" s="46">
        <f t="shared" si="27"/>
        <v>7.0499999999999989</v>
      </c>
      <c r="D87" s="48">
        <f t="shared" si="28"/>
        <v>24.079671096405196</v>
      </c>
      <c r="E87" s="46"/>
      <c r="F87" s="47">
        <v>7.0499999999999993E-2</v>
      </c>
      <c r="G87" s="47">
        <v>4.65E-2</v>
      </c>
      <c r="H87" s="47">
        <v>1.15E-2</v>
      </c>
      <c r="I87" s="47">
        <v>0</v>
      </c>
      <c r="J87" s="47">
        <v>2.3E-2</v>
      </c>
      <c r="K87" s="47">
        <v>3.5000000000000003E-2</v>
      </c>
      <c r="L87" s="47">
        <v>5.8500000000000003E-2</v>
      </c>
      <c r="M87" s="47">
        <v>8.2000000000000003E-2</v>
      </c>
      <c r="N87" s="47">
        <v>0.26350000000000001</v>
      </c>
      <c r="O87" s="47">
        <v>0.35099999999999998</v>
      </c>
      <c r="P87" s="47">
        <v>0.32249999999999995</v>
      </c>
      <c r="Q87" s="47">
        <v>0.22950000000000001</v>
      </c>
      <c r="R87" s="47">
        <v>0.39950000000000002</v>
      </c>
      <c r="S87" s="47">
        <v>0.53749999999999998</v>
      </c>
      <c r="T87" s="47">
        <v>0.67399999999999993</v>
      </c>
      <c r="U87" s="47">
        <v>0.72799999999999998</v>
      </c>
      <c r="V87" s="47">
        <v>0.77200000000000002</v>
      </c>
      <c r="W87" s="47">
        <v>0.80049999999999999</v>
      </c>
      <c r="X87" s="47">
        <v>0.82799999999999996</v>
      </c>
      <c r="Y87" s="47">
        <v>0.88350000000000006</v>
      </c>
      <c r="Z87" s="47">
        <v>0.91400000000000003</v>
      </c>
      <c r="AA87" s="47">
        <v>0.95749999999999991</v>
      </c>
      <c r="AB87" s="47">
        <v>0.94599999999999995</v>
      </c>
      <c r="AC87" s="47">
        <v>0.96049999999999991</v>
      </c>
      <c r="AD87" s="47">
        <v>0.9930000000000001</v>
      </c>
      <c r="AE87" s="47">
        <v>0.99450000000000005</v>
      </c>
      <c r="AF87" s="47">
        <v>0.96950000000000003</v>
      </c>
      <c r="AG87" s="47">
        <v>0.91699999999999982</v>
      </c>
      <c r="AH87" s="47">
        <v>0.91549999999999998</v>
      </c>
      <c r="AI87" s="47">
        <v>0.89200000000000002</v>
      </c>
      <c r="AJ87" s="47">
        <v>0.87500000000000011</v>
      </c>
      <c r="AK87" s="47">
        <v>0.84500000000000008</v>
      </c>
      <c r="AL87" s="47">
        <v>0.77550000000000008</v>
      </c>
      <c r="AM87" s="47">
        <v>0.747</v>
      </c>
      <c r="AN87" s="47">
        <v>0.73499999999999999</v>
      </c>
      <c r="AO87" s="47">
        <v>0.72349999999999992</v>
      </c>
      <c r="AP87" s="47">
        <v>0.70649999999999991</v>
      </c>
      <c r="AQ87" s="47">
        <v>0.68300000000000005</v>
      </c>
      <c r="AR87" s="47">
        <v>0.64449999999999996</v>
      </c>
      <c r="AS87" s="47">
        <v>0.56699999999999995</v>
      </c>
      <c r="AT87" s="47">
        <v>0.47449999999999998</v>
      </c>
      <c r="AU87" s="47">
        <v>0.34500000000000003</v>
      </c>
      <c r="AV87" s="47">
        <v>0.2525</v>
      </c>
      <c r="AW87" s="47">
        <v>0.16600000000000001</v>
      </c>
      <c r="AX87" s="47">
        <v>0.17750000000000002</v>
      </c>
      <c r="AY87" s="47">
        <v>0.19450000000000001</v>
      </c>
      <c r="AZ87" s="47">
        <v>0.2445</v>
      </c>
      <c r="BA87" s="47">
        <v>0.27500000000000002</v>
      </c>
      <c r="BB87" s="47">
        <v>0.3085</v>
      </c>
      <c r="BC87" s="47">
        <v>0.32749999999999996</v>
      </c>
      <c r="BD87" s="47">
        <v>0.34400000000000003</v>
      </c>
      <c r="BE87" s="47">
        <v>0.3805</v>
      </c>
      <c r="BF87" s="47">
        <v>0.42099999999999999</v>
      </c>
      <c r="BG87" s="47">
        <v>0.46149999999999997</v>
      </c>
      <c r="BH87" s="47">
        <v>0.47549999999999998</v>
      </c>
      <c r="BI87" s="47">
        <v>0.46549999999999997</v>
      </c>
      <c r="BJ87" s="47">
        <v>0.39649999999999996</v>
      </c>
      <c r="BK87" s="47">
        <v>0.313</v>
      </c>
      <c r="BL87" s="47">
        <v>0.23849999999999999</v>
      </c>
      <c r="BM87" s="47">
        <v>0.17949999999999999</v>
      </c>
      <c r="BN87" s="47">
        <v>0.14749999999999999</v>
      </c>
      <c r="BO87" s="47">
        <v>0.12899999999999998</v>
      </c>
      <c r="BP87" s="47">
        <v>0.11199999999999999</v>
      </c>
      <c r="BQ87" s="47">
        <v>0.10050000000000001</v>
      </c>
      <c r="BR87" s="47">
        <v>0.104</v>
      </c>
      <c r="BS87" s="47">
        <v>0.1565</v>
      </c>
      <c r="BT87" s="47">
        <v>0.24700000000000003</v>
      </c>
      <c r="BU87" s="47">
        <v>0.38300000000000001</v>
      </c>
      <c r="BV87" s="47">
        <v>0.45850000000000002</v>
      </c>
      <c r="BW87" s="47">
        <v>0.53</v>
      </c>
      <c r="BX87" s="47">
        <v>0.55999999999999994</v>
      </c>
      <c r="BY87" s="47">
        <v>0.57650000000000001</v>
      </c>
      <c r="BZ87" s="47">
        <v>0.61049999999999993</v>
      </c>
      <c r="CA87" s="47">
        <v>0.62750000000000006</v>
      </c>
      <c r="CB87" s="47">
        <v>0.63900000000000001</v>
      </c>
      <c r="CC87" s="47">
        <v>0.65100000000000002</v>
      </c>
      <c r="CD87" s="47">
        <v>0.56599999999999995</v>
      </c>
      <c r="CE87" s="47">
        <v>0.54549999999999998</v>
      </c>
      <c r="CF87" s="47">
        <v>0.53549999999999998</v>
      </c>
      <c r="CG87" s="47">
        <v>0.51500000000000001</v>
      </c>
      <c r="CH87" s="47">
        <v>0.505</v>
      </c>
      <c r="CI87" s="47">
        <v>0.48949999999999999</v>
      </c>
      <c r="CJ87" s="47">
        <v>0.47399999999999998</v>
      </c>
      <c r="CK87" s="47">
        <v>0.46399999999999997</v>
      </c>
      <c r="CL87" s="47">
        <v>0.45400000000000001</v>
      </c>
      <c r="CM87" s="47">
        <v>0.44350000000000001</v>
      </c>
      <c r="CN87" s="47">
        <v>0.47950000000000004</v>
      </c>
      <c r="CO87" s="47">
        <v>0.52550000000000008</v>
      </c>
      <c r="CP87" s="47">
        <v>0.57650000000000001</v>
      </c>
      <c r="CQ87" s="47">
        <v>0.60199999999999998</v>
      </c>
      <c r="CR87" s="47">
        <v>0.62750000000000006</v>
      </c>
      <c r="CS87" s="47">
        <v>0.64249999999999996</v>
      </c>
      <c r="CT87" s="47">
        <v>0.64749999999999996</v>
      </c>
      <c r="CU87" s="47">
        <v>0.65300000000000002</v>
      </c>
      <c r="CV87" s="47">
        <v>0.66799999999999993</v>
      </c>
      <c r="CW87" s="47">
        <v>0.67299999999999993</v>
      </c>
      <c r="CX87" s="47">
        <v>0.67849999999999999</v>
      </c>
      <c r="CY87" s="47">
        <v>0.6835</v>
      </c>
      <c r="CZ87" s="47">
        <v>0.66300000000000003</v>
      </c>
    </row>
    <row r="88" spans="1:104" x14ac:dyDescent="0.2">
      <c r="A88" s="45" t="s">
        <v>60</v>
      </c>
      <c r="B88" s="46">
        <f t="shared" si="26"/>
        <v>5.1000000000000014</v>
      </c>
      <c r="C88" s="46">
        <f t="shared" si="27"/>
        <v>-47.899999999999984</v>
      </c>
      <c r="D88" s="48">
        <f t="shared" si="28"/>
        <v>30.055344761101647</v>
      </c>
      <c r="E88" s="46"/>
      <c r="F88" s="47">
        <v>0.255</v>
      </c>
      <c r="G88" s="47">
        <v>0.35699999999999998</v>
      </c>
      <c r="H88" s="47">
        <v>0.52</v>
      </c>
      <c r="I88" s="47">
        <v>0.73399999999999987</v>
      </c>
      <c r="J88" s="47">
        <v>0.78500000000000003</v>
      </c>
      <c r="K88" s="47">
        <v>0.79499999999999993</v>
      </c>
      <c r="L88" s="47">
        <v>0.63200000000000001</v>
      </c>
      <c r="M88" s="47">
        <v>0.57099999999999995</v>
      </c>
      <c r="N88" s="47">
        <v>0.47899999999999998</v>
      </c>
      <c r="O88" s="47">
        <v>0.33600000000000002</v>
      </c>
      <c r="P88" s="47">
        <v>0.16300000000000003</v>
      </c>
      <c r="Q88" s="47">
        <v>0.183</v>
      </c>
      <c r="R88" s="47">
        <v>0.26500000000000001</v>
      </c>
      <c r="S88" s="47">
        <v>0.316</v>
      </c>
      <c r="T88" s="47">
        <v>0.42799999999999999</v>
      </c>
      <c r="U88" s="47">
        <v>0.45900000000000002</v>
      </c>
      <c r="V88" s="47">
        <v>0.34599999999999997</v>
      </c>
      <c r="W88" s="47">
        <v>0.20399999999999999</v>
      </c>
      <c r="X88" s="47">
        <v>6.0999999999999999E-2</v>
      </c>
      <c r="Y88" s="47">
        <v>0.02</v>
      </c>
      <c r="Z88" s="47">
        <v>0</v>
      </c>
      <c r="AA88" s="47">
        <v>0.01</v>
      </c>
      <c r="AB88" s="47">
        <v>0.04</v>
      </c>
      <c r="AC88" s="47">
        <v>9.0999999999999998E-2</v>
      </c>
      <c r="AD88" s="47">
        <v>0.14199999999999999</v>
      </c>
      <c r="AE88" s="47">
        <v>0.112</v>
      </c>
      <c r="AF88" s="47">
        <v>7.0999999999999994E-2</v>
      </c>
      <c r="AG88" s="47">
        <v>8.1000000000000003E-2</v>
      </c>
      <c r="AH88" s="47">
        <v>0.17299999999999999</v>
      </c>
      <c r="AI88" s="47">
        <v>0.377</v>
      </c>
      <c r="AJ88" s="47">
        <v>0.61199999999999999</v>
      </c>
      <c r="AK88" s="47">
        <v>0.84600000000000009</v>
      </c>
      <c r="AL88" s="47">
        <v>0.94799999999999995</v>
      </c>
      <c r="AM88" s="47">
        <v>1</v>
      </c>
      <c r="AN88" s="47">
        <v>0.98899999999999988</v>
      </c>
      <c r="AO88" s="47">
        <v>0.97899999999999998</v>
      </c>
      <c r="AP88" s="47">
        <v>0.96899999999999997</v>
      </c>
      <c r="AQ88" s="47">
        <v>0.95899999999999996</v>
      </c>
      <c r="AR88" s="47">
        <v>0.92800000000000005</v>
      </c>
      <c r="AS88" s="47">
        <v>0.877</v>
      </c>
      <c r="AT88" s="47">
        <v>0.82599999999999996</v>
      </c>
      <c r="AU88" s="47">
        <v>0.755</v>
      </c>
      <c r="AV88" s="47">
        <v>0.71399999999999997</v>
      </c>
      <c r="AW88" s="47">
        <v>0.53</v>
      </c>
      <c r="AX88" s="47">
        <v>0.438</v>
      </c>
      <c r="AY88" s="47">
        <v>0.28499999999999998</v>
      </c>
      <c r="AZ88" s="47">
        <v>0.30599999999999999</v>
      </c>
      <c r="BA88" s="47">
        <v>0.36699999999999994</v>
      </c>
      <c r="BB88" s="47">
        <v>0.39700000000000002</v>
      </c>
      <c r="BC88" s="47">
        <v>0.5</v>
      </c>
      <c r="BD88" s="47">
        <v>0.54</v>
      </c>
      <c r="BE88" s="47">
        <v>0.59099999999999997</v>
      </c>
      <c r="BF88" s="47">
        <v>0.622</v>
      </c>
      <c r="BG88" s="47">
        <v>0.68300000000000005</v>
      </c>
      <c r="BH88" s="47">
        <v>0.76500000000000001</v>
      </c>
      <c r="BI88" s="47">
        <v>0.83599999999999985</v>
      </c>
      <c r="BJ88" s="47">
        <v>0.89700000000000013</v>
      </c>
      <c r="BK88" s="47">
        <v>0.90800000000000003</v>
      </c>
      <c r="BL88" s="47">
        <v>0.85699999999999998</v>
      </c>
      <c r="BM88" s="47">
        <v>0.81599999999999995</v>
      </c>
      <c r="BN88" s="47">
        <v>0.77500000000000002</v>
      </c>
      <c r="BO88" s="47">
        <v>0.70399999999999996</v>
      </c>
      <c r="BP88" s="47">
        <v>0.6419999999999999</v>
      </c>
      <c r="BQ88" s="47">
        <v>0.67300000000000004</v>
      </c>
      <c r="BR88" s="47">
        <v>0.72399999999999998</v>
      </c>
      <c r="BS88" s="47">
        <v>0.65300000000000002</v>
      </c>
      <c r="BT88" s="47">
        <v>0.51</v>
      </c>
      <c r="BU88" s="47">
        <v>0.44800000000000001</v>
      </c>
      <c r="BV88" s="47">
        <v>0.46900000000000003</v>
      </c>
      <c r="BW88" s="47">
        <v>0.48899999999999999</v>
      </c>
      <c r="BX88" s="47">
        <v>0.40799999999999997</v>
      </c>
      <c r="BY88" s="47">
        <v>0.224</v>
      </c>
      <c r="BZ88" s="47">
        <v>0.122</v>
      </c>
      <c r="CA88" s="47">
        <v>0.10199999999999999</v>
      </c>
      <c r="CB88" s="47">
        <v>0.13200000000000001</v>
      </c>
      <c r="CC88" s="47">
        <v>0.153</v>
      </c>
      <c r="CD88" s="47">
        <v>0.24399999999999999</v>
      </c>
      <c r="CE88" s="47">
        <v>0.41799999999999993</v>
      </c>
      <c r="CF88" s="47">
        <v>0.56100000000000005</v>
      </c>
      <c r="CG88" s="47">
        <v>0.66300000000000003</v>
      </c>
      <c r="CH88" s="47">
        <v>0.69299999999999995</v>
      </c>
      <c r="CI88" s="47">
        <v>0.60199999999999998</v>
      </c>
      <c r="CJ88" s="47">
        <v>0.58099999999999996</v>
      </c>
      <c r="CK88" s="47">
        <v>0.74400000000000011</v>
      </c>
      <c r="CL88" s="47">
        <v>0.86699999999999999</v>
      </c>
      <c r="CM88" s="47">
        <v>0.91800000000000004</v>
      </c>
      <c r="CN88" s="47">
        <v>0.93800000000000006</v>
      </c>
      <c r="CO88" s="47">
        <v>0.8869999999999999</v>
      </c>
      <c r="CP88" s="47">
        <v>0.80600000000000005</v>
      </c>
      <c r="CQ88" s="47">
        <v>0.55100000000000005</v>
      </c>
      <c r="CR88" s="47">
        <v>0.38700000000000001</v>
      </c>
      <c r="CS88" s="47">
        <v>0.29499999999999998</v>
      </c>
      <c r="CT88" s="47">
        <v>0.214</v>
      </c>
      <c r="CU88" s="47">
        <v>0.193</v>
      </c>
      <c r="CV88" s="47">
        <v>0.27500000000000002</v>
      </c>
      <c r="CW88" s="47">
        <v>0.32600000000000007</v>
      </c>
      <c r="CX88" s="47">
        <v>0.23400000000000004</v>
      </c>
      <c r="CY88" s="47">
        <v>5.0999999999999997E-2</v>
      </c>
      <c r="CZ88" s="47">
        <v>3.0000000000000002E-2</v>
      </c>
    </row>
    <row r="89" spans="1:104" x14ac:dyDescent="0.2">
      <c r="A89" s="45" t="s">
        <v>63</v>
      </c>
      <c r="B89" s="46">
        <f t="shared" si="26"/>
        <v>17.80833333333333</v>
      </c>
      <c r="C89" s="46">
        <f t="shared" si="27"/>
        <v>-10.304166666666667</v>
      </c>
      <c r="D89" s="48">
        <f t="shared" si="28"/>
        <v>21.175503931509702</v>
      </c>
      <c r="E89" s="46"/>
      <c r="F89" s="47">
        <v>0.23770833333333327</v>
      </c>
      <c r="G89" s="47">
        <v>0.24391666666666662</v>
      </c>
      <c r="H89" s="47">
        <v>0.29579166666666656</v>
      </c>
      <c r="I89" s="47">
        <v>0.34074999999999994</v>
      </c>
      <c r="J89" s="47">
        <v>0.35787499999999994</v>
      </c>
      <c r="K89" s="47">
        <v>0.34345833333333331</v>
      </c>
      <c r="L89" s="47">
        <v>0.34420833333333328</v>
      </c>
      <c r="M89" s="47">
        <v>0.35462499999999997</v>
      </c>
      <c r="N89" s="47">
        <v>0.3043749999999999</v>
      </c>
      <c r="O89" s="47">
        <v>0.22533333333333327</v>
      </c>
      <c r="P89" s="47">
        <v>0.16325000000000001</v>
      </c>
      <c r="Q89" s="47">
        <v>0.15941666666666665</v>
      </c>
      <c r="R89" s="47">
        <v>0.21287499999999995</v>
      </c>
      <c r="S89" s="47">
        <v>0.21249999999999991</v>
      </c>
      <c r="T89" s="47">
        <v>0.14958333333333332</v>
      </c>
      <c r="U89" s="47">
        <v>9.0916666666666646E-2</v>
      </c>
      <c r="V89" s="47">
        <v>6.8041666666666653E-2</v>
      </c>
      <c r="W89" s="47">
        <v>5.9624999999999991E-2</v>
      </c>
      <c r="X89" s="47">
        <v>7.3124999999999996E-2</v>
      </c>
      <c r="Y89" s="47">
        <v>6.2541666666666648E-2</v>
      </c>
      <c r="Z89" s="47">
        <v>9.6416666666666651E-2</v>
      </c>
      <c r="AA89" s="47">
        <v>0.13179166666666664</v>
      </c>
      <c r="AB89" s="47">
        <v>0.26229166666666665</v>
      </c>
      <c r="AC89" s="47">
        <v>0.40479166666666661</v>
      </c>
      <c r="AD89" s="47">
        <v>0.50937499999999991</v>
      </c>
      <c r="AE89" s="47">
        <v>0.58745833333333342</v>
      </c>
      <c r="AF89" s="47">
        <v>0.6034166666666666</v>
      </c>
      <c r="AG89" s="47">
        <v>0.59308333333333341</v>
      </c>
      <c r="AH89" s="47">
        <v>0.61049999999999982</v>
      </c>
      <c r="AI89" s="47">
        <v>0.63649999999999973</v>
      </c>
      <c r="AJ89" s="47">
        <v>0.67070833333333302</v>
      </c>
      <c r="AK89" s="47">
        <v>0.57762499999999983</v>
      </c>
      <c r="AL89" s="47">
        <v>0.5017083333333332</v>
      </c>
      <c r="AM89" s="47">
        <v>0.610375</v>
      </c>
      <c r="AN89" s="47">
        <v>0.66912500000000008</v>
      </c>
      <c r="AO89" s="47">
        <v>0.66612500000000008</v>
      </c>
      <c r="AP89" s="47">
        <v>0.51958333333333317</v>
      </c>
      <c r="AQ89" s="47">
        <v>0.48566666666666658</v>
      </c>
      <c r="AR89" s="47">
        <v>0.52287499999999987</v>
      </c>
      <c r="AS89" s="47">
        <v>0.5495833333333332</v>
      </c>
      <c r="AT89" s="47">
        <v>0.50708333333333333</v>
      </c>
      <c r="AU89" s="47">
        <v>0.46033333333333326</v>
      </c>
      <c r="AV89" s="47">
        <v>0.45441666666666658</v>
      </c>
      <c r="AW89" s="47">
        <v>0.46470833333333328</v>
      </c>
      <c r="AX89" s="47">
        <v>0.47429166666666661</v>
      </c>
      <c r="AY89" s="47">
        <v>0.46237499999999992</v>
      </c>
      <c r="AZ89" s="47">
        <v>0.43720833333333325</v>
      </c>
      <c r="BA89" s="47">
        <v>0.41408333333333336</v>
      </c>
      <c r="BB89" s="47">
        <v>0.42174999999999996</v>
      </c>
      <c r="BC89" s="47">
        <v>0.48329166666666656</v>
      </c>
      <c r="BD89" s="47">
        <v>0.56116666666666648</v>
      </c>
      <c r="BE89" s="47">
        <v>0.53637499999999982</v>
      </c>
      <c r="BF89" s="47">
        <v>0.46224999999999988</v>
      </c>
      <c r="BG89" s="47">
        <v>0.36462499999999987</v>
      </c>
      <c r="BH89" s="47">
        <v>0.31837499999999991</v>
      </c>
      <c r="BI89" s="47">
        <v>0.33083333333333326</v>
      </c>
      <c r="BJ89" s="47">
        <v>0.39670833333333333</v>
      </c>
      <c r="BK89" s="47">
        <v>0.50591666666666646</v>
      </c>
      <c r="BL89" s="47">
        <v>0.57479166666666659</v>
      </c>
      <c r="BM89" s="47">
        <v>0.59304166666666669</v>
      </c>
      <c r="BN89" s="47">
        <v>0.55549999999999977</v>
      </c>
      <c r="BO89" s="47">
        <v>0.50849999999999995</v>
      </c>
      <c r="BP89" s="47">
        <v>0.48249999999999998</v>
      </c>
      <c r="BQ89" s="47">
        <v>0.49233333333333323</v>
      </c>
      <c r="BR89" s="47">
        <v>0.58024999999999993</v>
      </c>
      <c r="BS89" s="47">
        <v>0.65545833333333314</v>
      </c>
      <c r="BT89" s="47">
        <v>0.70366666666666633</v>
      </c>
      <c r="BU89" s="47">
        <v>0.7184583333333332</v>
      </c>
      <c r="BV89" s="47">
        <v>0.74474999999999958</v>
      </c>
      <c r="BW89" s="47">
        <v>0.77670833333333322</v>
      </c>
      <c r="BX89" s="47">
        <v>0.80445833333333316</v>
      </c>
      <c r="BY89" s="47">
        <v>0.7404999999999996</v>
      </c>
      <c r="BZ89" s="47">
        <v>0.68829166666666652</v>
      </c>
      <c r="CA89" s="47">
        <v>0.66604166666666653</v>
      </c>
      <c r="CB89" s="47">
        <v>0.75549999999999984</v>
      </c>
      <c r="CC89" s="47">
        <v>0.79454166666666626</v>
      </c>
      <c r="CD89" s="47">
        <v>0.8294583333333333</v>
      </c>
      <c r="CE89" s="47">
        <v>0.8570833333333332</v>
      </c>
      <c r="CF89" s="47">
        <v>0.88887499999999975</v>
      </c>
      <c r="CG89" s="47">
        <v>0.90991666666666637</v>
      </c>
      <c r="CH89" s="47">
        <v>0.89870833333333311</v>
      </c>
      <c r="CI89" s="47">
        <v>0.84129166666666655</v>
      </c>
      <c r="CJ89" s="47">
        <v>0.7657499999999996</v>
      </c>
      <c r="CK89" s="47">
        <v>0.74383333333333312</v>
      </c>
      <c r="CL89" s="47">
        <v>0.75299999999999989</v>
      </c>
      <c r="CM89" s="47">
        <v>0.74929166666666636</v>
      </c>
      <c r="CN89" s="47">
        <v>0.6915416666666665</v>
      </c>
      <c r="CO89" s="47">
        <v>0.67083333333333317</v>
      </c>
      <c r="CP89" s="47">
        <v>0.64374999999999982</v>
      </c>
      <c r="CQ89" s="47">
        <v>0.60408333333333319</v>
      </c>
      <c r="CR89" s="47">
        <v>0.58183333333333331</v>
      </c>
      <c r="CS89" s="47">
        <v>0.58637499999999987</v>
      </c>
      <c r="CT89" s="47">
        <v>0.56629166666666664</v>
      </c>
      <c r="CU89" s="47">
        <v>0.53762499999999991</v>
      </c>
      <c r="CV89" s="47">
        <v>0.56766666666666665</v>
      </c>
      <c r="CW89" s="47">
        <v>0.53212499999999985</v>
      </c>
      <c r="CX89" s="47">
        <v>0.40299999999999997</v>
      </c>
      <c r="CY89" s="47">
        <v>0.25504166666666661</v>
      </c>
      <c r="CZ89" s="47">
        <v>0.17204166666666662</v>
      </c>
    </row>
    <row r="90" spans="1:104" x14ac:dyDescent="0.2">
      <c r="A90" s="45" t="s">
        <v>66</v>
      </c>
      <c r="B90" s="46">
        <f t="shared" si="26"/>
        <v>20.349999999999998</v>
      </c>
      <c r="C90" s="46">
        <f t="shared" si="27"/>
        <v>9.6</v>
      </c>
      <c r="D90" s="48">
        <f t="shared" si="28"/>
        <v>21.201253976976901</v>
      </c>
      <c r="E90" s="46"/>
      <c r="F90" s="47">
        <v>0.29649999999999999</v>
      </c>
      <c r="G90" s="47">
        <v>0.27699999999999997</v>
      </c>
      <c r="H90" s="47">
        <v>0.2455</v>
      </c>
      <c r="I90" s="47">
        <v>0.20049999999999998</v>
      </c>
      <c r="J90" s="47">
        <v>0.12700000000000003</v>
      </c>
      <c r="K90" s="47">
        <v>6.0000000000000026E-2</v>
      </c>
      <c r="L90" s="47">
        <v>5.3000000000000005E-2</v>
      </c>
      <c r="M90" s="47">
        <v>7.6499999999999999E-2</v>
      </c>
      <c r="N90" s="47">
        <v>9.2999999999999999E-2</v>
      </c>
      <c r="O90" s="47">
        <v>0.10000000000000002</v>
      </c>
      <c r="P90" s="47">
        <v>0.11999999999999998</v>
      </c>
      <c r="Q90" s="47">
        <v>0.17699999999999999</v>
      </c>
      <c r="R90" s="47">
        <v>0.17299999999999999</v>
      </c>
      <c r="S90" s="47">
        <v>0.13100000000000001</v>
      </c>
      <c r="T90" s="47">
        <v>6.2999999999999987E-2</v>
      </c>
      <c r="U90" s="47">
        <v>3.5500000000000025E-2</v>
      </c>
      <c r="V90" s="47">
        <v>3.6999999999999977E-2</v>
      </c>
      <c r="W90" s="47">
        <v>9.2999999999999999E-2</v>
      </c>
      <c r="X90" s="47">
        <v>0.18149999999999999</v>
      </c>
      <c r="Y90" s="47">
        <v>0.33600000000000002</v>
      </c>
      <c r="Z90" s="47">
        <v>0.3745</v>
      </c>
      <c r="AA90" s="47">
        <v>0.36599999999999999</v>
      </c>
      <c r="AB90" s="47">
        <v>0.42450000000000004</v>
      </c>
      <c r="AC90" s="47">
        <v>0.51250000000000007</v>
      </c>
      <c r="AD90" s="47">
        <v>0.59399999999999986</v>
      </c>
      <c r="AE90" s="47">
        <v>0.6865</v>
      </c>
      <c r="AF90" s="47">
        <v>0.64200000000000002</v>
      </c>
      <c r="AG90" s="47">
        <v>0.63400000000000001</v>
      </c>
      <c r="AH90" s="47">
        <v>0.77400000000000002</v>
      </c>
      <c r="AI90" s="47">
        <v>0.90700000000000003</v>
      </c>
      <c r="AJ90" s="47">
        <v>0.82799999999999996</v>
      </c>
      <c r="AK90" s="47">
        <v>0.63949999999999996</v>
      </c>
      <c r="AL90" s="47">
        <v>0.52949999999999997</v>
      </c>
      <c r="AM90" s="47">
        <v>0.64750000000000008</v>
      </c>
      <c r="AN90" s="47">
        <v>0.77749999999999997</v>
      </c>
      <c r="AO90" s="47">
        <v>0.69950000000000001</v>
      </c>
      <c r="AP90" s="47">
        <v>0.56799999999999995</v>
      </c>
      <c r="AQ90" s="47">
        <v>0.40099999999999997</v>
      </c>
      <c r="AR90" s="47">
        <v>0.40900000000000003</v>
      </c>
      <c r="AS90" s="47">
        <v>0.48750000000000004</v>
      </c>
      <c r="AT90" s="47">
        <v>0.4955</v>
      </c>
      <c r="AU90" s="47">
        <v>0.55349999999999999</v>
      </c>
      <c r="AV90" s="47">
        <v>0.48149999999999998</v>
      </c>
      <c r="AW90" s="47">
        <v>0.3805</v>
      </c>
      <c r="AX90" s="47">
        <v>0.36049999999999999</v>
      </c>
      <c r="AY90" s="47">
        <v>0.41800000000000004</v>
      </c>
      <c r="AZ90" s="47">
        <v>0.42949999999999999</v>
      </c>
      <c r="BA90" s="47">
        <v>0.36549999999999999</v>
      </c>
      <c r="BB90" s="47">
        <v>0.31899999999999995</v>
      </c>
      <c r="BC90" s="47">
        <v>0.40450000000000003</v>
      </c>
      <c r="BD90" s="47">
        <v>0.49099999999999999</v>
      </c>
      <c r="BE90" s="47">
        <v>0.67099999999999993</v>
      </c>
      <c r="BF90" s="47">
        <v>0.65849999999999997</v>
      </c>
      <c r="BG90" s="47">
        <v>0.6695000000000001</v>
      </c>
      <c r="BH90" s="47">
        <v>0.61799999999999988</v>
      </c>
      <c r="BI90" s="47">
        <v>0.47650000000000003</v>
      </c>
      <c r="BJ90" s="47">
        <v>0.41849999999999998</v>
      </c>
      <c r="BK90" s="47">
        <v>0.43750000000000006</v>
      </c>
      <c r="BL90" s="47">
        <v>0.55200000000000005</v>
      </c>
      <c r="BM90" s="47">
        <v>0.57099999999999995</v>
      </c>
      <c r="BN90" s="47">
        <v>0.58350000000000002</v>
      </c>
      <c r="BO90" s="47">
        <v>0.56100000000000005</v>
      </c>
      <c r="BP90" s="47">
        <v>0.71499999999999997</v>
      </c>
      <c r="BQ90" s="47">
        <v>0.80900000000000005</v>
      </c>
      <c r="BR90" s="47">
        <v>0.83650000000000002</v>
      </c>
      <c r="BS90" s="47">
        <v>0.87650000000000017</v>
      </c>
      <c r="BT90" s="47">
        <v>0.82450000000000001</v>
      </c>
      <c r="BU90" s="47">
        <v>0.75449999999999995</v>
      </c>
      <c r="BV90" s="47">
        <v>0.74750000000000005</v>
      </c>
      <c r="BW90" s="47">
        <v>0.81049999999999989</v>
      </c>
      <c r="BX90" s="47">
        <v>0.81049999999999989</v>
      </c>
      <c r="BY90" s="47">
        <v>0.77200000000000002</v>
      </c>
      <c r="BZ90" s="47">
        <v>0.73299999999999998</v>
      </c>
      <c r="CA90" s="47">
        <v>0.79949999999999999</v>
      </c>
      <c r="CB90" s="47">
        <v>0.87449999999999994</v>
      </c>
      <c r="CC90" s="47">
        <v>0.82950000000000002</v>
      </c>
      <c r="CD90" s="47">
        <v>0.66700000000000015</v>
      </c>
      <c r="CE90" s="47">
        <v>0.54799999999999993</v>
      </c>
      <c r="CF90" s="47">
        <v>0.59250000000000003</v>
      </c>
      <c r="CG90" s="47">
        <v>0.59450000000000003</v>
      </c>
      <c r="CH90" s="47">
        <v>0.60550000000000004</v>
      </c>
      <c r="CI90" s="47">
        <v>0.63200000000000001</v>
      </c>
      <c r="CJ90" s="47">
        <v>0.67249999999999999</v>
      </c>
      <c r="CK90" s="47">
        <v>0.75</v>
      </c>
      <c r="CL90" s="47">
        <v>0.74450000000000005</v>
      </c>
      <c r="CM90" s="47">
        <v>0.73450000000000004</v>
      </c>
      <c r="CN90" s="47">
        <v>0.72399999999999998</v>
      </c>
      <c r="CO90" s="47">
        <v>0.71400000000000008</v>
      </c>
      <c r="CP90" s="47">
        <v>0.69850000000000001</v>
      </c>
      <c r="CQ90" s="47">
        <v>0.64250000000000007</v>
      </c>
      <c r="CR90" s="47">
        <v>0.56600000000000006</v>
      </c>
      <c r="CS90" s="47">
        <v>0.45399999999999996</v>
      </c>
      <c r="CT90" s="47">
        <v>0.42849999999999999</v>
      </c>
      <c r="CU90" s="47">
        <v>0.38750000000000001</v>
      </c>
      <c r="CV90" s="47">
        <v>0.34150000000000003</v>
      </c>
      <c r="CW90" s="47">
        <v>0.30599999999999999</v>
      </c>
      <c r="CX90" s="47">
        <v>0.28049999999999997</v>
      </c>
      <c r="CY90" s="47">
        <v>0.26500000000000001</v>
      </c>
      <c r="CZ90" s="47">
        <v>0.26</v>
      </c>
    </row>
    <row r="91" spans="1:104" x14ac:dyDescent="0.2">
      <c r="A91" s="45" t="s">
        <v>69</v>
      </c>
      <c r="B91" s="46">
        <f t="shared" si="26"/>
        <v>-8.1500000000000021</v>
      </c>
      <c r="C91" s="46">
        <f t="shared" si="27"/>
        <v>-13.750000000000007</v>
      </c>
      <c r="D91" s="48">
        <f t="shared" si="28"/>
        <v>23.090501042162309</v>
      </c>
      <c r="E91" s="46"/>
      <c r="F91" s="47">
        <v>0.21399999999999997</v>
      </c>
      <c r="G91" s="47">
        <v>0.22399999999999998</v>
      </c>
      <c r="H91" s="47">
        <v>0.316</v>
      </c>
      <c r="I91" s="47">
        <v>0.35150000000000003</v>
      </c>
      <c r="J91" s="47">
        <v>0.36649999999999999</v>
      </c>
      <c r="K91" s="47">
        <v>0.35200000000000004</v>
      </c>
      <c r="L91" s="47">
        <v>0.32600000000000001</v>
      </c>
      <c r="M91" s="47">
        <v>0.34649999999999997</v>
      </c>
      <c r="N91" s="47">
        <v>0.40749999999999997</v>
      </c>
      <c r="O91" s="47">
        <v>0.433</v>
      </c>
      <c r="P91" s="47">
        <v>0.38200000000000001</v>
      </c>
      <c r="Q91" s="47">
        <v>0.37700000000000006</v>
      </c>
      <c r="R91" s="47">
        <v>0.30049999999999999</v>
      </c>
      <c r="S91" s="47">
        <v>0.29049999999999998</v>
      </c>
      <c r="T91" s="47">
        <v>0.29549999999999998</v>
      </c>
      <c r="U91" s="47">
        <v>0.41299999999999998</v>
      </c>
      <c r="V91" s="47">
        <v>0.39250000000000002</v>
      </c>
      <c r="W91" s="47">
        <v>0.29549999999999998</v>
      </c>
      <c r="X91" s="47">
        <v>5.5500000000000001E-2</v>
      </c>
      <c r="Y91" s="47">
        <v>3.5499999999999997E-2</v>
      </c>
      <c r="Z91" s="47">
        <v>4.5499999999999992E-2</v>
      </c>
      <c r="AA91" s="47">
        <v>0.29549999999999998</v>
      </c>
      <c r="AB91" s="47">
        <v>0.44849999999999995</v>
      </c>
      <c r="AC91" s="47">
        <v>0.49449999999999994</v>
      </c>
      <c r="AD91" s="47">
        <v>0.58600000000000008</v>
      </c>
      <c r="AE91" s="47">
        <v>0.69349999999999989</v>
      </c>
      <c r="AF91" s="47">
        <v>0.70350000000000001</v>
      </c>
      <c r="AG91" s="47">
        <v>0.63700000000000001</v>
      </c>
      <c r="AH91" s="47">
        <v>0.68300000000000005</v>
      </c>
      <c r="AI91" s="47">
        <v>0.85699999999999998</v>
      </c>
      <c r="AJ91" s="47">
        <v>0.93799999999999994</v>
      </c>
      <c r="AK91" s="47">
        <v>0.97399999999999998</v>
      </c>
      <c r="AL91" s="47">
        <v>0.98449999999999993</v>
      </c>
      <c r="AM91" s="47">
        <v>0.98449999999999993</v>
      </c>
      <c r="AN91" s="47">
        <v>0.94850000000000012</v>
      </c>
      <c r="AO91" s="47">
        <v>0.93299999999999994</v>
      </c>
      <c r="AP91" s="47">
        <v>0.90749999999999997</v>
      </c>
      <c r="AQ91" s="47">
        <v>0.86199999999999999</v>
      </c>
      <c r="AR91" s="47">
        <v>0.82099999999999995</v>
      </c>
      <c r="AS91" s="47">
        <v>0.80549999999999999</v>
      </c>
      <c r="AT91" s="47">
        <v>0.79549999999999987</v>
      </c>
      <c r="AU91" s="47">
        <v>0.76</v>
      </c>
      <c r="AV91" s="47">
        <v>0.74950000000000006</v>
      </c>
      <c r="AW91" s="47">
        <v>0.64249999999999996</v>
      </c>
      <c r="AX91" s="47">
        <v>0.45400000000000001</v>
      </c>
      <c r="AY91" s="47">
        <v>0.29549999999999998</v>
      </c>
      <c r="AZ91" s="47">
        <v>0.23899999999999999</v>
      </c>
      <c r="BA91" s="47">
        <v>0.24950000000000003</v>
      </c>
      <c r="BB91" s="47">
        <v>0.27500000000000002</v>
      </c>
      <c r="BC91" s="47">
        <v>0.34649999999999997</v>
      </c>
      <c r="BD91" s="47">
        <v>0.38199999999999995</v>
      </c>
      <c r="BE91" s="47">
        <v>0.40299999999999997</v>
      </c>
      <c r="BF91" s="47">
        <v>0.36149999999999999</v>
      </c>
      <c r="BG91" s="47">
        <v>0.31099999999999994</v>
      </c>
      <c r="BH91" s="47">
        <v>0.24949999999999997</v>
      </c>
      <c r="BI91" s="47">
        <v>0.22900000000000001</v>
      </c>
      <c r="BJ91" s="47">
        <v>0.24949999999999997</v>
      </c>
      <c r="BK91" s="47">
        <v>0.30049999999999999</v>
      </c>
      <c r="BL91" s="47">
        <v>0.27499999999999997</v>
      </c>
      <c r="BM91" s="47">
        <v>0.25449999999999995</v>
      </c>
      <c r="BN91" s="47">
        <v>0.24399999999999997</v>
      </c>
      <c r="BO91" s="47">
        <v>0.24950000000000003</v>
      </c>
      <c r="BP91" s="47">
        <v>0.25999999999999995</v>
      </c>
      <c r="BQ91" s="47">
        <v>0.27499999999999997</v>
      </c>
      <c r="BR91" s="47">
        <v>0.38199999999999995</v>
      </c>
      <c r="BS91" s="47">
        <v>0.44850000000000001</v>
      </c>
      <c r="BT91" s="47">
        <v>0.49399999999999999</v>
      </c>
      <c r="BU91" s="47">
        <v>0.48949999999999999</v>
      </c>
      <c r="BV91" s="47">
        <v>0.42799999999999994</v>
      </c>
      <c r="BW91" s="47">
        <v>0.43299999999999994</v>
      </c>
      <c r="BX91" s="47">
        <v>0.44849999999999995</v>
      </c>
      <c r="BY91" s="47">
        <v>0.57100000000000006</v>
      </c>
      <c r="BZ91" s="47">
        <v>0.64200000000000002</v>
      </c>
      <c r="CA91" s="47">
        <v>0.70350000000000001</v>
      </c>
      <c r="CB91" s="47">
        <v>0.70350000000000001</v>
      </c>
      <c r="CC91" s="47">
        <v>0.70850000000000002</v>
      </c>
      <c r="CD91" s="47">
        <v>0.70900000000000007</v>
      </c>
      <c r="CE91" s="47">
        <v>0.69349999999999989</v>
      </c>
      <c r="CF91" s="47">
        <v>0.64749999999999996</v>
      </c>
      <c r="CG91" s="47">
        <v>0.67300000000000004</v>
      </c>
      <c r="CH91" s="47">
        <v>0.72899999999999998</v>
      </c>
      <c r="CI91" s="47">
        <v>0.76500000000000001</v>
      </c>
      <c r="CJ91" s="47">
        <v>0.7599999999999999</v>
      </c>
      <c r="CK91" s="47">
        <v>0.69299999999999995</v>
      </c>
      <c r="CL91" s="47">
        <v>0.61649999999999994</v>
      </c>
      <c r="CM91" s="47">
        <v>0.53549999999999998</v>
      </c>
      <c r="CN91" s="47">
        <v>0.54549999999999998</v>
      </c>
      <c r="CO91" s="47">
        <v>0.54049999999999998</v>
      </c>
      <c r="CP91" s="47">
        <v>0.53049999999999997</v>
      </c>
      <c r="CQ91" s="47">
        <v>0.53500000000000003</v>
      </c>
      <c r="CR91" s="47">
        <v>0.54049999999999998</v>
      </c>
      <c r="CS91" s="47">
        <v>0.60649999999999993</v>
      </c>
      <c r="CT91" s="47">
        <v>0.58100000000000007</v>
      </c>
      <c r="CU91" s="47">
        <v>0.50449999999999995</v>
      </c>
      <c r="CV91" s="47">
        <v>0.44799999999999995</v>
      </c>
      <c r="CW91" s="47">
        <v>0.41749999999999998</v>
      </c>
      <c r="CX91" s="47">
        <v>0.39699999999999991</v>
      </c>
      <c r="CY91" s="47">
        <v>0.32600000000000001</v>
      </c>
      <c r="CZ91" s="47">
        <v>0.31549999999999995</v>
      </c>
    </row>
    <row r="92" spans="1:104" x14ac:dyDescent="0.2">
      <c r="A92" s="45" t="s">
        <v>72</v>
      </c>
      <c r="B92" s="46">
        <f t="shared" si="26"/>
        <v>16.432355413486803</v>
      </c>
      <c r="C92" s="46">
        <f t="shared" si="27"/>
        <v>-35.100465903177835</v>
      </c>
      <c r="D92" s="48">
        <f t="shared" si="28"/>
        <v>24.228044508084221</v>
      </c>
      <c r="E92" s="46"/>
      <c r="F92" s="47">
        <v>0.22698744031100149</v>
      </c>
      <c r="G92" s="47">
        <v>0.36987487792600532</v>
      </c>
      <c r="H92" s="47">
        <v>0.48272894965461066</v>
      </c>
      <c r="I92" s="47">
        <v>0.57799209934277984</v>
      </c>
      <c r="J92" s="47">
        <v>0.62376942953266845</v>
      </c>
      <c r="K92" s="47">
        <v>0.62580112712474723</v>
      </c>
      <c r="L92" s="47">
        <v>0.62402090116059816</v>
      </c>
      <c r="M92" s="47">
        <v>0.58315770129483235</v>
      </c>
      <c r="N92" s="47">
        <v>0.51557055665741558</v>
      </c>
      <c r="O92" s="47">
        <v>0.48680200875350615</v>
      </c>
      <c r="P92" s="47">
        <v>0.4541214396341734</v>
      </c>
      <c r="Q92" s="47">
        <v>0.42540083145116231</v>
      </c>
      <c r="R92" s="47">
        <v>0.41851049806189816</v>
      </c>
      <c r="S92" s="47">
        <v>0.40113768176299314</v>
      </c>
      <c r="T92" s="47">
        <v>0.29913390435997383</v>
      </c>
      <c r="U92" s="47">
        <v>8.7838616265346434E-2</v>
      </c>
      <c r="V92" s="47">
        <v>6.4194749621052136E-2</v>
      </c>
      <c r="W92" s="47">
        <v>6.2663886176133457E-2</v>
      </c>
      <c r="X92" s="47">
        <v>7.0781894258468855E-2</v>
      </c>
      <c r="Y92" s="47">
        <v>9.6355692541326171E-2</v>
      </c>
      <c r="Z92" s="47">
        <v>0.15074808755769079</v>
      </c>
      <c r="AA92" s="47">
        <v>0.22866800943033422</v>
      </c>
      <c r="AB92" s="47">
        <v>0.29534357366670722</v>
      </c>
      <c r="AC92" s="47">
        <v>0.31900412325420074</v>
      </c>
      <c r="AD92" s="47">
        <v>0.43784273951954727</v>
      </c>
      <c r="AE92" s="47">
        <v>0.49238861761334529</v>
      </c>
      <c r="AF92" s="47">
        <v>0.61872016736863145</v>
      </c>
      <c r="AG92" s="47">
        <v>0.73278523084710878</v>
      </c>
      <c r="AH92" s="47">
        <v>0.81553042263053921</v>
      </c>
      <c r="AI92" s="47">
        <v>0.85623101128171109</v>
      </c>
      <c r="AJ92" s="47">
        <v>0.92816638861761325</v>
      </c>
      <c r="AK92" s="47">
        <v>0.91459092204043613</v>
      </c>
      <c r="AL92" s="47">
        <v>0.90096373833934107</v>
      </c>
      <c r="AM92" s="47">
        <v>0.89209342448191598</v>
      </c>
      <c r="AN92" s="47">
        <v>0.9039716389965613</v>
      </c>
      <c r="AO92" s="47">
        <v>0.87357046169421748</v>
      </c>
      <c r="AP92" s="47">
        <v>0.92460760498363537</v>
      </c>
      <c r="AQ92" s="47">
        <v>0.85890245226388318</v>
      </c>
      <c r="AR92" s="47">
        <v>0.71376898871828887</v>
      </c>
      <c r="AS92" s="47">
        <v>0.54520598686691202</v>
      </c>
      <c r="AT92" s="47">
        <v>0.49575353325503008</v>
      </c>
      <c r="AU92" s="47">
        <v>0.40602001953183919</v>
      </c>
      <c r="AV92" s="47">
        <v>0.32585029432558593</v>
      </c>
      <c r="AW92" s="47">
        <v>0.25461550564085556</v>
      </c>
      <c r="AX92" s="47">
        <v>0.30235613335570571</v>
      </c>
      <c r="AY92" s="47">
        <v>0.27316972520625321</v>
      </c>
      <c r="AZ92" s="47">
        <v>0.16263218858405479</v>
      </c>
      <c r="BA92" s="47">
        <v>0.13213302273121477</v>
      </c>
      <c r="BB92" s="47">
        <v>0.14238071695612511</v>
      </c>
      <c r="BC92" s="47">
        <v>0.21023390705597142</v>
      </c>
      <c r="BD92" s="47">
        <v>0.37866388617613345</v>
      </c>
      <c r="BE92" s="47">
        <v>0.44198042128254034</v>
      </c>
      <c r="BF92" s="47">
        <v>0.40133154975528629</v>
      </c>
      <c r="BG92" s="47">
        <v>0.36881736925356684</v>
      </c>
      <c r="BH92" s="47">
        <v>0.33300878228597913</v>
      </c>
      <c r="BI92" s="47">
        <v>0.31047791884106046</v>
      </c>
      <c r="BJ92" s="47">
        <v>0.21196830240792136</v>
      </c>
      <c r="BK92" s="47">
        <v>0.20853876410213881</v>
      </c>
      <c r="BL92" s="47">
        <v>0.24604460313225857</v>
      </c>
      <c r="BM92" s="47">
        <v>0.27504793972089836</v>
      </c>
      <c r="BN92" s="47">
        <v>0.30242075601980345</v>
      </c>
      <c r="BO92" s="47">
        <v>0.25953876410213883</v>
      </c>
      <c r="BP92" s="47">
        <v>0.39086197238582543</v>
      </c>
      <c r="BQ92" s="47">
        <v>0.40563552517269469</v>
      </c>
      <c r="BR92" s="47">
        <v>0.40084151203960677</v>
      </c>
      <c r="BS92" s="47">
        <v>0.34634357366670721</v>
      </c>
      <c r="BT92" s="47">
        <v>0.35650996228432053</v>
      </c>
      <c r="BU92" s="47">
        <v>0.39900745984284069</v>
      </c>
      <c r="BV92" s="47">
        <v>0.46518218993205357</v>
      </c>
      <c r="BW92" s="47">
        <v>0.49610088432475663</v>
      </c>
      <c r="BX92" s="47">
        <v>0.48044200303158291</v>
      </c>
      <c r="BY92" s="47">
        <v>0.48580147297592852</v>
      </c>
      <c r="BZ92" s="47">
        <v>0.43138861761334529</v>
      </c>
      <c r="CA92" s="47">
        <v>0.39887443711162585</v>
      </c>
      <c r="CB92" s="47">
        <v>0.50453876410213883</v>
      </c>
      <c r="CC92" s="47">
        <v>0.53159548610901641</v>
      </c>
      <c r="CD92" s="47">
        <v>0.55059882269765636</v>
      </c>
      <c r="CE92" s="47">
        <v>0.60622266981011141</v>
      </c>
      <c r="CF92" s="47">
        <v>0.65916928439187372</v>
      </c>
      <c r="CG92" s="47">
        <v>0.66101624212881971</v>
      </c>
      <c r="CH92" s="47">
        <v>0.66086653645440574</v>
      </c>
      <c r="CI92" s="47">
        <v>0.68617428927483337</v>
      </c>
      <c r="CJ92" s="47">
        <v>0.71883817545096695</v>
      </c>
      <c r="CK92" s="47">
        <v>0.76113425021115533</v>
      </c>
      <c r="CL92" s="47">
        <v>0.82581315103616793</v>
      </c>
      <c r="CM92" s="47">
        <v>0.84449872503846046</v>
      </c>
      <c r="CN92" s="47">
        <v>0.79526226805941014</v>
      </c>
      <c r="CO92" s="47">
        <v>0.7614002956735848</v>
      </c>
      <c r="CP92" s="47">
        <v>0.75792281764690383</v>
      </c>
      <c r="CQ92" s="47">
        <v>0.75928729247420912</v>
      </c>
      <c r="CR92" s="47">
        <v>0.77303292507201904</v>
      </c>
      <c r="CS92" s="47">
        <v>0.76348581949828054</v>
      </c>
      <c r="CT92" s="47">
        <v>0.74625191244230926</v>
      </c>
      <c r="CU92" s="47">
        <v>0.65993125408170161</v>
      </c>
      <c r="CV92" s="47">
        <v>0.60567188179655174</v>
      </c>
      <c r="CW92" s="47">
        <v>0.58144209799478097</v>
      </c>
      <c r="CX92" s="47">
        <v>0.66645377605502054</v>
      </c>
      <c r="CY92" s="47">
        <v>0.68029906549764663</v>
      </c>
      <c r="CZ92" s="47">
        <v>0.47614558242021326</v>
      </c>
    </row>
    <row r="93" spans="1:104" x14ac:dyDescent="0.2">
      <c r="A93" s="45" t="s">
        <v>320</v>
      </c>
      <c r="B93" s="46">
        <f t="shared" si="26"/>
        <v>45.674999999999997</v>
      </c>
      <c r="C93" s="46">
        <f t="shared" si="27"/>
        <v>-2.6000000000000023</v>
      </c>
      <c r="D93" s="48">
        <f t="shared" si="28"/>
        <v>25.984701847695639</v>
      </c>
      <c r="E93" s="46"/>
      <c r="F93" s="47">
        <v>0.76724999999999999</v>
      </c>
      <c r="G93" s="47">
        <v>0.76724999999999999</v>
      </c>
      <c r="H93" s="47">
        <v>0.75224999999999997</v>
      </c>
      <c r="I93" s="47">
        <v>0.79325000000000001</v>
      </c>
      <c r="J93" s="47">
        <v>0.76724999999999999</v>
      </c>
      <c r="K93" s="47">
        <v>0.70874999999999999</v>
      </c>
      <c r="L93" s="47">
        <v>0.55574999999999997</v>
      </c>
      <c r="M93" s="47">
        <v>0.45074999999999998</v>
      </c>
      <c r="N93" s="47">
        <v>0.37674999999999997</v>
      </c>
      <c r="O93" s="47">
        <v>0.17574999999999996</v>
      </c>
      <c r="P93" s="47">
        <v>0.183</v>
      </c>
      <c r="Q93" s="47">
        <v>0.24225000000000002</v>
      </c>
      <c r="R93" s="47">
        <v>0.36399999999999999</v>
      </c>
      <c r="S93" s="47">
        <v>0.44874999999999993</v>
      </c>
      <c r="T93" s="47">
        <v>0.32074999999999998</v>
      </c>
      <c r="U93" s="47">
        <v>0.21149999999999997</v>
      </c>
      <c r="V93" s="47">
        <v>0.28799999999999998</v>
      </c>
      <c r="W93" s="47">
        <v>0.3105</v>
      </c>
      <c r="X93" s="47">
        <v>0.42824999999999996</v>
      </c>
      <c r="Y93" s="47">
        <v>0.38450000000000001</v>
      </c>
      <c r="Z93" s="47">
        <v>0.36449999999999999</v>
      </c>
      <c r="AA93" s="47">
        <v>0.48924999999999996</v>
      </c>
      <c r="AB93" s="47">
        <v>0.58349999999999991</v>
      </c>
      <c r="AC93" s="47">
        <v>0.67274999999999996</v>
      </c>
      <c r="AD93" s="47">
        <v>0.61424999999999996</v>
      </c>
      <c r="AE93" s="47">
        <v>0.59150000000000003</v>
      </c>
      <c r="AF93" s="47">
        <v>0.60699999999999998</v>
      </c>
      <c r="AG93" s="47">
        <v>0.52975000000000005</v>
      </c>
      <c r="AH93" s="47">
        <v>0.58125000000000004</v>
      </c>
      <c r="AI93" s="47">
        <v>0.69049999999999989</v>
      </c>
      <c r="AJ93" s="47">
        <v>0.79049999999999987</v>
      </c>
      <c r="AK93" s="47">
        <v>0.82324999999999993</v>
      </c>
      <c r="AL93" s="47">
        <v>0.87475000000000003</v>
      </c>
      <c r="AM93" s="47">
        <v>0.90999999999999992</v>
      </c>
      <c r="AN93" s="47">
        <v>0.94599999999999995</v>
      </c>
      <c r="AO93" s="47">
        <v>0.97124999999999995</v>
      </c>
      <c r="AP93" s="47">
        <v>0.96350000000000013</v>
      </c>
      <c r="AQ93" s="47">
        <v>0.99224999999999997</v>
      </c>
      <c r="AR93" s="47">
        <v>0.94350000000000001</v>
      </c>
      <c r="AS93" s="47">
        <v>0.96099999999999997</v>
      </c>
      <c r="AT93" s="47">
        <v>0.94324999999999992</v>
      </c>
      <c r="AU93" s="47">
        <v>0.84925000000000006</v>
      </c>
      <c r="AV93" s="47">
        <v>0.67325000000000002</v>
      </c>
      <c r="AW93" s="47">
        <v>0.65525</v>
      </c>
      <c r="AX93" s="47">
        <v>0.57650000000000001</v>
      </c>
      <c r="AY93" s="47">
        <v>0.49699999999999994</v>
      </c>
      <c r="AZ93" s="47">
        <v>0.46874999999999994</v>
      </c>
      <c r="BA93" s="47">
        <v>0.26250000000000001</v>
      </c>
      <c r="BB93" s="47">
        <v>0.26225000000000004</v>
      </c>
      <c r="BC93" s="47">
        <v>0.11675000000000001</v>
      </c>
      <c r="BD93" s="47">
        <v>0.44574999999999998</v>
      </c>
      <c r="BE93" s="47">
        <v>0.38250000000000001</v>
      </c>
      <c r="BF93" s="47">
        <v>0.36899999999999994</v>
      </c>
      <c r="BG93" s="47">
        <v>0.313</v>
      </c>
      <c r="BH93" s="47">
        <v>0.23675000000000002</v>
      </c>
      <c r="BI93" s="47">
        <v>0.23649999999999999</v>
      </c>
      <c r="BJ93" s="47">
        <v>0.31824999999999992</v>
      </c>
      <c r="BK93" s="47">
        <v>0.28775000000000001</v>
      </c>
      <c r="BL93" s="47">
        <v>0.14775000000000002</v>
      </c>
      <c r="BM93" s="47">
        <v>0.11149999999999999</v>
      </c>
      <c r="BN93" s="47">
        <v>0.13224999999999998</v>
      </c>
      <c r="BO93" s="47">
        <v>0.31349999999999995</v>
      </c>
      <c r="BP93" s="47">
        <v>5.5999999999999994E-2</v>
      </c>
      <c r="BQ93" s="47">
        <v>5.0500000000000003E-2</v>
      </c>
      <c r="BR93" s="47">
        <v>8.1249999999999989E-2</v>
      </c>
      <c r="BS93" s="47">
        <v>9.1749999999999998E-2</v>
      </c>
      <c r="BT93" s="47">
        <v>8.3750000000000005E-2</v>
      </c>
      <c r="BU93" s="47">
        <v>7.5749999999999998E-2</v>
      </c>
      <c r="BV93" s="47">
        <v>7.8750000000000001E-2</v>
      </c>
      <c r="BW93" s="47">
        <v>0.18325</v>
      </c>
      <c r="BX93" s="47">
        <v>0.23400000000000001</v>
      </c>
      <c r="BY93" s="47">
        <v>0.28549999999999998</v>
      </c>
      <c r="BZ93" s="47">
        <v>0.29550000000000004</v>
      </c>
      <c r="CA93" s="47">
        <v>0.316</v>
      </c>
      <c r="CB93" s="47">
        <v>0.38474999999999998</v>
      </c>
      <c r="CC93" s="47">
        <v>0.46925</v>
      </c>
      <c r="CD93" s="47">
        <v>0.44375000000000003</v>
      </c>
      <c r="CE93" s="47">
        <v>0.50175000000000003</v>
      </c>
      <c r="CF93" s="47">
        <v>0.55049999999999999</v>
      </c>
      <c r="CG93" s="47">
        <v>0.62449999999999994</v>
      </c>
      <c r="CH93" s="47">
        <v>0.6702499999999999</v>
      </c>
      <c r="CI93" s="47">
        <v>0.72949999999999993</v>
      </c>
      <c r="CJ93" s="47">
        <v>0.74174999999999991</v>
      </c>
      <c r="CK93" s="47">
        <v>0.72375</v>
      </c>
      <c r="CL93" s="47">
        <v>0.67325000000000002</v>
      </c>
      <c r="CM93" s="47">
        <v>0.62699999999999989</v>
      </c>
      <c r="CN93" s="47">
        <v>0.74199999999999999</v>
      </c>
      <c r="CO93" s="47">
        <v>0.7955000000000001</v>
      </c>
      <c r="CP93" s="47">
        <v>0.75674999999999992</v>
      </c>
      <c r="CQ93" s="47">
        <v>0.80825000000000002</v>
      </c>
      <c r="CR93" s="47">
        <v>0.77725000000000011</v>
      </c>
      <c r="CS93" s="47">
        <v>0.71875</v>
      </c>
      <c r="CT93" s="47">
        <v>0.56324999999999992</v>
      </c>
      <c r="CU93" s="47">
        <v>0.45624999999999999</v>
      </c>
      <c r="CV93" s="47">
        <v>0.41749999999999998</v>
      </c>
      <c r="CW93" s="47">
        <v>0.44574999999999998</v>
      </c>
      <c r="CX93" s="47">
        <v>0.46149999999999997</v>
      </c>
      <c r="CY93" s="47">
        <v>0.4945</v>
      </c>
      <c r="CZ93" s="47">
        <v>0.22375</v>
      </c>
    </row>
    <row r="94" spans="1:104" x14ac:dyDescent="0.2">
      <c r="A94" s="45" t="s">
        <v>78</v>
      </c>
      <c r="B94" s="46">
        <f t="shared" si="26"/>
        <v>-14.237500000000002</v>
      </c>
      <c r="C94" s="46">
        <f t="shared" si="27"/>
        <v>-0.36249999999999893</v>
      </c>
      <c r="D94" s="48">
        <f t="shared" si="28"/>
        <v>17.423802991566401</v>
      </c>
      <c r="E94" s="46"/>
      <c r="F94" s="47">
        <v>0.31762500000000005</v>
      </c>
      <c r="G94" s="47">
        <v>0.31762500000000005</v>
      </c>
      <c r="H94" s="47">
        <v>0.36512500000000003</v>
      </c>
      <c r="I94" s="47">
        <v>0.32125000000000004</v>
      </c>
      <c r="J94" s="47">
        <v>0.26375000000000004</v>
      </c>
      <c r="K94" s="47">
        <v>0.19425000000000003</v>
      </c>
      <c r="L94" s="47">
        <v>0.18475000000000003</v>
      </c>
      <c r="M94" s="47">
        <v>0.16362500000000002</v>
      </c>
      <c r="N94" s="47">
        <v>0.18750000000000006</v>
      </c>
      <c r="O94" s="47">
        <v>0.26675000000000004</v>
      </c>
      <c r="P94" s="47">
        <v>0.32824999999999999</v>
      </c>
      <c r="Q94" s="47">
        <v>0.30787500000000007</v>
      </c>
      <c r="R94" s="47">
        <v>0.35087500000000005</v>
      </c>
      <c r="S94" s="47">
        <v>0.26424999999999998</v>
      </c>
      <c r="T94" s="47">
        <v>0.30200000000000005</v>
      </c>
      <c r="U94" s="47">
        <v>0.25900000000000006</v>
      </c>
      <c r="V94" s="47">
        <v>0.37062500000000004</v>
      </c>
      <c r="W94" s="47">
        <v>0.46000000000000008</v>
      </c>
      <c r="X94" s="47">
        <v>0.46287500000000004</v>
      </c>
      <c r="Y94" s="47">
        <v>0.46662500000000007</v>
      </c>
      <c r="Z94" s="47">
        <v>0.4048750000000001</v>
      </c>
      <c r="AA94" s="47">
        <v>0.37675000000000003</v>
      </c>
      <c r="AB94" s="47">
        <v>0.24787500000000004</v>
      </c>
      <c r="AC94" s="47">
        <v>0.22450000000000006</v>
      </c>
      <c r="AD94" s="47">
        <v>0.31687500000000007</v>
      </c>
      <c r="AE94" s="47">
        <v>0.37062500000000004</v>
      </c>
      <c r="AF94" s="47">
        <v>0.456625</v>
      </c>
      <c r="AG94" s="47">
        <v>0.32550000000000001</v>
      </c>
      <c r="AH94" s="47">
        <v>0.29112500000000002</v>
      </c>
      <c r="AI94" s="47">
        <v>0.28162500000000007</v>
      </c>
      <c r="AJ94" s="47">
        <v>0.361875</v>
      </c>
      <c r="AK94" s="47">
        <v>0.4361250000000001</v>
      </c>
      <c r="AL94" s="47">
        <v>0.49025000000000007</v>
      </c>
      <c r="AM94" s="47">
        <v>0.49537500000000007</v>
      </c>
      <c r="AN94" s="47">
        <v>0.51537500000000003</v>
      </c>
      <c r="AO94" s="47">
        <v>0.63150000000000006</v>
      </c>
      <c r="AP94" s="47">
        <v>0.88987500000000008</v>
      </c>
      <c r="AQ94" s="47">
        <v>0.93337500000000007</v>
      </c>
      <c r="AR94" s="47">
        <v>0.91512500000000008</v>
      </c>
      <c r="AS94" s="47">
        <v>0.74762499999999998</v>
      </c>
      <c r="AT94" s="47">
        <v>0.65750000000000008</v>
      </c>
      <c r="AU94" s="47">
        <v>0.67787500000000012</v>
      </c>
      <c r="AV94" s="47">
        <v>0.63025000000000009</v>
      </c>
      <c r="AW94" s="47">
        <v>0.58624999999999994</v>
      </c>
      <c r="AX94" s="47">
        <v>0.62125000000000008</v>
      </c>
      <c r="AY94" s="47">
        <v>0.64162500000000011</v>
      </c>
      <c r="AZ94" s="47">
        <v>0.65162500000000012</v>
      </c>
      <c r="BA94" s="47">
        <v>0.5358750000000001</v>
      </c>
      <c r="BB94" s="47">
        <v>0.34075000000000005</v>
      </c>
      <c r="BC94" s="47">
        <v>0.224</v>
      </c>
      <c r="BD94" s="47">
        <v>0.26524999999999999</v>
      </c>
      <c r="BE94" s="47">
        <v>0.39912500000000006</v>
      </c>
      <c r="BF94" s="47">
        <v>0.49625000000000008</v>
      </c>
      <c r="BG94" s="47">
        <v>0.45899999999999996</v>
      </c>
      <c r="BH94" s="47">
        <v>0.44350000000000006</v>
      </c>
      <c r="BI94" s="47">
        <v>0.46212500000000006</v>
      </c>
      <c r="BJ94" s="47">
        <v>0.42662500000000009</v>
      </c>
      <c r="BK94" s="47">
        <v>0.37637500000000002</v>
      </c>
      <c r="BL94" s="47">
        <v>0.36975000000000008</v>
      </c>
      <c r="BM94" s="47">
        <v>0.41912500000000003</v>
      </c>
      <c r="BN94" s="47">
        <v>0.52400000000000002</v>
      </c>
      <c r="BO94" s="47">
        <v>0.53175000000000006</v>
      </c>
      <c r="BP94" s="47">
        <v>0.46750000000000003</v>
      </c>
      <c r="BQ94" s="47">
        <v>0.42237500000000006</v>
      </c>
      <c r="BR94" s="47">
        <v>0.51700000000000002</v>
      </c>
      <c r="BS94" s="47">
        <v>0.5655</v>
      </c>
      <c r="BT94" s="47">
        <v>0.62037500000000001</v>
      </c>
      <c r="BU94" s="47">
        <v>0.62150000000000005</v>
      </c>
      <c r="BV94" s="47">
        <v>0.65400000000000003</v>
      </c>
      <c r="BW94" s="47">
        <v>0.68625000000000003</v>
      </c>
      <c r="BX94" s="47">
        <v>0.7476250000000001</v>
      </c>
      <c r="BY94" s="47">
        <v>0.72475000000000012</v>
      </c>
      <c r="BZ94" s="47">
        <v>0.59862500000000007</v>
      </c>
      <c r="CA94" s="47">
        <v>0.70350000000000024</v>
      </c>
      <c r="CB94" s="47">
        <v>0.71125000000000016</v>
      </c>
      <c r="CC94" s="47">
        <v>0.82100000000000006</v>
      </c>
      <c r="CD94" s="47">
        <v>0.762625</v>
      </c>
      <c r="CE94" s="47">
        <v>0.76387500000000019</v>
      </c>
      <c r="CF94" s="47">
        <v>0.73637500000000011</v>
      </c>
      <c r="CG94" s="47">
        <v>0.73975000000000002</v>
      </c>
      <c r="CH94" s="47">
        <v>0.7210000000000002</v>
      </c>
      <c r="CI94" s="47">
        <v>0.7163750000000001</v>
      </c>
      <c r="CJ94" s="47">
        <v>0.69575000000000009</v>
      </c>
      <c r="CK94" s="47">
        <v>0.67612499999999998</v>
      </c>
      <c r="CL94" s="47">
        <v>0.73950000000000016</v>
      </c>
      <c r="CM94" s="47">
        <v>0.730375</v>
      </c>
      <c r="CN94" s="47">
        <v>0.74687500000000007</v>
      </c>
      <c r="CO94" s="47">
        <v>0.60162500000000008</v>
      </c>
      <c r="CP94" s="47">
        <v>0.62962499999999999</v>
      </c>
      <c r="CQ94" s="47">
        <v>0.60550000000000004</v>
      </c>
      <c r="CR94" s="47">
        <v>0.55675000000000008</v>
      </c>
      <c r="CS94" s="47">
        <v>0.48149999999999998</v>
      </c>
      <c r="CT94" s="47">
        <v>0.43212500000000004</v>
      </c>
      <c r="CU94" s="47">
        <v>0.35912500000000003</v>
      </c>
      <c r="CV94" s="47">
        <v>0.33612500000000012</v>
      </c>
      <c r="CW94" s="47">
        <v>0.359375</v>
      </c>
      <c r="CX94" s="47">
        <v>0.41812500000000008</v>
      </c>
      <c r="CY94" s="47">
        <v>0.38987500000000003</v>
      </c>
      <c r="CZ94" s="47">
        <v>0.28675000000000006</v>
      </c>
    </row>
    <row r="95" spans="1:104" x14ac:dyDescent="0.2">
      <c r="A95" s="45" t="s">
        <v>81</v>
      </c>
      <c r="B95" s="46">
        <f t="shared" si="26"/>
        <v>-15.816666666666679</v>
      </c>
      <c r="C95" s="46">
        <f t="shared" si="27"/>
        <v>-5.8833333333333346</v>
      </c>
      <c r="D95" s="48">
        <f t="shared" si="28"/>
        <v>17.926191257779845</v>
      </c>
      <c r="E95" s="46"/>
      <c r="F95" s="47">
        <v>0.26499999999999996</v>
      </c>
      <c r="G95" s="47">
        <v>0.26499999999999996</v>
      </c>
      <c r="H95" s="47">
        <v>0.39449999999999996</v>
      </c>
      <c r="I95" s="47">
        <v>0.32383333333333331</v>
      </c>
      <c r="J95" s="47">
        <v>0.245</v>
      </c>
      <c r="K95" s="47">
        <v>0.14116666666666661</v>
      </c>
      <c r="L95" s="47">
        <v>0.15149999999999988</v>
      </c>
      <c r="M95" s="47">
        <v>0.15999999999999992</v>
      </c>
      <c r="N95" s="47">
        <v>0.14699999999999991</v>
      </c>
      <c r="O95" s="47">
        <v>0.22466666666666668</v>
      </c>
      <c r="P95" s="47">
        <v>0.39099999999999996</v>
      </c>
      <c r="Q95" s="47">
        <v>0.49616666666666664</v>
      </c>
      <c r="R95" s="47">
        <v>0.41299999999999981</v>
      </c>
      <c r="S95" s="47">
        <v>0.32983333333333315</v>
      </c>
      <c r="T95" s="47">
        <v>0.21433333333333324</v>
      </c>
      <c r="U95" s="47">
        <v>0.27533333333333337</v>
      </c>
      <c r="V95" s="47">
        <v>0.37350000000000005</v>
      </c>
      <c r="W95" s="47">
        <v>0.42316666666666675</v>
      </c>
      <c r="X95" s="47">
        <v>0.45266666666666666</v>
      </c>
      <c r="Y95" s="47">
        <v>0.3838333333333333</v>
      </c>
      <c r="Z95" s="47">
        <v>0.40800000000000003</v>
      </c>
      <c r="AA95" s="47">
        <v>0.29933333333333328</v>
      </c>
      <c r="AB95" s="47">
        <v>0.18600000000000005</v>
      </c>
      <c r="AC95" s="47">
        <v>0.25650000000000012</v>
      </c>
      <c r="AD95" s="47">
        <v>0.40183333333333338</v>
      </c>
      <c r="AE95" s="47">
        <v>0.53233333333333321</v>
      </c>
      <c r="AF95" s="47">
        <v>0.51616666666666666</v>
      </c>
      <c r="AG95" s="47">
        <v>0.48800000000000004</v>
      </c>
      <c r="AH95" s="47">
        <v>0.41350000000000009</v>
      </c>
      <c r="AI95" s="47">
        <v>0.43800000000000011</v>
      </c>
      <c r="AJ95" s="47">
        <v>0.52200000000000013</v>
      </c>
      <c r="AK95" s="47">
        <v>0.65866666666666684</v>
      </c>
      <c r="AL95" s="47">
        <v>0.65966666666666685</v>
      </c>
      <c r="AM95" s="47">
        <v>0.69816666666666694</v>
      </c>
      <c r="AN95" s="47">
        <v>0.77983333333333338</v>
      </c>
      <c r="AO95" s="47">
        <v>0.90833333333333355</v>
      </c>
      <c r="AP95" s="47">
        <v>0.9484999999999999</v>
      </c>
      <c r="AQ95" s="47">
        <v>0.99116666666666675</v>
      </c>
      <c r="AR95" s="47">
        <v>0.80783333333333329</v>
      </c>
      <c r="AS95" s="47">
        <v>0.75016666666666654</v>
      </c>
      <c r="AT95" s="47">
        <v>0.70766666666666678</v>
      </c>
      <c r="AU95" s="47">
        <v>0.71666666666666679</v>
      </c>
      <c r="AV95" s="47">
        <v>0.72183333333333355</v>
      </c>
      <c r="AW95" s="47">
        <v>0.68566666666666676</v>
      </c>
      <c r="AX95" s="47">
        <v>0.63650000000000007</v>
      </c>
      <c r="AY95" s="47">
        <v>0.68333333333333335</v>
      </c>
      <c r="AZ95" s="47">
        <v>0.70466666666666666</v>
      </c>
      <c r="BA95" s="47">
        <v>0.52400000000000002</v>
      </c>
      <c r="BB95" s="47">
        <v>0.38750000000000018</v>
      </c>
      <c r="BC95" s="47">
        <v>0.29966666666666686</v>
      </c>
      <c r="BD95" s="47">
        <v>0.30666666666666681</v>
      </c>
      <c r="BE95" s="47">
        <v>0.38883333333333336</v>
      </c>
      <c r="BF95" s="47">
        <v>0.44549999999999995</v>
      </c>
      <c r="BG95" s="47">
        <v>0.40949999999999998</v>
      </c>
      <c r="BH95" s="47">
        <v>0.30649999999999988</v>
      </c>
      <c r="BI95" s="47">
        <v>0.28049999999999986</v>
      </c>
      <c r="BJ95" s="47">
        <v>0.28599999999999987</v>
      </c>
      <c r="BK95" s="47">
        <v>0.34249999999999992</v>
      </c>
      <c r="BL95" s="47">
        <v>0.33749999999999986</v>
      </c>
      <c r="BM95" s="47">
        <v>0.31699999999999984</v>
      </c>
      <c r="BN95" s="47">
        <v>0.31149999999999989</v>
      </c>
      <c r="BO95" s="47">
        <v>0.2754999999999998</v>
      </c>
      <c r="BP95" s="47">
        <v>0.29599999999999982</v>
      </c>
      <c r="BQ95" s="47">
        <v>0.33199999999999991</v>
      </c>
      <c r="BR95" s="47">
        <v>0.35799999999999987</v>
      </c>
      <c r="BS95" s="47">
        <v>0.35299999999999987</v>
      </c>
      <c r="BT95" s="47">
        <v>0.39399999999999991</v>
      </c>
      <c r="BU95" s="47">
        <v>0.42499999999999993</v>
      </c>
      <c r="BV95" s="47">
        <v>0.45100000000000001</v>
      </c>
      <c r="BW95" s="47">
        <v>0.48699999999999999</v>
      </c>
      <c r="BX95" s="47">
        <v>0.5485000000000001</v>
      </c>
      <c r="BY95" s="47">
        <v>0.60550000000000015</v>
      </c>
      <c r="BZ95" s="47">
        <v>0.60050000000000014</v>
      </c>
      <c r="CA95" s="47">
        <v>0.58500000000000008</v>
      </c>
      <c r="CB95" s="47">
        <v>0.69300000000000028</v>
      </c>
      <c r="CC95" s="47">
        <v>0.65700000000000025</v>
      </c>
      <c r="CD95" s="47">
        <v>0.68250000000000033</v>
      </c>
      <c r="CE95" s="47">
        <v>0.72400000000000031</v>
      </c>
      <c r="CF95" s="47">
        <v>0.73450000000000037</v>
      </c>
      <c r="CG95" s="47">
        <v>0.75000000000000033</v>
      </c>
      <c r="CH95" s="47">
        <v>0.72900000000000031</v>
      </c>
      <c r="CI95" s="47">
        <v>0.71350000000000036</v>
      </c>
      <c r="CJ95" s="47">
        <v>0.67750000000000021</v>
      </c>
      <c r="CK95" s="47">
        <v>0.70350000000000035</v>
      </c>
      <c r="CL95" s="47">
        <v>0.71900000000000031</v>
      </c>
      <c r="CM95" s="47">
        <v>0.73950000000000038</v>
      </c>
      <c r="CN95" s="47">
        <v>0.6465000000000003</v>
      </c>
      <c r="CO95" s="47">
        <v>0.66200000000000025</v>
      </c>
      <c r="CP95" s="47">
        <v>0.61550000000000016</v>
      </c>
      <c r="CQ95" s="47">
        <v>0.5950000000000002</v>
      </c>
      <c r="CR95" s="47">
        <v>0.61050000000000015</v>
      </c>
      <c r="CS95" s="47">
        <v>0.64150000000000029</v>
      </c>
      <c r="CT95" s="47">
        <v>0.68800000000000028</v>
      </c>
      <c r="CU95" s="47">
        <v>0.62100000000000011</v>
      </c>
      <c r="CV95" s="47">
        <v>0.56400000000000017</v>
      </c>
      <c r="CW95" s="47">
        <v>0.49700000000000005</v>
      </c>
      <c r="CX95" s="47">
        <v>0.50750000000000006</v>
      </c>
      <c r="CY95" s="47">
        <v>0.52800000000000002</v>
      </c>
      <c r="CZ95" s="47">
        <v>0.5</v>
      </c>
    </row>
    <row r="96" spans="1:104" x14ac:dyDescent="0.2">
      <c r="A96" s="45" t="s">
        <v>84</v>
      </c>
      <c r="B96" s="46">
        <f t="shared" si="26"/>
        <v>-29.74</v>
      </c>
      <c r="C96" s="46">
        <f t="shared" si="27"/>
        <v>-17.246666666666666</v>
      </c>
      <c r="D96" s="48">
        <f t="shared" si="28"/>
        <v>20.982388550162128</v>
      </c>
      <c r="E96" s="46"/>
      <c r="F96" s="47">
        <v>0.39873333333333338</v>
      </c>
      <c r="G96" s="47">
        <v>0.39000000000000007</v>
      </c>
      <c r="H96" s="47">
        <v>0.47586666666666677</v>
      </c>
      <c r="I96" s="47">
        <v>0.57120000000000004</v>
      </c>
      <c r="J96" s="47">
        <v>0.5646000000000001</v>
      </c>
      <c r="K96" s="47">
        <v>0.58826666666666683</v>
      </c>
      <c r="L96" s="47">
        <v>0.58860000000000001</v>
      </c>
      <c r="M96" s="47">
        <v>0.60706666666666675</v>
      </c>
      <c r="N96" s="47">
        <v>0.59126666666666672</v>
      </c>
      <c r="O96" s="47">
        <v>0.6709333333333336</v>
      </c>
      <c r="P96" s="47">
        <v>0.75613333333333344</v>
      </c>
      <c r="Q96" s="47">
        <v>0.82340000000000002</v>
      </c>
      <c r="R96" s="47">
        <v>0.78886666666666672</v>
      </c>
      <c r="S96" s="47">
        <v>0.71653333333333336</v>
      </c>
      <c r="T96" s="47">
        <v>0.60113333333333341</v>
      </c>
      <c r="U96" s="47">
        <v>0.58613333333333351</v>
      </c>
      <c r="V96" s="47">
        <v>0.64306666666666668</v>
      </c>
      <c r="W96" s="47">
        <v>0.69613333333333338</v>
      </c>
      <c r="X96" s="47">
        <v>0.71826666666666672</v>
      </c>
      <c r="Y96" s="47">
        <v>0.77120000000000011</v>
      </c>
      <c r="Z96" s="47">
        <v>0.78573333333333339</v>
      </c>
      <c r="AA96" s="47">
        <v>0.81873333333333342</v>
      </c>
      <c r="AB96" s="47">
        <v>0.82180000000000009</v>
      </c>
      <c r="AC96" s="47">
        <v>0.82406666666666673</v>
      </c>
      <c r="AD96" s="47">
        <v>0.8828666666666668</v>
      </c>
      <c r="AE96" s="47">
        <v>0.88720000000000032</v>
      </c>
      <c r="AF96" s="47">
        <v>0.75726666666666664</v>
      </c>
      <c r="AG96" s="47">
        <v>0.53026666666666677</v>
      </c>
      <c r="AH96" s="47">
        <v>0.5280666666666668</v>
      </c>
      <c r="AI96" s="47">
        <v>0.53526666666666667</v>
      </c>
      <c r="AJ96" s="47">
        <v>0.56413333333333338</v>
      </c>
      <c r="AK96" s="47">
        <v>0.54506666666666681</v>
      </c>
      <c r="AL96" s="47">
        <v>0.51933333333333342</v>
      </c>
      <c r="AM96" s="47">
        <v>0.50139999999999996</v>
      </c>
      <c r="AN96" s="47">
        <v>0.50560000000000016</v>
      </c>
      <c r="AO96" s="47">
        <v>0.50093333333333345</v>
      </c>
      <c r="AP96" s="47">
        <v>0.63086666666666669</v>
      </c>
      <c r="AQ96" s="47">
        <v>0.67313333333333358</v>
      </c>
      <c r="AR96" s="47">
        <v>0.70286666666666675</v>
      </c>
      <c r="AS96" s="47">
        <v>0.53</v>
      </c>
      <c r="AT96" s="47">
        <v>0.49600000000000005</v>
      </c>
      <c r="AU96" s="47">
        <v>0.3928666666666667</v>
      </c>
      <c r="AV96" s="47">
        <v>0.32180000000000003</v>
      </c>
      <c r="AW96" s="47">
        <v>0.23626666666666671</v>
      </c>
      <c r="AX96" s="47">
        <v>0.19953333333333334</v>
      </c>
      <c r="AY96" s="47">
        <v>0.16113333333333338</v>
      </c>
      <c r="AZ96" s="47">
        <v>0.1482</v>
      </c>
      <c r="BA96" s="47">
        <v>0.13586666666666669</v>
      </c>
      <c r="BB96" s="47">
        <v>0.15546666666666664</v>
      </c>
      <c r="BC96" s="47">
        <v>0.1516666666666667</v>
      </c>
      <c r="BD96" s="47">
        <v>0.11606666666666668</v>
      </c>
      <c r="BE96" s="47">
        <v>0.21426666666666669</v>
      </c>
      <c r="BF96" s="47">
        <v>0.22600000000000001</v>
      </c>
      <c r="BG96" s="47">
        <v>0.22440000000000004</v>
      </c>
      <c r="BH96" s="47">
        <v>0.21046666666666669</v>
      </c>
      <c r="BI96" s="47">
        <v>0.19606666666666669</v>
      </c>
      <c r="BJ96" s="47">
        <v>0.19713333333333335</v>
      </c>
      <c r="BK96" s="47">
        <v>0.25880000000000003</v>
      </c>
      <c r="BL96" s="47">
        <v>0.2676</v>
      </c>
      <c r="BM96" s="47">
        <v>0.26966666666666672</v>
      </c>
      <c r="BN96" s="47">
        <v>0.24713333333333334</v>
      </c>
      <c r="BO96" s="47">
        <v>0.23966666666666669</v>
      </c>
      <c r="BP96" s="47">
        <v>0.29860000000000003</v>
      </c>
      <c r="BQ96" s="47">
        <v>0.31153333333333333</v>
      </c>
      <c r="BR96" s="47">
        <v>0.28426666666666672</v>
      </c>
      <c r="BS96" s="47">
        <v>0.27306666666666668</v>
      </c>
      <c r="BT96" s="47">
        <v>0.2950666666666667</v>
      </c>
      <c r="BU96" s="47">
        <v>0.29773333333333341</v>
      </c>
      <c r="BV96" s="47">
        <v>0.31693333333333334</v>
      </c>
      <c r="BW96" s="47">
        <v>0.34013333333333334</v>
      </c>
      <c r="BX96" s="47">
        <v>0.38546666666666662</v>
      </c>
      <c r="BY96" s="47">
        <v>0.54280000000000006</v>
      </c>
      <c r="BZ96" s="47">
        <v>0.67573333333333352</v>
      </c>
      <c r="CA96" s="47">
        <v>0.73973333333333346</v>
      </c>
      <c r="CB96" s="47">
        <v>0.6412000000000001</v>
      </c>
      <c r="CC96" s="47">
        <v>0.52993333333333337</v>
      </c>
      <c r="CD96" s="47">
        <v>0.57766666666666688</v>
      </c>
      <c r="CE96" s="47">
        <v>0.59880000000000022</v>
      </c>
      <c r="CF96" s="47">
        <v>0.57933333333333348</v>
      </c>
      <c r="CG96" s="47">
        <v>0.52733333333333354</v>
      </c>
      <c r="CH96" s="47">
        <v>0.4811333333333333</v>
      </c>
      <c r="CI96" s="47">
        <v>0.44433333333333336</v>
      </c>
      <c r="CJ96" s="47">
        <v>0.42906666666666665</v>
      </c>
      <c r="CK96" s="47">
        <v>0.40893333333333332</v>
      </c>
      <c r="CL96" s="47">
        <v>0.38453333333333339</v>
      </c>
      <c r="CM96" s="47">
        <v>0.36273333333333335</v>
      </c>
      <c r="CN96" s="47">
        <v>0.55566666666666675</v>
      </c>
      <c r="CO96" s="47">
        <v>0.71253333333333368</v>
      </c>
      <c r="CP96" s="47">
        <v>0.70213333333333361</v>
      </c>
      <c r="CQ96" s="47">
        <v>0.69686666666666686</v>
      </c>
      <c r="CR96" s="47">
        <v>0.69753333333333356</v>
      </c>
      <c r="CS96" s="47">
        <v>0.707666666666667</v>
      </c>
      <c r="CT96" s="47">
        <v>0.73253333333333359</v>
      </c>
      <c r="CU96" s="47">
        <v>0.71493333333333353</v>
      </c>
      <c r="CV96" s="47">
        <v>0.60240000000000016</v>
      </c>
      <c r="CW96" s="47">
        <v>0.46500000000000002</v>
      </c>
      <c r="CX96" s="47">
        <v>0.47486666666666671</v>
      </c>
      <c r="CY96" s="47">
        <v>0.45739999999999997</v>
      </c>
      <c r="CZ96" s="47">
        <v>0.49513333333333331</v>
      </c>
    </row>
    <row r="97" spans="1:104" x14ac:dyDescent="0.2">
      <c r="A97" s="45" t="s">
        <v>87</v>
      </c>
      <c r="B97" s="46">
        <f t="shared" si="26"/>
        <v>7.3250000000000428</v>
      </c>
      <c r="C97" s="46">
        <f t="shared" si="27"/>
        <v>-4.3999999999999932</v>
      </c>
      <c r="D97" s="48">
        <f t="shared" si="28"/>
        <v>13.988270202356532</v>
      </c>
      <c r="E97" s="46"/>
      <c r="F97" s="47">
        <v>0.55800000000000027</v>
      </c>
      <c r="G97" s="47">
        <v>0.55300000000000027</v>
      </c>
      <c r="H97" s="47">
        <v>0.58650000000000024</v>
      </c>
      <c r="I97" s="47">
        <v>0.6020000000000002</v>
      </c>
      <c r="J97" s="47">
        <v>0.61200000000000021</v>
      </c>
      <c r="K97" s="47">
        <v>0.60975000000000024</v>
      </c>
      <c r="L97" s="47">
        <v>0.59925000000000017</v>
      </c>
      <c r="M97" s="47">
        <v>0.59400000000000019</v>
      </c>
      <c r="N97" s="47">
        <v>0.60925000000000029</v>
      </c>
      <c r="O97" s="47">
        <v>0.58400000000000019</v>
      </c>
      <c r="P97" s="47">
        <v>0.55100000000000027</v>
      </c>
      <c r="Q97" s="47">
        <v>0.4720000000000002</v>
      </c>
      <c r="R97" s="47">
        <v>0.42075000000000018</v>
      </c>
      <c r="S97" s="47">
        <v>0.39</v>
      </c>
      <c r="T97" s="47">
        <v>0.33124999999999982</v>
      </c>
      <c r="U97" s="47">
        <v>0.38249999999999978</v>
      </c>
      <c r="V97" s="47">
        <v>0.41049999999999975</v>
      </c>
      <c r="W97" s="47">
        <v>0.48474999999999985</v>
      </c>
      <c r="X97" s="47">
        <v>0.5249999999999998</v>
      </c>
      <c r="Y97" s="47">
        <v>0.55299999999999983</v>
      </c>
      <c r="Z97" s="47">
        <v>0.52774999999999994</v>
      </c>
      <c r="AA97" s="47">
        <v>0.55825000000000002</v>
      </c>
      <c r="AB97" s="47">
        <v>0.57874999999999999</v>
      </c>
      <c r="AC97" s="47">
        <v>0.6170000000000001</v>
      </c>
      <c r="AD97" s="47">
        <v>0.6452500000000001</v>
      </c>
      <c r="AE97" s="47">
        <v>0.67075000000000018</v>
      </c>
      <c r="AF97" s="47">
        <v>0.48449999999999993</v>
      </c>
      <c r="AG97" s="47">
        <v>0.32399999999999979</v>
      </c>
      <c r="AH97" s="47">
        <v>0.32874999999999982</v>
      </c>
      <c r="AI97" s="47">
        <v>0.4157499999999999</v>
      </c>
      <c r="AJ97" s="47">
        <v>0.4945</v>
      </c>
      <c r="AK97" s="47">
        <v>0.53300000000000014</v>
      </c>
      <c r="AL97" s="47">
        <v>0.62475000000000025</v>
      </c>
      <c r="AM97" s="47">
        <v>0.6070000000000001</v>
      </c>
      <c r="AN97" s="47">
        <v>0.65275000000000016</v>
      </c>
      <c r="AO97" s="47">
        <v>0.67050000000000021</v>
      </c>
      <c r="AP97" s="47">
        <v>0.71650000000000014</v>
      </c>
      <c r="AQ97" s="47">
        <v>0.74975000000000025</v>
      </c>
      <c r="AR97" s="47">
        <v>0.74750000000000016</v>
      </c>
      <c r="AS97" s="47">
        <v>0.75475000000000014</v>
      </c>
      <c r="AT97" s="47">
        <v>0.7140000000000003</v>
      </c>
      <c r="AU97" s="47">
        <v>0.5585</v>
      </c>
      <c r="AV97" s="47">
        <v>0.41549999999999981</v>
      </c>
      <c r="AW97" s="47">
        <v>0.37699999999999978</v>
      </c>
      <c r="AX97" s="47">
        <v>0.32624999999999976</v>
      </c>
      <c r="AY97" s="47">
        <v>0.33399999999999974</v>
      </c>
      <c r="AZ97" s="47">
        <v>0.28324999999999972</v>
      </c>
      <c r="BA97" s="47">
        <v>0.2879999999999997</v>
      </c>
      <c r="BB97" s="47">
        <v>0.27524999999999972</v>
      </c>
      <c r="BC97" s="47">
        <v>0.23699999999999977</v>
      </c>
      <c r="BD97" s="47">
        <v>0.34674999999999984</v>
      </c>
      <c r="BE97" s="47">
        <v>0.36699999999999988</v>
      </c>
      <c r="BF97" s="47">
        <v>0.36449999999999999</v>
      </c>
      <c r="BG97" s="47">
        <v>0.34149999999999986</v>
      </c>
      <c r="BH97" s="47">
        <v>0.35949999999999993</v>
      </c>
      <c r="BI97" s="47">
        <v>0.3824999999999999</v>
      </c>
      <c r="BJ97" s="47">
        <v>0.45374999999999999</v>
      </c>
      <c r="BK97" s="47">
        <v>0.4514999999999999</v>
      </c>
      <c r="BL97" s="47">
        <v>0.43574999999999997</v>
      </c>
      <c r="BM97" s="47">
        <v>0.36424999999999985</v>
      </c>
      <c r="BN97" s="47">
        <v>0.30349999999999977</v>
      </c>
      <c r="BO97" s="47">
        <v>0.26524999999999976</v>
      </c>
      <c r="BP97" s="47">
        <v>0.33899999999999963</v>
      </c>
      <c r="BQ97" s="47">
        <v>0.55374999999999996</v>
      </c>
      <c r="BR97" s="47">
        <v>0.51524999999999999</v>
      </c>
      <c r="BS97" s="47">
        <v>0.43600000000000017</v>
      </c>
      <c r="BT97" s="47">
        <v>0.37475000000000019</v>
      </c>
      <c r="BU97" s="47">
        <v>0.43075000000000024</v>
      </c>
      <c r="BV97" s="47">
        <v>0.43850000000000022</v>
      </c>
      <c r="BW97" s="47">
        <v>0.49200000000000016</v>
      </c>
      <c r="BX97" s="47">
        <v>0.4512500000000001</v>
      </c>
      <c r="BY97" s="47">
        <v>0.50250000000000006</v>
      </c>
      <c r="BZ97" s="47">
        <v>0.55575000000000008</v>
      </c>
      <c r="CA97" s="47">
        <v>0.59125000000000016</v>
      </c>
      <c r="CB97" s="47">
        <v>0.46950000000000014</v>
      </c>
      <c r="CC97" s="47">
        <v>0.27799999999999997</v>
      </c>
      <c r="CD97" s="47">
        <v>0.28774999999999995</v>
      </c>
      <c r="CE97" s="47">
        <v>0.39524999999999993</v>
      </c>
      <c r="CF97" s="47">
        <v>0.45124999999999993</v>
      </c>
      <c r="CG97" s="47">
        <v>0.51749999999999985</v>
      </c>
      <c r="CH97" s="47">
        <v>0.53024999999999978</v>
      </c>
      <c r="CI97" s="47">
        <v>0.52749999999999975</v>
      </c>
      <c r="CJ97" s="47">
        <v>0.57399999999999984</v>
      </c>
      <c r="CK97" s="47">
        <v>0.58399999999999985</v>
      </c>
      <c r="CL97" s="47">
        <v>0.67099999999999993</v>
      </c>
      <c r="CM97" s="47">
        <v>0.7420000000000001</v>
      </c>
      <c r="CN97" s="47">
        <v>0.64524999999999988</v>
      </c>
      <c r="CO97" s="47">
        <v>0.45899999999999952</v>
      </c>
      <c r="CP97" s="47">
        <v>0.44874999999999959</v>
      </c>
      <c r="CQ97" s="47">
        <v>0.40524999999999967</v>
      </c>
      <c r="CR97" s="47">
        <v>0.40024999999999972</v>
      </c>
      <c r="CS97" s="47">
        <v>0.40549999999999969</v>
      </c>
      <c r="CT97" s="47">
        <v>0.44874999999999965</v>
      </c>
      <c r="CU97" s="47">
        <v>0.50749999999999962</v>
      </c>
      <c r="CV97" s="47">
        <v>0.6449999999999998</v>
      </c>
      <c r="CW97" s="47">
        <v>0.7114999999999998</v>
      </c>
      <c r="CX97" s="47">
        <v>0.79324999999999979</v>
      </c>
      <c r="CY97" s="47">
        <v>0.76474999999999982</v>
      </c>
      <c r="CZ97" s="47">
        <v>0.74949999999999994</v>
      </c>
    </row>
    <row r="98" spans="1:104" x14ac:dyDescent="0.2">
      <c r="A98" s="45" t="s">
        <v>90</v>
      </c>
      <c r="B98" s="46">
        <f t="shared" si="26"/>
        <v>-21.870833333333344</v>
      </c>
      <c r="C98" s="46">
        <f t="shared" si="27"/>
        <v>3.6666666666666625</v>
      </c>
      <c r="D98" s="48">
        <f t="shared" si="28"/>
        <v>21.961276138103596</v>
      </c>
      <c r="E98" s="46"/>
      <c r="F98" s="47">
        <v>0.3349583333333333</v>
      </c>
      <c r="G98" s="47">
        <v>0.33179166666666671</v>
      </c>
      <c r="H98" s="47">
        <v>0.30016666666666669</v>
      </c>
      <c r="I98" s="47">
        <v>0.29829166666666668</v>
      </c>
      <c r="J98" s="47">
        <v>0.30041666666666661</v>
      </c>
      <c r="K98" s="47">
        <v>0.27820833333333334</v>
      </c>
      <c r="L98" s="47">
        <v>0.29091666666666671</v>
      </c>
      <c r="M98" s="47">
        <v>0.28237500000000004</v>
      </c>
      <c r="N98" s="47">
        <v>0.31558333333333333</v>
      </c>
      <c r="O98" s="47">
        <v>0.34625</v>
      </c>
      <c r="P98" s="47">
        <v>0.40670833333333334</v>
      </c>
      <c r="Q98" s="47">
        <v>0.38600000000000001</v>
      </c>
      <c r="R98" s="47">
        <v>0.40479166666666677</v>
      </c>
      <c r="S98" s="47">
        <v>0.29275000000000001</v>
      </c>
      <c r="T98" s="47">
        <v>0.31891666666666668</v>
      </c>
      <c r="U98" s="47">
        <v>0.31979166666666664</v>
      </c>
      <c r="V98" s="47">
        <v>0.45700000000000002</v>
      </c>
      <c r="W98" s="47">
        <v>0.55366666666666675</v>
      </c>
      <c r="X98" s="47">
        <v>0.59054166666666685</v>
      </c>
      <c r="Y98" s="47">
        <v>0.64445833333333347</v>
      </c>
      <c r="Z98" s="47">
        <v>0.69224999999999992</v>
      </c>
      <c r="AA98" s="47">
        <v>0.68674999999999997</v>
      </c>
      <c r="AB98" s="47">
        <v>0.64920833333333339</v>
      </c>
      <c r="AC98" s="47">
        <v>0.68212500000000009</v>
      </c>
      <c r="AD98" s="47">
        <v>0.78987499999999999</v>
      </c>
      <c r="AE98" s="47">
        <v>0.82408333333333328</v>
      </c>
      <c r="AF98" s="47">
        <v>0.81454166666666661</v>
      </c>
      <c r="AG98" s="47">
        <v>0.76516666666666666</v>
      </c>
      <c r="AH98" s="47">
        <v>0.7729166666666667</v>
      </c>
      <c r="AI98" s="47">
        <v>0.82054166666666672</v>
      </c>
      <c r="AJ98" s="47">
        <v>0.84004166666666669</v>
      </c>
      <c r="AK98" s="47">
        <v>0.86050000000000015</v>
      </c>
      <c r="AL98" s="47">
        <v>0.84591666666666676</v>
      </c>
      <c r="AM98" s="47">
        <v>0.84854166666666675</v>
      </c>
      <c r="AN98" s="47">
        <v>0.83375000000000021</v>
      </c>
      <c r="AO98" s="47">
        <v>0.86225000000000007</v>
      </c>
      <c r="AP98" s="47">
        <v>0.86954166666666666</v>
      </c>
      <c r="AQ98" s="47">
        <v>0.8410833333333334</v>
      </c>
      <c r="AR98" s="47">
        <v>0.8074583333333335</v>
      </c>
      <c r="AS98" s="47">
        <v>0.71124999999999994</v>
      </c>
      <c r="AT98" s="47">
        <v>0.53187499999999988</v>
      </c>
      <c r="AU98" s="47">
        <v>0.51658333333333339</v>
      </c>
      <c r="AV98" s="47">
        <v>0.44608333333333317</v>
      </c>
      <c r="AW98" s="47">
        <v>0.34929166666666667</v>
      </c>
      <c r="AX98" s="47">
        <v>0.21995833333333331</v>
      </c>
      <c r="AY98" s="47">
        <v>0.17458333333333334</v>
      </c>
      <c r="AZ98" s="47">
        <v>0.14379166666666665</v>
      </c>
      <c r="BA98" s="47">
        <v>0.10266666666666668</v>
      </c>
      <c r="BB98" s="47">
        <v>8.6708333333333332E-2</v>
      </c>
      <c r="BC98" s="47">
        <v>9.191666666666666E-2</v>
      </c>
      <c r="BD98" s="47">
        <v>0.114125</v>
      </c>
      <c r="BE98" s="47">
        <v>0.15675</v>
      </c>
      <c r="BF98" s="47">
        <v>0.18379166666666669</v>
      </c>
      <c r="BG98" s="47">
        <v>0.18258333333333332</v>
      </c>
      <c r="BH98" s="47">
        <v>0.20787499999999995</v>
      </c>
      <c r="BI98" s="47">
        <v>0.20470833333333333</v>
      </c>
      <c r="BJ98" s="47">
        <v>0.22116666666666665</v>
      </c>
      <c r="BK98" s="47">
        <v>0.28137499999999999</v>
      </c>
      <c r="BL98" s="47">
        <v>0.35833333333333334</v>
      </c>
      <c r="BM98" s="47">
        <v>0.36958333333333326</v>
      </c>
      <c r="BN98" s="47">
        <v>0.41787499999999989</v>
      </c>
      <c r="BO98" s="47">
        <v>0.55304166666666654</v>
      </c>
      <c r="BP98" s="47">
        <v>0.52474999999999994</v>
      </c>
      <c r="BQ98" s="47">
        <v>0.55425000000000002</v>
      </c>
      <c r="BR98" s="47">
        <v>0.50595833333333329</v>
      </c>
      <c r="BS98" s="47">
        <v>0.51575000000000004</v>
      </c>
      <c r="BT98" s="47">
        <v>0.50525000000000009</v>
      </c>
      <c r="BU98" s="47">
        <v>0.48429166666666662</v>
      </c>
      <c r="BV98" s="47">
        <v>0.49424999999999997</v>
      </c>
      <c r="BW98" s="47">
        <v>0.56979166666666659</v>
      </c>
      <c r="BX98" s="47">
        <v>0.64420833333333338</v>
      </c>
      <c r="BY98" s="47">
        <v>0.68641666666666679</v>
      </c>
      <c r="BZ98" s="47">
        <v>0.59824999999999995</v>
      </c>
      <c r="CA98" s="47">
        <v>0.74841666666666651</v>
      </c>
      <c r="CB98" s="47">
        <v>0.74683333333333324</v>
      </c>
      <c r="CC98" s="47">
        <v>0.75099999999999989</v>
      </c>
      <c r="CD98" s="47">
        <v>0.59983333333333333</v>
      </c>
      <c r="CE98" s="47">
        <v>0.58087500000000014</v>
      </c>
      <c r="CF98" s="47">
        <v>0.58850000000000002</v>
      </c>
      <c r="CG98" s="47">
        <v>0.54737500000000006</v>
      </c>
      <c r="CH98" s="47">
        <v>0.41783333333333333</v>
      </c>
      <c r="CI98" s="47">
        <v>0.38137499999999996</v>
      </c>
      <c r="CJ98" s="47">
        <v>0.37512499999999999</v>
      </c>
      <c r="CK98" s="47">
        <v>0.45258333333333339</v>
      </c>
      <c r="CL98" s="47">
        <v>0.46108333333333329</v>
      </c>
      <c r="CM98" s="47">
        <v>0.30158333333333331</v>
      </c>
      <c r="CN98" s="47">
        <v>0.27370833333333333</v>
      </c>
      <c r="CO98" s="47">
        <v>0.25612499999999994</v>
      </c>
      <c r="CP98" s="47">
        <v>0.35566666666666663</v>
      </c>
      <c r="CQ98" s="47">
        <v>0.42091666666666672</v>
      </c>
      <c r="CR98" s="47">
        <v>0.49041666666666672</v>
      </c>
      <c r="CS98" s="47">
        <v>0.58599999999999985</v>
      </c>
      <c r="CT98" s="47">
        <v>0.61462499999999987</v>
      </c>
      <c r="CU98" s="47">
        <v>0.66862500000000002</v>
      </c>
      <c r="CV98" s="47">
        <v>0.65895833333333342</v>
      </c>
      <c r="CW98" s="47">
        <v>0.62891666666666668</v>
      </c>
      <c r="CX98" s="47">
        <v>0.61341666666666672</v>
      </c>
      <c r="CY98" s="47">
        <v>0.65800000000000003</v>
      </c>
      <c r="CZ98" s="47">
        <v>0.72399999999999998</v>
      </c>
    </row>
    <row r="99" spans="1:104" x14ac:dyDescent="0.2">
      <c r="A99" s="45" t="s">
        <v>92</v>
      </c>
      <c r="B99" s="46">
        <f t="shared" si="26"/>
        <v>-6.15</v>
      </c>
      <c r="C99" s="46">
        <f t="shared" si="27"/>
        <v>5.600000000000005</v>
      </c>
      <c r="D99" s="48">
        <f t="shared" si="28"/>
        <v>24.489023726107423</v>
      </c>
      <c r="E99" s="46"/>
      <c r="F99" s="47">
        <v>0.60650000000000004</v>
      </c>
      <c r="G99" s="47">
        <v>0.60650000000000004</v>
      </c>
      <c r="H99" s="47">
        <v>0.58599999999999997</v>
      </c>
      <c r="I99" s="47">
        <v>0.55049999999999999</v>
      </c>
      <c r="J99" s="47">
        <v>0.4995</v>
      </c>
      <c r="K99" s="47">
        <v>0.39750000000000002</v>
      </c>
      <c r="L99" s="47">
        <v>0.34150000000000003</v>
      </c>
      <c r="M99" s="47">
        <v>0.36649999999999999</v>
      </c>
      <c r="N99" s="47">
        <v>0.42850000000000005</v>
      </c>
      <c r="O99" s="47">
        <v>0.44350000000000001</v>
      </c>
      <c r="P99" s="47">
        <v>0.41799999999999998</v>
      </c>
      <c r="Q99" s="47">
        <v>0.40250000000000002</v>
      </c>
      <c r="R99" s="47">
        <v>0.35150000000000003</v>
      </c>
      <c r="S99" s="47">
        <v>0.311</v>
      </c>
      <c r="T99" s="47">
        <v>0.30599999999999999</v>
      </c>
      <c r="U99" s="47">
        <v>0.59649999999999992</v>
      </c>
      <c r="V99" s="47">
        <v>0.6170000000000001</v>
      </c>
      <c r="W99" s="47">
        <v>0.66800000000000004</v>
      </c>
      <c r="X99" s="47">
        <v>0.69349999999999989</v>
      </c>
      <c r="Y99" s="47">
        <v>0.71350000000000002</v>
      </c>
      <c r="Z99" s="47">
        <v>0.68800000000000006</v>
      </c>
      <c r="AA99" s="47">
        <v>0.62749999999999995</v>
      </c>
      <c r="AB99" s="47">
        <v>0.58099999999999996</v>
      </c>
      <c r="AC99" s="47">
        <v>0.627</v>
      </c>
      <c r="AD99" s="47">
        <v>0.83099999999999996</v>
      </c>
      <c r="AE99" s="47">
        <v>0.89750000000000008</v>
      </c>
      <c r="AF99" s="47">
        <v>0.88200000000000001</v>
      </c>
      <c r="AG99" s="47">
        <v>0.60150000000000003</v>
      </c>
      <c r="AH99" s="47">
        <v>0.56050000000000011</v>
      </c>
      <c r="AI99" s="47">
        <v>0.54549999999999998</v>
      </c>
      <c r="AJ99" s="47">
        <v>0.59100000000000008</v>
      </c>
      <c r="AK99" s="47">
        <v>0.59649999999999992</v>
      </c>
      <c r="AL99" s="47">
        <v>0.65250000000000008</v>
      </c>
      <c r="AM99" s="47">
        <v>0.75450000000000006</v>
      </c>
      <c r="AN99" s="47">
        <v>0.89750000000000008</v>
      </c>
      <c r="AO99" s="47">
        <v>0.93849999999999989</v>
      </c>
      <c r="AP99" s="47">
        <v>0.95350000000000001</v>
      </c>
      <c r="AQ99" s="47">
        <v>0.91300000000000003</v>
      </c>
      <c r="AR99" s="47">
        <v>0.68300000000000005</v>
      </c>
      <c r="AS99" s="47">
        <v>0.34650000000000003</v>
      </c>
      <c r="AT99" s="47">
        <v>0.34100000000000003</v>
      </c>
      <c r="AU99" s="47">
        <v>0.36199999999999999</v>
      </c>
      <c r="AV99" s="47">
        <v>0.32599999999999996</v>
      </c>
      <c r="AW99" s="47">
        <v>0.26500000000000001</v>
      </c>
      <c r="AX99" s="47">
        <v>0.2545</v>
      </c>
      <c r="AY99" s="47">
        <v>0.224</v>
      </c>
      <c r="AZ99" s="47">
        <v>0.14249999999999999</v>
      </c>
      <c r="BA99" s="47">
        <v>8.6499999999999994E-2</v>
      </c>
      <c r="BB99" s="47">
        <v>1.4999999999999999E-2</v>
      </c>
      <c r="BC99" s="47">
        <v>0</v>
      </c>
      <c r="BD99" s="47">
        <v>6.5499999999999989E-2</v>
      </c>
      <c r="BE99" s="47">
        <v>0.41799999999999998</v>
      </c>
      <c r="BF99" s="47">
        <v>0.35649999999999998</v>
      </c>
      <c r="BG99" s="47">
        <v>0.29049999999999998</v>
      </c>
      <c r="BH99" s="47">
        <v>0.22900000000000001</v>
      </c>
      <c r="BI99" s="47">
        <v>0.20849999999999996</v>
      </c>
      <c r="BJ99" s="47">
        <v>0.183</v>
      </c>
      <c r="BK99" s="47">
        <v>0.1575</v>
      </c>
      <c r="BL99" s="47">
        <v>0.21849999999999997</v>
      </c>
      <c r="BM99" s="47">
        <v>0.26500000000000001</v>
      </c>
      <c r="BN99" s="47">
        <v>0.35149999999999998</v>
      </c>
      <c r="BO99" s="47">
        <v>0.316</v>
      </c>
      <c r="BP99" s="47">
        <v>0.33100000000000002</v>
      </c>
      <c r="BQ99" s="47">
        <v>0.29049999999999998</v>
      </c>
      <c r="BR99" s="47">
        <v>0.29499999999999998</v>
      </c>
      <c r="BS99" s="47">
        <v>0.28000000000000003</v>
      </c>
      <c r="BT99" s="47">
        <v>0.24949999999999997</v>
      </c>
      <c r="BU99" s="47">
        <v>0.2545</v>
      </c>
      <c r="BV99" s="47">
        <v>0.28550000000000003</v>
      </c>
      <c r="BW99" s="47">
        <v>0.316</v>
      </c>
      <c r="BX99" s="47">
        <v>0.26450000000000001</v>
      </c>
      <c r="BY99" s="47">
        <v>0.20400000000000001</v>
      </c>
      <c r="BZ99" s="47">
        <v>0.28000000000000003</v>
      </c>
      <c r="CA99" s="47">
        <v>0.35149999999999992</v>
      </c>
      <c r="CB99" s="47">
        <v>0.42300000000000004</v>
      </c>
      <c r="CC99" s="47">
        <v>0.41299999999999998</v>
      </c>
      <c r="CD99" s="47">
        <v>0.47899999999999998</v>
      </c>
      <c r="CE99" s="47">
        <v>0.59150000000000003</v>
      </c>
      <c r="CF99" s="47">
        <v>0.6885</v>
      </c>
      <c r="CG99" s="47">
        <v>0.76500000000000012</v>
      </c>
      <c r="CH99" s="47">
        <v>0.81550000000000011</v>
      </c>
      <c r="CI99" s="47">
        <v>0.83099999999999996</v>
      </c>
      <c r="CJ99" s="47">
        <v>0.81100000000000005</v>
      </c>
      <c r="CK99" s="47">
        <v>0.73450000000000004</v>
      </c>
      <c r="CL99" s="47">
        <v>0.70850000000000002</v>
      </c>
      <c r="CM99" s="47">
        <v>0.6885</v>
      </c>
      <c r="CN99" s="47">
        <v>0.84150000000000003</v>
      </c>
      <c r="CO99" s="47">
        <v>0.82099999999999995</v>
      </c>
      <c r="CP99" s="47">
        <v>0.81049999999999989</v>
      </c>
      <c r="CQ99" s="47">
        <v>0.77499999999999991</v>
      </c>
      <c r="CR99" s="47">
        <v>0.73949999999999994</v>
      </c>
      <c r="CS99" s="47">
        <v>0.67800000000000005</v>
      </c>
      <c r="CT99" s="47">
        <v>0.58099999999999996</v>
      </c>
      <c r="CU99" s="47">
        <v>0.55549999999999999</v>
      </c>
      <c r="CV99" s="47">
        <v>0.61699999999999999</v>
      </c>
      <c r="CW99" s="47">
        <v>0.79549999999999998</v>
      </c>
      <c r="CX99" s="47">
        <v>0.65249999999999997</v>
      </c>
      <c r="CY99" s="47">
        <v>0.58099999999999996</v>
      </c>
      <c r="CZ99" s="47">
        <v>0.47950000000000004</v>
      </c>
    </row>
    <row r="100" spans="1:104" x14ac:dyDescent="0.2">
      <c r="A100" s="45" t="s">
        <v>94</v>
      </c>
      <c r="B100" s="46">
        <f t="shared" si="26"/>
        <v>0.27499999999999192</v>
      </c>
      <c r="C100" s="46">
        <f t="shared" si="27"/>
        <v>2.0750000000000046</v>
      </c>
      <c r="D100" s="48">
        <f t="shared" si="28"/>
        <v>20.918748740314474</v>
      </c>
      <c r="E100" s="46"/>
      <c r="F100" s="47">
        <v>0.70650000000000002</v>
      </c>
      <c r="G100" s="47">
        <v>0.70099999999999996</v>
      </c>
      <c r="H100" s="47">
        <v>0.69599999999999995</v>
      </c>
      <c r="I100" s="47">
        <v>0.68574999999999997</v>
      </c>
      <c r="J100" s="47">
        <v>0.6702499999999999</v>
      </c>
      <c r="K100" s="47">
        <v>0.65500000000000003</v>
      </c>
      <c r="L100" s="47">
        <v>0.69850000000000012</v>
      </c>
      <c r="M100" s="47">
        <v>0.66549999999999987</v>
      </c>
      <c r="N100" s="47">
        <v>0.64499999999999991</v>
      </c>
      <c r="O100" s="47">
        <v>0.63975000000000004</v>
      </c>
      <c r="P100" s="47">
        <v>0.69099999999999995</v>
      </c>
      <c r="Q100" s="47">
        <v>0.67325000000000002</v>
      </c>
      <c r="R100" s="47">
        <v>0.62175000000000002</v>
      </c>
      <c r="S100" s="47">
        <v>0.59375000000000011</v>
      </c>
      <c r="T100" s="47">
        <v>0.59150000000000003</v>
      </c>
      <c r="U100" s="47">
        <v>0.68800000000000006</v>
      </c>
      <c r="V100" s="47">
        <v>0.69625000000000015</v>
      </c>
      <c r="W100" s="47">
        <v>0.7037500000000001</v>
      </c>
      <c r="X100" s="47">
        <v>0.71350000000000013</v>
      </c>
      <c r="Y100" s="47">
        <v>0.71900000000000019</v>
      </c>
      <c r="Z100" s="47">
        <v>0.72925000000000018</v>
      </c>
      <c r="AA100" s="47">
        <v>0.72900000000000009</v>
      </c>
      <c r="AB100" s="47">
        <v>0.75725000000000009</v>
      </c>
      <c r="AC100" s="47">
        <v>0.79775000000000029</v>
      </c>
      <c r="AD100" s="47">
        <v>0.8187500000000002</v>
      </c>
      <c r="AE100" s="47">
        <v>0.83875000000000011</v>
      </c>
      <c r="AF100" s="47">
        <v>0.85675000000000012</v>
      </c>
      <c r="AG100" s="47">
        <v>0.87175000000000014</v>
      </c>
      <c r="AH100" s="47">
        <v>0.86175000000000013</v>
      </c>
      <c r="AI100" s="47">
        <v>0.85125000000000006</v>
      </c>
      <c r="AJ100" s="47">
        <v>0.84125000000000005</v>
      </c>
      <c r="AK100" s="47">
        <v>0.81800000000000006</v>
      </c>
      <c r="AL100" s="47">
        <v>0.76974999999999993</v>
      </c>
      <c r="AM100" s="47">
        <v>0.71899999999999997</v>
      </c>
      <c r="AN100" s="47">
        <v>0.61699999999999988</v>
      </c>
      <c r="AO100" s="47">
        <v>0.51224999999999987</v>
      </c>
      <c r="AP100" s="47">
        <v>0.47374999999999995</v>
      </c>
      <c r="AQ100" s="47">
        <v>0.43799999999999994</v>
      </c>
      <c r="AR100" s="47">
        <v>0.37424999999999992</v>
      </c>
      <c r="AS100" s="47">
        <v>0.28749999999999998</v>
      </c>
      <c r="AT100" s="47">
        <v>0.29025000000000001</v>
      </c>
      <c r="AU100" s="47">
        <v>0.31075000000000003</v>
      </c>
      <c r="AV100" s="47">
        <v>0.32100000000000001</v>
      </c>
      <c r="AW100" s="47">
        <v>0.32850000000000001</v>
      </c>
      <c r="AX100" s="47">
        <v>0.34925</v>
      </c>
      <c r="AY100" s="47">
        <v>0.34625000000000006</v>
      </c>
      <c r="AZ100" s="47">
        <v>0.33900000000000002</v>
      </c>
      <c r="BA100" s="47">
        <v>0.33125000000000004</v>
      </c>
      <c r="BB100" s="47">
        <v>0.32600000000000007</v>
      </c>
      <c r="BC100" s="47">
        <v>0.32850000000000007</v>
      </c>
      <c r="BD100" s="47">
        <v>0.39200000000000007</v>
      </c>
      <c r="BE100" s="47">
        <v>0.43599999999999994</v>
      </c>
      <c r="BF100" s="47">
        <v>0.441</v>
      </c>
      <c r="BG100" s="47">
        <v>0.45599999999999996</v>
      </c>
      <c r="BH100" s="47">
        <v>0.46100000000000002</v>
      </c>
      <c r="BI100" s="47">
        <v>0.45625000000000004</v>
      </c>
      <c r="BJ100" s="47">
        <v>0.45325000000000004</v>
      </c>
      <c r="BK100" s="47">
        <v>0.50975000000000015</v>
      </c>
      <c r="BL100" s="47">
        <v>0.56825000000000003</v>
      </c>
      <c r="BM100" s="47">
        <v>0.59375</v>
      </c>
      <c r="BN100" s="47">
        <v>0.59375000000000011</v>
      </c>
      <c r="BO100" s="47">
        <v>0.5737500000000002</v>
      </c>
      <c r="BP100" s="47">
        <v>0.58650000000000013</v>
      </c>
      <c r="BQ100" s="47">
        <v>0.57600000000000018</v>
      </c>
      <c r="BR100" s="47">
        <v>0.59125000000000016</v>
      </c>
      <c r="BS100" s="47">
        <v>0.58875000000000011</v>
      </c>
      <c r="BT100" s="47">
        <v>0.57900000000000018</v>
      </c>
      <c r="BU100" s="47">
        <v>0.58100000000000018</v>
      </c>
      <c r="BV100" s="47">
        <v>0.57100000000000017</v>
      </c>
      <c r="BW100" s="47">
        <v>0.53775000000000006</v>
      </c>
      <c r="BX100" s="47">
        <v>0.51500000000000012</v>
      </c>
      <c r="BY100" s="47">
        <v>0.48675000000000018</v>
      </c>
      <c r="BZ100" s="47">
        <v>0.4562500000000001</v>
      </c>
      <c r="CA100" s="47">
        <v>0.41050000000000014</v>
      </c>
      <c r="CB100" s="47">
        <v>0.46100000000000002</v>
      </c>
      <c r="CC100" s="47">
        <v>0.42774999999999996</v>
      </c>
      <c r="CD100" s="47">
        <v>0.40525</v>
      </c>
      <c r="CE100" s="47">
        <v>0.38449999999999995</v>
      </c>
      <c r="CF100" s="47">
        <v>0.36975000000000002</v>
      </c>
      <c r="CG100" s="47">
        <v>0.32599999999999996</v>
      </c>
      <c r="CH100" s="47">
        <v>0.30049999999999988</v>
      </c>
      <c r="CI100" s="47">
        <v>0.2907499999999999</v>
      </c>
      <c r="CJ100" s="47">
        <v>0.28524999999999989</v>
      </c>
      <c r="CK100" s="47">
        <v>0.27774999999999989</v>
      </c>
      <c r="CL100" s="47">
        <v>0.26999999999999985</v>
      </c>
      <c r="CM100" s="47">
        <v>0.27274999999999988</v>
      </c>
      <c r="CN100" s="47">
        <v>0.25974999999999987</v>
      </c>
      <c r="CO100" s="47">
        <v>9.8999999999999977E-2</v>
      </c>
      <c r="CP100" s="47">
        <v>0.10149999999999995</v>
      </c>
      <c r="CQ100" s="47">
        <v>0.12699999999999997</v>
      </c>
      <c r="CR100" s="47">
        <v>0.12724999999999997</v>
      </c>
      <c r="CS100" s="47">
        <v>0.13949999999999999</v>
      </c>
      <c r="CT100" s="47">
        <v>0.18349999999999997</v>
      </c>
      <c r="CU100" s="47">
        <v>0.19074999999999998</v>
      </c>
      <c r="CV100" s="47">
        <v>0.20599999999999996</v>
      </c>
      <c r="CW100" s="47">
        <v>0.18099999999999999</v>
      </c>
      <c r="CX100" s="47">
        <v>0.17299999999999999</v>
      </c>
      <c r="CY100" s="47">
        <v>0.17050000000000001</v>
      </c>
      <c r="CZ100" s="47">
        <v>0.26725000000000004</v>
      </c>
    </row>
    <row r="101" spans="1:104" x14ac:dyDescent="0.2">
      <c r="A101" s="45" t="s">
        <v>96</v>
      </c>
      <c r="B101" s="46">
        <f t="shared" si="26"/>
        <v>-55.600000000000009</v>
      </c>
      <c r="C101" s="46">
        <f t="shared" si="27"/>
        <v>5.1000000000000005</v>
      </c>
      <c r="D101" s="48">
        <f t="shared" si="28"/>
        <v>19.438667444877403</v>
      </c>
      <c r="E101" s="46"/>
      <c r="F101" s="47">
        <v>7.1000000000000008E-2</v>
      </c>
      <c r="G101" s="47">
        <v>6.5500000000000003E-2</v>
      </c>
      <c r="H101" s="47">
        <v>3.549999999999999E-2</v>
      </c>
      <c r="I101" s="47">
        <v>0.02</v>
      </c>
      <c r="J101" s="47">
        <v>4.0500000000000001E-2</v>
      </c>
      <c r="K101" s="47">
        <v>4.0499999999999994E-2</v>
      </c>
      <c r="L101" s="47">
        <v>1.4999999999999999E-2</v>
      </c>
      <c r="M101" s="47">
        <v>0.03</v>
      </c>
      <c r="N101" s="47">
        <v>7.1000000000000008E-2</v>
      </c>
      <c r="O101" s="47">
        <v>0.10700000000000001</v>
      </c>
      <c r="P101" s="47">
        <v>0.13200000000000001</v>
      </c>
      <c r="Q101" s="47">
        <v>0.158</v>
      </c>
      <c r="R101" s="47">
        <v>0.2545</v>
      </c>
      <c r="S101" s="47">
        <v>0.33100000000000002</v>
      </c>
      <c r="T101" s="47">
        <v>0.52</v>
      </c>
      <c r="U101" s="47">
        <v>0.57600000000000007</v>
      </c>
      <c r="V101" s="47">
        <v>0.54499999999999993</v>
      </c>
      <c r="W101" s="47">
        <v>0.62700000000000011</v>
      </c>
      <c r="X101" s="47">
        <v>0.69850000000000001</v>
      </c>
      <c r="Y101" s="47">
        <v>0.75949999999999995</v>
      </c>
      <c r="Z101" s="47">
        <v>0.79049999999999998</v>
      </c>
      <c r="AA101" s="47">
        <v>0.81049999999999989</v>
      </c>
      <c r="AB101" s="47">
        <v>0.80549999999999999</v>
      </c>
      <c r="AC101" s="47">
        <v>0.8055000000000001</v>
      </c>
      <c r="AD101" s="47">
        <v>0.84149999999999991</v>
      </c>
      <c r="AE101" s="47">
        <v>0.872</v>
      </c>
      <c r="AF101" s="47">
        <v>0.89749999999999996</v>
      </c>
      <c r="AG101" s="47">
        <v>0.89249999999999996</v>
      </c>
      <c r="AH101" s="47">
        <v>0.94850000000000001</v>
      </c>
      <c r="AI101" s="47">
        <v>0.93299999999999994</v>
      </c>
      <c r="AJ101" s="47">
        <v>0.93300000000000005</v>
      </c>
      <c r="AK101" s="47">
        <v>0.83599999999999997</v>
      </c>
      <c r="AL101" s="47">
        <v>0.86199999999999988</v>
      </c>
      <c r="AM101" s="47">
        <v>0.69850000000000001</v>
      </c>
      <c r="AN101" s="47">
        <v>0.67300000000000004</v>
      </c>
      <c r="AO101" s="47">
        <v>0.54549999999999998</v>
      </c>
      <c r="AP101" s="47">
        <v>0.49950000000000006</v>
      </c>
      <c r="AQ101" s="47">
        <v>0.52</v>
      </c>
      <c r="AR101" s="47">
        <v>0.48949999999999999</v>
      </c>
      <c r="AS101" s="47">
        <v>0.48899999999999999</v>
      </c>
      <c r="AT101" s="47">
        <v>0.35649999999999998</v>
      </c>
      <c r="AU101" s="47">
        <v>0.32650000000000001</v>
      </c>
      <c r="AV101" s="47">
        <v>0.2545</v>
      </c>
      <c r="AW101" s="47">
        <v>0.2495</v>
      </c>
      <c r="AX101" s="47">
        <v>0.19350000000000001</v>
      </c>
      <c r="AY101" s="47">
        <v>0.2495</v>
      </c>
      <c r="AZ101" s="47">
        <v>0.26</v>
      </c>
      <c r="BA101" s="47">
        <v>0.377</v>
      </c>
      <c r="BB101" s="47">
        <v>0.48449999999999999</v>
      </c>
      <c r="BC101" s="47">
        <v>0.50950000000000006</v>
      </c>
      <c r="BD101" s="47">
        <v>0.51449999999999996</v>
      </c>
      <c r="BE101" s="47">
        <v>0.44850000000000001</v>
      </c>
      <c r="BF101" s="47">
        <v>0.4335</v>
      </c>
      <c r="BG101" s="47">
        <v>0.44850000000000001</v>
      </c>
      <c r="BH101" s="47">
        <v>0.49400000000000005</v>
      </c>
      <c r="BI101" s="47">
        <v>0.55049999999999999</v>
      </c>
      <c r="BJ101" s="47">
        <v>0.63749999999999996</v>
      </c>
      <c r="BK101" s="47">
        <v>0.64249999999999996</v>
      </c>
      <c r="BL101" s="47">
        <v>0.57099999999999995</v>
      </c>
      <c r="BM101" s="47">
        <v>0.53500000000000003</v>
      </c>
      <c r="BN101" s="47">
        <v>0.5655</v>
      </c>
      <c r="BO101" s="47">
        <v>0.5655</v>
      </c>
      <c r="BP101" s="47">
        <v>0.68350000000000011</v>
      </c>
      <c r="BQ101" s="47">
        <v>0.66300000000000003</v>
      </c>
      <c r="BR101" s="47">
        <v>0.61699999999999999</v>
      </c>
      <c r="BS101" s="47">
        <v>0.42300000000000004</v>
      </c>
      <c r="BT101" s="47">
        <v>0.33650000000000002</v>
      </c>
      <c r="BU101" s="47">
        <v>0.34650000000000003</v>
      </c>
      <c r="BV101" s="47">
        <v>0.24399999999999997</v>
      </c>
      <c r="BW101" s="47">
        <v>0.25949999999999995</v>
      </c>
      <c r="BX101" s="47">
        <v>0.2545</v>
      </c>
      <c r="BY101" s="47">
        <v>0.40249999999999997</v>
      </c>
      <c r="BZ101" s="47">
        <v>0.39750000000000002</v>
      </c>
      <c r="CA101" s="47">
        <v>0.46850000000000003</v>
      </c>
      <c r="CB101" s="47">
        <v>0.4335</v>
      </c>
      <c r="CC101" s="47">
        <v>0.50950000000000006</v>
      </c>
      <c r="CD101" s="47">
        <v>0.5655</v>
      </c>
      <c r="CE101" s="47">
        <v>0.73399999999999999</v>
      </c>
      <c r="CF101" s="47">
        <v>0.77</v>
      </c>
      <c r="CG101" s="47">
        <v>0.82599999999999996</v>
      </c>
      <c r="CH101" s="47">
        <v>0.83649999999999991</v>
      </c>
      <c r="CI101" s="47">
        <v>0.78</v>
      </c>
      <c r="CJ101" s="47">
        <v>0.72950000000000004</v>
      </c>
      <c r="CK101" s="47">
        <v>0.62700000000000011</v>
      </c>
      <c r="CL101" s="47">
        <v>0.58650000000000002</v>
      </c>
      <c r="CM101" s="47">
        <v>0.55549999999999999</v>
      </c>
      <c r="CN101" s="47">
        <v>0.64200000000000002</v>
      </c>
      <c r="CO101" s="47">
        <v>0.65249999999999997</v>
      </c>
      <c r="CP101" s="47">
        <v>0.61199999999999999</v>
      </c>
      <c r="CQ101" s="47">
        <v>0.46899999999999997</v>
      </c>
      <c r="CR101" s="47">
        <v>0.42300000000000004</v>
      </c>
      <c r="CS101" s="47">
        <v>0.37699999999999995</v>
      </c>
      <c r="CT101" s="47">
        <v>0.42300000000000004</v>
      </c>
      <c r="CU101" s="47">
        <v>0.45350000000000001</v>
      </c>
      <c r="CV101" s="47">
        <v>0.46900000000000003</v>
      </c>
      <c r="CW101" s="47">
        <v>0.48950000000000005</v>
      </c>
      <c r="CX101" s="47">
        <v>0.57099999999999995</v>
      </c>
      <c r="CY101" s="47">
        <v>0.52</v>
      </c>
      <c r="CZ101" s="47">
        <v>0.38249999999999995</v>
      </c>
    </row>
    <row r="102" spans="1:104" x14ac:dyDescent="0.2">
      <c r="A102" s="45" t="s">
        <v>98</v>
      </c>
      <c r="B102" s="46">
        <f t="shared" si="26"/>
        <v>-10.199999999999998</v>
      </c>
      <c r="C102" s="46">
        <f t="shared" si="27"/>
        <v>-19.400000000000002</v>
      </c>
      <c r="D102" s="48">
        <f t="shared" si="28"/>
        <v>29.23310981494237</v>
      </c>
      <c r="E102" s="46"/>
      <c r="F102" s="47">
        <v>0.193</v>
      </c>
      <c r="G102" s="47">
        <v>0.39700000000000002</v>
      </c>
      <c r="H102" s="47">
        <v>0.33600000000000002</v>
      </c>
      <c r="I102" s="47">
        <v>0.38700000000000001</v>
      </c>
      <c r="J102" s="47">
        <v>0.26500000000000001</v>
      </c>
      <c r="K102" s="47">
        <v>0.24399999999999999</v>
      </c>
      <c r="L102" s="47">
        <v>0.23400000000000001</v>
      </c>
      <c r="M102" s="47">
        <v>0.214</v>
      </c>
      <c r="N102" s="47">
        <v>0.16299999999999998</v>
      </c>
      <c r="O102" s="47">
        <v>0.13200000000000001</v>
      </c>
      <c r="P102" s="47">
        <v>0.122</v>
      </c>
      <c r="Q102" s="47">
        <v>0.112</v>
      </c>
      <c r="R102" s="47">
        <v>0.14199999999999999</v>
      </c>
      <c r="S102" s="47">
        <v>0.10199999999999999</v>
      </c>
      <c r="T102" s="47">
        <v>0.17299999999999999</v>
      </c>
      <c r="U102" s="47">
        <v>0.20399999999999999</v>
      </c>
      <c r="V102" s="47">
        <v>0.30599999999999999</v>
      </c>
      <c r="W102" s="47">
        <v>0.29499999999999998</v>
      </c>
      <c r="X102" s="47">
        <v>0.27500000000000002</v>
      </c>
      <c r="Y102" s="47">
        <v>0.224</v>
      </c>
      <c r="Z102" s="47">
        <v>0.255</v>
      </c>
      <c r="AA102" s="47">
        <v>0.28499999999999998</v>
      </c>
      <c r="AB102" s="47">
        <v>0.32599999999999996</v>
      </c>
      <c r="AC102" s="47">
        <v>0.40799999999999997</v>
      </c>
      <c r="AD102" s="47">
        <v>0.61199999999999999</v>
      </c>
      <c r="AE102" s="47">
        <v>0.67300000000000004</v>
      </c>
      <c r="AF102" s="47">
        <v>0.64200000000000002</v>
      </c>
      <c r="AG102" s="47">
        <v>0.53</v>
      </c>
      <c r="AH102" s="47">
        <v>0.42799999999999999</v>
      </c>
      <c r="AI102" s="47">
        <v>0.57099999999999995</v>
      </c>
      <c r="AJ102" s="47">
        <v>0.66300000000000003</v>
      </c>
      <c r="AK102" s="47">
        <v>0.71399999999999997</v>
      </c>
      <c r="AL102" s="47">
        <v>0.7649999999999999</v>
      </c>
      <c r="AM102" s="47">
        <v>0.79500000000000004</v>
      </c>
      <c r="AN102" s="47">
        <v>0.84599999999999997</v>
      </c>
      <c r="AO102" s="47">
        <v>0.877</v>
      </c>
      <c r="AP102" s="47">
        <v>0.89700000000000002</v>
      </c>
      <c r="AQ102" s="47">
        <v>0.92800000000000005</v>
      </c>
      <c r="AR102" s="47">
        <v>0.93799999999999994</v>
      </c>
      <c r="AS102" s="47">
        <v>0.91800000000000004</v>
      </c>
      <c r="AT102" s="47">
        <v>0.88700000000000001</v>
      </c>
      <c r="AU102" s="47">
        <v>0.86699999999999999</v>
      </c>
      <c r="AV102" s="47">
        <v>0.85699999999999998</v>
      </c>
      <c r="AW102" s="47">
        <v>0.83599999999999997</v>
      </c>
      <c r="AX102" s="47">
        <v>0.80600000000000005</v>
      </c>
      <c r="AY102" s="47">
        <v>0.755</v>
      </c>
      <c r="AZ102" s="47">
        <v>0.69299999999999995</v>
      </c>
      <c r="BA102" s="47">
        <v>0.63200000000000001</v>
      </c>
      <c r="BB102" s="47">
        <v>0.35699999999999998</v>
      </c>
      <c r="BC102" s="47">
        <v>0.153</v>
      </c>
      <c r="BD102" s="47">
        <v>9.0999999999999984E-2</v>
      </c>
      <c r="BE102" s="47">
        <v>7.0999999999999994E-2</v>
      </c>
      <c r="BF102" s="47">
        <v>6.0999999999999999E-2</v>
      </c>
      <c r="BG102" s="47">
        <v>0.04</v>
      </c>
      <c r="BH102" s="47">
        <v>0.02</v>
      </c>
      <c r="BI102" s="47">
        <v>0</v>
      </c>
      <c r="BJ102" s="47">
        <v>0.01</v>
      </c>
      <c r="BK102" s="47">
        <v>3.0000000000000002E-2</v>
      </c>
      <c r="BL102" s="47">
        <v>5.0999999999999997E-2</v>
      </c>
      <c r="BM102" s="47">
        <v>8.1000000000000003E-2</v>
      </c>
      <c r="BN102" s="47">
        <v>0.18300000000000002</v>
      </c>
      <c r="BO102" s="47">
        <v>0.56100000000000005</v>
      </c>
      <c r="BP102" s="47">
        <v>0.72399999999999987</v>
      </c>
      <c r="BQ102" s="47">
        <v>0.77500000000000013</v>
      </c>
      <c r="BR102" s="47">
        <v>0.82599999999999996</v>
      </c>
      <c r="BS102" s="47">
        <v>0.94799999999999995</v>
      </c>
      <c r="BT102" s="47">
        <v>0.97899999999999998</v>
      </c>
      <c r="BU102" s="47">
        <v>1</v>
      </c>
      <c r="BV102" s="47">
        <v>0.98899999999999999</v>
      </c>
      <c r="BW102" s="47">
        <v>0.96899999999999997</v>
      </c>
      <c r="BX102" s="47">
        <v>0.95899999999999996</v>
      </c>
      <c r="BY102" s="47">
        <v>0.90800000000000003</v>
      </c>
      <c r="BZ102" s="47">
        <v>0.81599999999999995</v>
      </c>
      <c r="CA102" s="47">
        <v>0.78500000000000003</v>
      </c>
      <c r="CB102" s="47">
        <v>0.74399999999999999</v>
      </c>
      <c r="CC102" s="47">
        <v>0.7340000000000001</v>
      </c>
      <c r="CD102" s="47">
        <v>0.70399999999999996</v>
      </c>
      <c r="CE102" s="47">
        <v>0.68300000000000005</v>
      </c>
      <c r="CF102" s="47">
        <v>0.65300000000000002</v>
      </c>
      <c r="CG102" s="47">
        <v>0.622</v>
      </c>
      <c r="CH102" s="47">
        <v>0.58099999999999996</v>
      </c>
      <c r="CI102" s="47">
        <v>0.54</v>
      </c>
      <c r="CJ102" s="47">
        <v>0.44800000000000001</v>
      </c>
      <c r="CK102" s="47">
        <v>0.377</v>
      </c>
      <c r="CL102" s="47">
        <v>0.51</v>
      </c>
      <c r="CM102" s="47">
        <v>0.438</v>
      </c>
      <c r="CN102" s="47">
        <v>0.59099999999999997</v>
      </c>
      <c r="CO102" s="47">
        <v>0.52</v>
      </c>
      <c r="CP102" s="47">
        <v>0.60199999999999998</v>
      </c>
      <c r="CQ102" s="47">
        <v>0.45900000000000002</v>
      </c>
      <c r="CR102" s="47">
        <v>0.5</v>
      </c>
      <c r="CS102" s="47">
        <v>0.47900000000000004</v>
      </c>
      <c r="CT102" s="47">
        <v>0.55100000000000005</v>
      </c>
      <c r="CU102" s="47">
        <v>0.48899999999999999</v>
      </c>
      <c r="CV102" s="47">
        <v>0.46899999999999997</v>
      </c>
      <c r="CW102" s="47">
        <v>0.41799999999999998</v>
      </c>
      <c r="CX102" s="47">
        <v>0.36700000000000005</v>
      </c>
      <c r="CY102" s="47">
        <v>0.34599999999999997</v>
      </c>
      <c r="CZ102" s="47">
        <v>0.316</v>
      </c>
    </row>
    <row r="103" spans="1:104" x14ac:dyDescent="0.2">
      <c r="A103" s="45" t="s">
        <v>100</v>
      </c>
      <c r="B103" s="46">
        <f t="shared" si="26"/>
        <v>8.9857142857142964</v>
      </c>
      <c r="C103" s="46">
        <f t="shared" si="27"/>
        <v>6.9071428571428566</v>
      </c>
      <c r="D103" s="48">
        <f t="shared" si="28"/>
        <v>15.502358293497393</v>
      </c>
      <c r="E103" s="46"/>
      <c r="F103" s="47">
        <v>0.48635714285714288</v>
      </c>
      <c r="G103" s="47">
        <v>0.5088571428571429</v>
      </c>
      <c r="H103" s="47">
        <v>0.47399999999999998</v>
      </c>
      <c r="I103" s="47">
        <v>0.41728571428571432</v>
      </c>
      <c r="J103" s="47">
        <v>0.37521428571428572</v>
      </c>
      <c r="K103" s="47">
        <v>0.307</v>
      </c>
      <c r="L103" s="47">
        <v>0.26664285714285718</v>
      </c>
      <c r="M103" s="47">
        <v>0.22664285714285715</v>
      </c>
      <c r="N103" s="47">
        <v>0.20707142857142855</v>
      </c>
      <c r="O103" s="47">
        <v>0.18864285714285714</v>
      </c>
      <c r="P103" s="47">
        <v>0.21971428571428572</v>
      </c>
      <c r="Q103" s="47">
        <v>0.22857142857142859</v>
      </c>
      <c r="R103" s="47">
        <v>0.251</v>
      </c>
      <c r="S103" s="47">
        <v>0.24257142857142852</v>
      </c>
      <c r="T103" s="47">
        <v>0.24900000000000003</v>
      </c>
      <c r="U103" s="47">
        <v>0.27085714285714291</v>
      </c>
      <c r="V103" s="47">
        <v>0.35642857142857137</v>
      </c>
      <c r="W103" s="47">
        <v>0.39649999999999991</v>
      </c>
      <c r="X103" s="47">
        <v>0.44650000000000006</v>
      </c>
      <c r="Y103" s="47">
        <v>0.443</v>
      </c>
      <c r="Z103" s="47">
        <v>0.46200000000000008</v>
      </c>
      <c r="AA103" s="47">
        <v>0.47807142857142854</v>
      </c>
      <c r="AB103" s="47">
        <v>0.48757142857142854</v>
      </c>
      <c r="AC103" s="47">
        <v>0.49892857142857139</v>
      </c>
      <c r="AD103" s="47">
        <v>0.5357142857142857</v>
      </c>
      <c r="AE103" s="47">
        <v>0.62807142857142861</v>
      </c>
      <c r="AF103" s="47">
        <v>0.64607142857142863</v>
      </c>
      <c r="AG103" s="47">
        <v>0.65335714285714286</v>
      </c>
      <c r="AH103" s="47">
        <v>0.66700000000000004</v>
      </c>
      <c r="AI103" s="47">
        <v>0.66649999999999998</v>
      </c>
      <c r="AJ103" s="47">
        <v>0.67885714285714294</v>
      </c>
      <c r="AK103" s="47">
        <v>0.7132857142857143</v>
      </c>
      <c r="AL103" s="47">
        <v>0.74342857142857122</v>
      </c>
      <c r="AM103" s="47">
        <v>0.78557142857142859</v>
      </c>
      <c r="AN103" s="47">
        <v>0.83007142857142857</v>
      </c>
      <c r="AO103" s="47">
        <v>0.81392857142857167</v>
      </c>
      <c r="AP103" s="47">
        <v>0.75414285714285711</v>
      </c>
      <c r="AQ103" s="47">
        <v>0.74085714285714288</v>
      </c>
      <c r="AR103" s="47">
        <v>0.6984999999999999</v>
      </c>
      <c r="AS103" s="47">
        <v>0.67792857142857155</v>
      </c>
      <c r="AT103" s="47">
        <v>0.59971428571428564</v>
      </c>
      <c r="AU103" s="47">
        <v>0.57985714285714296</v>
      </c>
      <c r="AV103" s="47">
        <v>0.52778571428571441</v>
      </c>
      <c r="AW103" s="47">
        <v>0.53992857142857131</v>
      </c>
      <c r="AX103" s="47">
        <v>0.52328571428571424</v>
      </c>
      <c r="AY103" s="47">
        <v>0.52214285714285724</v>
      </c>
      <c r="AZ103" s="47">
        <v>0.54</v>
      </c>
      <c r="BA103" s="47">
        <v>0.55214285714285705</v>
      </c>
      <c r="BB103" s="47">
        <v>0.63050000000000017</v>
      </c>
      <c r="BC103" s="47">
        <v>0.60071428571428565</v>
      </c>
      <c r="BD103" s="47">
        <v>0.57000000000000006</v>
      </c>
      <c r="BE103" s="47">
        <v>0.45192857142857151</v>
      </c>
      <c r="BF103" s="47">
        <v>0.42249999999999999</v>
      </c>
      <c r="BG103" s="47">
        <v>0.36499999999999999</v>
      </c>
      <c r="BH103" s="47">
        <v>0.33642857142857147</v>
      </c>
      <c r="BI103" s="47">
        <v>0.29378571428571426</v>
      </c>
      <c r="BJ103" s="47">
        <v>0.2673571428571429</v>
      </c>
      <c r="BK103" s="47">
        <v>0.24864285714285717</v>
      </c>
      <c r="BL103" s="47">
        <v>0.24885714285714289</v>
      </c>
      <c r="BM103" s="47">
        <v>0.24485714285714291</v>
      </c>
      <c r="BN103" s="47">
        <v>0.25185714285714284</v>
      </c>
      <c r="BO103" s="47">
        <v>0.26385714285714285</v>
      </c>
      <c r="BP103" s="47">
        <v>0.28307142857142858</v>
      </c>
      <c r="BQ103" s="47">
        <v>0.32692857142857146</v>
      </c>
      <c r="BR103" s="47">
        <v>0.39900000000000008</v>
      </c>
      <c r="BS103" s="47">
        <v>0.45942857142857146</v>
      </c>
      <c r="BT103" s="47">
        <v>0.52928571428571436</v>
      </c>
      <c r="BU103" s="47">
        <v>0.60421428571428581</v>
      </c>
      <c r="BV103" s="47">
        <v>0.60050000000000003</v>
      </c>
      <c r="BW103" s="47">
        <v>0.62928571428571434</v>
      </c>
      <c r="BX103" s="47">
        <v>0.63492857142857151</v>
      </c>
      <c r="BY103" s="47">
        <v>0.64935714285714297</v>
      </c>
      <c r="BZ103" s="47">
        <v>0.57278571428571434</v>
      </c>
      <c r="CA103" s="47">
        <v>0.55049999999999999</v>
      </c>
      <c r="CB103" s="47">
        <v>0.54242857142857148</v>
      </c>
      <c r="CC103" s="47">
        <v>0.60085714285714298</v>
      </c>
      <c r="CD103" s="47">
        <v>0.58164285714285702</v>
      </c>
      <c r="CE103" s="47">
        <v>0.59942857142857153</v>
      </c>
      <c r="CF103" s="47">
        <v>0.63928571428571435</v>
      </c>
      <c r="CG103" s="47">
        <v>0.64357142857142857</v>
      </c>
      <c r="CH103" s="47">
        <v>0.6457142857142858</v>
      </c>
      <c r="CI103" s="47">
        <v>0.64014285714285735</v>
      </c>
      <c r="CJ103" s="47">
        <v>0.61035714285714282</v>
      </c>
      <c r="CK103" s="47">
        <v>0.60842857142857132</v>
      </c>
      <c r="CL103" s="47">
        <v>0.65199999999999991</v>
      </c>
      <c r="CM103" s="47">
        <v>0.66307142857142864</v>
      </c>
      <c r="CN103" s="47">
        <v>0.70950000000000002</v>
      </c>
      <c r="CO103" s="47">
        <v>0.6677142857142857</v>
      </c>
      <c r="CP103" s="47">
        <v>0.65335714285714275</v>
      </c>
      <c r="CQ103" s="47">
        <v>0.56721428571428578</v>
      </c>
      <c r="CR103" s="47">
        <v>0.53092857142857153</v>
      </c>
      <c r="CS103" s="47">
        <v>0.51992857142857152</v>
      </c>
      <c r="CT103" s="47">
        <v>0.49292857142857144</v>
      </c>
      <c r="CU103" s="47">
        <v>0.45435714285714285</v>
      </c>
      <c r="CV103" s="47">
        <v>0.40042857142857141</v>
      </c>
      <c r="CW103" s="47">
        <v>0.36835714285714277</v>
      </c>
      <c r="CX103" s="47">
        <v>0.36100000000000004</v>
      </c>
      <c r="CY103" s="47">
        <v>0.37500000000000006</v>
      </c>
      <c r="CZ103" s="47">
        <v>0.37200000000000005</v>
      </c>
    </row>
    <row r="104" spans="1:104" x14ac:dyDescent="0.2">
      <c r="A104" s="45" t="s">
        <v>102</v>
      </c>
      <c r="B104" s="46">
        <f t="shared" si="26"/>
        <v>-15.550000000000008</v>
      </c>
      <c r="C104" s="46">
        <f t="shared" si="27"/>
        <v>13.049999999999997</v>
      </c>
      <c r="D104" s="48">
        <f t="shared" si="28"/>
        <v>23.386402783381779</v>
      </c>
      <c r="E104" s="46"/>
      <c r="F104" s="47">
        <v>0.28299999999999997</v>
      </c>
      <c r="G104" s="47">
        <v>0.28299999999999997</v>
      </c>
      <c r="H104" s="47">
        <v>0.17324999999999999</v>
      </c>
      <c r="I104" s="47">
        <v>0.1525</v>
      </c>
      <c r="J104" s="47">
        <v>0.13749999999999998</v>
      </c>
      <c r="K104" s="47">
        <v>0.13974999999999999</v>
      </c>
      <c r="L104" s="47">
        <v>0.11424999999999999</v>
      </c>
      <c r="M104" s="47">
        <v>9.3750000000000014E-2</v>
      </c>
      <c r="N104" s="47">
        <v>7.6249999999999998E-2</v>
      </c>
      <c r="O104" s="47">
        <v>6.0999999999999999E-2</v>
      </c>
      <c r="P104" s="47">
        <v>6.0999999999999999E-2</v>
      </c>
      <c r="Q104" s="47">
        <v>6.0500000000000005E-2</v>
      </c>
      <c r="R104" s="47">
        <v>0.10174999999999999</v>
      </c>
      <c r="S104" s="47">
        <v>9.425E-2</v>
      </c>
      <c r="T104" s="47">
        <v>0.13974999999999999</v>
      </c>
      <c r="U104" s="47">
        <v>0.14249999999999999</v>
      </c>
      <c r="V104" s="47">
        <v>0.26224999999999998</v>
      </c>
      <c r="W104" s="47">
        <v>0.43850000000000006</v>
      </c>
      <c r="X104" s="47">
        <v>0.53249999999999997</v>
      </c>
      <c r="Y104" s="47">
        <v>0.53549999999999998</v>
      </c>
      <c r="Z104" s="47">
        <v>0.59150000000000003</v>
      </c>
      <c r="AA104" s="47">
        <v>0.66025000000000011</v>
      </c>
      <c r="AB104" s="47">
        <v>0.62925000000000009</v>
      </c>
      <c r="AC104" s="47">
        <v>0.69324999999999992</v>
      </c>
      <c r="AD104" s="47">
        <v>0.7390000000000001</v>
      </c>
      <c r="AE104" s="47">
        <v>0.79299999999999993</v>
      </c>
      <c r="AF104" s="47">
        <v>0.78774999999999995</v>
      </c>
      <c r="AG104" s="47">
        <v>0.76474999999999993</v>
      </c>
      <c r="AH104" s="47">
        <v>0.76475000000000004</v>
      </c>
      <c r="AI104" s="47">
        <v>0.82624999999999993</v>
      </c>
      <c r="AJ104" s="47">
        <v>0.87199999999999989</v>
      </c>
      <c r="AK104" s="47">
        <v>0.91</v>
      </c>
      <c r="AL104" s="47">
        <v>0.91499999999999992</v>
      </c>
      <c r="AM104" s="47">
        <v>0.89224999999999988</v>
      </c>
      <c r="AN104" s="47">
        <v>0.87675000000000003</v>
      </c>
      <c r="AO104" s="47">
        <v>0.84375</v>
      </c>
      <c r="AP104" s="47">
        <v>0.91274999999999995</v>
      </c>
      <c r="AQ104" s="47">
        <v>0.95100000000000007</v>
      </c>
      <c r="AR104" s="47">
        <v>0.95125000000000004</v>
      </c>
      <c r="AS104" s="47">
        <v>0.94325000000000003</v>
      </c>
      <c r="AT104" s="47">
        <v>0.82100000000000006</v>
      </c>
      <c r="AU104" s="47">
        <v>0.70874999999999999</v>
      </c>
      <c r="AV104" s="47">
        <v>0.54275000000000007</v>
      </c>
      <c r="AW104" s="47">
        <v>0.51724999999999988</v>
      </c>
      <c r="AX104" s="47">
        <v>0.52500000000000002</v>
      </c>
      <c r="AY104" s="47">
        <v>0.56099999999999994</v>
      </c>
      <c r="AZ104" s="47">
        <v>0.63449999999999995</v>
      </c>
      <c r="BA104" s="47">
        <v>0.67800000000000005</v>
      </c>
      <c r="BB104" s="47">
        <v>0.64249999999999996</v>
      </c>
      <c r="BC104" s="47">
        <v>0.42025000000000001</v>
      </c>
      <c r="BD104" s="47">
        <v>0.36674999999999996</v>
      </c>
      <c r="BE104" s="47">
        <v>0.28799999999999998</v>
      </c>
      <c r="BF104" s="47">
        <v>0.34400000000000008</v>
      </c>
      <c r="BG104" s="47">
        <v>0.29775000000000001</v>
      </c>
      <c r="BH104" s="47">
        <v>0.3105</v>
      </c>
      <c r="BI104" s="47">
        <v>0.29025000000000001</v>
      </c>
      <c r="BJ104" s="47">
        <v>0.29299999999999998</v>
      </c>
      <c r="BK104" s="47">
        <v>0.35400000000000004</v>
      </c>
      <c r="BL104" s="47">
        <v>0.36725000000000002</v>
      </c>
      <c r="BM104" s="47">
        <v>0.39775000000000005</v>
      </c>
      <c r="BN104" s="47">
        <v>0.38725000000000004</v>
      </c>
      <c r="BO104" s="47">
        <v>0.30824999999999997</v>
      </c>
      <c r="BP104" s="47">
        <v>0.33624999999999994</v>
      </c>
      <c r="BQ104" s="47">
        <v>0.3745</v>
      </c>
      <c r="BR104" s="47">
        <v>0.46899999999999997</v>
      </c>
      <c r="BS104" s="47">
        <v>0.63975000000000004</v>
      </c>
      <c r="BT104" s="47">
        <v>0.69324999999999992</v>
      </c>
      <c r="BU104" s="47">
        <v>0.7420000000000001</v>
      </c>
      <c r="BV104" s="47">
        <v>0.77524999999999999</v>
      </c>
      <c r="BW104" s="47">
        <v>0.82374999999999998</v>
      </c>
      <c r="BX104" s="47">
        <v>0.76974999999999993</v>
      </c>
      <c r="BY104" s="47">
        <v>0.71624999999999994</v>
      </c>
      <c r="BZ104" s="47">
        <v>0.59124999999999994</v>
      </c>
      <c r="CA104" s="47">
        <v>0.67274999999999985</v>
      </c>
      <c r="CB104" s="47">
        <v>0.74175000000000002</v>
      </c>
      <c r="CC104" s="47">
        <v>0.83874999999999988</v>
      </c>
      <c r="CD104" s="47">
        <v>0.7955000000000001</v>
      </c>
      <c r="CE104" s="47">
        <v>0.73150000000000004</v>
      </c>
      <c r="CF104" s="47">
        <v>0.66300000000000003</v>
      </c>
      <c r="CG104" s="47">
        <v>0.60424999999999995</v>
      </c>
      <c r="CH104" s="47">
        <v>0.57074999999999998</v>
      </c>
      <c r="CI104" s="47">
        <v>0.51224999999999998</v>
      </c>
      <c r="CJ104" s="47">
        <v>0.4355</v>
      </c>
      <c r="CK104" s="47">
        <v>0.377</v>
      </c>
      <c r="CL104" s="47">
        <v>0.53025</v>
      </c>
      <c r="CM104" s="47">
        <v>0.49199999999999994</v>
      </c>
      <c r="CN104" s="47">
        <v>0.54799999999999993</v>
      </c>
      <c r="CO104" s="47">
        <v>0.39250000000000002</v>
      </c>
      <c r="CP104" s="47">
        <v>0.40749999999999997</v>
      </c>
      <c r="CQ104" s="47">
        <v>0.27250000000000002</v>
      </c>
      <c r="CR104" s="47">
        <v>0.29775000000000001</v>
      </c>
      <c r="CS104" s="47">
        <v>0.35675000000000001</v>
      </c>
      <c r="CT104" s="47">
        <v>0.38724999999999998</v>
      </c>
      <c r="CU104" s="47">
        <v>0.32350000000000001</v>
      </c>
      <c r="CV104" s="47">
        <v>0.26974999999999999</v>
      </c>
      <c r="CW104" s="47">
        <v>0.26</v>
      </c>
      <c r="CX104" s="47">
        <v>0.2495</v>
      </c>
      <c r="CY104" s="47">
        <v>0.26474999999999999</v>
      </c>
      <c r="CZ104" s="47">
        <v>0.25974999999999998</v>
      </c>
    </row>
    <row r="105" spans="1:104" x14ac:dyDescent="0.2">
      <c r="A105" s="45" t="s">
        <v>104</v>
      </c>
      <c r="B105" s="46">
        <f t="shared" si="26"/>
        <v>37.44</v>
      </c>
      <c r="C105" s="46">
        <f t="shared" si="27"/>
        <v>3.4500000000000028</v>
      </c>
      <c r="D105" s="48">
        <f t="shared" si="28"/>
        <v>23.485299040521689</v>
      </c>
      <c r="E105" s="46"/>
      <c r="F105" s="47">
        <v>0.47959999999999992</v>
      </c>
      <c r="G105" s="47">
        <v>0.48019999999999979</v>
      </c>
      <c r="H105" s="47">
        <v>0.45169999999999988</v>
      </c>
      <c r="I105" s="47">
        <v>0.44509999999999988</v>
      </c>
      <c r="J105" s="47">
        <v>0.45339999999999991</v>
      </c>
      <c r="K105" s="47">
        <v>0.48400000000000004</v>
      </c>
      <c r="L105" s="47">
        <v>0.51039999999999996</v>
      </c>
      <c r="M105" s="47">
        <v>0.5089999999999999</v>
      </c>
      <c r="N105" s="47">
        <v>0.44369999999999993</v>
      </c>
      <c r="O105" s="47">
        <v>0.3332</v>
      </c>
      <c r="P105" s="47">
        <v>0.27189999999999998</v>
      </c>
      <c r="Q105" s="47">
        <v>0.18559999999999999</v>
      </c>
      <c r="R105" s="47">
        <v>0.13799999999999996</v>
      </c>
      <c r="S105" s="47">
        <v>8.5799999999999987E-2</v>
      </c>
      <c r="T105" s="47">
        <v>6.1900000000000004E-2</v>
      </c>
      <c r="U105" s="47">
        <v>4.7899999999999998E-2</v>
      </c>
      <c r="V105" s="47">
        <v>8.3199999999999941E-2</v>
      </c>
      <c r="W105" s="47">
        <v>0.10519999999999989</v>
      </c>
      <c r="X105" s="47">
        <v>9.4699999999999909E-2</v>
      </c>
      <c r="Y105" s="47">
        <v>9.7599999999999881E-2</v>
      </c>
      <c r="Z105" s="47">
        <v>0.1253999999999999</v>
      </c>
      <c r="AA105" s="47">
        <v>0.15199999999999991</v>
      </c>
      <c r="AB105" s="47">
        <v>0.20119999999999988</v>
      </c>
      <c r="AC105" s="47">
        <v>0.29459999999999986</v>
      </c>
      <c r="AD105" s="47">
        <v>0.33099999999999979</v>
      </c>
      <c r="AE105" s="47">
        <v>0.37659999999999982</v>
      </c>
      <c r="AF105" s="47">
        <v>0.43059999999999982</v>
      </c>
      <c r="AG105" s="47">
        <v>0.48619999999999974</v>
      </c>
      <c r="AH105" s="47">
        <v>0.55569999999999997</v>
      </c>
      <c r="AI105" s="47">
        <v>0.60780000000000001</v>
      </c>
      <c r="AJ105" s="47">
        <v>0.6734</v>
      </c>
      <c r="AK105" s="47">
        <v>0.7824000000000001</v>
      </c>
      <c r="AL105" s="47">
        <v>0.85720000000000007</v>
      </c>
      <c r="AM105" s="47">
        <v>0.89050000000000018</v>
      </c>
      <c r="AN105" s="47">
        <v>0.8953000000000001</v>
      </c>
      <c r="AO105" s="47">
        <v>0.86440000000000017</v>
      </c>
      <c r="AP105" s="47">
        <v>0.85149999999999992</v>
      </c>
      <c r="AQ105" s="47">
        <v>0.8529000000000001</v>
      </c>
      <c r="AR105" s="47">
        <v>0.82559999999999989</v>
      </c>
      <c r="AS105" s="47">
        <v>0.78569999999999984</v>
      </c>
      <c r="AT105" s="47">
        <v>0.69009999999999994</v>
      </c>
      <c r="AU105" s="47">
        <v>0.65759999999999996</v>
      </c>
      <c r="AV105" s="47">
        <v>0.59629999999999994</v>
      </c>
      <c r="AW105" s="47">
        <v>0.52039999999999986</v>
      </c>
      <c r="AX105" s="47">
        <v>0.44049999999999984</v>
      </c>
      <c r="AY105" s="47">
        <v>0.37679999999999986</v>
      </c>
      <c r="AZ105" s="47">
        <v>0.3651999999999998</v>
      </c>
      <c r="BA105" s="47">
        <v>0.3960999999999999</v>
      </c>
      <c r="BB105" s="47">
        <v>0.38429999999999986</v>
      </c>
      <c r="BC105" s="47">
        <v>0.31129999999999991</v>
      </c>
      <c r="BD105" s="47">
        <v>0.3147999999999998</v>
      </c>
      <c r="BE105" s="47">
        <v>0.35999999999999976</v>
      </c>
      <c r="BF105" s="47">
        <v>0.3796999999999997</v>
      </c>
      <c r="BG105" s="47">
        <v>0.35349999999999976</v>
      </c>
      <c r="BH105" s="47">
        <v>0.33099999999999979</v>
      </c>
      <c r="BI105" s="47">
        <v>0.33129999999999987</v>
      </c>
      <c r="BJ105" s="47">
        <v>0.33439999999999998</v>
      </c>
      <c r="BK105" s="47">
        <v>0.38479999999999998</v>
      </c>
      <c r="BL105" s="47">
        <v>0.46820000000000001</v>
      </c>
      <c r="BM105" s="47">
        <v>0.52079999999999993</v>
      </c>
      <c r="BN105" s="47">
        <v>0.49060000000000004</v>
      </c>
      <c r="BO105" s="47">
        <v>0.42210000000000014</v>
      </c>
      <c r="BP105" s="47">
        <v>0.35820000000000024</v>
      </c>
      <c r="BQ105" s="47">
        <v>0.35290000000000021</v>
      </c>
      <c r="BR105" s="47">
        <v>0.4094000000000001</v>
      </c>
      <c r="BS105" s="47">
        <v>0.46110000000000012</v>
      </c>
      <c r="BT105" s="47">
        <v>0.55940000000000012</v>
      </c>
      <c r="BU105" s="47">
        <v>0.59720000000000006</v>
      </c>
      <c r="BV105" s="47">
        <v>0.61119999999999997</v>
      </c>
      <c r="BW105" s="47">
        <v>0.6351</v>
      </c>
      <c r="BX105" s="47">
        <v>0.61909999999999998</v>
      </c>
      <c r="BY105" s="47">
        <v>0.59960000000000013</v>
      </c>
      <c r="BZ105" s="47">
        <v>0.52400000000000024</v>
      </c>
      <c r="CA105" s="47">
        <v>0.59320000000000006</v>
      </c>
      <c r="CB105" s="47">
        <v>0.60480000000000012</v>
      </c>
      <c r="CC105" s="47">
        <v>0.67349999999999999</v>
      </c>
      <c r="CD105" s="47">
        <v>0.64470000000000016</v>
      </c>
      <c r="CE105" s="47">
        <v>0.68589999999999995</v>
      </c>
      <c r="CF105" s="47">
        <v>0.70569999999999999</v>
      </c>
      <c r="CG105" s="47">
        <v>0.73180000000000012</v>
      </c>
      <c r="CH105" s="47">
        <v>0.76550000000000018</v>
      </c>
      <c r="CI105" s="47">
        <v>0.79620000000000013</v>
      </c>
      <c r="CJ105" s="47">
        <v>0.82540000000000002</v>
      </c>
      <c r="CK105" s="47">
        <v>0.87160000000000004</v>
      </c>
      <c r="CL105" s="47">
        <v>0.9124000000000001</v>
      </c>
      <c r="CM105" s="47">
        <v>0.87939999999999996</v>
      </c>
      <c r="CN105" s="47">
        <v>0.82250000000000012</v>
      </c>
      <c r="CO105" s="47">
        <v>0.73140000000000027</v>
      </c>
      <c r="CP105" s="47">
        <v>0.70200000000000018</v>
      </c>
      <c r="CQ105" s="47">
        <v>0.65050000000000008</v>
      </c>
      <c r="CR105" s="47">
        <v>0.66850000000000009</v>
      </c>
      <c r="CS105" s="47">
        <v>0.66260000000000019</v>
      </c>
      <c r="CT105" s="47">
        <v>0.61520000000000008</v>
      </c>
      <c r="CU105" s="47">
        <v>0.40790000000000015</v>
      </c>
      <c r="CV105" s="47">
        <v>0.36100000000000021</v>
      </c>
      <c r="CW105" s="47">
        <v>0.34970000000000012</v>
      </c>
      <c r="CX105" s="47">
        <v>0.32830000000000026</v>
      </c>
      <c r="CY105" s="47">
        <v>0.3223000000000002</v>
      </c>
      <c r="CZ105" s="47">
        <v>0.32130000000000014</v>
      </c>
    </row>
    <row r="106" spans="1:104" x14ac:dyDescent="0.2">
      <c r="A106" s="45" t="s">
        <v>106</v>
      </c>
      <c r="B106" s="46">
        <f t="shared" si="26"/>
        <v>23.700000000000003</v>
      </c>
      <c r="C106" s="46">
        <f t="shared" si="27"/>
        <v>10.672727272727279</v>
      </c>
      <c r="D106" s="48">
        <f t="shared" si="28"/>
        <v>19.289356245967205</v>
      </c>
      <c r="E106" s="46"/>
      <c r="F106" s="47">
        <v>0.60127272727272729</v>
      </c>
      <c r="G106" s="47">
        <v>0.59345454545454546</v>
      </c>
      <c r="H106" s="47">
        <v>0.53881818181818175</v>
      </c>
      <c r="I106" s="47">
        <v>0.49454545454545451</v>
      </c>
      <c r="J106" s="47">
        <v>0.39527272727272711</v>
      </c>
      <c r="K106" s="47">
        <v>0.33372727272727254</v>
      </c>
      <c r="L106" s="47">
        <v>0.28781818181818164</v>
      </c>
      <c r="M106" s="47">
        <v>0.27563636363636346</v>
      </c>
      <c r="N106" s="47">
        <v>0.17372727272727262</v>
      </c>
      <c r="O106" s="47">
        <v>0.21172727272727263</v>
      </c>
      <c r="P106" s="47">
        <v>0.24218181818181805</v>
      </c>
      <c r="Q106" s="47">
        <v>0.25536363636363624</v>
      </c>
      <c r="R106" s="47">
        <v>0.26418181818181802</v>
      </c>
      <c r="S106" s="47">
        <v>0.2616363636363635</v>
      </c>
      <c r="T106" s="47">
        <v>0.23890909090909082</v>
      </c>
      <c r="U106" s="47">
        <v>0.26063636363636361</v>
      </c>
      <c r="V106" s="47">
        <v>0.31109090909090914</v>
      </c>
      <c r="W106" s="47">
        <v>0.36427272727272725</v>
      </c>
      <c r="X106" s="47">
        <v>0.42099999999999999</v>
      </c>
      <c r="Y106" s="47">
        <v>0.45690909090909093</v>
      </c>
      <c r="Z106" s="47">
        <v>0.47654545454545461</v>
      </c>
      <c r="AA106" s="47">
        <v>0.56109090909090908</v>
      </c>
      <c r="AB106" s="47">
        <v>0.55136363636363639</v>
      </c>
      <c r="AC106" s="47">
        <v>0.51254545454545464</v>
      </c>
      <c r="AD106" s="47">
        <v>0.54981818181818198</v>
      </c>
      <c r="AE106" s="47">
        <v>0.60127272727272751</v>
      </c>
      <c r="AF106" s="47">
        <v>0.65609090909090928</v>
      </c>
      <c r="AG106" s="47">
        <v>0.64909090909090916</v>
      </c>
      <c r="AH106" s="47">
        <v>0.70809090909090933</v>
      </c>
      <c r="AI106" s="47">
        <v>0.6975454545454548</v>
      </c>
      <c r="AJ106" s="47">
        <v>0.66690909090909112</v>
      </c>
      <c r="AK106" s="47">
        <v>0.71727272727272762</v>
      </c>
      <c r="AL106" s="47">
        <v>0.72627272727272751</v>
      </c>
      <c r="AM106" s="47">
        <v>0.75245454545454571</v>
      </c>
      <c r="AN106" s="47">
        <v>0.71363636363636385</v>
      </c>
      <c r="AO106" s="47">
        <v>0.78927272727272735</v>
      </c>
      <c r="AP106" s="47">
        <v>0.79072727272727272</v>
      </c>
      <c r="AQ106" s="47">
        <v>0.77509090909090916</v>
      </c>
      <c r="AR106" s="47">
        <v>0.72790909090909084</v>
      </c>
      <c r="AS106" s="47">
        <v>0.70690909090909093</v>
      </c>
      <c r="AT106" s="47">
        <v>0.57663636363636372</v>
      </c>
      <c r="AU106" s="47">
        <v>0.48327272727272735</v>
      </c>
      <c r="AV106" s="47">
        <v>0.39236363636363636</v>
      </c>
      <c r="AW106" s="47">
        <v>0.38472727272727281</v>
      </c>
      <c r="AX106" s="47">
        <v>0.40863636363636363</v>
      </c>
      <c r="AY106" s="47">
        <v>0.46463636363636363</v>
      </c>
      <c r="AZ106" s="47">
        <v>0.50300000000000011</v>
      </c>
      <c r="BA106" s="47">
        <v>0.40972727272727283</v>
      </c>
      <c r="BB106" s="47">
        <v>0.3204545454545456</v>
      </c>
      <c r="BC106" s="47">
        <v>0.23172727272727289</v>
      </c>
      <c r="BD106" s="47">
        <v>0.19409090909090917</v>
      </c>
      <c r="BE106" s="47">
        <v>0.17045454545454547</v>
      </c>
      <c r="BF106" s="47">
        <v>0.20236363636363633</v>
      </c>
      <c r="BG106" s="47">
        <v>0.24045454545454537</v>
      </c>
      <c r="BH106" s="47">
        <v>0.28836363636363627</v>
      </c>
      <c r="BI106" s="47">
        <v>0.29263636363636353</v>
      </c>
      <c r="BJ106" s="47">
        <v>0.26618181818181808</v>
      </c>
      <c r="BK106" s="47">
        <v>0.26818181818181813</v>
      </c>
      <c r="BL106" s="47">
        <v>0.29518181818181816</v>
      </c>
      <c r="BM106" s="47">
        <v>0.33072727272727276</v>
      </c>
      <c r="BN106" s="47">
        <v>0.31690909090909092</v>
      </c>
      <c r="BO106" s="47">
        <v>0.30718181818181822</v>
      </c>
      <c r="BP106" s="47">
        <v>0.29881818181818193</v>
      </c>
      <c r="BQ106" s="47">
        <v>0.34636363636363648</v>
      </c>
      <c r="BR106" s="47">
        <v>0.39972727272727288</v>
      </c>
      <c r="BS106" s="47">
        <v>0.46700000000000019</v>
      </c>
      <c r="BT106" s="47">
        <v>0.48518181818181833</v>
      </c>
      <c r="BU106" s="47">
        <v>0.49118181818181844</v>
      </c>
      <c r="BV106" s="47">
        <v>0.5216363636363639</v>
      </c>
      <c r="BW106" s="47">
        <v>0.59236363636363654</v>
      </c>
      <c r="BX106" s="47">
        <v>0.62490909090909119</v>
      </c>
      <c r="BY106" s="47">
        <v>0.62036363636363667</v>
      </c>
      <c r="BZ106" s="47">
        <v>0.61136363636363666</v>
      </c>
      <c r="CA106" s="47">
        <v>0.63854545454545486</v>
      </c>
      <c r="CB106" s="47">
        <v>0.67945454545454576</v>
      </c>
      <c r="CC106" s="47">
        <v>0.70481818181818223</v>
      </c>
      <c r="CD106" s="47">
        <v>0.70863636363636395</v>
      </c>
      <c r="CE106" s="47">
        <v>0.73900000000000021</v>
      </c>
      <c r="CF106" s="47">
        <v>0.73509090909090935</v>
      </c>
      <c r="CG106" s="47">
        <v>0.74236363636363667</v>
      </c>
      <c r="CH106" s="47">
        <v>0.76700000000000035</v>
      </c>
      <c r="CI106" s="47">
        <v>0.7733636363636367</v>
      </c>
      <c r="CJ106" s="47">
        <v>0.79254545454545489</v>
      </c>
      <c r="CK106" s="47">
        <v>0.80227272727272747</v>
      </c>
      <c r="CL106" s="47">
        <v>0.84463636363636407</v>
      </c>
      <c r="CM106" s="47">
        <v>0.79536363636363672</v>
      </c>
      <c r="CN106" s="47">
        <v>0.7863636363636366</v>
      </c>
      <c r="CO106" s="47">
        <v>0.72954545454545483</v>
      </c>
      <c r="CP106" s="47">
        <v>0.70290909090909115</v>
      </c>
      <c r="CQ106" s="47">
        <v>0.64072727272727281</v>
      </c>
      <c r="CR106" s="47">
        <v>0.61727272727272731</v>
      </c>
      <c r="CS106" s="47">
        <v>0.5905454545454546</v>
      </c>
      <c r="CT106" s="47">
        <v>0.52</v>
      </c>
      <c r="CU106" s="47">
        <v>0.42690909090909079</v>
      </c>
      <c r="CV106" s="47">
        <v>0.35127272727272724</v>
      </c>
      <c r="CW106" s="47">
        <v>0.30454545454545451</v>
      </c>
      <c r="CX106" s="47">
        <v>0.2985454545454545</v>
      </c>
      <c r="CY106" s="47">
        <v>0.30118181818181811</v>
      </c>
      <c r="CZ106" s="47">
        <v>0.31681818181818178</v>
      </c>
    </row>
    <row r="107" spans="1:104" x14ac:dyDescent="0.2">
      <c r="A107" s="45" t="s">
        <v>108</v>
      </c>
      <c r="B107" s="46">
        <f t="shared" si="26"/>
        <v>-7.9249999999999998</v>
      </c>
      <c r="C107" s="46">
        <f t="shared" si="27"/>
        <v>1.5</v>
      </c>
      <c r="D107" s="48">
        <f t="shared" si="28"/>
        <v>26.438758511699785</v>
      </c>
      <c r="E107" s="46"/>
      <c r="F107" s="47">
        <v>0.11700000000000001</v>
      </c>
      <c r="G107" s="47">
        <v>0.11700000000000001</v>
      </c>
      <c r="H107" s="47">
        <v>0.1145</v>
      </c>
      <c r="I107" s="47">
        <v>0.10200000000000001</v>
      </c>
      <c r="J107" s="47">
        <v>9.0999999999999998E-2</v>
      </c>
      <c r="K107" s="47">
        <v>7.6000000000000012E-2</v>
      </c>
      <c r="L107" s="47">
        <v>6.6000000000000003E-2</v>
      </c>
      <c r="M107" s="47">
        <v>3.7749999999999992E-2</v>
      </c>
      <c r="N107" s="47">
        <v>4.2749999999999996E-2</v>
      </c>
      <c r="O107" s="47">
        <v>4.8250000000000001E-2</v>
      </c>
      <c r="P107" s="47">
        <v>6.0750000000000019E-2</v>
      </c>
      <c r="Q107" s="47">
        <v>1.2499999999999997E-2</v>
      </c>
      <c r="R107" s="47">
        <v>1.7500000000000005E-2</v>
      </c>
      <c r="S107" s="47">
        <v>0</v>
      </c>
      <c r="T107" s="47">
        <v>0.14275000000000002</v>
      </c>
      <c r="U107" s="47">
        <v>0.20125000000000004</v>
      </c>
      <c r="V107" s="47">
        <v>0.17550000000000002</v>
      </c>
      <c r="W107" s="47">
        <v>0.19625000000000001</v>
      </c>
      <c r="X107" s="47">
        <v>0.16550000000000001</v>
      </c>
      <c r="Y107" s="47">
        <v>0.17799999999999999</v>
      </c>
      <c r="Z107" s="47">
        <v>0.15749999999999997</v>
      </c>
      <c r="AA107" s="47">
        <v>0.19825000000000001</v>
      </c>
      <c r="AB107" s="47">
        <v>0.22400000000000003</v>
      </c>
      <c r="AC107" s="47">
        <v>0.255</v>
      </c>
      <c r="AD107" s="47">
        <v>0.25975000000000004</v>
      </c>
      <c r="AE107" s="47">
        <v>0.2647500000000001</v>
      </c>
      <c r="AF107" s="47">
        <v>0.29575000000000007</v>
      </c>
      <c r="AG107" s="47">
        <v>0.33849999999999997</v>
      </c>
      <c r="AH107" s="47">
        <v>0.36175000000000002</v>
      </c>
      <c r="AI107" s="47">
        <v>0.40275</v>
      </c>
      <c r="AJ107" s="47">
        <v>0.41800000000000004</v>
      </c>
      <c r="AK107" s="47">
        <v>0.38975000000000004</v>
      </c>
      <c r="AL107" s="47">
        <v>0.38250000000000001</v>
      </c>
      <c r="AM107" s="47">
        <v>0.41</v>
      </c>
      <c r="AN107" s="47">
        <v>0.45325000000000004</v>
      </c>
      <c r="AO107" s="47">
        <v>0.45624999999999999</v>
      </c>
      <c r="AP107" s="47">
        <v>0.41275000000000006</v>
      </c>
      <c r="AQ107" s="47">
        <v>0.39725000000000005</v>
      </c>
      <c r="AR107" s="47">
        <v>0.4562500000000001</v>
      </c>
      <c r="AS107" s="47">
        <v>0.49675000000000014</v>
      </c>
      <c r="AT107" s="47">
        <v>0.48425000000000007</v>
      </c>
      <c r="AU107" s="47">
        <v>0.32100000000000006</v>
      </c>
      <c r="AV107" s="47">
        <v>0.24675000000000002</v>
      </c>
      <c r="AW107" s="47">
        <v>0.25950000000000001</v>
      </c>
      <c r="AX107" s="47">
        <v>0.32600000000000007</v>
      </c>
      <c r="AY107" s="47">
        <v>0.33375000000000005</v>
      </c>
      <c r="AZ107" s="47">
        <v>0.32324999999999998</v>
      </c>
      <c r="BA107" s="47">
        <v>0.32324999999999998</v>
      </c>
      <c r="BB107" s="47">
        <v>0.42</v>
      </c>
      <c r="BC107" s="47">
        <v>0.5</v>
      </c>
      <c r="BD107" s="47">
        <v>0.49425000000000002</v>
      </c>
      <c r="BE107" s="47">
        <v>0.48175000000000001</v>
      </c>
      <c r="BF107" s="47">
        <v>0.49175000000000008</v>
      </c>
      <c r="BG107" s="47">
        <v>0.54</v>
      </c>
      <c r="BH107" s="47">
        <v>0.61175000000000013</v>
      </c>
      <c r="BI107" s="47">
        <v>0.66000000000000014</v>
      </c>
      <c r="BJ107" s="47">
        <v>0.70900000000000007</v>
      </c>
      <c r="BK107" s="47">
        <v>0.72650000000000015</v>
      </c>
      <c r="BL107" s="47">
        <v>0.74400000000000022</v>
      </c>
      <c r="BM107" s="47">
        <v>0.75750000000000017</v>
      </c>
      <c r="BN107" s="47">
        <v>0.81325000000000014</v>
      </c>
      <c r="BO107" s="47">
        <v>0.83325000000000016</v>
      </c>
      <c r="BP107" s="47">
        <v>0.87950000000000006</v>
      </c>
      <c r="BQ107" s="47">
        <v>0.90275000000000005</v>
      </c>
      <c r="BR107" s="47">
        <v>0.9305000000000001</v>
      </c>
      <c r="BS107" s="47">
        <v>0.95074999999999998</v>
      </c>
      <c r="BT107" s="47">
        <v>0.97149999999999992</v>
      </c>
      <c r="BU107" s="47">
        <v>0.99175000000000002</v>
      </c>
      <c r="BV107" s="47">
        <v>0.99725000000000008</v>
      </c>
      <c r="BW107" s="47">
        <v>0.97650000000000015</v>
      </c>
      <c r="BX107" s="47">
        <v>0.95625000000000016</v>
      </c>
      <c r="BY107" s="47">
        <v>0.9355</v>
      </c>
      <c r="BZ107" s="47">
        <v>0.91800000000000026</v>
      </c>
      <c r="CA107" s="47">
        <v>0.89975000000000016</v>
      </c>
      <c r="CB107" s="47">
        <v>0.88200000000000012</v>
      </c>
      <c r="CC107" s="47">
        <v>0.86950000000000005</v>
      </c>
      <c r="CD107" s="47">
        <v>0.85949999999999993</v>
      </c>
      <c r="CE107" s="47">
        <v>0.83850000000000002</v>
      </c>
      <c r="CF107" s="47">
        <v>0.82099999999999995</v>
      </c>
      <c r="CG107" s="47">
        <v>0.79525000000000001</v>
      </c>
      <c r="CH107" s="47">
        <v>0.77775000000000005</v>
      </c>
      <c r="CI107" s="47">
        <v>0.75950000000000006</v>
      </c>
      <c r="CJ107" s="47">
        <v>0.73175000000000001</v>
      </c>
      <c r="CK107" s="47">
        <v>0.68850000000000011</v>
      </c>
      <c r="CL107" s="47">
        <v>0.60124999999999995</v>
      </c>
      <c r="CM107" s="47">
        <v>0.622</v>
      </c>
      <c r="CN107" s="47">
        <v>0.66525000000000001</v>
      </c>
      <c r="CO107" s="47">
        <v>0.73650000000000004</v>
      </c>
      <c r="CP107" s="47">
        <v>0.71625000000000005</v>
      </c>
      <c r="CQ107" s="47">
        <v>0.69625000000000004</v>
      </c>
      <c r="CR107" s="47">
        <v>0.6755000000000001</v>
      </c>
      <c r="CS107" s="47">
        <v>0.65550000000000008</v>
      </c>
      <c r="CT107" s="47">
        <v>0.65225</v>
      </c>
      <c r="CU107" s="47">
        <v>0.63500000000000001</v>
      </c>
      <c r="CV107" s="47">
        <v>0.63</v>
      </c>
      <c r="CW107" s="47">
        <v>0.61924999999999997</v>
      </c>
      <c r="CX107" s="47">
        <v>0.61699999999999999</v>
      </c>
      <c r="CY107" s="47">
        <v>0.60175000000000012</v>
      </c>
      <c r="CZ107" s="47">
        <v>0.56375000000000008</v>
      </c>
    </row>
    <row r="108" spans="1:104" x14ac:dyDescent="0.2">
      <c r="A108" s="45" t="s">
        <v>110</v>
      </c>
      <c r="B108" s="46">
        <f t="shared" si="26"/>
        <v>-26.307142857142807</v>
      </c>
      <c r="C108" s="46">
        <f t="shared" si="27"/>
        <v>-19.521428571428544</v>
      </c>
      <c r="D108" s="48">
        <f t="shared" si="28"/>
        <v>14.40894773240487</v>
      </c>
      <c r="E108" s="46"/>
      <c r="F108" s="47">
        <v>0.34635714285714303</v>
      </c>
      <c r="G108" s="47">
        <v>0.34635714285714303</v>
      </c>
      <c r="H108" s="47">
        <v>0.47085714285714286</v>
      </c>
      <c r="I108" s="47">
        <v>0.54157142857142848</v>
      </c>
      <c r="J108" s="47">
        <v>0.43821428571428567</v>
      </c>
      <c r="K108" s="47">
        <v>0.30071428571428582</v>
      </c>
      <c r="L108" s="47">
        <v>0.182857142857143</v>
      </c>
      <c r="M108" s="47">
        <v>0.18435714285714297</v>
      </c>
      <c r="N108" s="47">
        <v>0.27664285714285719</v>
      </c>
      <c r="O108" s="47">
        <v>0.37442857142857139</v>
      </c>
      <c r="P108" s="47">
        <v>0.40514285714285708</v>
      </c>
      <c r="Q108" s="47">
        <v>0.37800000000000011</v>
      </c>
      <c r="R108" s="47">
        <v>0.30800000000000016</v>
      </c>
      <c r="S108" s="47">
        <v>0.21928571428571442</v>
      </c>
      <c r="T108" s="47">
        <v>0.24292857142857158</v>
      </c>
      <c r="U108" s="47">
        <v>0.45321428571428557</v>
      </c>
      <c r="V108" s="47">
        <v>0.55992857142857122</v>
      </c>
      <c r="W108" s="47">
        <v>0.6094285714285711</v>
      </c>
      <c r="X108" s="47">
        <v>0.6419285714285714</v>
      </c>
      <c r="Y108" s="47">
        <v>0.59785714285714275</v>
      </c>
      <c r="Z108" s="47">
        <v>0.57585714285714285</v>
      </c>
      <c r="AA108" s="47">
        <v>0.56585714285714261</v>
      </c>
      <c r="AB108" s="47">
        <v>0.54735714285714276</v>
      </c>
      <c r="AC108" s="47">
        <v>0.57692857142857124</v>
      </c>
      <c r="AD108" s="47">
        <v>0.60057142857142842</v>
      </c>
      <c r="AE108" s="47">
        <v>0.6409999999999999</v>
      </c>
      <c r="AF108" s="47">
        <v>0.73128571428571409</v>
      </c>
      <c r="AG108" s="47">
        <v>0.69464285714285712</v>
      </c>
      <c r="AH108" s="47">
        <v>0.70878571428571413</v>
      </c>
      <c r="AI108" s="47">
        <v>0.61214285714285721</v>
      </c>
      <c r="AJ108" s="47">
        <v>0.63085714285714301</v>
      </c>
      <c r="AK108" s="47">
        <v>0.53100000000000025</v>
      </c>
      <c r="AL108" s="47">
        <v>0.4044285714285718</v>
      </c>
      <c r="AM108" s="47">
        <v>0.35342857142857181</v>
      </c>
      <c r="AN108" s="47">
        <v>0.33371428571428607</v>
      </c>
      <c r="AO108" s="47">
        <v>0.35892857142857187</v>
      </c>
      <c r="AP108" s="47">
        <v>0.39464285714285757</v>
      </c>
      <c r="AQ108" s="47">
        <v>0.40378571428571475</v>
      </c>
      <c r="AR108" s="47">
        <v>0.33085714285714313</v>
      </c>
      <c r="AS108" s="47">
        <v>0.30950000000000027</v>
      </c>
      <c r="AT108" s="47">
        <v>0.23535714285714301</v>
      </c>
      <c r="AU108" s="47">
        <v>0.26528571428571451</v>
      </c>
      <c r="AV108" s="47">
        <v>0.28392857142857164</v>
      </c>
      <c r="AW108" s="47">
        <v>0.40450000000000003</v>
      </c>
      <c r="AX108" s="47">
        <v>0.55649999999999999</v>
      </c>
      <c r="AY108" s="47">
        <v>0.627142857142857</v>
      </c>
      <c r="AZ108" s="47">
        <v>0.61192857142857138</v>
      </c>
      <c r="BA108" s="47">
        <v>0.55499999999999994</v>
      </c>
      <c r="BB108" s="47">
        <v>0.46699999999999986</v>
      </c>
      <c r="BC108" s="47">
        <v>0.38121428571428556</v>
      </c>
      <c r="BD108" s="47">
        <v>0.33128571428571424</v>
      </c>
      <c r="BE108" s="47">
        <v>0.36235714285714277</v>
      </c>
      <c r="BF108" s="47">
        <v>0.38821428571428568</v>
      </c>
      <c r="BG108" s="47">
        <v>0.42507142857142838</v>
      </c>
      <c r="BH108" s="47">
        <v>0.38535714285714268</v>
      </c>
      <c r="BI108" s="47">
        <v>0.32392857142857134</v>
      </c>
      <c r="BJ108" s="47">
        <v>0.46628571428571414</v>
      </c>
      <c r="BK108" s="47">
        <v>0.58035714285714257</v>
      </c>
      <c r="BL108" s="47">
        <v>0.61421428571428538</v>
      </c>
      <c r="BM108" s="47">
        <v>0.64285714285714257</v>
      </c>
      <c r="BN108" s="47">
        <v>0.70242857142857118</v>
      </c>
      <c r="BO108" s="47">
        <v>0.71828571428571397</v>
      </c>
      <c r="BP108" s="47">
        <v>0.73778571428571404</v>
      </c>
      <c r="BQ108" s="47">
        <v>0.7254285714285712</v>
      </c>
      <c r="BR108" s="47">
        <v>0.7194999999999997</v>
      </c>
      <c r="BS108" s="47">
        <v>0.72378571428571403</v>
      </c>
      <c r="BT108" s="47">
        <v>0.72114285714285697</v>
      </c>
      <c r="BU108" s="47">
        <v>0.71492857142857125</v>
      </c>
      <c r="BV108" s="47">
        <v>0.71507142857142847</v>
      </c>
      <c r="BW108" s="47">
        <v>0.67935714285714277</v>
      </c>
      <c r="BX108" s="47">
        <v>0.52721428571428575</v>
      </c>
      <c r="BY108" s="47">
        <v>0.49978571428571422</v>
      </c>
      <c r="BZ108" s="47">
        <v>0.49421428571428577</v>
      </c>
      <c r="CA108" s="47">
        <v>0.54214285714285704</v>
      </c>
      <c r="CB108" s="47">
        <v>0.44592857142857162</v>
      </c>
      <c r="CC108" s="47">
        <v>0.42121428571428587</v>
      </c>
      <c r="CD108" s="47">
        <v>0.43900000000000011</v>
      </c>
      <c r="CE108" s="47">
        <v>0.40850000000000014</v>
      </c>
      <c r="CF108" s="47">
        <v>0.47971428571428587</v>
      </c>
      <c r="CG108" s="47">
        <v>0.52221428571428574</v>
      </c>
      <c r="CH108" s="47">
        <v>0.61192857142857149</v>
      </c>
      <c r="CI108" s="47">
        <v>0.50442857142857156</v>
      </c>
      <c r="CJ108" s="47">
        <v>0.44764285714285723</v>
      </c>
      <c r="CK108" s="47">
        <v>0.38892857142857168</v>
      </c>
      <c r="CL108" s="47">
        <v>0.41878571428571459</v>
      </c>
      <c r="CM108" s="47">
        <v>0.40250000000000025</v>
      </c>
      <c r="CN108" s="47">
        <v>0.43907142857142883</v>
      </c>
      <c r="CO108" s="47">
        <v>0.4284285714285716</v>
      </c>
      <c r="CP108" s="47">
        <v>0.41642857142857165</v>
      </c>
      <c r="CQ108" s="47">
        <v>0.45892857142857163</v>
      </c>
      <c r="CR108" s="47">
        <v>0.47864285714285726</v>
      </c>
      <c r="CS108" s="47">
        <v>0.58657142857142852</v>
      </c>
      <c r="CT108" s="47">
        <v>0.66864285714285709</v>
      </c>
      <c r="CU108" s="47">
        <v>0.71657142857142841</v>
      </c>
      <c r="CV108" s="47">
        <v>0.72992857142857115</v>
      </c>
      <c r="CW108" s="47">
        <v>0.74535714285714272</v>
      </c>
      <c r="CX108" s="47">
        <v>0.71885714285714275</v>
      </c>
      <c r="CY108" s="47">
        <v>0.73064285714285693</v>
      </c>
      <c r="CZ108" s="47">
        <v>0.49578571428571433</v>
      </c>
    </row>
    <row r="109" spans="1:104" x14ac:dyDescent="0.2">
      <c r="A109" s="45" t="s">
        <v>112</v>
      </c>
      <c r="B109" s="46">
        <f t="shared" si="26"/>
        <v>56.240000000000045</v>
      </c>
      <c r="C109" s="46">
        <f t="shared" si="27"/>
        <v>44.29000000000002</v>
      </c>
      <c r="D109" s="48">
        <f t="shared" si="28"/>
        <v>19.663948851959461</v>
      </c>
      <c r="E109" s="46"/>
      <c r="F109" s="47">
        <v>0.80780000000000018</v>
      </c>
      <c r="G109" s="47">
        <v>0.79070000000000029</v>
      </c>
      <c r="H109" s="47">
        <v>0.57510000000000017</v>
      </c>
      <c r="I109" s="47">
        <v>0.36489999999999995</v>
      </c>
      <c r="J109" s="47">
        <v>0.28539999999999988</v>
      </c>
      <c r="K109" s="47">
        <v>0.24789999999999979</v>
      </c>
      <c r="L109" s="47">
        <v>0.21129999999999982</v>
      </c>
      <c r="M109" s="47">
        <v>0.17269999999999985</v>
      </c>
      <c r="N109" s="47">
        <v>0.11689999999999992</v>
      </c>
      <c r="O109" s="47">
        <v>9.1999999999999887E-2</v>
      </c>
      <c r="P109" s="47">
        <v>9.279999999999991E-2</v>
      </c>
      <c r="Q109" s="47">
        <v>7.3899999999999938E-2</v>
      </c>
      <c r="R109" s="47">
        <v>5.0999999999999948E-2</v>
      </c>
      <c r="S109" s="47">
        <v>3.8899999999999955E-2</v>
      </c>
      <c r="T109" s="47">
        <v>9.0899999999999856E-2</v>
      </c>
      <c r="U109" s="47">
        <v>0.40360000000000013</v>
      </c>
      <c r="V109" s="47">
        <v>0.20359999999999981</v>
      </c>
      <c r="W109" s="47">
        <v>0.24539999999999976</v>
      </c>
      <c r="X109" s="47">
        <v>0.32729999999999987</v>
      </c>
      <c r="Y109" s="47">
        <v>0.30869999999999975</v>
      </c>
      <c r="Z109" s="47">
        <v>0.34649999999999975</v>
      </c>
      <c r="AA109" s="47">
        <v>0.38379999999999981</v>
      </c>
      <c r="AB109" s="47">
        <v>0.2971999999999998</v>
      </c>
      <c r="AC109" s="47">
        <v>0.3324999999999998</v>
      </c>
      <c r="AD109" s="47">
        <v>0.35149999999999998</v>
      </c>
      <c r="AE109" s="47">
        <v>0.62060000000000004</v>
      </c>
      <c r="AF109" s="47">
        <v>0.55430000000000001</v>
      </c>
      <c r="AG109" s="47">
        <v>0.6726000000000002</v>
      </c>
      <c r="AH109" s="47">
        <v>0.70060000000000022</v>
      </c>
      <c r="AI109" s="47">
        <v>0.6352000000000001</v>
      </c>
      <c r="AJ109" s="47">
        <v>0.6351</v>
      </c>
      <c r="AK109" s="47">
        <v>0.60890000000000011</v>
      </c>
      <c r="AL109" s="47">
        <v>0.7361000000000002</v>
      </c>
      <c r="AM109" s="47">
        <v>0.71090000000000009</v>
      </c>
      <c r="AN109" s="47">
        <v>0.68540000000000001</v>
      </c>
      <c r="AO109" s="47">
        <v>0.72839999999999971</v>
      </c>
      <c r="AP109" s="47">
        <v>0.73819999999999975</v>
      </c>
      <c r="AQ109" s="47">
        <v>0.8204999999999999</v>
      </c>
      <c r="AR109" s="47">
        <v>0.75719999999999976</v>
      </c>
      <c r="AS109" s="47">
        <v>0.5782999999999997</v>
      </c>
      <c r="AT109" s="47">
        <v>0.45569999999999977</v>
      </c>
      <c r="AU109" s="47">
        <v>0.35149999999999965</v>
      </c>
      <c r="AV109" s="47">
        <v>0.35909999999999959</v>
      </c>
      <c r="AW109" s="47">
        <v>0.46039999999999986</v>
      </c>
      <c r="AX109" s="47">
        <v>0.5673999999999999</v>
      </c>
      <c r="AY109" s="47">
        <v>0.60339999999999994</v>
      </c>
      <c r="AZ109" s="47">
        <v>0.54039999999999999</v>
      </c>
      <c r="BA109" s="47">
        <v>0.40640000000000015</v>
      </c>
      <c r="BB109" s="47">
        <v>0.36780000000000024</v>
      </c>
      <c r="BC109" s="47">
        <v>0.27570000000000017</v>
      </c>
      <c r="BD109" s="47">
        <v>0.41620000000000029</v>
      </c>
      <c r="BE109" s="47">
        <v>0.42390000000000005</v>
      </c>
      <c r="BF109" s="47">
        <v>0.40659999999999991</v>
      </c>
      <c r="BG109" s="47">
        <v>0.41789999999999994</v>
      </c>
      <c r="BH109" s="47">
        <v>0.2659999999999999</v>
      </c>
      <c r="BI109" s="47">
        <v>0.23569999999999988</v>
      </c>
      <c r="BJ109" s="47">
        <v>0.19809999999999989</v>
      </c>
      <c r="BK109" s="47">
        <v>0.38489999999999991</v>
      </c>
      <c r="BL109" s="47">
        <v>0.48890000000000011</v>
      </c>
      <c r="BM109" s="47">
        <v>0.49230000000000002</v>
      </c>
      <c r="BN109" s="47">
        <v>0.4552000000000001</v>
      </c>
      <c r="BO109" s="47">
        <v>0.3669</v>
      </c>
      <c r="BP109" s="47">
        <v>0.43609999999999993</v>
      </c>
      <c r="BQ109" s="47">
        <v>0.52470000000000006</v>
      </c>
      <c r="BR109" s="47">
        <v>0.66800000000000004</v>
      </c>
      <c r="BS109" s="47">
        <v>0.6887000000000002</v>
      </c>
      <c r="BT109" s="47">
        <v>0.79530000000000034</v>
      </c>
      <c r="BU109" s="47">
        <v>0.71560000000000035</v>
      </c>
      <c r="BV109" s="47">
        <v>0.68960000000000043</v>
      </c>
      <c r="BW109" s="47">
        <v>0.55870000000000042</v>
      </c>
      <c r="BX109" s="47">
        <v>0.53170000000000028</v>
      </c>
      <c r="BY109" s="47">
        <v>0.59250000000000036</v>
      </c>
      <c r="BZ109" s="47">
        <v>0.5830000000000003</v>
      </c>
      <c r="CA109" s="47">
        <v>0.65430000000000021</v>
      </c>
      <c r="CB109" s="47">
        <v>0.66400000000000003</v>
      </c>
      <c r="CC109" s="47">
        <v>0.80940000000000012</v>
      </c>
      <c r="CD109" s="47">
        <v>0.78070000000000017</v>
      </c>
      <c r="CE109" s="47">
        <v>0.83380000000000021</v>
      </c>
      <c r="CF109" s="47">
        <v>0.80030000000000034</v>
      </c>
      <c r="CG109" s="47">
        <v>0.78770000000000029</v>
      </c>
      <c r="CH109" s="47">
        <v>0.73970000000000002</v>
      </c>
      <c r="CI109" s="47">
        <v>0.68450000000000011</v>
      </c>
      <c r="CJ109" s="47">
        <v>0.72580000000000022</v>
      </c>
      <c r="CK109" s="47">
        <v>0.76250000000000007</v>
      </c>
      <c r="CL109" s="47">
        <v>0.80940000000000023</v>
      </c>
      <c r="CM109" s="47">
        <v>0.83110000000000039</v>
      </c>
      <c r="CN109" s="47">
        <v>0.7996000000000002</v>
      </c>
      <c r="CO109" s="47">
        <v>0.57699999999999996</v>
      </c>
      <c r="CP109" s="47">
        <v>0.52629999999999988</v>
      </c>
      <c r="CQ109" s="47">
        <v>0.44869999999999982</v>
      </c>
      <c r="CR109" s="47">
        <v>0.4614999999999998</v>
      </c>
      <c r="CS109" s="47">
        <v>0.51879999999999982</v>
      </c>
      <c r="CT109" s="47">
        <v>0.52890000000000004</v>
      </c>
      <c r="CU109" s="47">
        <v>0.50319999999999998</v>
      </c>
      <c r="CV109" s="47">
        <v>0.44539999999999985</v>
      </c>
      <c r="CW109" s="47">
        <v>0.43059999999999976</v>
      </c>
      <c r="CX109" s="47">
        <v>0.39799999999999974</v>
      </c>
      <c r="CY109" s="47">
        <v>0.40199999999999975</v>
      </c>
      <c r="CZ109" s="47">
        <v>0.33199999999999974</v>
      </c>
    </row>
    <row r="110" spans="1:104" x14ac:dyDescent="0.2">
      <c r="A110" s="45" t="s">
        <v>114</v>
      </c>
      <c r="B110" s="46">
        <f t="shared" si="26"/>
        <v>14.7</v>
      </c>
      <c r="C110" s="46">
        <f t="shared" si="27"/>
        <v>-4.2250000000000014</v>
      </c>
      <c r="D110" s="48">
        <f t="shared" si="28"/>
        <v>22.813048915053376</v>
      </c>
      <c r="E110" s="46"/>
      <c r="F110" s="47">
        <v>0.30249999999999994</v>
      </c>
      <c r="G110" s="47">
        <v>0.30249999999999994</v>
      </c>
      <c r="H110" s="47">
        <v>0.30249999999999994</v>
      </c>
      <c r="I110" s="47">
        <v>0.34474999999999995</v>
      </c>
      <c r="J110" s="47">
        <v>0.34387500000000004</v>
      </c>
      <c r="K110" s="47">
        <v>0.34275</v>
      </c>
      <c r="L110" s="47">
        <v>0.30624999999999997</v>
      </c>
      <c r="M110" s="47">
        <v>0.32037499999999997</v>
      </c>
      <c r="N110" s="47">
        <v>0.38412499999999999</v>
      </c>
      <c r="O110" s="47">
        <v>0.36512499999999998</v>
      </c>
      <c r="P110" s="47">
        <v>0.30612499999999998</v>
      </c>
      <c r="Q110" s="47">
        <v>0.28062499999999996</v>
      </c>
      <c r="R110" s="47">
        <v>0.28787499999999999</v>
      </c>
      <c r="S110" s="47">
        <v>0.30212499999999998</v>
      </c>
      <c r="T110" s="47">
        <v>0.28437499999999993</v>
      </c>
      <c r="U110" s="47">
        <v>0.23074999999999993</v>
      </c>
      <c r="V110" s="47">
        <v>0.20062499999999994</v>
      </c>
      <c r="W110" s="47">
        <v>0.15549999999999994</v>
      </c>
      <c r="X110" s="47">
        <v>0.12162499999999996</v>
      </c>
      <c r="Y110" s="47">
        <v>0.13024999999999998</v>
      </c>
      <c r="Z110" s="47">
        <v>0.15099999999999994</v>
      </c>
      <c r="AA110" s="47">
        <v>0.16362499999999994</v>
      </c>
      <c r="AB110" s="47">
        <v>0.17924999999999996</v>
      </c>
      <c r="AC110" s="47">
        <v>0.19399999999999992</v>
      </c>
      <c r="AD110" s="47">
        <v>0.21249999999999997</v>
      </c>
      <c r="AE110" s="47">
        <v>0.20324999999999996</v>
      </c>
      <c r="AF110" s="47">
        <v>0.52012499999999995</v>
      </c>
      <c r="AG110" s="47">
        <v>0.80200000000000005</v>
      </c>
      <c r="AH110" s="47">
        <v>0.8204999999999999</v>
      </c>
      <c r="AI110" s="47">
        <v>0.83425000000000016</v>
      </c>
      <c r="AJ110" s="47">
        <v>0.8257500000000001</v>
      </c>
      <c r="AK110" s="47">
        <v>0.80562500000000004</v>
      </c>
      <c r="AL110" s="47">
        <v>0.80887499999999979</v>
      </c>
      <c r="AM110" s="47">
        <v>0.83325000000000005</v>
      </c>
      <c r="AN110" s="47">
        <v>0.84675</v>
      </c>
      <c r="AO110" s="47">
        <v>0.86899999999999999</v>
      </c>
      <c r="AP110" s="47">
        <v>0.855375</v>
      </c>
      <c r="AQ110" s="47">
        <v>0.895625</v>
      </c>
      <c r="AR110" s="47">
        <v>0.77337499999999992</v>
      </c>
      <c r="AS110" s="47">
        <v>0.32874999999999988</v>
      </c>
      <c r="AT110" s="47">
        <v>0.28474999999999989</v>
      </c>
      <c r="AU110" s="47">
        <v>0.24349999999999999</v>
      </c>
      <c r="AV110" s="47">
        <v>0.20512499999999995</v>
      </c>
      <c r="AW110" s="47">
        <v>0.15837499999999993</v>
      </c>
      <c r="AX110" s="47">
        <v>0.13887499999999997</v>
      </c>
      <c r="AY110" s="47">
        <v>0.12887499999999996</v>
      </c>
      <c r="AZ110" s="47">
        <v>0.12287499999999994</v>
      </c>
      <c r="BA110" s="47">
        <v>0.11374999999999996</v>
      </c>
      <c r="BB110" s="47">
        <v>0.10624999999999994</v>
      </c>
      <c r="BC110" s="47">
        <v>0.67887500000000012</v>
      </c>
      <c r="BD110" s="47">
        <v>0.66175000000000006</v>
      </c>
      <c r="BE110" s="47">
        <v>0.72712500000000013</v>
      </c>
      <c r="BF110" s="47">
        <v>0.67799999999999994</v>
      </c>
      <c r="BG110" s="47">
        <v>0.67237500000000006</v>
      </c>
      <c r="BH110" s="47">
        <v>0.63850000000000007</v>
      </c>
      <c r="BI110" s="47">
        <v>0.65525</v>
      </c>
      <c r="BJ110" s="47">
        <v>0.66474999999999995</v>
      </c>
      <c r="BK110" s="47">
        <v>0.65062500000000001</v>
      </c>
      <c r="BL110" s="47">
        <v>0.62349999999999994</v>
      </c>
      <c r="BM110" s="47">
        <v>0.59024999999999994</v>
      </c>
      <c r="BN110" s="47">
        <v>0.57737499999999997</v>
      </c>
      <c r="BO110" s="47">
        <v>0.54212499999999997</v>
      </c>
      <c r="BP110" s="47">
        <v>0.46649999999999991</v>
      </c>
      <c r="BQ110" s="47">
        <v>0.62562499999999999</v>
      </c>
      <c r="BR110" s="47">
        <v>0.67037499999999994</v>
      </c>
      <c r="BS110" s="47">
        <v>0.68074999999999997</v>
      </c>
      <c r="BT110" s="47">
        <v>0.70687500000000003</v>
      </c>
      <c r="BU110" s="47">
        <v>0.68137499999999995</v>
      </c>
      <c r="BV110" s="47">
        <v>0.62812499999999993</v>
      </c>
      <c r="BW110" s="47">
        <v>0.6047499999999999</v>
      </c>
      <c r="BX110" s="47">
        <v>0.57787500000000014</v>
      </c>
      <c r="BY110" s="47">
        <v>0.5724999999999999</v>
      </c>
      <c r="BZ110" s="47">
        <v>0.63812499999999994</v>
      </c>
      <c r="CA110" s="47">
        <v>0.60862499999999997</v>
      </c>
      <c r="CB110" s="47">
        <v>0.59324999999999983</v>
      </c>
      <c r="CC110" s="47">
        <v>0.66099999999999992</v>
      </c>
      <c r="CD110" s="47">
        <v>0.64900000000000002</v>
      </c>
      <c r="CE110" s="47">
        <v>0.64999999999999991</v>
      </c>
      <c r="CF110" s="47">
        <v>0.63149999999999984</v>
      </c>
      <c r="CG110" s="47">
        <v>0.61449999999999982</v>
      </c>
      <c r="CH110" s="47">
        <v>0.57850000000000001</v>
      </c>
      <c r="CI110" s="47">
        <v>0.5442499999999999</v>
      </c>
      <c r="CJ110" s="47">
        <v>0.5143749999999998</v>
      </c>
      <c r="CK110" s="47">
        <v>0.46649999999999991</v>
      </c>
      <c r="CL110" s="47">
        <v>0.4343749999999999</v>
      </c>
      <c r="CM110" s="47">
        <v>0.40074999999999988</v>
      </c>
      <c r="CN110" s="47">
        <v>0.48099999999999993</v>
      </c>
      <c r="CO110" s="47">
        <v>0.63149999999999995</v>
      </c>
      <c r="CP110" s="47">
        <v>0.54437500000000005</v>
      </c>
      <c r="CQ110" s="47">
        <v>0.50850000000000006</v>
      </c>
      <c r="CR110" s="47">
        <v>0.49075000000000008</v>
      </c>
      <c r="CS110" s="47">
        <v>0.50575000000000014</v>
      </c>
      <c r="CT110" s="47">
        <v>0.54062500000000002</v>
      </c>
      <c r="CU110" s="47">
        <v>0.54562500000000003</v>
      </c>
      <c r="CV110" s="47">
        <v>0.58774999999999999</v>
      </c>
      <c r="CW110" s="47">
        <v>0.69075000000000009</v>
      </c>
      <c r="CX110" s="47">
        <v>0.71887500000000004</v>
      </c>
      <c r="CY110" s="47">
        <v>0.72800000000000009</v>
      </c>
      <c r="CZ110" s="47">
        <v>0.75600000000000001</v>
      </c>
    </row>
    <row r="111" spans="1:104" x14ac:dyDescent="0.2">
      <c r="A111" s="45" t="s">
        <v>116</v>
      </c>
      <c r="B111" s="46">
        <f t="shared" si="26"/>
        <v>-2.5499999999999927</v>
      </c>
      <c r="C111" s="46">
        <f t="shared" si="27"/>
        <v>3.2750000000000008</v>
      </c>
      <c r="D111" s="48">
        <f t="shared" si="28"/>
        <v>24.504034771640068</v>
      </c>
      <c r="E111" s="46"/>
      <c r="F111" s="47">
        <v>9.3750000000000056E-2</v>
      </c>
      <c r="G111" s="47">
        <v>9.3750000000000056E-2</v>
      </c>
      <c r="H111" s="47">
        <v>0.10950000000000004</v>
      </c>
      <c r="I111" s="47">
        <v>6.1000000000000047E-2</v>
      </c>
      <c r="J111" s="47">
        <v>6.6000000000000059E-2</v>
      </c>
      <c r="K111" s="47">
        <v>7.1000000000000035E-2</v>
      </c>
      <c r="L111" s="47">
        <v>0.10675000000000003</v>
      </c>
      <c r="M111" s="47">
        <v>0.11475</v>
      </c>
      <c r="N111" s="47">
        <v>0.11700000000000001</v>
      </c>
      <c r="O111" s="47">
        <v>0.17274999999999999</v>
      </c>
      <c r="P111" s="47">
        <v>0.20124999999999998</v>
      </c>
      <c r="Q111" s="47">
        <v>0.23674999999999999</v>
      </c>
      <c r="R111" s="47">
        <v>0.24974999999999997</v>
      </c>
      <c r="S111" s="47">
        <v>0.20124999999999996</v>
      </c>
      <c r="T111" s="47">
        <v>0.17549999999999996</v>
      </c>
      <c r="U111" s="47">
        <v>7.3249999999999996E-2</v>
      </c>
      <c r="V111" s="47">
        <v>0.10649999999999998</v>
      </c>
      <c r="W111" s="47">
        <v>0.11924999999999998</v>
      </c>
      <c r="X111" s="47">
        <v>0.15474999999999997</v>
      </c>
      <c r="Y111" s="47">
        <v>0.14499999999999996</v>
      </c>
      <c r="Z111" s="47">
        <v>0.13249999999999998</v>
      </c>
      <c r="AA111" s="47">
        <v>0.11424999999999998</v>
      </c>
      <c r="AB111" s="47">
        <v>8.6250000000000007E-2</v>
      </c>
      <c r="AC111" s="47">
        <v>5.0500000000000017E-2</v>
      </c>
      <c r="AD111" s="47">
        <v>0.16800000000000001</v>
      </c>
      <c r="AE111" s="47">
        <v>0.20124999999999998</v>
      </c>
      <c r="AF111" s="47">
        <v>0.26700000000000002</v>
      </c>
      <c r="AG111" s="47">
        <v>0.35150000000000015</v>
      </c>
      <c r="AH111" s="47">
        <v>0.42275000000000013</v>
      </c>
      <c r="AI111" s="47">
        <v>0.46350000000000013</v>
      </c>
      <c r="AJ111" s="47">
        <v>0.49475000000000008</v>
      </c>
      <c r="AK111" s="47">
        <v>0.51225000000000009</v>
      </c>
      <c r="AL111" s="47">
        <v>0.52250000000000008</v>
      </c>
      <c r="AM111" s="47">
        <v>0.52475000000000016</v>
      </c>
      <c r="AN111" s="47">
        <v>0.48675000000000018</v>
      </c>
      <c r="AO111" s="47">
        <v>0.50425000000000009</v>
      </c>
      <c r="AP111" s="47">
        <v>0.60650000000000015</v>
      </c>
      <c r="AQ111" s="47">
        <v>0.8005000000000001</v>
      </c>
      <c r="AR111" s="47">
        <v>0.78274999999999995</v>
      </c>
      <c r="AS111" s="47">
        <v>0.68099999999999983</v>
      </c>
      <c r="AT111" s="47">
        <v>0.46899999999999997</v>
      </c>
      <c r="AU111" s="47">
        <v>0.45324999999999993</v>
      </c>
      <c r="AV111" s="47">
        <v>0.39524999999999993</v>
      </c>
      <c r="AW111" s="47">
        <v>0.41524999999999995</v>
      </c>
      <c r="AX111" s="47">
        <v>0.47175</v>
      </c>
      <c r="AY111" s="47">
        <v>0.50424999999999998</v>
      </c>
      <c r="AZ111" s="47">
        <v>0.53274999999999983</v>
      </c>
      <c r="BA111" s="47">
        <v>0.49949999999999994</v>
      </c>
      <c r="BB111" s="47">
        <v>0.36449999999999999</v>
      </c>
      <c r="BC111" s="47">
        <v>0.25699999999999995</v>
      </c>
      <c r="BD111" s="47">
        <v>0.27274999999999999</v>
      </c>
      <c r="BE111" s="47">
        <v>0.4230000000000001</v>
      </c>
      <c r="BF111" s="47">
        <v>0.50700000000000001</v>
      </c>
      <c r="BG111" s="47">
        <v>0.52500000000000002</v>
      </c>
      <c r="BH111" s="47">
        <v>0.50175000000000003</v>
      </c>
      <c r="BI111" s="47">
        <v>0.45825000000000005</v>
      </c>
      <c r="BJ111" s="47">
        <v>0.49725000000000003</v>
      </c>
      <c r="BK111" s="47">
        <v>0.54275000000000007</v>
      </c>
      <c r="BL111" s="47">
        <v>0.64749999999999996</v>
      </c>
      <c r="BM111" s="47">
        <v>0.56824999999999992</v>
      </c>
      <c r="BN111" s="47">
        <v>0.73149999999999982</v>
      </c>
      <c r="BO111" s="47">
        <v>0.68799999999999994</v>
      </c>
      <c r="BP111" s="47">
        <v>0.83624999999999983</v>
      </c>
      <c r="BQ111" s="47">
        <v>0.72924999999999995</v>
      </c>
      <c r="BR111" s="47">
        <v>0.80299999999999994</v>
      </c>
      <c r="BS111" s="47">
        <v>0.77474999999999994</v>
      </c>
      <c r="BT111" s="47">
        <v>0.83899999999999997</v>
      </c>
      <c r="BU111" s="47">
        <v>0.91549999999999998</v>
      </c>
      <c r="BV111" s="47">
        <v>0.91249999999999987</v>
      </c>
      <c r="BW111" s="47">
        <v>0.93524999999999991</v>
      </c>
      <c r="BX111" s="47">
        <v>0.86199999999999999</v>
      </c>
      <c r="BY111" s="47">
        <v>0.88700000000000001</v>
      </c>
      <c r="BZ111" s="47">
        <v>0.58900000000000019</v>
      </c>
      <c r="CA111" s="47">
        <v>0.81825000000000003</v>
      </c>
      <c r="CB111" s="47">
        <v>0.68049999999999999</v>
      </c>
      <c r="CC111" s="47">
        <v>0.90499999999999992</v>
      </c>
      <c r="CD111" s="47">
        <v>0.63250000000000006</v>
      </c>
      <c r="CE111" s="47">
        <v>0.6785000000000001</v>
      </c>
      <c r="CF111" s="47">
        <v>0.74924999999999997</v>
      </c>
      <c r="CG111" s="47">
        <v>0.8952500000000001</v>
      </c>
      <c r="CH111" s="47">
        <v>0.95874999999999999</v>
      </c>
      <c r="CI111" s="47">
        <v>0.87975000000000003</v>
      </c>
      <c r="CJ111" s="47">
        <v>0.74224999999999997</v>
      </c>
      <c r="CK111" s="47">
        <v>0.68599999999999994</v>
      </c>
      <c r="CL111" s="47">
        <v>0.95399999999999996</v>
      </c>
      <c r="CM111" s="47">
        <v>0.88950000000000007</v>
      </c>
      <c r="CN111" s="47">
        <v>0.88974999999999993</v>
      </c>
      <c r="CO111" s="47">
        <v>0.52024999999999999</v>
      </c>
      <c r="CP111" s="47">
        <v>0.69074999999999998</v>
      </c>
      <c r="CQ111" s="47">
        <v>0.7034999999999999</v>
      </c>
      <c r="CR111" s="47">
        <v>0.6419999999999999</v>
      </c>
      <c r="CS111" s="47">
        <v>0.61450000000000005</v>
      </c>
      <c r="CT111" s="47">
        <v>0.58599999999999997</v>
      </c>
      <c r="CU111" s="47">
        <v>0.5605</v>
      </c>
      <c r="CV111" s="47">
        <v>0.59150000000000003</v>
      </c>
      <c r="CW111" s="47">
        <v>0.55075000000000007</v>
      </c>
      <c r="CX111" s="47">
        <v>0.6732499999999999</v>
      </c>
      <c r="CY111" s="47">
        <v>0.60899999999999999</v>
      </c>
      <c r="CZ111" s="47">
        <v>0.67799999999999994</v>
      </c>
    </row>
    <row r="112" spans="1:104" x14ac:dyDescent="0.2">
      <c r="A112" s="45" t="s">
        <v>118</v>
      </c>
      <c r="B112" s="46">
        <f t="shared" si="26"/>
        <v>70.0625</v>
      </c>
      <c r="C112" s="46">
        <f t="shared" si="27"/>
        <v>8.8687500000000021</v>
      </c>
      <c r="D112" s="48">
        <f t="shared" si="28"/>
        <v>12.90303810030673</v>
      </c>
      <c r="E112" s="46"/>
      <c r="F112" s="47">
        <v>0.78856249999999994</v>
      </c>
      <c r="G112" s="47">
        <v>0.59812500000000002</v>
      </c>
      <c r="H112" s="47">
        <v>0.71531249999999991</v>
      </c>
      <c r="I112" s="47">
        <v>0.69987499999999991</v>
      </c>
      <c r="J112" s="47">
        <v>0.7191249999999999</v>
      </c>
      <c r="K112" s="47">
        <v>0.83787499999999993</v>
      </c>
      <c r="L112" s="47">
        <v>0.8763749999999999</v>
      </c>
      <c r="M112" s="47">
        <v>0.9303125000000001</v>
      </c>
      <c r="N112" s="47">
        <v>0.83399999999999996</v>
      </c>
      <c r="O112" s="47">
        <v>0.8070624999999999</v>
      </c>
      <c r="P112" s="47">
        <v>0.58893749999999989</v>
      </c>
      <c r="Q112" s="47">
        <v>0.34456249999999999</v>
      </c>
      <c r="R112" s="47">
        <v>0.18343749999999998</v>
      </c>
      <c r="S112" s="47">
        <v>0.13337499999999999</v>
      </c>
      <c r="T112" s="47">
        <v>0.13268749999999999</v>
      </c>
      <c r="U112" s="47">
        <v>0.16568749999999999</v>
      </c>
      <c r="V112" s="47">
        <v>0.1303125</v>
      </c>
      <c r="W112" s="47">
        <v>8.7937499999999988E-2</v>
      </c>
      <c r="X112" s="47">
        <v>3.4687499999999996E-2</v>
      </c>
      <c r="Y112" s="47">
        <v>8.0187499999999995E-2</v>
      </c>
      <c r="Z112" s="47">
        <v>0.17193749999999999</v>
      </c>
      <c r="AA112" s="47">
        <v>0.25668750000000001</v>
      </c>
      <c r="AB112" s="47">
        <v>0.363875</v>
      </c>
      <c r="AC112" s="47">
        <v>0.44093749999999998</v>
      </c>
      <c r="AD112" s="47">
        <v>0.53725000000000001</v>
      </c>
      <c r="AE112" s="47">
        <v>0.56349999999999989</v>
      </c>
      <c r="AF112" s="47">
        <v>0.66293749999999996</v>
      </c>
      <c r="AG112" s="47">
        <v>0.69406250000000003</v>
      </c>
      <c r="AH112" s="47">
        <v>0.42300000000000004</v>
      </c>
      <c r="AI112" s="47">
        <v>0.46149999999999997</v>
      </c>
      <c r="AJ112" s="47">
        <v>0.4807499999999999</v>
      </c>
      <c r="AK112" s="47">
        <v>0.57631249999999989</v>
      </c>
      <c r="AL112" s="47">
        <v>0.65262500000000001</v>
      </c>
      <c r="AM112" s="47">
        <v>0.61412499999999992</v>
      </c>
      <c r="AN112" s="47">
        <v>0.67187499999999989</v>
      </c>
      <c r="AO112" s="47">
        <v>0.5570624999999999</v>
      </c>
      <c r="AP112" s="47">
        <v>0.63337499999999991</v>
      </c>
      <c r="AQ112" s="47">
        <v>0.5</v>
      </c>
      <c r="AR112" s="47">
        <v>0.5</v>
      </c>
      <c r="AS112" s="47">
        <v>0.5</v>
      </c>
      <c r="AT112" s="47">
        <v>0.5</v>
      </c>
      <c r="AU112" s="47">
        <v>0.5</v>
      </c>
      <c r="AV112" s="47">
        <v>0.5</v>
      </c>
      <c r="AW112" s="47">
        <v>0.5</v>
      </c>
      <c r="AX112" s="47">
        <v>0.5</v>
      </c>
      <c r="AY112" s="47">
        <v>0.5</v>
      </c>
      <c r="AZ112" s="47">
        <v>0.5</v>
      </c>
      <c r="BA112" s="47">
        <v>0.5</v>
      </c>
      <c r="BB112" s="47">
        <v>0.5</v>
      </c>
      <c r="BC112" s="47">
        <v>0.5</v>
      </c>
      <c r="BD112" s="47">
        <v>0.5</v>
      </c>
      <c r="BE112" s="47">
        <v>0.5</v>
      </c>
      <c r="BF112" s="47">
        <v>0.5</v>
      </c>
      <c r="BG112" s="47">
        <v>0.5</v>
      </c>
      <c r="BH112" s="47">
        <v>0.5</v>
      </c>
      <c r="BI112" s="47">
        <v>0.5</v>
      </c>
      <c r="BJ112" s="47">
        <v>0.5</v>
      </c>
      <c r="BK112" s="47">
        <v>0.5</v>
      </c>
      <c r="BL112" s="47">
        <v>0.5</v>
      </c>
      <c r="BM112" s="47">
        <v>0.5</v>
      </c>
      <c r="BN112" s="47">
        <v>0.5</v>
      </c>
      <c r="BO112" s="47">
        <v>0.5</v>
      </c>
      <c r="BP112" s="47">
        <v>0.5</v>
      </c>
      <c r="BQ112" s="47">
        <v>0.5</v>
      </c>
      <c r="BR112" s="47">
        <v>0.5</v>
      </c>
      <c r="BS112" s="47">
        <v>0.5</v>
      </c>
      <c r="BT112" s="47">
        <v>0.5</v>
      </c>
      <c r="BU112" s="47">
        <v>0.5</v>
      </c>
      <c r="BV112" s="47">
        <v>0.5</v>
      </c>
      <c r="BW112" s="47">
        <v>0.5</v>
      </c>
      <c r="BX112" s="47">
        <v>0.5</v>
      </c>
      <c r="BY112" s="47">
        <v>0.5</v>
      </c>
      <c r="BZ112" s="47">
        <v>0.5</v>
      </c>
      <c r="CA112" s="47">
        <v>0.5</v>
      </c>
      <c r="CB112" s="47">
        <v>0.5</v>
      </c>
      <c r="CC112" s="47">
        <v>0.5</v>
      </c>
      <c r="CD112" s="47">
        <v>0.5</v>
      </c>
      <c r="CE112" s="47">
        <v>0.5</v>
      </c>
      <c r="CF112" s="47">
        <v>0.5</v>
      </c>
      <c r="CG112" s="47">
        <v>0.5</v>
      </c>
      <c r="CH112" s="47">
        <v>0.5</v>
      </c>
      <c r="CI112" s="47">
        <v>0.5</v>
      </c>
      <c r="CJ112" s="47">
        <v>0.5</v>
      </c>
      <c r="CK112" s="47">
        <v>0.5</v>
      </c>
      <c r="CL112" s="47">
        <v>0.5</v>
      </c>
      <c r="CM112" s="47">
        <v>0.5</v>
      </c>
      <c r="CN112" s="47">
        <v>0.5</v>
      </c>
      <c r="CO112" s="47">
        <v>0.5</v>
      </c>
      <c r="CP112" s="47">
        <v>0.5</v>
      </c>
      <c r="CQ112" s="47">
        <v>0.5</v>
      </c>
      <c r="CR112" s="47">
        <v>0.5</v>
      </c>
      <c r="CS112" s="47">
        <v>0.5</v>
      </c>
      <c r="CT112" s="47">
        <v>0.5</v>
      </c>
      <c r="CU112" s="47">
        <v>0.5</v>
      </c>
      <c r="CV112" s="47">
        <v>0.5</v>
      </c>
      <c r="CW112" s="47">
        <v>0.5</v>
      </c>
      <c r="CX112" s="47">
        <v>0.5</v>
      </c>
      <c r="CY112" s="47">
        <v>0.5</v>
      </c>
      <c r="CZ112" s="47">
        <v>0.5</v>
      </c>
    </row>
    <row r="113" spans="1:104" x14ac:dyDescent="0.2">
      <c r="A113" s="45" t="s">
        <v>120</v>
      </c>
      <c r="B113" s="46">
        <f t="shared" si="26"/>
        <v>85.7</v>
      </c>
      <c r="C113" s="46">
        <f t="shared" si="27"/>
        <v>1.0000000000000009</v>
      </c>
      <c r="D113" s="48">
        <f t="shared" si="28"/>
        <v>26.385931795072437</v>
      </c>
      <c r="E113" s="46"/>
      <c r="F113" s="47">
        <v>0.91800000000000004</v>
      </c>
      <c r="G113" s="47">
        <v>0.80600000000000005</v>
      </c>
      <c r="H113" s="47">
        <v>0.877</v>
      </c>
      <c r="I113" s="47">
        <v>0.90800000000000003</v>
      </c>
      <c r="J113" s="47">
        <v>0.98899999999999999</v>
      </c>
      <c r="K113" s="47">
        <v>0.96899999999999997</v>
      </c>
      <c r="L113" s="47">
        <v>0.92800000000000005</v>
      </c>
      <c r="M113" s="47">
        <v>0.95899999999999996</v>
      </c>
      <c r="N113" s="47">
        <v>0.94799999999999995</v>
      </c>
      <c r="O113" s="47">
        <v>1</v>
      </c>
      <c r="P113" s="47">
        <v>0.97899999999999998</v>
      </c>
      <c r="Q113" s="47">
        <v>0.93799999999999994</v>
      </c>
      <c r="R113" s="47">
        <v>0.622</v>
      </c>
      <c r="S113" s="47">
        <v>0.70399999999999996</v>
      </c>
      <c r="T113" s="47">
        <v>0.44800000000000006</v>
      </c>
      <c r="U113" s="47">
        <v>8.1000000000000003E-2</v>
      </c>
      <c r="V113" s="47">
        <v>0.01</v>
      </c>
      <c r="W113" s="47">
        <v>6.0999999999999999E-2</v>
      </c>
      <c r="X113" s="47">
        <v>0.55100000000000005</v>
      </c>
      <c r="Y113" s="47">
        <v>0.59099999999999997</v>
      </c>
      <c r="Z113" s="47">
        <v>9.0999999999999998E-2</v>
      </c>
      <c r="AA113" s="47">
        <v>0</v>
      </c>
      <c r="AB113" s="47">
        <v>7.0999999999999994E-2</v>
      </c>
      <c r="AC113" s="47">
        <v>0.65300000000000002</v>
      </c>
      <c r="AD113" s="47">
        <v>0.86699999999999999</v>
      </c>
      <c r="AE113" s="47">
        <v>0.66300000000000003</v>
      </c>
      <c r="AF113" s="47">
        <v>0.193</v>
      </c>
      <c r="AG113" s="47">
        <v>0.316</v>
      </c>
      <c r="AH113" s="47">
        <v>0.41800000000000004</v>
      </c>
      <c r="AI113" s="47">
        <v>0.47899999999999998</v>
      </c>
      <c r="AJ113" s="47">
        <v>0.26500000000000001</v>
      </c>
      <c r="AK113" s="47">
        <v>0.42800000000000005</v>
      </c>
      <c r="AL113" s="47">
        <v>0.377</v>
      </c>
      <c r="AM113" s="47">
        <v>0.57099999999999995</v>
      </c>
      <c r="AN113" s="47">
        <v>0.32600000000000001</v>
      </c>
      <c r="AO113" s="47">
        <v>0.32600000000000001</v>
      </c>
      <c r="AP113" s="47">
        <v>0.32600000000000001</v>
      </c>
      <c r="AQ113" s="47">
        <v>0.32600000000000001</v>
      </c>
      <c r="AR113" s="47">
        <v>0.32600000000000001</v>
      </c>
      <c r="AS113" s="47">
        <v>0.16300000000000001</v>
      </c>
      <c r="AT113" s="47">
        <v>0.10200000000000001</v>
      </c>
      <c r="AU113" s="47">
        <v>5.1000000000000004E-2</v>
      </c>
      <c r="AV113" s="47">
        <v>0.04</v>
      </c>
      <c r="AW113" s="47">
        <v>0.02</v>
      </c>
      <c r="AX113" s="47">
        <v>0.03</v>
      </c>
      <c r="AY113" s="47">
        <v>0.11200000000000002</v>
      </c>
      <c r="AZ113" s="47">
        <v>0.11200000000000002</v>
      </c>
      <c r="BA113" s="47">
        <v>0.11200000000000002</v>
      </c>
      <c r="BB113" s="47">
        <v>0.11200000000000002</v>
      </c>
      <c r="BC113" s="47">
        <v>0.11200000000000002</v>
      </c>
      <c r="BD113" s="47">
        <v>0.48899999999999999</v>
      </c>
      <c r="BE113" s="47">
        <v>0.67300000000000004</v>
      </c>
      <c r="BF113" s="47">
        <v>0.78500000000000014</v>
      </c>
      <c r="BG113" s="47">
        <v>0.74399999999999999</v>
      </c>
      <c r="BH113" s="47">
        <v>0.61199999999999999</v>
      </c>
      <c r="BI113" s="47">
        <v>0.43800000000000006</v>
      </c>
      <c r="BJ113" s="47">
        <v>0.52</v>
      </c>
      <c r="BK113" s="47">
        <v>0.51</v>
      </c>
      <c r="BL113" s="47">
        <v>0.53</v>
      </c>
      <c r="BM113" s="47">
        <v>0.46899999999999997</v>
      </c>
      <c r="BN113" s="47">
        <v>0.45900000000000002</v>
      </c>
      <c r="BO113" s="47">
        <v>0.30599999999999999</v>
      </c>
      <c r="BP113" s="47">
        <v>0.24399999999999999</v>
      </c>
      <c r="BQ113" s="47">
        <v>0.22400000000000003</v>
      </c>
      <c r="BR113" s="47">
        <v>0.255</v>
      </c>
      <c r="BS113" s="47">
        <v>0.40800000000000003</v>
      </c>
      <c r="BT113" s="47">
        <v>0.5</v>
      </c>
      <c r="BU113" s="47">
        <v>0.60199999999999998</v>
      </c>
      <c r="BV113" s="47">
        <v>0.56100000000000005</v>
      </c>
      <c r="BW113" s="47">
        <v>0.58099999999999996</v>
      </c>
      <c r="BX113" s="47">
        <v>0.68300000000000005</v>
      </c>
      <c r="BY113" s="47">
        <v>0.77500000000000013</v>
      </c>
      <c r="BZ113" s="47">
        <v>0.82600000000000007</v>
      </c>
      <c r="CA113" s="47">
        <v>0.76500000000000012</v>
      </c>
      <c r="CB113" s="47">
        <v>0.72399999999999998</v>
      </c>
      <c r="CC113" s="47">
        <v>0.73399999999999999</v>
      </c>
      <c r="CD113" s="47">
        <v>0.79500000000000015</v>
      </c>
      <c r="CE113" s="47">
        <v>0.83600000000000008</v>
      </c>
      <c r="CF113" s="47">
        <v>0.81600000000000006</v>
      </c>
      <c r="CG113" s="47">
        <v>0.75500000000000012</v>
      </c>
      <c r="CH113" s="47">
        <v>0.71399999999999997</v>
      </c>
      <c r="CI113" s="47">
        <v>0.69299999999999995</v>
      </c>
      <c r="CJ113" s="47">
        <v>0.63200000000000001</v>
      </c>
      <c r="CK113" s="47">
        <v>0.54</v>
      </c>
      <c r="CL113" s="47">
        <v>0.38700000000000001</v>
      </c>
      <c r="CM113" s="47">
        <v>0.39700000000000002</v>
      </c>
      <c r="CN113" s="47">
        <v>0.27500000000000002</v>
      </c>
      <c r="CO113" s="47">
        <v>0.20400000000000001</v>
      </c>
      <c r="CP113" s="47">
        <v>0.183</v>
      </c>
      <c r="CQ113" s="47">
        <v>0.17299999999999999</v>
      </c>
      <c r="CR113" s="47">
        <v>0.21400000000000002</v>
      </c>
      <c r="CS113" s="47">
        <v>0.23400000000000004</v>
      </c>
      <c r="CT113" s="47">
        <v>0.29499999999999998</v>
      </c>
      <c r="CU113" s="47">
        <v>0.28499999999999998</v>
      </c>
      <c r="CV113" s="47">
        <v>0.64200000000000002</v>
      </c>
      <c r="CW113" s="47">
        <v>0.84600000000000009</v>
      </c>
      <c r="CX113" s="47">
        <v>0.88700000000000001</v>
      </c>
      <c r="CY113" s="47">
        <v>0.89700000000000002</v>
      </c>
      <c r="CZ113" s="47">
        <v>0.85699999999999998</v>
      </c>
    </row>
    <row r="114" spans="1:104" x14ac:dyDescent="0.2">
      <c r="A114" s="45" t="s">
        <v>122</v>
      </c>
      <c r="B114" s="46">
        <f t="shared" si="26"/>
        <v>4.0999999999999925</v>
      </c>
      <c r="C114" s="46">
        <f t="shared" si="27"/>
        <v>0</v>
      </c>
      <c r="D114" s="48">
        <f t="shared" si="28"/>
        <v>30.131453369855123</v>
      </c>
      <c r="E114" s="46"/>
      <c r="F114" s="47">
        <v>0.60199999999999998</v>
      </c>
      <c r="G114" s="47">
        <v>0.60199999999999998</v>
      </c>
      <c r="H114" s="47">
        <v>0.60199999999999998</v>
      </c>
      <c r="I114" s="47">
        <v>0.60199999999999998</v>
      </c>
      <c r="J114" s="47">
        <v>0.60199999999999998</v>
      </c>
      <c r="K114" s="47">
        <v>0.60199999999999998</v>
      </c>
      <c r="L114" s="47">
        <v>0.60199999999999998</v>
      </c>
      <c r="M114" s="47">
        <v>0.60199999999999998</v>
      </c>
      <c r="N114" s="47">
        <v>0.60199999999999998</v>
      </c>
      <c r="O114" s="47">
        <v>0.60199999999999998</v>
      </c>
      <c r="P114" s="47">
        <v>0.60199999999999998</v>
      </c>
      <c r="Q114" s="47">
        <v>0.60199999999999998</v>
      </c>
      <c r="R114" s="47">
        <v>0.60199999999999998</v>
      </c>
      <c r="S114" s="47">
        <v>0.60199999999999998</v>
      </c>
      <c r="T114" s="47">
        <v>0.60199999999999998</v>
      </c>
      <c r="U114" s="47">
        <v>0.58099999999999996</v>
      </c>
      <c r="V114" s="47">
        <v>0.57099999999999995</v>
      </c>
      <c r="W114" s="47">
        <v>0.56100000000000005</v>
      </c>
      <c r="X114" s="47">
        <v>0.55100000000000005</v>
      </c>
      <c r="Y114" s="47">
        <v>0.54</v>
      </c>
      <c r="Z114" s="47">
        <v>0.51</v>
      </c>
      <c r="AA114" s="47">
        <v>0.5</v>
      </c>
      <c r="AB114" s="47">
        <v>0.42799999999999999</v>
      </c>
      <c r="AC114" s="47">
        <v>0.377</v>
      </c>
      <c r="AD114" s="47">
        <v>0.34599999999999997</v>
      </c>
      <c r="AE114" s="47">
        <v>0.28499999999999998</v>
      </c>
      <c r="AF114" s="47">
        <v>0.12199999999999998</v>
      </c>
      <c r="AG114" s="47">
        <v>0.10199999999999999</v>
      </c>
      <c r="AH114" s="47">
        <v>6.0999999999999992E-2</v>
      </c>
      <c r="AI114" s="47">
        <v>0.03</v>
      </c>
      <c r="AJ114" s="47">
        <v>0</v>
      </c>
      <c r="AK114" s="47">
        <v>0</v>
      </c>
      <c r="AL114" s="47">
        <v>0</v>
      </c>
      <c r="AM114" s="47">
        <v>0.03</v>
      </c>
      <c r="AN114" s="47">
        <v>8.1000000000000003E-2</v>
      </c>
      <c r="AO114" s="47">
        <v>9.0999999999999998E-2</v>
      </c>
      <c r="AP114" s="47">
        <v>6.0999999999999992E-2</v>
      </c>
      <c r="AQ114" s="47">
        <v>0.03</v>
      </c>
      <c r="AR114" s="47">
        <v>0.112</v>
      </c>
      <c r="AS114" s="47">
        <v>0.16300000000000001</v>
      </c>
      <c r="AT114" s="47">
        <v>0.34599999999999997</v>
      </c>
      <c r="AU114" s="47">
        <v>0.38700000000000001</v>
      </c>
      <c r="AV114" s="47">
        <v>0.45900000000000002</v>
      </c>
      <c r="AW114" s="47">
        <v>0.47899999999999998</v>
      </c>
      <c r="AX114" s="47">
        <v>0.48899999999999999</v>
      </c>
      <c r="AY114" s="47">
        <v>0.438</v>
      </c>
      <c r="AZ114" s="47">
        <v>0.40799999999999997</v>
      </c>
      <c r="BA114" s="47">
        <v>0.41799999999999998</v>
      </c>
      <c r="BB114" s="47">
        <v>0.46899999999999997</v>
      </c>
      <c r="BC114" s="47">
        <v>0.52</v>
      </c>
      <c r="BD114" s="47">
        <v>0.82599999999999996</v>
      </c>
      <c r="BE114" s="47">
        <v>0.877</v>
      </c>
      <c r="BF114" s="47">
        <v>0.89700000000000002</v>
      </c>
      <c r="BG114" s="47">
        <v>0.90800000000000003</v>
      </c>
      <c r="BH114" s="47">
        <v>0.92800000000000005</v>
      </c>
      <c r="BI114" s="47">
        <v>0.93799999999999994</v>
      </c>
      <c r="BJ114" s="47">
        <v>0.94799999999999995</v>
      </c>
      <c r="BK114" s="47">
        <v>0.95899999999999996</v>
      </c>
      <c r="BL114" s="47">
        <v>0.98899999999999988</v>
      </c>
      <c r="BM114" s="47">
        <v>1</v>
      </c>
      <c r="BN114" s="47">
        <v>0.97899999999999987</v>
      </c>
      <c r="BO114" s="47">
        <v>0.96899999999999997</v>
      </c>
      <c r="BP114" s="47">
        <v>0.91800000000000004</v>
      </c>
      <c r="BQ114" s="47">
        <v>0.88700000000000001</v>
      </c>
      <c r="BR114" s="47">
        <v>0.86699999999999999</v>
      </c>
      <c r="BS114" s="47">
        <v>0.85699999999999998</v>
      </c>
      <c r="BT114" s="47">
        <v>0.84599999999999997</v>
      </c>
      <c r="BU114" s="47">
        <v>0.83599999999999997</v>
      </c>
      <c r="BV114" s="47">
        <v>0.81599999999999995</v>
      </c>
      <c r="BW114" s="47">
        <v>0.80600000000000005</v>
      </c>
      <c r="BX114" s="47">
        <v>0.79500000000000004</v>
      </c>
      <c r="BY114" s="47">
        <v>0.78500000000000003</v>
      </c>
      <c r="BZ114" s="47">
        <v>0.77500000000000002</v>
      </c>
      <c r="CA114" s="47">
        <v>0.76500000000000001</v>
      </c>
      <c r="CB114" s="47">
        <v>0.755</v>
      </c>
      <c r="CC114" s="47">
        <v>0.59099999999999997</v>
      </c>
      <c r="CD114" s="47">
        <v>0.44800000000000001</v>
      </c>
      <c r="CE114" s="47">
        <v>0.39700000000000002</v>
      </c>
      <c r="CF114" s="47">
        <v>0.36699999999999999</v>
      </c>
      <c r="CG114" s="47">
        <v>0.33600000000000002</v>
      </c>
      <c r="CH114" s="47">
        <v>0.32600000000000001</v>
      </c>
      <c r="CI114" s="47">
        <v>0.316</v>
      </c>
      <c r="CJ114" s="47">
        <v>0.30599999999999999</v>
      </c>
      <c r="CK114" s="47">
        <v>0.29499999999999998</v>
      </c>
      <c r="CL114" s="47">
        <v>0.27500000000000002</v>
      </c>
      <c r="CM114" s="47">
        <v>0.26500000000000001</v>
      </c>
      <c r="CN114" s="47">
        <v>0.255</v>
      </c>
      <c r="CO114" s="47">
        <v>0.24399999999999997</v>
      </c>
      <c r="CP114" s="47">
        <v>0.224</v>
      </c>
      <c r="CQ114" s="47">
        <v>0.20399999999999999</v>
      </c>
      <c r="CR114" s="47">
        <v>0.183</v>
      </c>
      <c r="CS114" s="47">
        <v>0.153</v>
      </c>
      <c r="CT114" s="47">
        <v>0.13200000000000001</v>
      </c>
      <c r="CU114" s="47">
        <v>0.14199999999999999</v>
      </c>
      <c r="CV114" s="47">
        <v>0.17299999999999999</v>
      </c>
      <c r="CW114" s="47">
        <v>0.193</v>
      </c>
      <c r="CX114" s="47">
        <v>0.214</v>
      </c>
      <c r="CY114" s="47">
        <v>0.23400000000000001</v>
      </c>
      <c r="CZ114" s="47">
        <v>0.53</v>
      </c>
    </row>
    <row r="115" spans="1:104" x14ac:dyDescent="0.2">
      <c r="A115" s="45" t="s">
        <v>124</v>
      </c>
      <c r="B115" s="46">
        <f t="shared" si="26"/>
        <v>55.999999999999993</v>
      </c>
      <c r="C115" s="46">
        <f t="shared" si="27"/>
        <v>0</v>
      </c>
      <c r="D115" s="48">
        <f t="shared" si="28"/>
        <v>25.110322668054287</v>
      </c>
      <c r="E115" s="46"/>
      <c r="F115" s="47">
        <v>0.69299999999999995</v>
      </c>
      <c r="G115" s="47">
        <v>0.69299999999999995</v>
      </c>
      <c r="H115" s="47">
        <v>0.69299999999999995</v>
      </c>
      <c r="I115" s="47">
        <v>0.69299999999999995</v>
      </c>
      <c r="J115" s="47">
        <v>0.69299999999999995</v>
      </c>
      <c r="K115" s="47">
        <v>0.69299999999999995</v>
      </c>
      <c r="L115" s="47">
        <v>0.69299999999999995</v>
      </c>
      <c r="M115" s="47">
        <v>0.69299999999999995</v>
      </c>
      <c r="N115" s="47">
        <v>0.8</v>
      </c>
      <c r="O115" s="47">
        <v>0.86599999999999999</v>
      </c>
      <c r="P115" s="47">
        <v>0.90600000000000003</v>
      </c>
      <c r="Q115" s="47">
        <v>0.85299999999999998</v>
      </c>
      <c r="R115" s="47">
        <v>0.54600000000000004</v>
      </c>
      <c r="S115" s="47">
        <v>0.4</v>
      </c>
      <c r="T115" s="47">
        <v>0.186</v>
      </c>
      <c r="U115" s="47">
        <v>0.21299999999999999</v>
      </c>
      <c r="V115" s="47">
        <v>0.08</v>
      </c>
      <c r="W115" s="47">
        <v>0.13300000000000001</v>
      </c>
      <c r="X115" s="47">
        <v>0.17299999999999999</v>
      </c>
      <c r="Y115" s="47">
        <v>0.23999999999999996</v>
      </c>
      <c r="Z115" s="47">
        <v>0.253</v>
      </c>
      <c r="AA115" s="47">
        <v>0.106</v>
      </c>
      <c r="AB115" s="47">
        <v>6.6000000000000003E-2</v>
      </c>
      <c r="AC115" s="47">
        <v>5.2999999999999999E-2</v>
      </c>
      <c r="AD115" s="47">
        <v>0.11999999999999998</v>
      </c>
      <c r="AE115" s="47">
        <v>0.28000000000000003</v>
      </c>
      <c r="AF115" s="47">
        <v>0.47999999999999993</v>
      </c>
      <c r="AG115" s="47">
        <v>0.57299999999999995</v>
      </c>
      <c r="AH115" s="47">
        <v>0.50600000000000001</v>
      </c>
      <c r="AI115" s="47">
        <v>0.56000000000000005</v>
      </c>
      <c r="AJ115" s="47">
        <v>0.626</v>
      </c>
      <c r="AK115" s="47">
        <v>0.81299999999999994</v>
      </c>
      <c r="AL115" s="47">
        <v>0.88</v>
      </c>
      <c r="AM115" s="47">
        <v>0.93300000000000005</v>
      </c>
      <c r="AN115" s="47">
        <v>0.95999999999999985</v>
      </c>
      <c r="AO115" s="47">
        <v>0.98599999999999999</v>
      </c>
      <c r="AP115" s="47">
        <v>1</v>
      </c>
      <c r="AQ115" s="47">
        <v>0.97299999999999998</v>
      </c>
      <c r="AR115" s="47">
        <v>0.94599999999999984</v>
      </c>
      <c r="AS115" s="47">
        <v>0.53300000000000003</v>
      </c>
      <c r="AT115" s="47">
        <v>0.64</v>
      </c>
      <c r="AU115" s="47">
        <v>0.66600000000000004</v>
      </c>
      <c r="AV115" s="47">
        <v>0.6</v>
      </c>
      <c r="AW115" s="47">
        <v>0.44</v>
      </c>
      <c r="AX115" s="47">
        <v>0.253</v>
      </c>
      <c r="AY115" s="47">
        <v>0.14599999999999999</v>
      </c>
      <c r="AZ115" s="47">
        <v>0.04</v>
      </c>
      <c r="BA115" s="47">
        <v>1.2999999999999999E-2</v>
      </c>
      <c r="BB115" s="47">
        <v>0</v>
      </c>
      <c r="BC115" s="47">
        <v>2.5999999999999999E-2</v>
      </c>
      <c r="BD115" s="47">
        <v>9.2999999999999999E-2</v>
      </c>
      <c r="BE115" s="47">
        <v>0.34599999999999997</v>
      </c>
      <c r="BF115" s="47">
        <v>0.36</v>
      </c>
      <c r="BG115" s="47">
        <v>0.30599999999999999</v>
      </c>
      <c r="BH115" s="47">
        <v>0.373</v>
      </c>
      <c r="BI115" s="47">
        <v>0.32</v>
      </c>
      <c r="BJ115" s="47">
        <v>0.22600000000000001</v>
      </c>
      <c r="BK115" s="47">
        <v>0.2</v>
      </c>
      <c r="BL115" s="47">
        <v>0.16</v>
      </c>
      <c r="BM115" s="47">
        <v>0.29299999999999998</v>
      </c>
      <c r="BN115" s="47">
        <v>0.38600000000000001</v>
      </c>
      <c r="BO115" s="47">
        <v>0.46600000000000003</v>
      </c>
      <c r="BP115" s="47">
        <v>0.49299999999999999</v>
      </c>
      <c r="BQ115" s="47">
        <v>0.61299999999999999</v>
      </c>
      <c r="BR115" s="47">
        <v>0.84</v>
      </c>
      <c r="BS115" s="47">
        <v>0.89300000000000002</v>
      </c>
      <c r="BT115" s="47">
        <v>0.92</v>
      </c>
      <c r="BU115" s="47">
        <v>0.82599999999999996</v>
      </c>
      <c r="BV115" s="47">
        <v>0.68</v>
      </c>
      <c r="BW115" s="47">
        <v>0.65300000000000002</v>
      </c>
      <c r="BX115" s="47">
        <v>0.58599999999999997</v>
      </c>
      <c r="BY115" s="47">
        <v>0.52</v>
      </c>
      <c r="BZ115" s="47">
        <v>0.42599999999999999</v>
      </c>
      <c r="CA115" s="47">
        <v>0.41299999999999998</v>
      </c>
      <c r="CB115" s="47">
        <v>0.33300000000000002</v>
      </c>
      <c r="CC115" s="47">
        <v>0.45300000000000001</v>
      </c>
      <c r="CD115" s="47">
        <v>0.5</v>
      </c>
      <c r="CE115" s="47">
        <v>0.5</v>
      </c>
      <c r="CF115" s="47">
        <v>0.5</v>
      </c>
      <c r="CG115" s="47">
        <v>0.5</v>
      </c>
      <c r="CH115" s="47">
        <v>0.5</v>
      </c>
      <c r="CI115" s="47">
        <v>0.5</v>
      </c>
      <c r="CJ115" s="47">
        <v>0.5</v>
      </c>
      <c r="CK115" s="47">
        <v>0.5</v>
      </c>
      <c r="CL115" s="47">
        <v>0.5</v>
      </c>
      <c r="CM115" s="47">
        <v>0.5</v>
      </c>
      <c r="CN115" s="47">
        <v>0.5</v>
      </c>
      <c r="CO115" s="47">
        <v>0.5</v>
      </c>
      <c r="CP115" s="47">
        <v>0.5</v>
      </c>
      <c r="CQ115" s="47">
        <v>0.5</v>
      </c>
      <c r="CR115" s="47">
        <v>0.5</v>
      </c>
      <c r="CS115" s="47">
        <v>0.5</v>
      </c>
      <c r="CT115" s="47">
        <v>0.5</v>
      </c>
      <c r="CU115" s="47">
        <v>0.5</v>
      </c>
      <c r="CV115" s="47">
        <v>0.5</v>
      </c>
      <c r="CW115" s="47">
        <v>0.5</v>
      </c>
      <c r="CX115" s="47">
        <v>0.5</v>
      </c>
      <c r="CY115" s="47">
        <v>0.5</v>
      </c>
      <c r="CZ115" s="47">
        <v>0.5</v>
      </c>
    </row>
    <row r="116" spans="1:104" x14ac:dyDescent="0.2">
      <c r="A116" s="45" t="s">
        <v>126</v>
      </c>
      <c r="B116" s="46">
        <f t="shared" si="26"/>
        <v>2.1000000000000019</v>
      </c>
      <c r="C116" s="46">
        <f t="shared" si="27"/>
        <v>-22.400000000000002</v>
      </c>
      <c r="D116" s="48">
        <f t="shared" si="28"/>
        <v>30.096615429821654</v>
      </c>
      <c r="E116" s="46"/>
      <c r="F116" s="47">
        <v>0.16300000000000001</v>
      </c>
      <c r="G116" s="47">
        <v>0.17299999999999999</v>
      </c>
      <c r="H116" s="47">
        <v>0.21400000000000002</v>
      </c>
      <c r="I116" s="47">
        <v>0.38700000000000001</v>
      </c>
      <c r="J116" s="47">
        <v>0.41800000000000004</v>
      </c>
      <c r="K116" s="47">
        <v>0.46899999999999997</v>
      </c>
      <c r="L116" s="47">
        <v>0.51</v>
      </c>
      <c r="M116" s="47">
        <v>0.58099999999999996</v>
      </c>
      <c r="N116" s="47">
        <v>0.66300000000000003</v>
      </c>
      <c r="O116" s="47">
        <v>0.71399999999999997</v>
      </c>
      <c r="P116" s="47">
        <v>0.70399999999999996</v>
      </c>
      <c r="Q116" s="47">
        <v>0.67300000000000004</v>
      </c>
      <c r="R116" s="47">
        <v>0.63200000000000001</v>
      </c>
      <c r="S116" s="47">
        <v>0.61199999999999999</v>
      </c>
      <c r="T116" s="47">
        <v>0.55100000000000005</v>
      </c>
      <c r="U116" s="47">
        <v>0.45900000000000002</v>
      </c>
      <c r="V116" s="47">
        <v>0.377</v>
      </c>
      <c r="W116" s="47">
        <v>0.14199999999999999</v>
      </c>
      <c r="X116" s="47">
        <v>0.10200000000000001</v>
      </c>
      <c r="Y116" s="47">
        <v>8.1000000000000003E-2</v>
      </c>
      <c r="Z116" s="47">
        <v>7.0999999999999994E-2</v>
      </c>
      <c r="AA116" s="47">
        <v>5.1000000000000004E-2</v>
      </c>
      <c r="AB116" s="47">
        <v>0.04</v>
      </c>
      <c r="AC116" s="47">
        <v>0.03</v>
      </c>
      <c r="AD116" s="47">
        <v>0.01</v>
      </c>
      <c r="AE116" s="47">
        <v>0</v>
      </c>
      <c r="AF116" s="47">
        <v>0.02</v>
      </c>
      <c r="AG116" s="47">
        <v>6.0999999999999999E-2</v>
      </c>
      <c r="AH116" s="47">
        <v>9.0999999999999998E-2</v>
      </c>
      <c r="AI116" s="47">
        <v>0.11200000000000002</v>
      </c>
      <c r="AJ116" s="47">
        <v>0.122</v>
      </c>
      <c r="AK116" s="47">
        <v>0.13200000000000001</v>
      </c>
      <c r="AL116" s="47">
        <v>0.153</v>
      </c>
      <c r="AM116" s="47">
        <v>0.183</v>
      </c>
      <c r="AN116" s="47">
        <v>0.22400000000000003</v>
      </c>
      <c r="AO116" s="47">
        <v>0.23400000000000004</v>
      </c>
      <c r="AP116" s="47">
        <v>0.20400000000000001</v>
      </c>
      <c r="AQ116" s="47">
        <v>0.24399999999999999</v>
      </c>
      <c r="AR116" s="47">
        <v>0.28499999999999998</v>
      </c>
      <c r="AS116" s="47">
        <v>0.316</v>
      </c>
      <c r="AT116" s="47">
        <v>0.32600000000000001</v>
      </c>
      <c r="AU116" s="47">
        <v>0.33600000000000002</v>
      </c>
      <c r="AV116" s="47">
        <v>0.44800000000000006</v>
      </c>
      <c r="AW116" s="47">
        <v>0.5</v>
      </c>
      <c r="AX116" s="47">
        <v>0.56100000000000005</v>
      </c>
      <c r="AY116" s="47">
        <v>0.53</v>
      </c>
      <c r="AZ116" s="47">
        <v>0.52</v>
      </c>
      <c r="BA116" s="47">
        <v>0.54</v>
      </c>
      <c r="BB116" s="47">
        <v>0.622</v>
      </c>
      <c r="BC116" s="47">
        <v>0.65300000000000002</v>
      </c>
      <c r="BD116" s="47">
        <v>0.57099999999999995</v>
      </c>
      <c r="BE116" s="47">
        <v>0.47899999999999998</v>
      </c>
      <c r="BF116" s="47">
        <v>0.43800000000000006</v>
      </c>
      <c r="BG116" s="47">
        <v>0.40800000000000003</v>
      </c>
      <c r="BH116" s="47">
        <v>0.36699999999999999</v>
      </c>
      <c r="BI116" s="47">
        <v>0.255</v>
      </c>
      <c r="BJ116" s="47">
        <v>0.193</v>
      </c>
      <c r="BK116" s="47">
        <v>0.29499999999999998</v>
      </c>
      <c r="BL116" s="47">
        <v>0.35699999999999998</v>
      </c>
      <c r="BM116" s="47">
        <v>0.34599999999999997</v>
      </c>
      <c r="BN116" s="47">
        <v>0.30599999999999999</v>
      </c>
      <c r="BO116" s="47">
        <v>0.26500000000000001</v>
      </c>
      <c r="BP116" s="47">
        <v>0.27500000000000002</v>
      </c>
      <c r="BQ116" s="47">
        <v>0.39700000000000002</v>
      </c>
      <c r="BR116" s="47">
        <v>0.42800000000000005</v>
      </c>
      <c r="BS116" s="47">
        <v>0.48899999999999999</v>
      </c>
      <c r="BT116" s="47">
        <v>0.59099999999999997</v>
      </c>
      <c r="BU116" s="47">
        <v>0.69299999999999995</v>
      </c>
      <c r="BV116" s="47">
        <v>0.72399999999999998</v>
      </c>
      <c r="BW116" s="47">
        <v>0.68300000000000005</v>
      </c>
      <c r="BX116" s="47">
        <v>0.60199999999999998</v>
      </c>
      <c r="BY116" s="47">
        <v>0.64200000000000002</v>
      </c>
      <c r="BZ116" s="47">
        <v>0.73399999999999999</v>
      </c>
      <c r="CA116" s="47">
        <v>0.77500000000000013</v>
      </c>
      <c r="CB116" s="47">
        <v>0.81600000000000006</v>
      </c>
      <c r="CC116" s="47">
        <v>0.85699999999999998</v>
      </c>
      <c r="CD116" s="47">
        <v>0.92800000000000005</v>
      </c>
      <c r="CE116" s="47">
        <v>0.90800000000000003</v>
      </c>
      <c r="CF116" s="47">
        <v>0.86699999999999999</v>
      </c>
      <c r="CG116" s="47">
        <v>0.89700000000000002</v>
      </c>
      <c r="CH116" s="47">
        <v>0.91800000000000004</v>
      </c>
      <c r="CI116" s="47">
        <v>0.93799999999999994</v>
      </c>
      <c r="CJ116" s="47">
        <v>0.877</v>
      </c>
      <c r="CK116" s="47">
        <v>0.84600000000000009</v>
      </c>
      <c r="CL116" s="47">
        <v>0.80600000000000005</v>
      </c>
      <c r="CM116" s="47">
        <v>0.83600000000000008</v>
      </c>
      <c r="CN116" s="47">
        <v>0.82600000000000007</v>
      </c>
      <c r="CO116" s="47">
        <v>0.78500000000000014</v>
      </c>
      <c r="CP116" s="47">
        <v>0.75500000000000012</v>
      </c>
      <c r="CQ116" s="47">
        <v>0.74399999999999999</v>
      </c>
      <c r="CR116" s="47">
        <v>0.76500000000000012</v>
      </c>
      <c r="CS116" s="47">
        <v>0.79500000000000015</v>
      </c>
      <c r="CT116" s="47">
        <v>0.88700000000000001</v>
      </c>
      <c r="CU116" s="47">
        <v>0.94799999999999995</v>
      </c>
      <c r="CV116" s="47">
        <v>0.95899999999999996</v>
      </c>
      <c r="CW116" s="47">
        <v>0.96899999999999997</v>
      </c>
      <c r="CX116" s="47">
        <v>0.97899999999999998</v>
      </c>
      <c r="CY116" s="47">
        <v>0.98899999999999999</v>
      </c>
      <c r="CZ116" s="47">
        <v>1</v>
      </c>
    </row>
    <row r="117" spans="1:104" x14ac:dyDescent="0.2">
      <c r="A117" s="45" t="s">
        <v>128</v>
      </c>
      <c r="B117" s="46">
        <f t="shared" si="26"/>
        <v>39.535916376227767</v>
      </c>
      <c r="C117" s="46">
        <f t="shared" si="27"/>
        <v>8.9161491690676939</v>
      </c>
      <c r="D117" s="48">
        <f t="shared" si="28"/>
        <v>23.715855686561088</v>
      </c>
      <c r="E117" s="46"/>
      <c r="F117" s="47">
        <v>0.52309367217256164</v>
      </c>
      <c r="G117" s="47">
        <v>0.51405369480671514</v>
      </c>
      <c r="H117" s="47">
        <v>0.49494890379403078</v>
      </c>
      <c r="I117" s="47">
        <v>0.4339321804818847</v>
      </c>
      <c r="J117" s="47">
        <v>0.42206632739474848</v>
      </c>
      <c r="K117" s="47">
        <v>0.44098081324299399</v>
      </c>
      <c r="L117" s="47">
        <v>0.42053947999139091</v>
      </c>
      <c r="M117" s="47">
        <v>0.38075683619445333</v>
      </c>
      <c r="N117" s="47">
        <v>0.37820122036929577</v>
      </c>
      <c r="O117" s="47">
        <v>0.42356205646278811</v>
      </c>
      <c r="P117" s="47">
        <v>0.4437776268032938</v>
      </c>
      <c r="Q117" s="47">
        <v>0.40415773975771607</v>
      </c>
      <c r="R117" s="47">
        <v>0.27536063245822645</v>
      </c>
      <c r="S117" s="47">
        <v>0.21680890372191572</v>
      </c>
      <c r="T117" s="47">
        <v>0.13994020334680599</v>
      </c>
      <c r="U117" s="47">
        <v>0.1071914801211979</v>
      </c>
      <c r="V117" s="47">
        <v>0.11067471175708991</v>
      </c>
      <c r="W117" s="47">
        <v>0.12773450841028397</v>
      </c>
      <c r="X117" s="47">
        <v>0.10194718641085415</v>
      </c>
      <c r="Y117" s="47">
        <v>8.6927073384316947E-2</v>
      </c>
      <c r="Z117" s="47">
        <v>6.8510079039249563E-2</v>
      </c>
      <c r="AA117" s="47">
        <v>6.7757717412022522E-2</v>
      </c>
      <c r="AB117" s="47">
        <v>4.7205988675711789E-2</v>
      </c>
      <c r="AC117" s="47">
        <v>8.0918960415471738E-2</v>
      </c>
      <c r="AD117" s="47">
        <v>0.17034155923256245</v>
      </c>
      <c r="AE117" s="47">
        <v>0.2673510958453944</v>
      </c>
      <c r="AF117" s="47">
        <v>0.38765209023373082</v>
      </c>
      <c r="AG117" s="47">
        <v>0.41652350274092831</v>
      </c>
      <c r="AH117" s="47">
        <v>0.45811181912869459</v>
      </c>
      <c r="AI117" s="47">
        <v>0.51946341234854454</v>
      </c>
      <c r="AJ117" s="47">
        <v>0.52241511837858701</v>
      </c>
      <c r="AK117" s="47">
        <v>0.52163649682638191</v>
      </c>
      <c r="AL117" s="47">
        <v>0.57957025953555719</v>
      </c>
      <c r="AM117" s="47">
        <v>0.61645396583963652</v>
      </c>
      <c r="AN117" s="47">
        <v>0.70396567215813854</v>
      </c>
      <c r="AO117" s="47">
        <v>0.74936673430470535</v>
      </c>
      <c r="AP117" s="47">
        <v>0.81310906194464483</v>
      </c>
      <c r="AQ117" s="47">
        <v>0.7523371747692601</v>
      </c>
      <c r="AR117" s="47">
        <v>0.61339279059441754</v>
      </c>
      <c r="AS117" s="47">
        <v>0.3770171071552596</v>
      </c>
      <c r="AT117" s="47">
        <v>0.32661742360071783</v>
      </c>
      <c r="AU117" s="47">
        <v>0.3014321354299227</v>
      </c>
      <c r="AV117" s="47">
        <v>0.37651258753607142</v>
      </c>
      <c r="AW117" s="47">
        <v>0.37548883610791534</v>
      </c>
      <c r="AX117" s="47">
        <v>0.36180605643394215</v>
      </c>
      <c r="AY117" s="47">
        <v>0.29410793203984775</v>
      </c>
      <c r="AZ117" s="47">
        <v>0.21283541233412159</v>
      </c>
      <c r="BA117" s="47">
        <v>0.13954223717544065</v>
      </c>
      <c r="BB117" s="47">
        <v>5.8871412507197518E-2</v>
      </c>
      <c r="BC117" s="47">
        <v>0.14065288134737619</v>
      </c>
      <c r="BD117" s="47">
        <v>0.26131835023082384</v>
      </c>
      <c r="BE117" s="47">
        <v>0.54901957060011974</v>
      </c>
      <c r="BF117" s="47">
        <v>0.51567692651472208</v>
      </c>
      <c r="BG117" s="47">
        <v>0.52300698306404825</v>
      </c>
      <c r="BH117" s="47">
        <v>0.50147202269184543</v>
      </c>
      <c r="BI117" s="47">
        <v>0.5063334012117553</v>
      </c>
      <c r="BJ117" s="47">
        <v>0.51946867802941632</v>
      </c>
      <c r="BK117" s="47">
        <v>0.51812293796881725</v>
      </c>
      <c r="BL117" s="47">
        <v>0.52296277981820316</v>
      </c>
      <c r="BM117" s="47">
        <v>0.48024533351121695</v>
      </c>
      <c r="BN117" s="47">
        <v>0.42722940131271625</v>
      </c>
      <c r="BO117" s="47">
        <v>0.41263916390650773</v>
      </c>
      <c r="BP117" s="47">
        <v>0.47685459909112765</v>
      </c>
      <c r="BQ117" s="47">
        <v>0.50232273469412614</v>
      </c>
      <c r="BR117" s="47">
        <v>0.52548565002879011</v>
      </c>
      <c r="BS117" s="47">
        <v>0.56514940152906123</v>
      </c>
      <c r="BT117" s="47">
        <v>0.61301496087700746</v>
      </c>
      <c r="BU117" s="47">
        <v>0.66912063310726133</v>
      </c>
      <c r="BV117" s="47">
        <v>0.67229195514995999</v>
      </c>
      <c r="BW117" s="47">
        <v>0.70530818108765037</v>
      </c>
      <c r="BX117" s="47">
        <v>0.72795855393820463</v>
      </c>
      <c r="BY117" s="47">
        <v>0.7866765877235703</v>
      </c>
      <c r="BZ117" s="47">
        <v>0.8318168815348751</v>
      </c>
      <c r="CA117" s="47">
        <v>0.83425177414884755</v>
      </c>
      <c r="CB117" s="47">
        <v>0.85790494923541338</v>
      </c>
      <c r="CC117" s="47">
        <v>0.81809249721580268</v>
      </c>
      <c r="CD117" s="47">
        <v>0.83939014694170988</v>
      </c>
      <c r="CE117" s="47">
        <v>0.84674872322560801</v>
      </c>
      <c r="CF117" s="47">
        <v>0.8546760452971528</v>
      </c>
      <c r="CG117" s="47">
        <v>0.82841414705709371</v>
      </c>
      <c r="CH117" s="47">
        <v>0.80893814717247758</v>
      </c>
      <c r="CI117" s="47">
        <v>0.79958124321979429</v>
      </c>
      <c r="CJ117" s="47">
        <v>0.77765028274663039</v>
      </c>
      <c r="CK117" s="47">
        <v>0.75523358214075276</v>
      </c>
      <c r="CL117" s="47">
        <v>0.75077410193301686</v>
      </c>
      <c r="CM117" s="47">
        <v>0.73934677986147213</v>
      </c>
      <c r="CN117" s="47">
        <v>0.68346027132138132</v>
      </c>
      <c r="CO117" s="47">
        <v>0.62028727694746788</v>
      </c>
      <c r="CP117" s="47">
        <v>0.62072522048467971</v>
      </c>
      <c r="CQ117" s="47">
        <v>0.63590323185223696</v>
      </c>
      <c r="CR117" s="47">
        <v>0.64580960473163718</v>
      </c>
      <c r="CS117" s="47">
        <v>0.66822630533751493</v>
      </c>
      <c r="CT117" s="47">
        <v>0.61758635031736187</v>
      </c>
      <c r="CU117" s="47">
        <v>0.64011457631274427</v>
      </c>
      <c r="CV117" s="47">
        <v>0.64011457631274427</v>
      </c>
      <c r="CW117" s="47">
        <v>0.63407041811886122</v>
      </c>
      <c r="CX117" s="47">
        <v>0.62308103958452821</v>
      </c>
      <c r="CY117" s="47">
        <v>0.62308103958452821</v>
      </c>
      <c r="CZ117" s="47">
        <v>0.67912687010962602</v>
      </c>
    </row>
    <row r="118" spans="1:104" x14ac:dyDescent="0.2">
      <c r="A118" s="45" t="s">
        <v>132</v>
      </c>
      <c r="B118" s="46">
        <f t="shared" si="26"/>
        <v>-72.399999999999991</v>
      </c>
      <c r="C118" s="46">
        <f t="shared" si="27"/>
        <v>-80.033333333333331</v>
      </c>
      <c r="D118" s="48">
        <f t="shared" si="28"/>
        <v>27.469828163599676</v>
      </c>
      <c r="E118" s="46"/>
      <c r="F118" s="47">
        <v>0.10183333333333335</v>
      </c>
      <c r="G118" s="47">
        <v>0.75649999999999995</v>
      </c>
      <c r="H118" s="47">
        <v>0.83933333333333349</v>
      </c>
      <c r="I118" s="47">
        <v>0.90216666666666667</v>
      </c>
      <c r="J118" s="47">
        <v>0.8823333333333333</v>
      </c>
      <c r="K118" s="47">
        <v>0.82800000000000007</v>
      </c>
      <c r="L118" s="47">
        <v>0.69366666666666676</v>
      </c>
      <c r="M118" s="47">
        <v>0.48599999999999999</v>
      </c>
      <c r="N118" s="47">
        <v>0.52533333333333343</v>
      </c>
      <c r="O118" s="47">
        <v>0.61316666666666675</v>
      </c>
      <c r="P118" s="47">
        <v>0.748</v>
      </c>
      <c r="Q118" s="47">
        <v>0.54050000000000009</v>
      </c>
      <c r="R118" s="47">
        <v>0.38900000000000001</v>
      </c>
      <c r="S118" s="47">
        <v>0.27533333333333337</v>
      </c>
      <c r="T118" s="47">
        <v>0.33483333333333337</v>
      </c>
      <c r="U118" s="47">
        <v>0.38883333333333336</v>
      </c>
      <c r="V118" s="47">
        <v>0.77800000000000002</v>
      </c>
      <c r="W118" s="47">
        <v>0.82583333333333331</v>
      </c>
      <c r="X118" s="47">
        <v>0.83749999999999991</v>
      </c>
      <c r="Y118" s="47">
        <v>0.79350000000000009</v>
      </c>
      <c r="Z118" s="47">
        <v>0.70350000000000013</v>
      </c>
      <c r="AA118" s="47">
        <v>0.49266666666666664</v>
      </c>
      <c r="AB118" s="47">
        <v>0.33933333333333338</v>
      </c>
      <c r="AC118" s="47">
        <v>0.32283333333333336</v>
      </c>
      <c r="AD118" s="47">
        <v>0.57116666666666671</v>
      </c>
      <c r="AE118" s="47">
        <v>0.76833333333333342</v>
      </c>
      <c r="AF118" s="47">
        <v>0.75266666666666671</v>
      </c>
      <c r="AG118" s="47">
        <v>0.65600000000000003</v>
      </c>
      <c r="AH118" s="47">
        <v>0.70700000000000007</v>
      </c>
      <c r="AI118" s="47">
        <v>0.75466666666666671</v>
      </c>
      <c r="AJ118" s="47">
        <v>0.82800000000000007</v>
      </c>
      <c r="AK118" s="47">
        <v>0.9181666666666668</v>
      </c>
      <c r="AL118" s="47">
        <v>0.93816666666666682</v>
      </c>
      <c r="AM118" s="47">
        <v>0.94833333333333325</v>
      </c>
      <c r="AN118" s="47">
        <v>0.97066666666666679</v>
      </c>
      <c r="AO118" s="47">
        <v>0.97050000000000014</v>
      </c>
      <c r="AP118" s="47">
        <v>0.98283333333333334</v>
      </c>
      <c r="AQ118" s="47">
        <v>0.96700000000000008</v>
      </c>
      <c r="AR118" s="47">
        <v>0.94366666666666676</v>
      </c>
      <c r="AS118" s="47">
        <v>0.56916666666666671</v>
      </c>
      <c r="AT118" s="47">
        <v>0.32616666666666672</v>
      </c>
      <c r="AU118" s="47">
        <v>0.28166666666666668</v>
      </c>
      <c r="AV118" s="47">
        <v>0.19500000000000001</v>
      </c>
      <c r="AW118" s="47">
        <v>0.10866666666666666</v>
      </c>
      <c r="AX118" s="47">
        <v>6.25E-2</v>
      </c>
      <c r="AY118" s="47">
        <v>4.2499999999999996E-2</v>
      </c>
      <c r="AZ118" s="47">
        <v>0.03</v>
      </c>
      <c r="BA118" s="47">
        <v>4.3833333333333342E-2</v>
      </c>
      <c r="BB118" s="47">
        <v>3.7333333333333343E-2</v>
      </c>
      <c r="BC118" s="47">
        <v>4.7333333333333345E-2</v>
      </c>
      <c r="BD118" s="47">
        <v>7.7499999999999999E-2</v>
      </c>
      <c r="BE118" s="47">
        <v>0.17100000000000001</v>
      </c>
      <c r="BF118" s="47">
        <v>0.25633333333333336</v>
      </c>
      <c r="BG118" s="47">
        <v>0.23433333333333334</v>
      </c>
      <c r="BH118" s="47">
        <v>0.21916666666666668</v>
      </c>
      <c r="BI118" s="47">
        <v>0.19650000000000001</v>
      </c>
      <c r="BJ118" s="47">
        <v>0.17299999999999999</v>
      </c>
      <c r="BK118" s="47">
        <v>0.13200000000000001</v>
      </c>
      <c r="BL118" s="47">
        <v>0.11366666666666667</v>
      </c>
      <c r="BM118" s="47">
        <v>0.11349999999999999</v>
      </c>
      <c r="BN118" s="47">
        <v>9.2833333333333337E-2</v>
      </c>
      <c r="BO118" s="47">
        <v>8.6166666666666669E-2</v>
      </c>
      <c r="BP118" s="47">
        <v>0.151</v>
      </c>
      <c r="BQ118" s="47">
        <v>0.21183333333333332</v>
      </c>
      <c r="BR118" s="47">
        <v>0.24416666666666667</v>
      </c>
      <c r="BS118" s="47">
        <v>0.26850000000000002</v>
      </c>
      <c r="BT118" s="47">
        <v>0.3056666666666667</v>
      </c>
      <c r="BU118" s="47">
        <v>0.36850000000000005</v>
      </c>
      <c r="BV118" s="47">
        <v>0.47899999999999998</v>
      </c>
      <c r="BW118" s="47">
        <v>0.53183333333333338</v>
      </c>
      <c r="BX118" s="47">
        <v>0.55600000000000005</v>
      </c>
      <c r="BY118" s="47">
        <v>0.52033333333333343</v>
      </c>
      <c r="BZ118" s="47">
        <v>0.43800000000000006</v>
      </c>
      <c r="CA118" s="47">
        <v>0.55216666666666669</v>
      </c>
      <c r="CB118" s="47">
        <v>0.53200000000000014</v>
      </c>
      <c r="CC118" s="47">
        <v>0.52466666666666673</v>
      </c>
      <c r="CD118" s="47">
        <v>0.36649999999999999</v>
      </c>
      <c r="CE118" s="47">
        <v>0.39416666666666667</v>
      </c>
      <c r="CF118" s="47">
        <v>0.43000000000000005</v>
      </c>
      <c r="CG118" s="47">
        <v>0.43333333333333335</v>
      </c>
      <c r="CH118" s="47">
        <v>0.39366666666666672</v>
      </c>
      <c r="CI118" s="47">
        <v>0.36366666666666669</v>
      </c>
      <c r="CJ118" s="47">
        <v>0.39383333333333337</v>
      </c>
      <c r="CK118" s="47">
        <v>0.45483333333333342</v>
      </c>
      <c r="CL118" s="47">
        <v>0.57783333333333342</v>
      </c>
      <c r="CM118" s="47">
        <v>0.51800000000000002</v>
      </c>
      <c r="CN118" s="47">
        <v>0.65250000000000008</v>
      </c>
      <c r="CO118" s="47">
        <v>0.75316666666666676</v>
      </c>
      <c r="CP118" s="47">
        <v>0.85816666666666674</v>
      </c>
      <c r="CQ118" s="47">
        <v>0.81416666666666671</v>
      </c>
      <c r="CR118" s="47">
        <v>0.78016666666666667</v>
      </c>
      <c r="CS118" s="47">
        <v>0.73583333333333334</v>
      </c>
      <c r="CT118" s="47">
        <v>0.69166666666666676</v>
      </c>
      <c r="CU118" s="47">
        <v>0.65216666666666667</v>
      </c>
      <c r="CV118" s="47">
        <v>0.61816666666666664</v>
      </c>
      <c r="CW118" s="47">
        <v>0.57466666666666666</v>
      </c>
      <c r="CX118" s="47">
        <v>0.52716666666666667</v>
      </c>
      <c r="CY118" s="47">
        <v>0.54516666666666669</v>
      </c>
      <c r="CZ118" s="47">
        <v>0.5541666666666667</v>
      </c>
    </row>
    <row r="119" spans="1:104" x14ac:dyDescent="0.2">
      <c r="A119" s="45" t="s">
        <v>134</v>
      </c>
      <c r="B119" s="46">
        <f t="shared" si="26"/>
        <v>79.599999999999994</v>
      </c>
      <c r="C119" s="46">
        <f t="shared" si="27"/>
        <v>0.99999999999998979</v>
      </c>
      <c r="D119" s="48">
        <f t="shared" si="28"/>
        <v>28.804541061155636</v>
      </c>
      <c r="E119" s="46"/>
      <c r="F119" s="47">
        <v>0.93799999999999994</v>
      </c>
      <c r="G119" s="47">
        <v>0.93799999999999994</v>
      </c>
      <c r="H119" s="47">
        <v>0.93799999999999994</v>
      </c>
      <c r="I119" s="47">
        <v>0.92800000000000005</v>
      </c>
      <c r="J119" s="47">
        <v>0.877</v>
      </c>
      <c r="K119" s="47">
        <v>0.76500000000000012</v>
      </c>
      <c r="L119" s="47">
        <v>0.58099999999999996</v>
      </c>
      <c r="M119" s="47">
        <v>0.36699999999999999</v>
      </c>
      <c r="N119" s="47">
        <v>0.39700000000000002</v>
      </c>
      <c r="O119" s="47">
        <v>0.44800000000000006</v>
      </c>
      <c r="P119" s="47">
        <v>0.622</v>
      </c>
      <c r="Q119" s="47">
        <v>0.43800000000000006</v>
      </c>
      <c r="R119" s="47">
        <v>0.183</v>
      </c>
      <c r="S119" s="47">
        <v>0.122</v>
      </c>
      <c r="T119" s="47">
        <v>7.0999999999999994E-2</v>
      </c>
      <c r="U119" s="47">
        <v>0.10200000000000001</v>
      </c>
      <c r="V119" s="47">
        <v>0.13200000000000001</v>
      </c>
      <c r="W119" s="47">
        <v>0.14199999999999999</v>
      </c>
      <c r="X119" s="47">
        <v>0.11200000000000002</v>
      </c>
      <c r="Y119" s="47">
        <v>9.0999999999999998E-2</v>
      </c>
      <c r="Z119" s="47">
        <v>8.1000000000000003E-2</v>
      </c>
      <c r="AA119" s="47">
        <v>0.04</v>
      </c>
      <c r="AB119" s="47">
        <v>0.02</v>
      </c>
      <c r="AC119" s="47">
        <v>6.0999999999999999E-2</v>
      </c>
      <c r="AD119" s="47">
        <v>0.153</v>
      </c>
      <c r="AE119" s="47">
        <v>0.21400000000000002</v>
      </c>
      <c r="AF119" s="47">
        <v>0.41800000000000004</v>
      </c>
      <c r="AG119" s="47">
        <v>0.5</v>
      </c>
      <c r="AH119" s="47">
        <v>0.54</v>
      </c>
      <c r="AI119" s="47">
        <v>0.63200000000000001</v>
      </c>
      <c r="AJ119" s="47">
        <v>0.72399999999999998</v>
      </c>
      <c r="AK119" s="47">
        <v>0.74399999999999999</v>
      </c>
      <c r="AL119" s="47">
        <v>0.75500000000000012</v>
      </c>
      <c r="AM119" s="47">
        <v>0.77500000000000013</v>
      </c>
      <c r="AN119" s="47">
        <v>0.83600000000000008</v>
      </c>
      <c r="AO119" s="47">
        <v>0.96899999999999997</v>
      </c>
      <c r="AP119" s="47">
        <v>0.98899999999999999</v>
      </c>
      <c r="AQ119" s="47">
        <v>1</v>
      </c>
      <c r="AR119" s="47">
        <v>0.97899999999999998</v>
      </c>
      <c r="AS119" s="47">
        <v>0.377</v>
      </c>
      <c r="AT119" s="47">
        <v>0.35699999999999998</v>
      </c>
      <c r="AU119" s="47">
        <v>0.316</v>
      </c>
      <c r="AV119" s="47">
        <v>0.28499999999999998</v>
      </c>
      <c r="AW119" s="47">
        <v>0.193</v>
      </c>
      <c r="AX119" s="47">
        <v>0.20400000000000001</v>
      </c>
      <c r="AY119" s="47">
        <v>0.17299999999999999</v>
      </c>
      <c r="AZ119" s="47">
        <v>0.16300000000000001</v>
      </c>
      <c r="BA119" s="47">
        <v>0.03</v>
      </c>
      <c r="BB119" s="47">
        <v>0.01</v>
      </c>
      <c r="BC119" s="47">
        <v>0</v>
      </c>
      <c r="BD119" s="47">
        <v>5.1000000000000004E-2</v>
      </c>
      <c r="BE119" s="47">
        <v>0.38700000000000001</v>
      </c>
      <c r="BF119" s="47">
        <v>0.33600000000000002</v>
      </c>
      <c r="BG119" s="47">
        <v>0.27500000000000002</v>
      </c>
      <c r="BH119" s="47">
        <v>0.22400000000000003</v>
      </c>
      <c r="BI119" s="47">
        <v>0.23400000000000004</v>
      </c>
      <c r="BJ119" s="47">
        <v>0.24399999999999999</v>
      </c>
      <c r="BK119" s="47">
        <v>0.26500000000000001</v>
      </c>
      <c r="BL119" s="47">
        <v>0.255</v>
      </c>
      <c r="BM119" s="47">
        <v>0.29499999999999998</v>
      </c>
      <c r="BN119" s="47">
        <v>0.32600000000000001</v>
      </c>
      <c r="BO119" s="47">
        <v>0.34599999999999997</v>
      </c>
      <c r="BP119" s="47">
        <v>0.40800000000000003</v>
      </c>
      <c r="BQ119" s="47">
        <v>0.47899999999999998</v>
      </c>
      <c r="BR119" s="47">
        <v>0.48899999999999999</v>
      </c>
      <c r="BS119" s="47">
        <v>0.53</v>
      </c>
      <c r="BT119" s="47">
        <v>0.57099999999999995</v>
      </c>
      <c r="BU119" s="47">
        <v>0.61199999999999999</v>
      </c>
      <c r="BV119" s="47">
        <v>0.67300000000000004</v>
      </c>
      <c r="BW119" s="47">
        <v>0.68300000000000005</v>
      </c>
      <c r="BX119" s="47">
        <v>0.66300000000000003</v>
      </c>
      <c r="BY119" s="47">
        <v>0.60199999999999998</v>
      </c>
      <c r="BZ119" s="47">
        <v>0.51</v>
      </c>
      <c r="CA119" s="47">
        <v>0.46899999999999997</v>
      </c>
      <c r="CB119" s="47">
        <v>0.70399999999999996</v>
      </c>
      <c r="CC119" s="47">
        <v>0.79500000000000015</v>
      </c>
      <c r="CD119" s="47">
        <v>0.86699999999999999</v>
      </c>
      <c r="CE119" s="47">
        <v>0.88700000000000001</v>
      </c>
      <c r="CF119" s="47">
        <v>0.89700000000000002</v>
      </c>
      <c r="CG119" s="47">
        <v>0.85699999999999998</v>
      </c>
      <c r="CH119" s="47">
        <v>0.80600000000000005</v>
      </c>
      <c r="CI119" s="47">
        <v>0.81600000000000006</v>
      </c>
      <c r="CJ119" s="47">
        <v>0.78500000000000014</v>
      </c>
      <c r="CK119" s="47">
        <v>0.82600000000000007</v>
      </c>
      <c r="CL119" s="47">
        <v>0.90800000000000003</v>
      </c>
      <c r="CM119" s="47">
        <v>0.91800000000000004</v>
      </c>
      <c r="CN119" s="47">
        <v>0.84600000000000009</v>
      </c>
      <c r="CO119" s="47">
        <v>0.73399999999999999</v>
      </c>
      <c r="CP119" s="47">
        <v>0.71399999999999997</v>
      </c>
      <c r="CQ119" s="47">
        <v>0.69299999999999995</v>
      </c>
      <c r="CR119" s="47">
        <v>0.64200000000000002</v>
      </c>
      <c r="CS119" s="47">
        <v>0.65300000000000002</v>
      </c>
      <c r="CT119" s="47">
        <v>0.59099999999999997</v>
      </c>
      <c r="CU119" s="47">
        <v>0.56100000000000005</v>
      </c>
      <c r="CV119" s="47">
        <v>0.55100000000000005</v>
      </c>
      <c r="CW119" s="47">
        <v>0.52</v>
      </c>
      <c r="CX119" s="47">
        <v>0.45900000000000002</v>
      </c>
      <c r="CY119" s="47">
        <v>0.42800000000000005</v>
      </c>
      <c r="CZ119" s="47">
        <v>0.30599999999999999</v>
      </c>
    </row>
    <row r="120" spans="1:104" x14ac:dyDescent="0.2">
      <c r="A120" s="45" t="s">
        <v>136</v>
      </c>
      <c r="B120" s="46">
        <f t="shared" si="26"/>
        <v>93.8</v>
      </c>
      <c r="C120" s="46">
        <f t="shared" si="27"/>
        <v>25.5</v>
      </c>
      <c r="D120" s="48">
        <f t="shared" si="28"/>
        <v>29.757271057426021</v>
      </c>
      <c r="E120" s="46"/>
      <c r="F120" s="47">
        <v>0.94799999999999995</v>
      </c>
      <c r="G120" s="47">
        <v>0.89700000000000002</v>
      </c>
      <c r="H120" s="47">
        <v>0.86699999999999999</v>
      </c>
      <c r="I120" s="47">
        <v>0.69299999999999995</v>
      </c>
      <c r="J120" s="47">
        <v>0.59099999999999997</v>
      </c>
      <c r="K120" s="47">
        <v>0.52</v>
      </c>
      <c r="L120" s="47">
        <v>0.5</v>
      </c>
      <c r="M120" s="47">
        <v>0.34599999999999997</v>
      </c>
      <c r="N120" s="47">
        <v>0.35699999999999998</v>
      </c>
      <c r="O120" s="47">
        <v>0.33600000000000002</v>
      </c>
      <c r="P120" s="47">
        <v>0.45900000000000002</v>
      </c>
      <c r="Q120" s="47">
        <v>0.43800000000000006</v>
      </c>
      <c r="R120" s="47">
        <v>0.28499999999999998</v>
      </c>
      <c r="S120" s="47">
        <v>0.16300000000000001</v>
      </c>
      <c r="T120" s="47">
        <v>0.03</v>
      </c>
      <c r="U120" s="47">
        <v>0.02</v>
      </c>
      <c r="V120" s="47">
        <v>0</v>
      </c>
      <c r="W120" s="47">
        <v>0.01</v>
      </c>
      <c r="X120" s="47">
        <v>0.04</v>
      </c>
      <c r="Y120" s="47">
        <v>0.14199999999999999</v>
      </c>
      <c r="Z120" s="47">
        <v>0.153</v>
      </c>
      <c r="AA120" s="47">
        <v>0.13200000000000001</v>
      </c>
      <c r="AB120" s="47">
        <v>7.0999999999999994E-2</v>
      </c>
      <c r="AC120" s="47">
        <v>0.11200000000000002</v>
      </c>
      <c r="AD120" s="47">
        <v>0.10200000000000001</v>
      </c>
      <c r="AE120" s="47">
        <v>0.183</v>
      </c>
      <c r="AF120" s="47">
        <v>0.21400000000000002</v>
      </c>
      <c r="AG120" s="47">
        <v>0.24399999999999999</v>
      </c>
      <c r="AH120" s="47">
        <v>0.26500000000000001</v>
      </c>
      <c r="AI120" s="47">
        <v>0.27500000000000002</v>
      </c>
      <c r="AJ120" s="47">
        <v>0.32600000000000001</v>
      </c>
      <c r="AK120" s="47">
        <v>0.38700000000000001</v>
      </c>
      <c r="AL120" s="47">
        <v>0.60199999999999998</v>
      </c>
      <c r="AM120" s="47">
        <v>0.877</v>
      </c>
      <c r="AN120" s="47">
        <v>0.93799999999999994</v>
      </c>
      <c r="AO120" s="47">
        <v>0.96899999999999997</v>
      </c>
      <c r="AP120" s="47">
        <v>1</v>
      </c>
      <c r="AQ120" s="47">
        <v>0.98899999999999999</v>
      </c>
      <c r="AR120" s="47">
        <v>0.97899999999999998</v>
      </c>
      <c r="AS120" s="47">
        <v>0.92800000000000005</v>
      </c>
      <c r="AT120" s="47">
        <v>0.91800000000000004</v>
      </c>
      <c r="AU120" s="47">
        <v>0.90800000000000003</v>
      </c>
      <c r="AV120" s="47">
        <v>0.88700000000000001</v>
      </c>
      <c r="AW120" s="47">
        <v>0.84600000000000009</v>
      </c>
      <c r="AX120" s="47">
        <v>0.71399999999999997</v>
      </c>
      <c r="AY120" s="47">
        <v>0.39700000000000002</v>
      </c>
      <c r="AZ120" s="47">
        <v>0.255</v>
      </c>
      <c r="BA120" s="47">
        <v>0.17299999999999999</v>
      </c>
      <c r="BB120" s="47">
        <v>6.0999999999999999E-2</v>
      </c>
      <c r="BC120" s="47">
        <v>9.0999999999999998E-2</v>
      </c>
      <c r="BD120" s="47">
        <v>0.193</v>
      </c>
      <c r="BE120" s="47">
        <v>0.36699999999999999</v>
      </c>
      <c r="BF120" s="47">
        <v>0.41800000000000004</v>
      </c>
      <c r="BG120" s="47">
        <v>0.46899999999999997</v>
      </c>
      <c r="BH120" s="47">
        <v>0.54</v>
      </c>
      <c r="BI120" s="47">
        <v>0.64200000000000002</v>
      </c>
      <c r="BJ120" s="47">
        <v>0.56100000000000005</v>
      </c>
      <c r="BK120" s="47">
        <v>0.58099999999999996</v>
      </c>
      <c r="BL120" s="47">
        <v>0.42800000000000005</v>
      </c>
      <c r="BM120" s="47">
        <v>0.53</v>
      </c>
      <c r="BN120" s="47">
        <v>0.22400000000000003</v>
      </c>
      <c r="BO120" s="47">
        <v>0.29499999999999998</v>
      </c>
      <c r="BP120" s="47">
        <v>0.20400000000000001</v>
      </c>
      <c r="BQ120" s="47">
        <v>0.44800000000000006</v>
      </c>
      <c r="BR120" s="47">
        <v>0.55100000000000005</v>
      </c>
      <c r="BS120" s="47">
        <v>0.65300000000000002</v>
      </c>
      <c r="BT120" s="47">
        <v>0.61199999999999999</v>
      </c>
      <c r="BU120" s="47">
        <v>0.51</v>
      </c>
      <c r="BV120" s="47">
        <v>0.40800000000000003</v>
      </c>
      <c r="BW120" s="47">
        <v>0.30599999999999999</v>
      </c>
      <c r="BX120" s="47">
        <v>0.377</v>
      </c>
      <c r="BY120" s="47">
        <v>0.316</v>
      </c>
      <c r="BZ120" s="47">
        <v>0.73399999999999999</v>
      </c>
      <c r="CA120" s="47">
        <v>0.77500000000000013</v>
      </c>
      <c r="CB120" s="47">
        <v>0.85699999999999998</v>
      </c>
      <c r="CC120" s="47">
        <v>0.66300000000000003</v>
      </c>
      <c r="CD120" s="47">
        <v>0.67300000000000004</v>
      </c>
      <c r="CE120" s="47">
        <v>0.68300000000000005</v>
      </c>
      <c r="CF120" s="47">
        <v>0.622</v>
      </c>
      <c r="CG120" s="47">
        <v>0.70399999999999996</v>
      </c>
      <c r="CH120" s="47">
        <v>0.74399999999999999</v>
      </c>
      <c r="CI120" s="47">
        <v>0.83600000000000008</v>
      </c>
      <c r="CJ120" s="47">
        <v>0.78500000000000014</v>
      </c>
      <c r="CK120" s="47">
        <v>0.76500000000000012</v>
      </c>
      <c r="CL120" s="47">
        <v>0.57099999999999995</v>
      </c>
      <c r="CM120" s="47">
        <v>0.48899999999999999</v>
      </c>
      <c r="CN120" s="47">
        <v>0.122</v>
      </c>
      <c r="CO120" s="47">
        <v>8.1000000000000003E-2</v>
      </c>
      <c r="CP120" s="47">
        <v>5.1000000000000004E-2</v>
      </c>
      <c r="CQ120" s="47">
        <v>0.23400000000000004</v>
      </c>
      <c r="CR120" s="47">
        <v>0.47899999999999998</v>
      </c>
      <c r="CS120" s="47">
        <v>0.63200000000000001</v>
      </c>
      <c r="CT120" s="47">
        <v>0.75500000000000012</v>
      </c>
      <c r="CU120" s="47">
        <v>0.82600000000000007</v>
      </c>
      <c r="CV120" s="47">
        <v>0.79500000000000015</v>
      </c>
      <c r="CW120" s="47">
        <v>0.81600000000000006</v>
      </c>
      <c r="CX120" s="47">
        <v>0.72399999999999998</v>
      </c>
      <c r="CY120" s="47">
        <v>0.80600000000000005</v>
      </c>
      <c r="CZ120" s="47">
        <v>0.95899999999999996</v>
      </c>
    </row>
    <row r="121" spans="1:104" x14ac:dyDescent="0.2">
      <c r="A121" s="45" t="s">
        <v>138</v>
      </c>
      <c r="B121" s="46">
        <f t="shared" si="26"/>
        <v>-31.700000000000006</v>
      </c>
      <c r="C121" s="46">
        <f t="shared" si="27"/>
        <v>-67.349999999999994</v>
      </c>
      <c r="D121" s="48">
        <f t="shared" si="28"/>
        <v>17.725166104433306</v>
      </c>
      <c r="E121" s="46"/>
      <c r="F121" s="47">
        <v>0.23899999999999999</v>
      </c>
      <c r="G121" s="47">
        <v>0.73399999999999999</v>
      </c>
      <c r="H121" s="47">
        <v>0.8055000000000001</v>
      </c>
      <c r="I121" s="47">
        <v>0.91249999999999998</v>
      </c>
      <c r="J121" s="47">
        <v>0.83650000000000002</v>
      </c>
      <c r="K121" s="47">
        <v>0.74949999999999994</v>
      </c>
      <c r="L121" s="47">
        <v>0.69850000000000001</v>
      </c>
      <c r="M121" s="47">
        <v>0.69850000000000001</v>
      </c>
      <c r="N121" s="47">
        <v>0.70900000000000019</v>
      </c>
      <c r="O121" s="47">
        <v>0.76000000000000012</v>
      </c>
      <c r="P121" s="47">
        <v>0.82100000000000006</v>
      </c>
      <c r="Q121" s="47">
        <v>0.77500000000000013</v>
      </c>
      <c r="R121" s="47">
        <v>0.86150000000000004</v>
      </c>
      <c r="S121" s="47">
        <v>0.50950000000000006</v>
      </c>
      <c r="T121" s="47">
        <v>0.48450000000000004</v>
      </c>
      <c r="U121" s="47">
        <v>0.45850000000000002</v>
      </c>
      <c r="V121" s="47">
        <v>0.54049999999999998</v>
      </c>
      <c r="W121" s="47">
        <v>0.55600000000000005</v>
      </c>
      <c r="X121" s="47">
        <v>0.57599999999999996</v>
      </c>
      <c r="Y121" s="47">
        <v>0.53</v>
      </c>
      <c r="Z121" s="47">
        <v>0.4995</v>
      </c>
      <c r="AA121" s="47">
        <v>0.40250000000000008</v>
      </c>
      <c r="AB121" s="47">
        <v>0.34150000000000003</v>
      </c>
      <c r="AC121" s="47">
        <v>0.38250000000000006</v>
      </c>
      <c r="AD121" s="47">
        <v>0.35649999999999998</v>
      </c>
      <c r="AE121" s="47">
        <v>0.48449999999999999</v>
      </c>
      <c r="AF121" s="47">
        <v>0.47400000000000009</v>
      </c>
      <c r="AG121" s="47">
        <v>0.41800000000000004</v>
      </c>
      <c r="AH121" s="47">
        <v>0.34649999999999997</v>
      </c>
      <c r="AI121" s="47">
        <v>0.40749999999999997</v>
      </c>
      <c r="AJ121" s="47">
        <v>0.47399999999999998</v>
      </c>
      <c r="AK121" s="47">
        <v>0.48899999999999999</v>
      </c>
      <c r="AL121" s="47">
        <v>0.52499999999999991</v>
      </c>
      <c r="AM121" s="47">
        <v>0.59099999999999997</v>
      </c>
      <c r="AN121" s="47">
        <v>0.63749999999999996</v>
      </c>
      <c r="AO121" s="47">
        <v>0.85650000000000004</v>
      </c>
      <c r="AP121" s="47">
        <v>0.98399999999999999</v>
      </c>
      <c r="AQ121" s="47">
        <v>0.97399999999999998</v>
      </c>
      <c r="AR121" s="47">
        <v>0.95350000000000001</v>
      </c>
      <c r="AS121" s="47">
        <v>0.67799999999999994</v>
      </c>
      <c r="AT121" s="47">
        <v>0.55049999999999999</v>
      </c>
      <c r="AU121" s="47">
        <v>0.622</v>
      </c>
      <c r="AV121" s="47">
        <v>0.58099999999999996</v>
      </c>
      <c r="AW121" s="47">
        <v>0.53500000000000003</v>
      </c>
      <c r="AX121" s="47">
        <v>0.53549999999999998</v>
      </c>
      <c r="AY121" s="47">
        <v>0.52999999999999992</v>
      </c>
      <c r="AZ121" s="47">
        <v>0.48899999999999999</v>
      </c>
      <c r="BA121" s="47">
        <v>0.377</v>
      </c>
      <c r="BB121" s="47">
        <v>8.6499999999999994E-2</v>
      </c>
      <c r="BC121" s="47">
        <v>3.5499999999999997E-2</v>
      </c>
      <c r="BD121" s="47">
        <v>0.11700000000000002</v>
      </c>
      <c r="BE121" s="47">
        <v>0.26</v>
      </c>
      <c r="BF121" s="47">
        <v>0.41249999999999998</v>
      </c>
      <c r="BG121" s="47">
        <v>0.372</v>
      </c>
      <c r="BH121" s="47">
        <v>0.35649999999999998</v>
      </c>
      <c r="BI121" s="47">
        <v>0.2445</v>
      </c>
      <c r="BJ121" s="47">
        <v>0.22400000000000003</v>
      </c>
      <c r="BK121" s="47">
        <v>0.20349999999999999</v>
      </c>
      <c r="BL121" s="47">
        <v>0.22900000000000004</v>
      </c>
      <c r="BM121" s="47">
        <v>0.39749999999999996</v>
      </c>
      <c r="BN121" s="47">
        <v>0.53549999999999998</v>
      </c>
      <c r="BO121" s="47">
        <v>0.65249999999999997</v>
      </c>
      <c r="BP121" s="47">
        <v>0.61150000000000004</v>
      </c>
      <c r="BQ121" s="47">
        <v>0.53050000000000008</v>
      </c>
      <c r="BR121" s="47">
        <v>0.39250000000000007</v>
      </c>
      <c r="BS121" s="47">
        <v>0.34600000000000003</v>
      </c>
      <c r="BT121" s="47">
        <v>0.30549999999999999</v>
      </c>
      <c r="BU121" s="47">
        <v>0.43300000000000005</v>
      </c>
      <c r="BV121" s="47">
        <v>0.52</v>
      </c>
      <c r="BW121" s="47">
        <v>0.49399999999999999</v>
      </c>
      <c r="BX121" s="47">
        <v>0.58100000000000007</v>
      </c>
      <c r="BY121" s="47">
        <v>0.55600000000000005</v>
      </c>
      <c r="BZ121" s="47">
        <v>0.45850000000000002</v>
      </c>
      <c r="CA121" s="47">
        <v>0.48950000000000005</v>
      </c>
      <c r="CB121" s="47">
        <v>0.377</v>
      </c>
      <c r="CC121" s="47">
        <v>0.48399999999999999</v>
      </c>
      <c r="CD121" s="47">
        <v>0.53550000000000009</v>
      </c>
      <c r="CE121" s="47">
        <v>0.61699999999999999</v>
      </c>
      <c r="CF121" s="47">
        <v>0.63249999999999995</v>
      </c>
      <c r="CG121" s="47">
        <v>0.57600000000000007</v>
      </c>
      <c r="CH121" s="47">
        <v>0.49450000000000005</v>
      </c>
      <c r="CI121" s="47">
        <v>0.58100000000000007</v>
      </c>
      <c r="CJ121" s="47">
        <v>0.55049999999999999</v>
      </c>
      <c r="CK121" s="47">
        <v>0.53</v>
      </c>
      <c r="CL121" s="47">
        <v>0.57600000000000007</v>
      </c>
      <c r="CM121" s="47">
        <v>0.55600000000000005</v>
      </c>
      <c r="CN121" s="47">
        <v>0.51450000000000007</v>
      </c>
      <c r="CO121" s="47">
        <v>0.38250000000000006</v>
      </c>
      <c r="CP121" s="47">
        <v>0.36699999999999999</v>
      </c>
      <c r="CQ121" s="47">
        <v>0.38749999999999996</v>
      </c>
      <c r="CR121" s="47">
        <v>0.41800000000000004</v>
      </c>
      <c r="CS121" s="47">
        <v>0.41800000000000004</v>
      </c>
      <c r="CT121" s="47">
        <v>0.377</v>
      </c>
      <c r="CU121" s="47">
        <v>0.27500000000000002</v>
      </c>
      <c r="CV121" s="47">
        <v>0.24950000000000003</v>
      </c>
      <c r="CW121" s="47">
        <v>0.27499999999999997</v>
      </c>
      <c r="CX121" s="47">
        <v>0.28050000000000003</v>
      </c>
      <c r="CY121" s="47">
        <v>0.21400000000000002</v>
      </c>
      <c r="CZ121" s="47">
        <v>0.188</v>
      </c>
    </row>
    <row r="122" spans="1:104" x14ac:dyDescent="0.2">
      <c r="A122" s="45" t="s">
        <v>140</v>
      </c>
      <c r="B122" s="46">
        <f t="shared" si="26"/>
        <v>48.461523857522778</v>
      </c>
      <c r="C122" s="46">
        <f t="shared" si="27"/>
        <v>-5.9516468127702833</v>
      </c>
      <c r="D122" s="48">
        <f t="shared" si="28"/>
        <v>21.794553615260231</v>
      </c>
      <c r="E122" s="46"/>
      <c r="F122" s="47">
        <v>0.72044757323679143</v>
      </c>
      <c r="G122" s="47">
        <v>0.72044757323679143</v>
      </c>
      <c r="H122" s="47">
        <v>0.7580795411306438</v>
      </c>
      <c r="I122" s="47">
        <v>0.77996404136449426</v>
      </c>
      <c r="J122" s="47">
        <v>0.76781756569938897</v>
      </c>
      <c r="K122" s="47">
        <v>0.69932635173577284</v>
      </c>
      <c r="L122" s="47">
        <v>0.66423255491997035</v>
      </c>
      <c r="M122" s="47">
        <v>0.65787024454869192</v>
      </c>
      <c r="N122" s="47">
        <v>0.72241698049423619</v>
      </c>
      <c r="O122" s="47">
        <v>0.7157654765684438</v>
      </c>
      <c r="P122" s="47">
        <v>0.71907637402299585</v>
      </c>
      <c r="Q122" s="47">
        <v>0.60766478673619273</v>
      </c>
      <c r="R122" s="47">
        <v>0.6456032135422678</v>
      </c>
      <c r="S122" s="47">
        <v>0.45209040853926508</v>
      </c>
      <c r="T122" s="47">
        <v>0.37187239325744387</v>
      </c>
      <c r="U122" s="47">
        <v>0.11797689549435642</v>
      </c>
      <c r="V122" s="47">
        <v>0.1960086731757324</v>
      </c>
      <c r="W122" s="47">
        <v>0.23583233466156364</v>
      </c>
      <c r="X122" s="47">
        <v>0.31095798560008381</v>
      </c>
      <c r="Y122" s="47">
        <v>0.31181387981262004</v>
      </c>
      <c r="Z122" s="47">
        <v>0.22661982544782691</v>
      </c>
      <c r="AA122" s="47">
        <v>0.15122767954196717</v>
      </c>
      <c r="AB122" s="47">
        <v>0.14409468414439172</v>
      </c>
      <c r="AC122" s="47">
        <v>0.2360697275905364</v>
      </c>
      <c r="AD122" s="47">
        <v>0.37876012793545671</v>
      </c>
      <c r="AE122" s="47">
        <v>0.37472645818383682</v>
      </c>
      <c r="AF122" s="47">
        <v>0.32924418769170227</v>
      </c>
      <c r="AG122" s="47">
        <v>0.19832025955205279</v>
      </c>
      <c r="AH122" s="47">
        <v>0.27652499657588764</v>
      </c>
      <c r="AI122" s="47">
        <v>0.27079897067531133</v>
      </c>
      <c r="AJ122" s="47">
        <v>0.34757666613112226</v>
      </c>
      <c r="AK122" s="47">
        <v>0.32057183627725616</v>
      </c>
      <c r="AL122" s="47">
        <v>0.35069805512175695</v>
      </c>
      <c r="AM122" s="47">
        <v>0.39057251249147462</v>
      </c>
      <c r="AN122" s="47">
        <v>0.45375014425270205</v>
      </c>
      <c r="AO122" s="47">
        <v>0.66248933099819951</v>
      </c>
      <c r="AP122" s="47">
        <v>0.86139253816708794</v>
      </c>
      <c r="AQ122" s="47">
        <v>0.96828922542140994</v>
      </c>
      <c r="AR122" s="47">
        <v>0.95293890916588642</v>
      </c>
      <c r="AS122" s="47">
        <v>0.81025580775588424</v>
      </c>
      <c r="AT122" s="47">
        <v>0.7244580984607355</v>
      </c>
      <c r="AU122" s="47">
        <v>0.73932605412554142</v>
      </c>
      <c r="AV122" s="47">
        <v>0.67202897096806047</v>
      </c>
      <c r="AW122" s="47">
        <v>0.67352612783543531</v>
      </c>
      <c r="AX122" s="47">
        <v>0.64730209320851329</v>
      </c>
      <c r="AY122" s="47">
        <v>0.58246281545395007</v>
      </c>
      <c r="AZ122" s="47">
        <v>0.33647289473739272</v>
      </c>
      <c r="BA122" s="47">
        <v>0.24862476816234463</v>
      </c>
      <c r="BB122" s="47">
        <v>0.1404833926468545</v>
      </c>
      <c r="BC122" s="47">
        <v>8.9647332076489908E-2</v>
      </c>
      <c r="BD122" s="47">
        <v>0.10522458887566126</v>
      </c>
      <c r="BE122" s="47">
        <v>0.15792120697250314</v>
      </c>
      <c r="BF122" s="47">
        <v>0.36869606840051616</v>
      </c>
      <c r="BG122" s="47">
        <v>0.39495129459317863</v>
      </c>
      <c r="BH122" s="47">
        <v>0.53043241656580198</v>
      </c>
      <c r="BI122" s="47">
        <v>0.4602968219665593</v>
      </c>
      <c r="BJ122" s="47">
        <v>0.40582606778278252</v>
      </c>
      <c r="BK122" s="47">
        <v>0.34249841919722857</v>
      </c>
      <c r="BL122" s="47">
        <v>0.35046744329827256</v>
      </c>
      <c r="BM122" s="47">
        <v>0.37160771031628381</v>
      </c>
      <c r="BN122" s="47">
        <v>0.29602000018209657</v>
      </c>
      <c r="BO122" s="47">
        <v>0.37878932462482029</v>
      </c>
      <c r="BP122" s="47">
        <v>0.4817958663517643</v>
      </c>
      <c r="BQ122" s="47">
        <v>0.7386506165972031</v>
      </c>
      <c r="BR122" s="47">
        <v>0.67688058502305626</v>
      </c>
      <c r="BS122" s="47">
        <v>0.65725419963863041</v>
      </c>
      <c r="BT122" s="47">
        <v>0.34820113763292665</v>
      </c>
      <c r="BU122" s="47">
        <v>0.29053218359984528</v>
      </c>
      <c r="BV122" s="47">
        <v>0.31911189127041384</v>
      </c>
      <c r="BW122" s="47">
        <v>0.44857869837650022</v>
      </c>
      <c r="BX122" s="47">
        <v>0.53101576004658846</v>
      </c>
      <c r="BY122" s="47">
        <v>0.54264131178169817</v>
      </c>
      <c r="BZ122" s="47">
        <v>0.46507667523594975</v>
      </c>
      <c r="CA122" s="47">
        <v>0.52290945583801496</v>
      </c>
      <c r="CB122" s="47">
        <v>0.48226948643023504</v>
      </c>
      <c r="CC122" s="47">
        <v>0.57846874470046761</v>
      </c>
      <c r="CD122" s="47">
        <v>0.49956940816792761</v>
      </c>
      <c r="CE122" s="47">
        <v>0.53924658033141237</v>
      </c>
      <c r="CF122" s="47">
        <v>0.59542052620587094</v>
      </c>
      <c r="CG122" s="47">
        <v>0.65572982825071913</v>
      </c>
      <c r="CH122" s="47">
        <v>0.68999905349003254</v>
      </c>
      <c r="CI122" s="47">
        <v>0.7498139334918934</v>
      </c>
      <c r="CJ122" s="47">
        <v>0.83025470836323279</v>
      </c>
      <c r="CK122" s="47">
        <v>0.83076548112085757</v>
      </c>
      <c r="CL122" s="47">
        <v>0.88507113369824675</v>
      </c>
      <c r="CM122" s="47">
        <v>0.7409847978048737</v>
      </c>
      <c r="CN122" s="47">
        <v>0.7681963159341969</v>
      </c>
      <c r="CO122" s="47">
        <v>0.60571919566822841</v>
      </c>
      <c r="CP122" s="47">
        <v>0.67056001875594473</v>
      </c>
      <c r="CQ122" s="47">
        <v>0.67602712802467602</v>
      </c>
      <c r="CR122" s="47">
        <v>0.73733950707858908</v>
      </c>
      <c r="CS122" s="47">
        <v>0.69223300901560825</v>
      </c>
      <c r="CT122" s="47">
        <v>0.62355183154274607</v>
      </c>
      <c r="CU122" s="47">
        <v>0.44831716888574696</v>
      </c>
      <c r="CV122" s="47">
        <v>0.30921266664883429</v>
      </c>
      <c r="CW122" s="47">
        <v>0.31058520008141188</v>
      </c>
      <c r="CX122" s="47">
        <v>0.16548283384570137</v>
      </c>
      <c r="CY122" s="47">
        <v>0.27466762986881788</v>
      </c>
      <c r="CZ122" s="47">
        <v>0.16240103114565418</v>
      </c>
    </row>
    <row r="123" spans="1:104" x14ac:dyDescent="0.2">
      <c r="A123" s="45" t="s">
        <v>142</v>
      </c>
      <c r="B123" s="46">
        <f t="shared" si="26"/>
        <v>26.499999999999996</v>
      </c>
      <c r="C123" s="46">
        <f t="shared" si="27"/>
        <v>-12.6</v>
      </c>
      <c r="D123" s="48">
        <f t="shared" si="28"/>
        <v>26.894708610425038</v>
      </c>
      <c r="E123" s="46"/>
      <c r="F123" s="47">
        <v>0.65500000000000003</v>
      </c>
      <c r="G123" s="47">
        <v>0.65500000000000003</v>
      </c>
      <c r="H123" s="47">
        <v>0.65500000000000003</v>
      </c>
      <c r="I123" s="47">
        <v>0.78100000000000003</v>
      </c>
      <c r="J123" s="47">
        <v>0.63200000000000001</v>
      </c>
      <c r="K123" s="47">
        <v>0.27500000000000002</v>
      </c>
      <c r="L123" s="47">
        <v>5.7000000000000002E-2</v>
      </c>
      <c r="M123" s="47">
        <v>1.0999999999999999E-2</v>
      </c>
      <c r="N123" s="47">
        <v>4.4999999999999991E-2</v>
      </c>
      <c r="O123" s="47">
        <v>9.0999999999999998E-2</v>
      </c>
      <c r="P123" s="47">
        <v>0.20599999999999999</v>
      </c>
      <c r="Q123" s="47">
        <v>0.26400000000000001</v>
      </c>
      <c r="R123" s="47">
        <v>0.40200000000000002</v>
      </c>
      <c r="S123" s="47">
        <v>0.34399999999999997</v>
      </c>
      <c r="T123" s="47">
        <v>0.34399999999999997</v>
      </c>
      <c r="U123" s="47">
        <v>0.19500000000000003</v>
      </c>
      <c r="V123" s="47">
        <v>0.36699999999999999</v>
      </c>
      <c r="W123" s="47">
        <v>0.39000000000000007</v>
      </c>
      <c r="X123" s="47">
        <v>0.64300000000000002</v>
      </c>
      <c r="Y123" s="47">
        <v>0.80400000000000005</v>
      </c>
      <c r="Z123" s="47">
        <v>0.73499999999999988</v>
      </c>
      <c r="AA123" s="47">
        <v>0.96499999999999997</v>
      </c>
      <c r="AB123" s="47">
        <v>0.82699999999999996</v>
      </c>
      <c r="AC123" s="47">
        <v>0.747</v>
      </c>
      <c r="AD123" s="47">
        <v>0.16</v>
      </c>
      <c r="AE123" s="47">
        <v>0.17199999999999999</v>
      </c>
      <c r="AF123" s="47">
        <v>0.29799999999999999</v>
      </c>
      <c r="AG123" s="47">
        <v>0.32100000000000001</v>
      </c>
      <c r="AH123" s="47">
        <v>0.57399999999999995</v>
      </c>
      <c r="AI123" s="47">
        <v>0.505</v>
      </c>
      <c r="AJ123" s="47">
        <v>0.42499999999999999</v>
      </c>
      <c r="AK123" s="47">
        <v>0.126</v>
      </c>
      <c r="AL123" s="47">
        <v>6.8000000000000005E-2</v>
      </c>
      <c r="AM123" s="47">
        <v>3.4000000000000002E-2</v>
      </c>
      <c r="AN123" s="47">
        <v>0</v>
      </c>
      <c r="AO123" s="47">
        <v>2.1999999999999999E-2</v>
      </c>
      <c r="AP123" s="47">
        <v>0.24099999999999999</v>
      </c>
      <c r="AQ123" s="47">
        <v>0.79300000000000004</v>
      </c>
      <c r="AR123" s="47">
        <v>0.81600000000000006</v>
      </c>
      <c r="AS123" s="47">
        <v>0.59699999999999998</v>
      </c>
      <c r="AT123" s="47">
        <v>0.33300000000000002</v>
      </c>
      <c r="AU123" s="47">
        <v>0.44800000000000006</v>
      </c>
      <c r="AV123" s="47">
        <v>0.49399999999999999</v>
      </c>
      <c r="AW123" s="47">
        <v>0.52800000000000002</v>
      </c>
      <c r="AX123" s="47">
        <v>0.90800000000000003</v>
      </c>
      <c r="AY123" s="47">
        <v>0.88500000000000001</v>
      </c>
      <c r="AZ123" s="47">
        <v>0.95399999999999996</v>
      </c>
      <c r="BA123" s="47">
        <v>0.72399999999999998</v>
      </c>
      <c r="BB123" s="47">
        <v>0.70099999999999996</v>
      </c>
      <c r="BC123" s="47">
        <v>0.41300000000000003</v>
      </c>
      <c r="BD123" s="47">
        <v>0.55100000000000005</v>
      </c>
      <c r="BE123" s="47">
        <v>0.71199999999999997</v>
      </c>
      <c r="BF123" s="47">
        <v>0.91900000000000004</v>
      </c>
      <c r="BG123" s="47">
        <v>0.873</v>
      </c>
      <c r="BH123" s="47">
        <v>0.85</v>
      </c>
      <c r="BI123" s="47">
        <v>0.68899999999999995</v>
      </c>
      <c r="BJ123" s="47">
        <v>0.436</v>
      </c>
      <c r="BK123" s="47">
        <v>0.45900000000000002</v>
      </c>
      <c r="BL123" s="47">
        <v>0.60899999999999999</v>
      </c>
      <c r="BM123" s="47">
        <v>0.75800000000000001</v>
      </c>
      <c r="BN123" s="47">
        <v>0.252</v>
      </c>
      <c r="BO123" s="47">
        <v>0.56299999999999994</v>
      </c>
      <c r="BP123" s="47">
        <v>0.51700000000000002</v>
      </c>
      <c r="BQ123" s="47">
        <v>0.83899999999999997</v>
      </c>
      <c r="BR123" s="47">
        <v>0.47100000000000003</v>
      </c>
      <c r="BS123" s="47">
        <v>0.48199999999999998</v>
      </c>
      <c r="BT123" s="47">
        <v>0.58599999999999997</v>
      </c>
      <c r="BU123" s="47">
        <v>0.89600000000000013</v>
      </c>
      <c r="BV123" s="47">
        <v>0.98799999999999999</v>
      </c>
      <c r="BW123" s="47">
        <v>1</v>
      </c>
      <c r="BX123" s="47">
        <v>0.93100000000000016</v>
      </c>
      <c r="BY123" s="47">
        <v>0.77000000000000013</v>
      </c>
      <c r="BZ123" s="47">
        <v>0.94200000000000006</v>
      </c>
      <c r="CA123" s="47">
        <v>0.97700000000000009</v>
      </c>
      <c r="CB123" s="47">
        <v>0.86199999999999999</v>
      </c>
      <c r="CC123" s="47">
        <v>0.62</v>
      </c>
      <c r="CD123" s="47">
        <v>0.54</v>
      </c>
      <c r="CE123" s="47">
        <v>0.28699999999999998</v>
      </c>
      <c r="CF123" s="47">
        <v>0.22900000000000004</v>
      </c>
      <c r="CG123" s="47">
        <v>0.14899999999999999</v>
      </c>
      <c r="CH123" s="47">
        <v>0.31</v>
      </c>
      <c r="CI123" s="47">
        <v>0.08</v>
      </c>
      <c r="CJ123" s="47">
        <v>0.10299999999999999</v>
      </c>
      <c r="CK123" s="47">
        <v>0.114</v>
      </c>
      <c r="CL123" s="47">
        <v>0.13700000000000001</v>
      </c>
      <c r="CM123" s="47">
        <v>0.218</v>
      </c>
      <c r="CN123" s="47">
        <v>0.183</v>
      </c>
      <c r="CO123" s="47">
        <v>0.379</v>
      </c>
      <c r="CP123" s="47">
        <v>0.5</v>
      </c>
      <c r="CQ123" s="47">
        <v>0.5</v>
      </c>
      <c r="CR123" s="47">
        <v>0.5</v>
      </c>
      <c r="CS123" s="47">
        <v>0.5</v>
      </c>
      <c r="CT123" s="47">
        <v>0.5</v>
      </c>
      <c r="CU123" s="47">
        <v>0.5</v>
      </c>
      <c r="CV123" s="47">
        <v>0.5</v>
      </c>
      <c r="CW123" s="47">
        <v>0.5</v>
      </c>
      <c r="CX123" s="47">
        <v>0.5</v>
      </c>
      <c r="CY123" s="47">
        <v>0.5</v>
      </c>
      <c r="CZ123" s="47">
        <v>0.5</v>
      </c>
    </row>
    <row r="124" spans="1:104" x14ac:dyDescent="0.2">
      <c r="A124" s="45" t="s">
        <v>144</v>
      </c>
      <c r="B124" s="46">
        <f t="shared" si="26"/>
        <v>13.8</v>
      </c>
      <c r="C124" s="46">
        <f t="shared" si="27"/>
        <v>9.2000000000000028</v>
      </c>
      <c r="D124" s="48">
        <f t="shared" si="28"/>
        <v>26.038008415226514</v>
      </c>
      <c r="E124" s="46"/>
      <c r="F124" s="47">
        <v>0.38450000000000001</v>
      </c>
      <c r="G124" s="47">
        <v>0.38450000000000001</v>
      </c>
      <c r="H124" s="47">
        <v>0.38450000000000001</v>
      </c>
      <c r="I124" s="47">
        <v>0.29249999999999998</v>
      </c>
      <c r="J124" s="47">
        <v>0.39599999999999996</v>
      </c>
      <c r="K124" s="47">
        <v>0.36149999999999999</v>
      </c>
      <c r="L124" s="47">
        <v>0.373</v>
      </c>
      <c r="M124" s="47">
        <v>0.29849999999999999</v>
      </c>
      <c r="N124" s="47">
        <v>0.24100000000000002</v>
      </c>
      <c r="O124" s="47">
        <v>0.1545</v>
      </c>
      <c r="P124" s="47">
        <v>0.14899999999999999</v>
      </c>
      <c r="Q124" s="47">
        <v>0.20599999999999999</v>
      </c>
      <c r="R124" s="47">
        <v>0.26350000000000001</v>
      </c>
      <c r="S124" s="47">
        <v>0.23549999999999999</v>
      </c>
      <c r="T124" s="47">
        <v>0.23549999999999999</v>
      </c>
      <c r="U124" s="47">
        <v>0.11999999999999998</v>
      </c>
      <c r="V124" s="47">
        <v>0.25800000000000001</v>
      </c>
      <c r="W124" s="47">
        <v>0.2465</v>
      </c>
      <c r="X124" s="47">
        <v>0.26350000000000001</v>
      </c>
      <c r="Y124" s="47">
        <v>0.19449999999999998</v>
      </c>
      <c r="Z124" s="47">
        <v>0.126</v>
      </c>
      <c r="AA124" s="47">
        <v>0.27500000000000002</v>
      </c>
      <c r="AB124" s="47">
        <v>0.22349999999999998</v>
      </c>
      <c r="AC124" s="47">
        <v>0.26400000000000001</v>
      </c>
      <c r="AD124" s="47">
        <v>0.14299999999999999</v>
      </c>
      <c r="AE124" s="47">
        <v>0.17749999999999999</v>
      </c>
      <c r="AF124" s="47">
        <v>0.14849999999999999</v>
      </c>
      <c r="AG124" s="47">
        <v>5.7000000000000002E-2</v>
      </c>
      <c r="AH124" s="47">
        <v>0.08</v>
      </c>
      <c r="AI124" s="47">
        <v>8.5499999999999993E-2</v>
      </c>
      <c r="AJ124" s="47">
        <v>0.183</v>
      </c>
      <c r="AK124" s="47">
        <v>0.14299999999999999</v>
      </c>
      <c r="AL124" s="47">
        <v>0.29799999999999999</v>
      </c>
      <c r="AM124" s="47">
        <v>0.21199999999999999</v>
      </c>
      <c r="AN124" s="47">
        <v>0.19500000000000001</v>
      </c>
      <c r="AO124" s="47">
        <v>0.1145</v>
      </c>
      <c r="AP124" s="47">
        <v>0.1835</v>
      </c>
      <c r="AQ124" s="47">
        <v>0.442</v>
      </c>
      <c r="AR124" s="47">
        <v>0.60899999999999999</v>
      </c>
      <c r="AS124" s="47">
        <v>0.81</v>
      </c>
      <c r="AT124" s="47">
        <v>0.68349999999999989</v>
      </c>
      <c r="AU124" s="47">
        <v>0.63149999999999995</v>
      </c>
      <c r="AV124" s="47">
        <v>0.55099999999999993</v>
      </c>
      <c r="AW124" s="47">
        <v>0.50549999999999995</v>
      </c>
      <c r="AX124" s="47">
        <v>0.4995</v>
      </c>
      <c r="AY124" s="47">
        <v>0.5625</v>
      </c>
      <c r="AZ124" s="47">
        <v>0.70650000000000002</v>
      </c>
      <c r="BA124" s="47">
        <v>0.82700000000000007</v>
      </c>
      <c r="BB124" s="47">
        <v>0.9425</v>
      </c>
      <c r="BC124" s="47">
        <v>0.85</v>
      </c>
      <c r="BD124" s="47">
        <v>0.78150000000000008</v>
      </c>
      <c r="BE124" s="47">
        <v>0.6835</v>
      </c>
      <c r="BF124" s="47">
        <v>0.71799999999999997</v>
      </c>
      <c r="BG124" s="47">
        <v>0.74099999999999999</v>
      </c>
      <c r="BH124" s="47">
        <v>0.59749999999999992</v>
      </c>
      <c r="BI124" s="47">
        <v>0.57999999999999996</v>
      </c>
      <c r="BJ124" s="47">
        <v>0.57999999999999996</v>
      </c>
      <c r="BK124" s="47">
        <v>0.59150000000000003</v>
      </c>
      <c r="BL124" s="47">
        <v>0.60849999999999993</v>
      </c>
      <c r="BM124" s="47">
        <v>0.61449999999999994</v>
      </c>
      <c r="BN124" s="47">
        <v>0.63749999999999996</v>
      </c>
      <c r="BO124" s="47">
        <v>0.70650000000000002</v>
      </c>
      <c r="BP124" s="47">
        <v>0.75249999999999995</v>
      </c>
      <c r="BQ124" s="47">
        <v>0.77550000000000008</v>
      </c>
      <c r="BR124" s="47">
        <v>0.63749999999999996</v>
      </c>
      <c r="BS124" s="47">
        <v>0.63749999999999996</v>
      </c>
      <c r="BT124" s="47">
        <v>0.59750000000000003</v>
      </c>
      <c r="BU124" s="47">
        <v>0.66049999999999998</v>
      </c>
      <c r="BV124" s="47">
        <v>0.68899999999999995</v>
      </c>
      <c r="BW124" s="47">
        <v>0.79249999999999998</v>
      </c>
      <c r="BX124" s="47">
        <v>0.74099999999999999</v>
      </c>
      <c r="BY124" s="47">
        <v>0.63749999999999996</v>
      </c>
      <c r="BZ124" s="47">
        <v>0.39600000000000002</v>
      </c>
      <c r="CA124" s="47">
        <v>0.29799999999999999</v>
      </c>
      <c r="CB124" s="47">
        <v>0.29249999999999998</v>
      </c>
      <c r="CC124" s="47">
        <v>0.49400000000000005</v>
      </c>
      <c r="CD124" s="47">
        <v>0.6835</v>
      </c>
      <c r="CE124" s="47">
        <v>0.79300000000000004</v>
      </c>
      <c r="CF124" s="47">
        <v>0.91899999999999993</v>
      </c>
      <c r="CG124" s="47">
        <v>0.90200000000000002</v>
      </c>
      <c r="CH124" s="47">
        <v>0.95400000000000007</v>
      </c>
      <c r="CI124" s="47">
        <v>0.92500000000000004</v>
      </c>
      <c r="CJ124" s="47">
        <v>0.93100000000000005</v>
      </c>
      <c r="CK124" s="47">
        <v>0.8155</v>
      </c>
      <c r="CL124" s="47">
        <v>0.92500000000000004</v>
      </c>
      <c r="CM124" s="47">
        <v>0.94799999999999995</v>
      </c>
      <c r="CN124" s="47">
        <v>0.98250000000000004</v>
      </c>
      <c r="CO124" s="47">
        <v>0.91949999999999998</v>
      </c>
      <c r="CP124" s="47">
        <v>0.5</v>
      </c>
      <c r="CQ124" s="47">
        <v>0.5</v>
      </c>
      <c r="CR124" s="47">
        <v>0.5</v>
      </c>
      <c r="CS124" s="47">
        <v>0.5</v>
      </c>
      <c r="CT124" s="47">
        <v>0.5</v>
      </c>
      <c r="CU124" s="47">
        <v>0.5</v>
      </c>
      <c r="CV124" s="47">
        <v>0.5</v>
      </c>
      <c r="CW124" s="47">
        <v>0.5</v>
      </c>
      <c r="CX124" s="47">
        <v>0.5</v>
      </c>
      <c r="CY124" s="47">
        <v>0.5</v>
      </c>
      <c r="CZ124" s="47">
        <v>0.5</v>
      </c>
    </row>
    <row r="125" spans="1:104" x14ac:dyDescent="0.2">
      <c r="A125" s="45" t="s">
        <v>146</v>
      </c>
      <c r="B125" s="46">
        <f t="shared" si="26"/>
        <v>80.2</v>
      </c>
      <c r="C125" s="46">
        <f t="shared" si="27"/>
        <v>-7.9000000000000075</v>
      </c>
      <c r="D125" s="48">
        <f t="shared" si="28"/>
        <v>19.742539512755396</v>
      </c>
      <c r="E125" s="46"/>
      <c r="F125" s="47">
        <v>0.86499999999999999</v>
      </c>
      <c r="G125" s="47">
        <v>0.86499999999999999</v>
      </c>
      <c r="H125" s="47">
        <v>0.91199999999999992</v>
      </c>
      <c r="I125" s="47">
        <v>0.94400000000000006</v>
      </c>
      <c r="J125" s="47">
        <v>0.87250000000000005</v>
      </c>
      <c r="K125" s="47">
        <v>0.87249999999999994</v>
      </c>
      <c r="L125" s="47">
        <v>0.78549999999999998</v>
      </c>
      <c r="M125" s="47">
        <v>0.64200000000000002</v>
      </c>
      <c r="N125" s="47">
        <v>0.53950000000000009</v>
      </c>
      <c r="O125" s="47">
        <v>0.49150000000000005</v>
      </c>
      <c r="P125" s="47">
        <v>0.61049999999999993</v>
      </c>
      <c r="Q125" s="47">
        <v>0.61050000000000004</v>
      </c>
      <c r="R125" s="47">
        <v>0.65050000000000008</v>
      </c>
      <c r="S125" s="47">
        <v>0.436</v>
      </c>
      <c r="T125" s="47">
        <v>0.28550000000000003</v>
      </c>
      <c r="U125" s="47">
        <v>5.5E-2</v>
      </c>
      <c r="V125" s="47">
        <v>5.4999999999999993E-2</v>
      </c>
      <c r="W125" s="47">
        <v>6.3E-2</v>
      </c>
      <c r="X125" s="47">
        <v>8.6499999999999994E-2</v>
      </c>
      <c r="Y125" s="47">
        <v>0.12649999999999997</v>
      </c>
      <c r="Z125" s="47">
        <v>0.13449999999999998</v>
      </c>
      <c r="AA125" s="47">
        <v>0.17399999999999999</v>
      </c>
      <c r="AB125" s="47">
        <v>0.19</v>
      </c>
      <c r="AC125" s="47">
        <v>0.15049999999999999</v>
      </c>
      <c r="AD125" s="47">
        <v>0.15049999999999997</v>
      </c>
      <c r="AE125" s="47">
        <v>0.19800000000000001</v>
      </c>
      <c r="AF125" s="47">
        <v>0.2535</v>
      </c>
      <c r="AG125" s="47">
        <v>0.30149999999999999</v>
      </c>
      <c r="AH125" s="47">
        <v>0.41249999999999998</v>
      </c>
      <c r="AI125" s="47">
        <v>0.48349999999999999</v>
      </c>
      <c r="AJ125" s="47">
        <v>0.54700000000000004</v>
      </c>
      <c r="AK125" s="47">
        <v>0.57899999999999996</v>
      </c>
      <c r="AL125" s="47">
        <v>0.65849999999999997</v>
      </c>
      <c r="AM125" s="47">
        <v>0.79300000000000004</v>
      </c>
      <c r="AN125" s="47">
        <v>0.84899999999999998</v>
      </c>
      <c r="AO125" s="47">
        <v>0.89649999999999996</v>
      </c>
      <c r="AP125" s="47">
        <v>0.91249999999999998</v>
      </c>
      <c r="AQ125" s="47">
        <v>0.88849999999999996</v>
      </c>
      <c r="AR125" s="47">
        <v>0.83300000000000007</v>
      </c>
      <c r="AS125" s="47">
        <v>0.73750000000000004</v>
      </c>
      <c r="AT125" s="47">
        <v>0.80099999999999993</v>
      </c>
      <c r="AU125" s="47">
        <v>0.74550000000000005</v>
      </c>
      <c r="AV125" s="47">
        <v>0.70600000000000007</v>
      </c>
      <c r="AW125" s="47">
        <v>0.63450000000000006</v>
      </c>
      <c r="AX125" s="47">
        <v>0.54699999999999993</v>
      </c>
      <c r="AY125" s="47">
        <v>0.36449999999999999</v>
      </c>
      <c r="AZ125" s="47">
        <v>0.1895</v>
      </c>
      <c r="BA125" s="47">
        <v>8.6499999999999994E-2</v>
      </c>
      <c r="BB125" s="47">
        <v>0.20599999999999996</v>
      </c>
      <c r="BC125" s="47">
        <v>0.20550000000000002</v>
      </c>
      <c r="BD125" s="47">
        <v>0.33300000000000002</v>
      </c>
      <c r="BE125" s="47">
        <v>0.44400000000000001</v>
      </c>
      <c r="BF125" s="47">
        <v>0.56300000000000006</v>
      </c>
      <c r="BG125" s="47">
        <v>0.63450000000000006</v>
      </c>
      <c r="BH125" s="47">
        <v>0.61850000000000005</v>
      </c>
      <c r="BI125" s="47">
        <v>0.56300000000000006</v>
      </c>
      <c r="BJ125" s="47">
        <v>0.47549999999999998</v>
      </c>
      <c r="BK125" s="47">
        <v>0.49149999999999999</v>
      </c>
      <c r="BL125" s="47">
        <v>0.45150000000000001</v>
      </c>
      <c r="BM125" s="47">
        <v>0.51550000000000007</v>
      </c>
      <c r="BN125" s="47">
        <v>0.317</v>
      </c>
      <c r="BO125" s="47">
        <v>0.3805</v>
      </c>
      <c r="BP125" s="47">
        <v>0.21350000000000002</v>
      </c>
      <c r="BQ125" s="47">
        <v>0.55500000000000005</v>
      </c>
      <c r="BR125" s="47">
        <v>0.5</v>
      </c>
      <c r="BS125" s="47">
        <v>0.5</v>
      </c>
      <c r="BT125" s="47">
        <v>0.5</v>
      </c>
      <c r="BU125" s="47">
        <v>0.5</v>
      </c>
      <c r="BV125" s="47">
        <v>0.5</v>
      </c>
      <c r="BW125" s="47">
        <v>0.5</v>
      </c>
      <c r="BX125" s="47">
        <v>0.5</v>
      </c>
      <c r="BY125" s="47">
        <v>0.5</v>
      </c>
      <c r="BZ125" s="47">
        <v>0.5</v>
      </c>
      <c r="CA125" s="47">
        <v>0.5</v>
      </c>
      <c r="CB125" s="47">
        <v>0.5</v>
      </c>
      <c r="CC125" s="47">
        <v>0.5</v>
      </c>
      <c r="CD125" s="47">
        <v>0.5</v>
      </c>
      <c r="CE125" s="47">
        <v>0.5</v>
      </c>
      <c r="CF125" s="47">
        <v>0.5</v>
      </c>
      <c r="CG125" s="47">
        <v>0.5</v>
      </c>
      <c r="CH125" s="47">
        <v>0.5</v>
      </c>
      <c r="CI125" s="47">
        <v>0.5</v>
      </c>
      <c r="CJ125" s="47">
        <v>0.5</v>
      </c>
      <c r="CK125" s="47">
        <v>0.5</v>
      </c>
      <c r="CL125" s="47">
        <v>0.5</v>
      </c>
      <c r="CM125" s="47">
        <v>0.5</v>
      </c>
      <c r="CN125" s="47">
        <v>0.5</v>
      </c>
      <c r="CO125" s="47">
        <v>0.5</v>
      </c>
      <c r="CP125" s="47">
        <v>0.5</v>
      </c>
      <c r="CQ125" s="47">
        <v>0.5</v>
      </c>
      <c r="CR125" s="47">
        <v>0.5</v>
      </c>
      <c r="CS125" s="47">
        <v>0.5</v>
      </c>
      <c r="CT125" s="47">
        <v>0.5</v>
      </c>
      <c r="CU125" s="47">
        <v>0.5</v>
      </c>
      <c r="CV125" s="47">
        <v>0.5</v>
      </c>
      <c r="CW125" s="47">
        <v>0.5</v>
      </c>
      <c r="CX125" s="47">
        <v>0.5</v>
      </c>
      <c r="CY125" s="47">
        <v>0.5</v>
      </c>
      <c r="CZ125" s="47">
        <v>0.5</v>
      </c>
    </row>
    <row r="126" spans="1:104" x14ac:dyDescent="0.2">
      <c r="A126" s="45" t="s">
        <v>148</v>
      </c>
      <c r="B126" s="46">
        <f t="shared" si="26"/>
        <v>17.3</v>
      </c>
      <c r="C126" s="46">
        <f t="shared" si="27"/>
        <v>-16.300000000000004</v>
      </c>
      <c r="D126" s="48">
        <f t="shared" si="28"/>
        <v>30.835971585066744</v>
      </c>
      <c r="E126" s="46"/>
      <c r="F126" s="47">
        <v>0.377</v>
      </c>
      <c r="G126" s="47">
        <v>0.377</v>
      </c>
      <c r="H126" s="47">
        <v>0.42799999999999999</v>
      </c>
      <c r="I126" s="47">
        <v>0.54</v>
      </c>
      <c r="J126" s="47">
        <v>0.52</v>
      </c>
      <c r="K126" s="47">
        <v>0.48899999999999993</v>
      </c>
      <c r="L126" s="47">
        <v>0.47899999999999993</v>
      </c>
      <c r="M126" s="47">
        <v>0.5</v>
      </c>
      <c r="N126" s="47">
        <v>0.45900000000000002</v>
      </c>
      <c r="O126" s="47">
        <v>0.5</v>
      </c>
      <c r="P126" s="47">
        <v>0.44799999999999995</v>
      </c>
      <c r="Q126" s="47">
        <v>0.40799999999999997</v>
      </c>
      <c r="R126" s="47">
        <v>0.316</v>
      </c>
      <c r="S126" s="47">
        <v>0.193</v>
      </c>
      <c r="T126" s="47">
        <v>0.14199999999999999</v>
      </c>
      <c r="U126" s="47">
        <v>0.153</v>
      </c>
      <c r="V126" s="47">
        <v>0.183</v>
      </c>
      <c r="W126" s="47">
        <v>0.20399999999999999</v>
      </c>
      <c r="X126" s="47">
        <v>0.22399999999999998</v>
      </c>
      <c r="Y126" s="47">
        <v>0.214</v>
      </c>
      <c r="Z126" s="47">
        <v>0.17299999999999999</v>
      </c>
      <c r="AA126" s="47">
        <v>0.13200000000000001</v>
      </c>
      <c r="AB126" s="47">
        <v>0.122</v>
      </c>
      <c r="AC126" s="47">
        <v>0.16300000000000001</v>
      </c>
      <c r="AD126" s="47">
        <v>0.36699999999999999</v>
      </c>
      <c r="AE126" s="47">
        <v>0.57099999999999995</v>
      </c>
      <c r="AF126" s="47">
        <v>0.877</v>
      </c>
      <c r="AG126" s="47">
        <v>0.88700000000000001</v>
      </c>
      <c r="AH126" s="47">
        <v>0.89700000000000002</v>
      </c>
      <c r="AI126" s="47">
        <v>0.90800000000000003</v>
      </c>
      <c r="AJ126" s="47">
        <v>0.91800000000000004</v>
      </c>
      <c r="AK126" s="47">
        <v>0.92800000000000005</v>
      </c>
      <c r="AL126" s="47">
        <v>0.94799999999999984</v>
      </c>
      <c r="AM126" s="47">
        <v>0.95899999999999996</v>
      </c>
      <c r="AN126" s="47">
        <v>0.96899999999999997</v>
      </c>
      <c r="AO126" s="47">
        <v>0.97899999999999998</v>
      </c>
      <c r="AP126" s="47">
        <v>0.98899999999999999</v>
      </c>
      <c r="AQ126" s="47">
        <v>1</v>
      </c>
      <c r="AR126" s="47">
        <v>0.93799999999999983</v>
      </c>
      <c r="AS126" s="47">
        <v>0.11199999999999999</v>
      </c>
      <c r="AT126" s="47">
        <v>0.10199999999999999</v>
      </c>
      <c r="AU126" s="47">
        <v>9.0999999999999998E-2</v>
      </c>
      <c r="AV126" s="47">
        <v>8.1000000000000003E-2</v>
      </c>
      <c r="AW126" s="47">
        <v>7.0999999999999994E-2</v>
      </c>
      <c r="AX126" s="47">
        <v>6.0999999999999999E-2</v>
      </c>
      <c r="AY126" s="47">
        <v>5.0999999999999997E-2</v>
      </c>
      <c r="AZ126" s="47">
        <v>0.03</v>
      </c>
      <c r="BA126" s="47">
        <v>0.02</v>
      </c>
      <c r="BB126" s="47">
        <v>0.01</v>
      </c>
      <c r="BC126" s="47">
        <v>0</v>
      </c>
      <c r="BD126" s="47">
        <v>0.04</v>
      </c>
      <c r="BE126" s="47">
        <v>0.27500000000000002</v>
      </c>
      <c r="BF126" s="47">
        <v>0.26500000000000001</v>
      </c>
      <c r="BG126" s="47">
        <v>0.28499999999999998</v>
      </c>
      <c r="BH126" s="47">
        <v>0.29499999999999998</v>
      </c>
      <c r="BI126" s="47">
        <v>0.32600000000000001</v>
      </c>
      <c r="BJ126" s="47">
        <v>0.34599999999999997</v>
      </c>
      <c r="BK126" s="47">
        <v>0.33600000000000002</v>
      </c>
      <c r="BL126" s="47">
        <v>0.30599999999999999</v>
      </c>
      <c r="BM126" s="47">
        <v>0.255</v>
      </c>
      <c r="BN126" s="47">
        <v>0.23399999999999999</v>
      </c>
      <c r="BO126" s="47">
        <v>0.24399999999999999</v>
      </c>
      <c r="BP126" s="47">
        <v>0.35699999999999998</v>
      </c>
      <c r="BQ126" s="47">
        <v>0.39700000000000002</v>
      </c>
      <c r="BR126" s="47">
        <v>0.41799999999999998</v>
      </c>
      <c r="BS126" s="47">
        <v>0.438</v>
      </c>
      <c r="BT126" s="47">
        <v>0.45900000000000002</v>
      </c>
      <c r="BU126" s="47">
        <v>0.52</v>
      </c>
      <c r="BV126" s="47">
        <v>0.55100000000000005</v>
      </c>
      <c r="BW126" s="47">
        <v>0.59099999999999997</v>
      </c>
      <c r="BX126" s="47">
        <v>0.70399999999999996</v>
      </c>
      <c r="BY126" s="47">
        <v>0.76500000000000001</v>
      </c>
      <c r="BZ126" s="47">
        <v>0.80600000000000005</v>
      </c>
      <c r="CA126" s="47">
        <v>0.81599999999999995</v>
      </c>
      <c r="CB126" s="47">
        <v>0.78500000000000003</v>
      </c>
      <c r="CC126" s="47">
        <v>0.755</v>
      </c>
      <c r="CD126" s="47">
        <v>0.77500000000000002</v>
      </c>
      <c r="CE126" s="47">
        <v>0.79500000000000004</v>
      </c>
      <c r="CF126" s="47">
        <v>0.81599999999999995</v>
      </c>
      <c r="CG126" s="47">
        <v>0.84599999999999997</v>
      </c>
      <c r="CH126" s="47">
        <v>0.86699999999999999</v>
      </c>
      <c r="CI126" s="47">
        <v>0.85699999999999998</v>
      </c>
      <c r="CJ126" s="47">
        <v>0.83599999999999997</v>
      </c>
      <c r="CK126" s="47">
        <v>0.74399999999999999</v>
      </c>
      <c r="CL126" s="47">
        <v>0.63200000000000001</v>
      </c>
      <c r="CM126" s="47">
        <v>0.56100000000000005</v>
      </c>
      <c r="CN126" s="47">
        <v>0.58099999999999996</v>
      </c>
      <c r="CO126" s="47">
        <v>0.73399999999999999</v>
      </c>
      <c r="CP126" s="47">
        <v>0.72399999999999998</v>
      </c>
      <c r="CQ126" s="47">
        <v>0.71399999999999997</v>
      </c>
      <c r="CR126" s="47">
        <v>0.68300000000000005</v>
      </c>
      <c r="CS126" s="47">
        <v>0.65300000000000002</v>
      </c>
      <c r="CT126" s="47">
        <v>0.622</v>
      </c>
      <c r="CU126" s="47">
        <v>0.59099999999999997</v>
      </c>
      <c r="CV126" s="47">
        <v>0.61199999999999999</v>
      </c>
      <c r="CW126" s="47">
        <v>0.64200000000000002</v>
      </c>
      <c r="CX126" s="47">
        <v>0.66300000000000003</v>
      </c>
      <c r="CY126" s="47">
        <v>0.69299999999999995</v>
      </c>
      <c r="CZ126" s="47">
        <v>0.67300000000000004</v>
      </c>
    </row>
    <row r="127" spans="1:104" x14ac:dyDescent="0.2">
      <c r="A127" s="45" t="s">
        <v>150</v>
      </c>
      <c r="B127" s="46">
        <f t="shared" si="26"/>
        <v>54.566666666666642</v>
      </c>
      <c r="C127" s="46">
        <f t="shared" si="27"/>
        <v>-4.2333333333333218</v>
      </c>
      <c r="D127" s="48">
        <f t="shared" si="28"/>
        <v>21.261703817279734</v>
      </c>
      <c r="E127" s="46"/>
      <c r="F127" s="47">
        <v>0.59233333333333305</v>
      </c>
      <c r="G127" s="47">
        <v>0.44499999999999973</v>
      </c>
      <c r="H127" s="47">
        <v>0.62599999999999978</v>
      </c>
      <c r="I127" s="47">
        <v>0.63466666666666627</v>
      </c>
      <c r="J127" s="47">
        <v>0.72666666666666646</v>
      </c>
      <c r="K127" s="47">
        <v>0.84199999999999975</v>
      </c>
      <c r="L127" s="47">
        <v>0.91099999999999981</v>
      </c>
      <c r="M127" s="47">
        <v>0.87999999999999978</v>
      </c>
      <c r="N127" s="47">
        <v>0.80233333333333312</v>
      </c>
      <c r="O127" s="47">
        <v>0.6736666666666663</v>
      </c>
      <c r="P127" s="47">
        <v>0.84133333333333304</v>
      </c>
      <c r="Q127" s="47">
        <v>0.87933333333333319</v>
      </c>
      <c r="R127" s="47">
        <v>0.84066666666666645</v>
      </c>
      <c r="S127" s="47">
        <v>0.73233333333333317</v>
      </c>
      <c r="T127" s="47">
        <v>0.45066666666666649</v>
      </c>
      <c r="U127" s="47">
        <v>0.22666666666666666</v>
      </c>
      <c r="V127" s="47">
        <v>0.15733333333333327</v>
      </c>
      <c r="W127" s="47">
        <v>4.6666666666666662E-2</v>
      </c>
      <c r="X127" s="47">
        <v>3.1333333333333317E-2</v>
      </c>
      <c r="Y127" s="47">
        <v>0.10100000000000001</v>
      </c>
      <c r="Z127" s="47">
        <v>0.18600000000000003</v>
      </c>
      <c r="AA127" s="47">
        <v>0.14700000000000002</v>
      </c>
      <c r="AB127" s="47">
        <v>3.8000000000000027E-2</v>
      </c>
      <c r="AC127" s="47">
        <v>0</v>
      </c>
      <c r="AD127" s="47">
        <v>0.11633333333333333</v>
      </c>
      <c r="AE127" s="47">
        <v>0.31800000000000006</v>
      </c>
      <c r="AF127" s="47">
        <v>0.61099999999999999</v>
      </c>
      <c r="AG127" s="47">
        <v>0.30733333333333351</v>
      </c>
      <c r="AH127" s="47">
        <v>0.25866666666666677</v>
      </c>
      <c r="AI127" s="47">
        <v>0.22800000000000017</v>
      </c>
      <c r="AJ127" s="47">
        <v>0.17433333333333342</v>
      </c>
      <c r="AK127" s="47">
        <v>0.26166666666666671</v>
      </c>
      <c r="AL127" s="47">
        <v>0.38566666666666677</v>
      </c>
      <c r="AM127" s="47">
        <v>0.77499999999999991</v>
      </c>
      <c r="AN127" s="47">
        <v>0.82066666666666666</v>
      </c>
      <c r="AO127" s="47">
        <v>0.90500000000000003</v>
      </c>
      <c r="AP127" s="47">
        <v>0.95133333333333336</v>
      </c>
      <c r="AQ127" s="47">
        <v>0.92766666666666664</v>
      </c>
      <c r="AR127" s="47">
        <v>0.89633333333333332</v>
      </c>
      <c r="AS127" s="47">
        <v>0.42033333333333361</v>
      </c>
      <c r="AT127" s="47">
        <v>0.53966666666666685</v>
      </c>
      <c r="AU127" s="47">
        <v>0.71533333333333338</v>
      </c>
      <c r="AV127" s="47">
        <v>0.7306666666666668</v>
      </c>
      <c r="AW127" s="47">
        <v>0.65733333333333344</v>
      </c>
      <c r="AX127" s="47">
        <v>0.46533333333333365</v>
      </c>
      <c r="AY127" s="47">
        <v>0.44766666666666705</v>
      </c>
      <c r="AZ127" s="47">
        <v>0.27066666666666683</v>
      </c>
      <c r="BA127" s="47">
        <v>0.21466666666666687</v>
      </c>
      <c r="BB127" s="47">
        <v>0.17466666666666691</v>
      </c>
      <c r="BC127" s="47">
        <v>0.20666666666666689</v>
      </c>
      <c r="BD127" s="47">
        <v>0.28666666666666679</v>
      </c>
      <c r="BE127" s="47">
        <v>0.37533333333333341</v>
      </c>
      <c r="BF127" s="47">
        <v>0.39933333333333337</v>
      </c>
      <c r="BG127" s="47">
        <v>0.41533333333333339</v>
      </c>
      <c r="BH127" s="47">
        <v>0.42333333333333339</v>
      </c>
      <c r="BI127" s="47">
        <v>0.4313333333333334</v>
      </c>
      <c r="BJ127" s="47">
        <v>0.40733333333333333</v>
      </c>
      <c r="BK127" s="47">
        <v>0.38333333333333341</v>
      </c>
      <c r="BL127" s="47">
        <v>0.35933333333333345</v>
      </c>
      <c r="BM127" s="47">
        <v>0.39133333333333342</v>
      </c>
      <c r="BN127" s="47">
        <v>0.504</v>
      </c>
      <c r="BO127" s="47">
        <v>0.56799999999999995</v>
      </c>
      <c r="BP127" s="47">
        <v>0.59199999999999986</v>
      </c>
      <c r="BQ127" s="47">
        <v>0.57599999999999996</v>
      </c>
      <c r="BR127" s="47">
        <v>0.55199999999999994</v>
      </c>
      <c r="BS127" s="47">
        <v>0.47933333333333333</v>
      </c>
      <c r="BT127" s="47">
        <v>0.43933333333333335</v>
      </c>
      <c r="BU127" s="47">
        <v>0.45533333333333331</v>
      </c>
      <c r="BV127" s="47">
        <v>0.51999999999999991</v>
      </c>
      <c r="BW127" s="47">
        <v>0.49533333333333329</v>
      </c>
      <c r="BX127" s="47">
        <v>0.46333333333333337</v>
      </c>
      <c r="BY127" s="47">
        <v>0.47133333333333338</v>
      </c>
      <c r="BZ127" s="47">
        <v>0.51200000000000001</v>
      </c>
      <c r="CA127" s="47">
        <v>0.48733333333333334</v>
      </c>
      <c r="CB127" s="47">
        <v>0.54399999999999993</v>
      </c>
      <c r="CC127" s="47">
        <v>0.58399999999999985</v>
      </c>
      <c r="CD127" s="47">
        <v>0.62399999999999989</v>
      </c>
      <c r="CE127" s="47">
        <v>0.6399999999999999</v>
      </c>
      <c r="CF127" s="47">
        <v>0.6319999999999999</v>
      </c>
      <c r="CG127" s="47">
        <v>0.65599999999999981</v>
      </c>
      <c r="CH127" s="47">
        <v>0.66399999999999992</v>
      </c>
      <c r="CI127" s="47">
        <v>0.67266666666666663</v>
      </c>
      <c r="CJ127" s="47">
        <v>0.68866666666666654</v>
      </c>
      <c r="CK127" s="47">
        <v>0.68066666666666653</v>
      </c>
      <c r="CL127" s="47">
        <v>0.5</v>
      </c>
      <c r="CM127" s="47">
        <v>0.5</v>
      </c>
      <c r="CN127" s="47">
        <v>0.5</v>
      </c>
      <c r="CO127" s="47">
        <v>0.5</v>
      </c>
      <c r="CP127" s="47">
        <v>0.5</v>
      </c>
      <c r="CQ127" s="47">
        <v>0.5</v>
      </c>
      <c r="CR127" s="47">
        <v>0.5</v>
      </c>
      <c r="CS127" s="47">
        <v>0.5</v>
      </c>
      <c r="CT127" s="47">
        <v>0.5</v>
      </c>
      <c r="CU127" s="47">
        <v>0.5</v>
      </c>
      <c r="CV127" s="47">
        <v>0.5</v>
      </c>
      <c r="CW127" s="47">
        <v>0.5</v>
      </c>
      <c r="CX127" s="47">
        <v>0.5</v>
      </c>
      <c r="CY127" s="47">
        <v>0.5</v>
      </c>
      <c r="CZ127" s="47">
        <v>0.5</v>
      </c>
    </row>
    <row r="128" spans="1:104" x14ac:dyDescent="0.2">
      <c r="A128" s="45" t="s">
        <v>152</v>
      </c>
      <c r="B128" s="46">
        <f t="shared" si="26"/>
        <v>29.033333333333331</v>
      </c>
      <c r="C128" s="46">
        <f t="shared" si="27"/>
        <v>-5.100000000000005</v>
      </c>
      <c r="D128" s="48">
        <f t="shared" si="28"/>
        <v>18.736313140434518</v>
      </c>
      <c r="E128" s="46"/>
      <c r="F128" s="47">
        <v>0.77200000000000002</v>
      </c>
      <c r="G128" s="47">
        <v>0.77200000000000002</v>
      </c>
      <c r="H128" s="47">
        <v>0.79933333333333345</v>
      </c>
      <c r="I128" s="47">
        <v>0.82300000000000006</v>
      </c>
      <c r="J128" s="47">
        <v>0.80933333333333335</v>
      </c>
      <c r="K128" s="47">
        <v>0.79600000000000004</v>
      </c>
      <c r="L128" s="47">
        <v>0.75233333333333341</v>
      </c>
      <c r="M128" s="47">
        <v>0.73899999999999999</v>
      </c>
      <c r="N128" s="47">
        <v>0.72566666666666657</v>
      </c>
      <c r="O128" s="47">
        <v>0.79266666666666663</v>
      </c>
      <c r="P128" s="47">
        <v>0.91933333333333334</v>
      </c>
      <c r="Q128" s="47">
        <v>0.93266666666666664</v>
      </c>
      <c r="R128" s="47">
        <v>0.89566666666666683</v>
      </c>
      <c r="S128" s="47">
        <v>0.77233333333333332</v>
      </c>
      <c r="T128" s="47">
        <v>0.52866666666666673</v>
      </c>
      <c r="U128" s="47">
        <v>0.4883333333333334</v>
      </c>
      <c r="V128" s="47">
        <v>0.44566666666666666</v>
      </c>
      <c r="W128" s="47">
        <v>0.48166666666666669</v>
      </c>
      <c r="X128" s="47">
        <v>0.54533333333333334</v>
      </c>
      <c r="Y128" s="47">
        <v>0.50166666666666671</v>
      </c>
      <c r="Z128" s="47">
        <v>0.45466666666666672</v>
      </c>
      <c r="AA128" s="47">
        <v>0.20933333333333334</v>
      </c>
      <c r="AB128" s="47">
        <v>0.17333333333333334</v>
      </c>
      <c r="AC128" s="47">
        <v>0.11033333333333332</v>
      </c>
      <c r="AD128" s="47">
        <v>0.12400000000000001</v>
      </c>
      <c r="AE128" s="47">
        <v>0.12733333333333335</v>
      </c>
      <c r="AF128" s="47">
        <v>0.30100000000000005</v>
      </c>
      <c r="AG128" s="47">
        <v>0.36499999999999999</v>
      </c>
      <c r="AH128" s="47">
        <v>0.44100000000000006</v>
      </c>
      <c r="AI128" s="47">
        <v>0.67700000000000005</v>
      </c>
      <c r="AJ128" s="47">
        <v>0.70733333333333337</v>
      </c>
      <c r="AK128" s="47">
        <v>0.51133333333333331</v>
      </c>
      <c r="AL128" s="47">
        <v>0.47466666666666668</v>
      </c>
      <c r="AM128" s="47">
        <v>0.49833333333333329</v>
      </c>
      <c r="AN128" s="47">
        <v>0.44233333333333336</v>
      </c>
      <c r="AO128" s="47">
        <v>0.6213333333333334</v>
      </c>
      <c r="AP128" s="47">
        <v>0.75700000000000001</v>
      </c>
      <c r="AQ128" s="47">
        <v>0.91300000000000003</v>
      </c>
      <c r="AR128" s="47">
        <v>0.91533333333333344</v>
      </c>
      <c r="AS128" s="47">
        <v>0.69399999999999995</v>
      </c>
      <c r="AT128" s="47">
        <v>0.70066666666666666</v>
      </c>
      <c r="AU128" s="47">
        <v>0.67366666666666675</v>
      </c>
      <c r="AV128" s="47">
        <v>0.6203333333333334</v>
      </c>
      <c r="AW128" s="47">
        <v>0.20899999999999999</v>
      </c>
      <c r="AX128" s="47">
        <v>0.23566666666666669</v>
      </c>
      <c r="AY128" s="47">
        <v>0.24200000000000002</v>
      </c>
      <c r="AZ128" s="47">
        <v>0.21866666666666668</v>
      </c>
      <c r="BA128" s="47">
        <v>0.14533333333333334</v>
      </c>
      <c r="BB128" s="47">
        <v>0.11266666666666668</v>
      </c>
      <c r="BC128" s="47">
        <v>8.9333333333333348E-2</v>
      </c>
      <c r="BD128" s="47">
        <v>5.9666666666666666E-2</v>
      </c>
      <c r="BE128" s="47">
        <v>0.16899999999999998</v>
      </c>
      <c r="BF128" s="47">
        <v>0.153</v>
      </c>
      <c r="BG128" s="47">
        <v>0.18600000000000003</v>
      </c>
      <c r="BH128" s="47">
        <v>0.26933333333333331</v>
      </c>
      <c r="BI128" s="47">
        <v>0.42566666666666669</v>
      </c>
      <c r="BJ128" s="47">
        <v>0.52800000000000002</v>
      </c>
      <c r="BK128" s="47">
        <v>0.48100000000000004</v>
      </c>
      <c r="BL128" s="47">
        <v>0.46100000000000002</v>
      </c>
      <c r="BM128" s="47">
        <v>0.52166666666666672</v>
      </c>
      <c r="BN128" s="47">
        <v>0.56566666666666676</v>
      </c>
      <c r="BO128" s="47">
        <v>0.59566666666666679</v>
      </c>
      <c r="BP128" s="47">
        <v>0.48166666666666669</v>
      </c>
      <c r="BQ128" s="47">
        <v>0.38333333333333336</v>
      </c>
      <c r="BR128" s="47">
        <v>0.3706666666666667</v>
      </c>
      <c r="BS128" s="47">
        <v>0.39366666666666672</v>
      </c>
      <c r="BT128" s="47">
        <v>0.47400000000000003</v>
      </c>
      <c r="BU128" s="47">
        <v>0.38800000000000001</v>
      </c>
      <c r="BV128" s="47">
        <v>0.48266666666666674</v>
      </c>
      <c r="BW128" s="47">
        <v>0.47599999999999998</v>
      </c>
      <c r="BX128" s="47">
        <v>0.52366666666666672</v>
      </c>
      <c r="BY128" s="47">
        <v>0.54400000000000004</v>
      </c>
      <c r="BZ128" s="47">
        <v>0.54066666666666674</v>
      </c>
      <c r="CA128" s="47">
        <v>0.53733333333333333</v>
      </c>
      <c r="CB128" s="47">
        <v>0.51333333333333331</v>
      </c>
      <c r="CC128" s="47">
        <v>0.53033333333333332</v>
      </c>
      <c r="CD128" s="47">
        <v>0.54400000000000004</v>
      </c>
      <c r="CE128" s="47">
        <v>0.55433333333333334</v>
      </c>
      <c r="CF128" s="47">
        <v>0.56433333333333335</v>
      </c>
      <c r="CG128" s="47">
        <v>0.57133333333333325</v>
      </c>
      <c r="CH128" s="47">
        <v>0.57466666666666666</v>
      </c>
      <c r="CI128" s="47">
        <v>0.56800000000000006</v>
      </c>
      <c r="CJ128" s="47">
        <v>0.55766666666666664</v>
      </c>
      <c r="CK128" s="47">
        <v>0.53400000000000003</v>
      </c>
      <c r="CL128" s="47">
        <v>0.51</v>
      </c>
      <c r="CM128" s="47">
        <v>0.47933333333333339</v>
      </c>
      <c r="CN128" s="47">
        <v>0.43533333333333335</v>
      </c>
      <c r="CO128" s="47">
        <v>0.41466666666666668</v>
      </c>
      <c r="CP128" s="47">
        <v>0.41833333333333333</v>
      </c>
      <c r="CQ128" s="47">
        <v>0.42166666666666669</v>
      </c>
      <c r="CR128" s="47">
        <v>0.42500000000000004</v>
      </c>
      <c r="CS128" s="47">
        <v>0.42833333333333334</v>
      </c>
      <c r="CT128" s="47">
        <v>0.4316666666666667</v>
      </c>
      <c r="CU128" s="47">
        <v>0.44866666666666671</v>
      </c>
      <c r="CV128" s="47">
        <v>0.45900000000000002</v>
      </c>
      <c r="CW128" s="47">
        <v>0.46566666666666667</v>
      </c>
      <c r="CX128" s="47">
        <v>0.45233333333333337</v>
      </c>
      <c r="CY128" s="47">
        <v>0.442</v>
      </c>
      <c r="CZ128" s="47">
        <v>0.45233333333333337</v>
      </c>
    </row>
    <row r="129" spans="1:104" x14ac:dyDescent="0.2">
      <c r="A129" s="45" t="s">
        <v>154</v>
      </c>
      <c r="B129" s="46">
        <f t="shared" si="26"/>
        <v>72.949999999999989</v>
      </c>
      <c r="C129" s="46">
        <f t="shared" si="27"/>
        <v>-6.100000000000005</v>
      </c>
      <c r="D129" s="48">
        <f t="shared" si="28"/>
        <v>24.977398228446422</v>
      </c>
      <c r="E129" s="46"/>
      <c r="F129" s="47">
        <v>0.81599999999999995</v>
      </c>
      <c r="G129" s="47">
        <v>0.7955000000000001</v>
      </c>
      <c r="H129" s="47">
        <v>0.83099999999999996</v>
      </c>
      <c r="I129" s="47">
        <v>0.877</v>
      </c>
      <c r="J129" s="47">
        <v>0.91799999999999993</v>
      </c>
      <c r="K129" s="47">
        <v>0.9385</v>
      </c>
      <c r="L129" s="47">
        <v>0.94850000000000001</v>
      </c>
      <c r="M129" s="47">
        <v>0.90250000000000008</v>
      </c>
      <c r="N129" s="47">
        <v>0.88200000000000001</v>
      </c>
      <c r="O129" s="47">
        <v>0.83100000000000007</v>
      </c>
      <c r="P129" s="47">
        <v>0.88200000000000001</v>
      </c>
      <c r="Q129" s="47">
        <v>0.87199999999999989</v>
      </c>
      <c r="R129" s="47">
        <v>0.80049999999999999</v>
      </c>
      <c r="S129" s="47">
        <v>0.755</v>
      </c>
      <c r="T129" s="47">
        <v>0.54549999999999998</v>
      </c>
      <c r="U129" s="47">
        <v>0.219</v>
      </c>
      <c r="V129" s="47">
        <v>9.1499999999999998E-2</v>
      </c>
      <c r="W129" s="47">
        <v>8.6499999999999994E-2</v>
      </c>
      <c r="X129" s="47">
        <v>0.14749999999999999</v>
      </c>
      <c r="Y129" s="47">
        <v>0.17299999999999999</v>
      </c>
      <c r="Z129" s="47">
        <v>0.1885</v>
      </c>
      <c r="AA129" s="47">
        <v>9.6500000000000002E-2</v>
      </c>
      <c r="AB129" s="47">
        <v>8.6499999999999994E-2</v>
      </c>
      <c r="AC129" s="47">
        <v>0.10149999999999999</v>
      </c>
      <c r="AD129" s="47">
        <v>0.1885</v>
      </c>
      <c r="AE129" s="47">
        <v>0.32600000000000001</v>
      </c>
      <c r="AF129" s="47">
        <v>0.4945</v>
      </c>
      <c r="AG129" s="47">
        <v>0.47950000000000009</v>
      </c>
      <c r="AH129" s="47">
        <v>0.46349999999999997</v>
      </c>
      <c r="AI129" s="47">
        <v>0.48449999999999999</v>
      </c>
      <c r="AJ129" s="47">
        <v>0.50449999999999995</v>
      </c>
      <c r="AK129" s="47">
        <v>0.56100000000000005</v>
      </c>
      <c r="AL129" s="47">
        <v>0.69850000000000001</v>
      </c>
      <c r="AM129" s="47">
        <v>0.89750000000000008</v>
      </c>
      <c r="AN129" s="47">
        <v>0.93800000000000006</v>
      </c>
      <c r="AO129" s="47">
        <v>0.95900000000000007</v>
      </c>
      <c r="AP129" s="47">
        <v>0.96350000000000002</v>
      </c>
      <c r="AQ129" s="47">
        <v>0.92249999999999999</v>
      </c>
      <c r="AR129" s="47">
        <v>0.85150000000000003</v>
      </c>
      <c r="AS129" s="47">
        <v>0.39750000000000002</v>
      </c>
      <c r="AT129" s="47">
        <v>0.21400000000000002</v>
      </c>
      <c r="AU129" s="47">
        <v>0.17800000000000002</v>
      </c>
      <c r="AV129" s="47">
        <v>0.1575</v>
      </c>
      <c r="AW129" s="47">
        <v>0.122</v>
      </c>
      <c r="AX129" s="47">
        <v>9.6500000000000002E-2</v>
      </c>
      <c r="AY129" s="47">
        <v>7.0999999999999994E-2</v>
      </c>
      <c r="AZ129" s="47">
        <v>4.5499999999999999E-2</v>
      </c>
      <c r="BA129" s="47">
        <v>0.02</v>
      </c>
      <c r="BB129" s="47">
        <v>0</v>
      </c>
      <c r="BC129" s="47">
        <v>3.4999999999999996E-2</v>
      </c>
      <c r="BD129" s="47">
        <v>0.1065</v>
      </c>
      <c r="BE129" s="47">
        <v>0.23899999999999999</v>
      </c>
      <c r="BF129" s="47">
        <v>0.31100000000000005</v>
      </c>
      <c r="BG129" s="47">
        <v>0.31549999999999995</v>
      </c>
      <c r="BH129" s="47">
        <v>0.32600000000000007</v>
      </c>
      <c r="BI129" s="47">
        <v>0.36699999999999999</v>
      </c>
      <c r="BJ129" s="47">
        <v>0.34649999999999997</v>
      </c>
      <c r="BK129" s="47">
        <v>0.33150000000000002</v>
      </c>
      <c r="BL129" s="47">
        <v>0.31549999999999995</v>
      </c>
      <c r="BM129" s="47">
        <v>0.31100000000000005</v>
      </c>
      <c r="BN129" s="47">
        <v>0.30049999999999999</v>
      </c>
      <c r="BO129" s="47">
        <v>0.33600000000000002</v>
      </c>
      <c r="BP129" s="47">
        <v>0.43300000000000005</v>
      </c>
      <c r="BQ129" s="47">
        <v>0.40250000000000002</v>
      </c>
      <c r="BR129" s="47">
        <v>0.42800000000000005</v>
      </c>
      <c r="BS129" s="47">
        <v>0.46349999999999997</v>
      </c>
      <c r="BT129" s="47">
        <v>0.55099999999999993</v>
      </c>
      <c r="BU129" s="47">
        <v>0.58599999999999997</v>
      </c>
      <c r="BV129" s="47">
        <v>0.65249999999999997</v>
      </c>
      <c r="BW129" s="47">
        <v>0.61199999999999999</v>
      </c>
      <c r="BX129" s="47">
        <v>0.627</v>
      </c>
      <c r="BY129" s="47">
        <v>0.61199999999999999</v>
      </c>
      <c r="BZ129" s="47">
        <v>0.627</v>
      </c>
      <c r="CA129" s="47">
        <v>0.46850000000000003</v>
      </c>
      <c r="CB129" s="47">
        <v>0.47399999999999998</v>
      </c>
      <c r="CC129" s="47">
        <v>0.52500000000000002</v>
      </c>
      <c r="CD129" s="47">
        <v>0.64750000000000008</v>
      </c>
      <c r="CE129" s="47">
        <v>0.61199999999999999</v>
      </c>
      <c r="CF129" s="47">
        <v>0.55049999999999999</v>
      </c>
      <c r="CG129" s="47">
        <v>0.59649999999999992</v>
      </c>
      <c r="CH129" s="47">
        <v>0.66250000000000009</v>
      </c>
      <c r="CI129" s="47">
        <v>0.73399999999999999</v>
      </c>
      <c r="CJ129" s="47">
        <v>0.71850000000000003</v>
      </c>
      <c r="CK129" s="47">
        <v>0.71899999999999986</v>
      </c>
      <c r="CL129" s="47">
        <v>0.6835</v>
      </c>
      <c r="CM129" s="47">
        <v>0.77500000000000013</v>
      </c>
      <c r="CN129" s="47">
        <v>0.77</v>
      </c>
      <c r="CO129" s="47">
        <v>0.74950000000000006</v>
      </c>
      <c r="CP129" s="47">
        <v>0.60150000000000003</v>
      </c>
      <c r="CQ129" s="47">
        <v>0.61699999999999999</v>
      </c>
      <c r="CR129" s="47">
        <v>0.58099999999999996</v>
      </c>
      <c r="CS129" s="47">
        <v>0.55049999999999999</v>
      </c>
      <c r="CT129" s="47">
        <v>0.4995</v>
      </c>
      <c r="CU129" s="47">
        <v>0.44350000000000006</v>
      </c>
      <c r="CV129" s="47">
        <v>0.45350000000000001</v>
      </c>
      <c r="CW129" s="47">
        <v>0.377</v>
      </c>
      <c r="CX129" s="47">
        <v>0.39750000000000002</v>
      </c>
      <c r="CY129" s="47">
        <v>0.39249999999999996</v>
      </c>
      <c r="CZ129" s="47">
        <v>0.38200000000000001</v>
      </c>
    </row>
    <row r="130" spans="1:104" x14ac:dyDescent="0.2">
      <c r="A130" s="45" t="s">
        <v>156</v>
      </c>
      <c r="B130" s="46">
        <f t="shared" si="26"/>
        <v>41.599999999999994</v>
      </c>
      <c r="C130" s="46">
        <f t="shared" si="27"/>
        <v>11.740000000000006</v>
      </c>
      <c r="D130" s="48">
        <f t="shared" si="28"/>
        <v>17.973850496009327</v>
      </c>
      <c r="E130" s="46"/>
      <c r="F130" s="47">
        <v>0.68919999999999992</v>
      </c>
      <c r="G130" s="47">
        <v>0.61339999999999995</v>
      </c>
      <c r="H130" s="47">
        <v>0.64999999999999991</v>
      </c>
      <c r="I130" s="47">
        <v>0.57179999999999986</v>
      </c>
      <c r="J130" s="47">
        <v>0.5756</v>
      </c>
      <c r="K130" s="47">
        <v>0.50219999999999998</v>
      </c>
      <c r="L130" s="47">
        <v>0.41220000000000001</v>
      </c>
      <c r="M130" s="47">
        <v>0.37319999999999992</v>
      </c>
      <c r="N130" s="47">
        <v>0.30180000000000001</v>
      </c>
      <c r="O130" s="47">
        <v>0.2792</v>
      </c>
      <c r="P130" s="47">
        <v>0.27139999999999997</v>
      </c>
      <c r="Q130" s="47">
        <v>0.31079999999999997</v>
      </c>
      <c r="R130" s="47">
        <v>0.3024</v>
      </c>
      <c r="S130" s="47">
        <v>0.37339999999999995</v>
      </c>
      <c r="T130" s="47">
        <v>0.22799999999999998</v>
      </c>
      <c r="U130" s="47">
        <v>0.20579999999999998</v>
      </c>
      <c r="V130" s="47">
        <v>0.21199999999999997</v>
      </c>
      <c r="W130" s="47">
        <v>0.2732</v>
      </c>
      <c r="X130" s="47">
        <v>0.39619999999999994</v>
      </c>
      <c r="Y130" s="47">
        <v>0.51480000000000004</v>
      </c>
      <c r="Z130" s="47">
        <v>0.55999999999999994</v>
      </c>
      <c r="AA130" s="47">
        <v>0.65839999999999987</v>
      </c>
      <c r="AB130" s="47">
        <v>0.6724</v>
      </c>
      <c r="AC130" s="47">
        <v>0.71539999999999992</v>
      </c>
      <c r="AD130" s="47">
        <v>0.68020000000000003</v>
      </c>
      <c r="AE130" s="47">
        <v>0.74</v>
      </c>
      <c r="AF130" s="47">
        <v>0.73959999999999981</v>
      </c>
      <c r="AG130" s="47">
        <v>0.76839999999999986</v>
      </c>
      <c r="AH130" s="47">
        <v>0.76019999999999999</v>
      </c>
      <c r="AI130" s="47">
        <v>0.70899999999999996</v>
      </c>
      <c r="AJ130" s="47">
        <v>0.63279999999999992</v>
      </c>
      <c r="AK130" s="47">
        <v>0.61160000000000003</v>
      </c>
      <c r="AL130" s="47">
        <v>0.64460000000000006</v>
      </c>
      <c r="AM130" s="47">
        <v>0.71579999999999999</v>
      </c>
      <c r="AN130" s="47">
        <v>0.73219999999999996</v>
      </c>
      <c r="AO130" s="47">
        <v>0.75459999999999994</v>
      </c>
      <c r="AP130" s="47">
        <v>0.92999999999999983</v>
      </c>
      <c r="AQ130" s="47">
        <v>0.90139999999999998</v>
      </c>
      <c r="AR130" s="47">
        <v>0.6976</v>
      </c>
      <c r="AS130" s="47">
        <v>0.50519999999999987</v>
      </c>
      <c r="AT130" s="47">
        <v>0.53200000000000003</v>
      </c>
      <c r="AU130" s="47">
        <v>0.55659999999999987</v>
      </c>
      <c r="AV130" s="47">
        <v>0.53400000000000003</v>
      </c>
      <c r="AW130" s="47">
        <v>0.40160000000000001</v>
      </c>
      <c r="AX130" s="47">
        <v>0.34639999999999999</v>
      </c>
      <c r="AY130" s="47">
        <v>0.30959999999999999</v>
      </c>
      <c r="AZ130" s="47">
        <v>0.26079999999999998</v>
      </c>
      <c r="BA130" s="47">
        <v>0.2218</v>
      </c>
      <c r="BB130" s="47">
        <v>9.8000000000000004E-2</v>
      </c>
      <c r="BC130" s="47">
        <v>9.1400000000000009E-2</v>
      </c>
      <c r="BD130" s="47">
        <v>0.27940000000000004</v>
      </c>
      <c r="BE130" s="47">
        <v>0.39439999999999997</v>
      </c>
      <c r="BF130" s="47">
        <v>0.31479999999999997</v>
      </c>
      <c r="BG130" s="47">
        <v>0.21859999999999999</v>
      </c>
      <c r="BH130" s="47">
        <v>0.24319999999999997</v>
      </c>
      <c r="BI130" s="47">
        <v>0.2656</v>
      </c>
      <c r="BJ130" s="47">
        <v>0.28119999999999995</v>
      </c>
      <c r="BK130" s="47">
        <v>0.26559999999999995</v>
      </c>
      <c r="BL130" s="47">
        <v>0.25340000000000001</v>
      </c>
      <c r="BM130" s="47">
        <v>0.39079999999999998</v>
      </c>
      <c r="BN130" s="47">
        <v>0.37359999999999999</v>
      </c>
      <c r="BO130" s="47">
        <v>0.42499999999999999</v>
      </c>
      <c r="BP130" s="47">
        <v>0.32659999999999995</v>
      </c>
      <c r="BQ130" s="47">
        <v>0.48460000000000003</v>
      </c>
      <c r="BR130" s="47">
        <v>0.50680000000000003</v>
      </c>
      <c r="BS130" s="47">
        <v>0.56999999999999984</v>
      </c>
      <c r="BT130" s="47">
        <v>0.60719999999999996</v>
      </c>
      <c r="BU130" s="47">
        <v>0.66839999999999999</v>
      </c>
      <c r="BV130" s="47">
        <v>0.68259999999999987</v>
      </c>
      <c r="BW130" s="47">
        <v>0.67859999999999987</v>
      </c>
      <c r="BX130" s="47">
        <v>0.66</v>
      </c>
      <c r="BY130" s="47">
        <v>0.55319999999999991</v>
      </c>
      <c r="BZ130" s="47">
        <v>0.61339999999999995</v>
      </c>
      <c r="CA130" s="47">
        <v>0.59320000000000006</v>
      </c>
      <c r="CB130" s="47">
        <v>0.59940000000000004</v>
      </c>
      <c r="CC130" s="47">
        <v>0.53780000000000006</v>
      </c>
      <c r="CD130" s="47">
        <v>0.55799999999999994</v>
      </c>
      <c r="CE130" s="47">
        <v>0.56640000000000001</v>
      </c>
      <c r="CF130" s="47">
        <v>0.49660000000000004</v>
      </c>
      <c r="CG130" s="47">
        <v>0.48839999999999995</v>
      </c>
      <c r="CH130" s="47">
        <v>0.51880000000000015</v>
      </c>
      <c r="CI130" s="47">
        <v>0.59039999999999992</v>
      </c>
      <c r="CJ130" s="47">
        <v>0.65359999999999996</v>
      </c>
      <c r="CK130" s="47">
        <v>0.70079999999999987</v>
      </c>
      <c r="CL130" s="47">
        <v>0.60640000000000005</v>
      </c>
      <c r="CM130" s="47">
        <v>0.58379999999999999</v>
      </c>
      <c r="CN130" s="47">
        <v>0.55899999999999983</v>
      </c>
      <c r="CO130" s="47">
        <v>0.62059999999999993</v>
      </c>
      <c r="CP130" s="47">
        <v>0.5776</v>
      </c>
      <c r="CQ130" s="47">
        <v>0.55719999999999992</v>
      </c>
      <c r="CR130" s="47">
        <v>0.55099999999999993</v>
      </c>
      <c r="CS130" s="47">
        <v>0.50819999999999999</v>
      </c>
      <c r="CT130" s="47">
        <v>0.51040000000000008</v>
      </c>
      <c r="CU130" s="47">
        <v>0.44100000000000006</v>
      </c>
      <c r="CV130" s="47">
        <v>0.38599999999999995</v>
      </c>
      <c r="CW130" s="47">
        <v>0.40699999999999997</v>
      </c>
      <c r="CX130" s="47">
        <v>0.40859999999999996</v>
      </c>
      <c r="CY130" s="47">
        <v>0.41460000000000002</v>
      </c>
      <c r="CZ130" s="47">
        <v>0.40599999999999997</v>
      </c>
    </row>
    <row r="131" spans="1:104" x14ac:dyDescent="0.2">
      <c r="A131" s="45" t="s">
        <v>158</v>
      </c>
      <c r="B131" s="46">
        <f t="shared" si="26"/>
        <v>52.639999999999986</v>
      </c>
      <c r="C131" s="46">
        <f t="shared" si="27"/>
        <v>14.439999999999975</v>
      </c>
      <c r="D131" s="48">
        <f t="shared" si="28"/>
        <v>19.446855020703946</v>
      </c>
      <c r="E131" s="46"/>
      <c r="F131" s="47">
        <v>0.69679999999999986</v>
      </c>
      <c r="G131" s="47">
        <v>0.66839999999999999</v>
      </c>
      <c r="H131" s="47">
        <v>0.65400000000000003</v>
      </c>
      <c r="I131" s="47">
        <v>0.55240000000000011</v>
      </c>
      <c r="J131" s="47">
        <v>0.51400000000000001</v>
      </c>
      <c r="K131" s="47">
        <v>0.47540000000000004</v>
      </c>
      <c r="L131" s="47">
        <v>0.44080000000000003</v>
      </c>
      <c r="M131" s="47">
        <v>0.43060000000000004</v>
      </c>
      <c r="N131" s="47">
        <v>0.41739999999999999</v>
      </c>
      <c r="O131" s="47">
        <v>0.4098</v>
      </c>
      <c r="P131" s="47">
        <v>0.47100000000000003</v>
      </c>
      <c r="Q131" s="47">
        <v>0.52</v>
      </c>
      <c r="R131" s="47">
        <v>0.46239999999999998</v>
      </c>
      <c r="S131" s="47">
        <v>0.32780000000000004</v>
      </c>
      <c r="T131" s="47">
        <v>0.19</v>
      </c>
      <c r="U131" s="47">
        <v>0.1608</v>
      </c>
      <c r="V131" s="47">
        <v>0.16059999999999999</v>
      </c>
      <c r="W131" s="47">
        <v>0.17040000000000002</v>
      </c>
      <c r="X131" s="47">
        <v>0.19739999999999999</v>
      </c>
      <c r="Y131" s="47">
        <v>0.29540000000000005</v>
      </c>
      <c r="Z131" s="47">
        <v>0.33080000000000004</v>
      </c>
      <c r="AA131" s="47">
        <v>0.31560000000000005</v>
      </c>
      <c r="AB131" s="47">
        <v>0.27060000000000001</v>
      </c>
      <c r="AC131" s="47">
        <v>0.24220000000000003</v>
      </c>
      <c r="AD131" s="47">
        <v>0.23460000000000003</v>
      </c>
      <c r="AE131" s="47">
        <v>0.3518</v>
      </c>
      <c r="AF131" s="47">
        <v>0.42480000000000001</v>
      </c>
      <c r="AG131" s="47">
        <v>0.52220000000000011</v>
      </c>
      <c r="AH131" s="47">
        <v>0.57080000000000009</v>
      </c>
      <c r="AI131" s="47">
        <v>0.63139999999999996</v>
      </c>
      <c r="AJ131" s="47">
        <v>0.69059999999999999</v>
      </c>
      <c r="AK131" s="47">
        <v>0.68880000000000008</v>
      </c>
      <c r="AL131" s="47">
        <v>0.77980000000000005</v>
      </c>
      <c r="AM131" s="47">
        <v>0.85220000000000007</v>
      </c>
      <c r="AN131" s="47">
        <v>0.90439999999999998</v>
      </c>
      <c r="AO131" s="47">
        <v>0.89559999999999984</v>
      </c>
      <c r="AP131" s="47">
        <v>0.91379999999999995</v>
      </c>
      <c r="AQ131" s="47">
        <v>0.89799999999999991</v>
      </c>
      <c r="AR131" s="47">
        <v>0.84740000000000015</v>
      </c>
      <c r="AS131" s="47">
        <v>0.64860000000000007</v>
      </c>
      <c r="AT131" s="47">
        <v>0.64580000000000004</v>
      </c>
      <c r="AU131" s="47">
        <v>0.61080000000000001</v>
      </c>
      <c r="AV131" s="47">
        <v>0.5474</v>
      </c>
      <c r="AW131" s="47">
        <v>0.44680000000000003</v>
      </c>
      <c r="AX131" s="47">
        <v>0.316</v>
      </c>
      <c r="AY131" s="47">
        <v>0.24500000000000002</v>
      </c>
      <c r="AZ131" s="47">
        <v>0.17960000000000001</v>
      </c>
      <c r="BA131" s="47">
        <v>0.159</v>
      </c>
      <c r="BB131" s="47">
        <v>5.680000000000001E-2</v>
      </c>
      <c r="BC131" s="47">
        <v>0.10439999999999999</v>
      </c>
      <c r="BD131" s="47">
        <v>0.27800000000000002</v>
      </c>
      <c r="BE131" s="47">
        <v>0.64240000000000008</v>
      </c>
      <c r="BF131" s="47">
        <v>0.56000000000000005</v>
      </c>
      <c r="BG131" s="47">
        <v>0.51419999999999999</v>
      </c>
      <c r="BH131" s="47">
        <v>0.48840000000000006</v>
      </c>
      <c r="BI131" s="47">
        <v>0.54400000000000004</v>
      </c>
      <c r="BJ131" s="47">
        <v>0.54660000000000009</v>
      </c>
      <c r="BK131" s="47">
        <v>0.58199999999999996</v>
      </c>
      <c r="BL131" s="47">
        <v>0.55880000000000007</v>
      </c>
      <c r="BM131" s="47">
        <v>0.63960000000000006</v>
      </c>
      <c r="BN131" s="47">
        <v>0.5596000000000001</v>
      </c>
      <c r="BO131" s="47">
        <v>0.59240000000000004</v>
      </c>
      <c r="BP131" s="47">
        <v>0.50519999999999998</v>
      </c>
      <c r="BQ131" s="47">
        <v>0.52839999999999998</v>
      </c>
      <c r="BR131" s="47">
        <v>0.55400000000000005</v>
      </c>
      <c r="BS131" s="47">
        <v>0.60840000000000005</v>
      </c>
      <c r="BT131" s="47">
        <v>0.63559999999999994</v>
      </c>
      <c r="BU131" s="47">
        <v>0.65459999999999996</v>
      </c>
      <c r="BV131" s="47">
        <v>0.70419999999999994</v>
      </c>
      <c r="BW131" s="47">
        <v>0.69679999999999986</v>
      </c>
      <c r="BX131" s="47">
        <v>0.69259999999999999</v>
      </c>
      <c r="BY131" s="47">
        <v>0.63259999999999994</v>
      </c>
      <c r="BZ131" s="47">
        <v>0.78439999999999999</v>
      </c>
      <c r="CA131" s="47">
        <v>0.749</v>
      </c>
      <c r="CB131" s="47">
        <v>0.76379999999999992</v>
      </c>
      <c r="CC131" s="47">
        <v>0.53260000000000007</v>
      </c>
      <c r="CD131" s="47">
        <v>0.55720000000000014</v>
      </c>
      <c r="CE131" s="47">
        <v>0.54720000000000002</v>
      </c>
      <c r="CF131" s="47">
        <v>0.48160000000000003</v>
      </c>
      <c r="CG131" s="47">
        <v>0.48600000000000004</v>
      </c>
      <c r="CH131" s="47">
        <v>0.47159999999999996</v>
      </c>
      <c r="CI131" s="47">
        <v>0.48160000000000003</v>
      </c>
      <c r="CJ131" s="47">
        <v>0.49000000000000005</v>
      </c>
      <c r="CK131" s="47">
        <v>0.55740000000000001</v>
      </c>
      <c r="CL131" s="47">
        <v>0.48980000000000001</v>
      </c>
      <c r="CM131" s="47">
        <v>0.49379999999999996</v>
      </c>
      <c r="CN131" s="47">
        <v>0.41640000000000005</v>
      </c>
      <c r="CO131" s="47">
        <v>0.44700000000000001</v>
      </c>
      <c r="CP131" s="47">
        <v>0.42880000000000007</v>
      </c>
      <c r="CQ131" s="47">
        <v>0.43680000000000002</v>
      </c>
      <c r="CR131" s="47">
        <v>0.41839999999999994</v>
      </c>
      <c r="CS131" s="47">
        <v>0.4022</v>
      </c>
      <c r="CT131" s="47">
        <v>0.4042</v>
      </c>
      <c r="CU131" s="47">
        <v>0.38800000000000001</v>
      </c>
      <c r="CV131" s="47">
        <v>0.41839999999999999</v>
      </c>
      <c r="CW131" s="47">
        <v>0.44500000000000001</v>
      </c>
      <c r="CX131" s="47">
        <v>0.4224</v>
      </c>
      <c r="CY131" s="47">
        <v>0.3982</v>
      </c>
      <c r="CZ131" s="47">
        <v>0.32479999999999998</v>
      </c>
    </row>
    <row r="132" spans="1:104" x14ac:dyDescent="0.2">
      <c r="A132" s="45" t="s">
        <v>160</v>
      </c>
      <c r="B132" s="46">
        <f t="shared" si="26"/>
        <v>45.4</v>
      </c>
      <c r="C132" s="46">
        <f t="shared" si="27"/>
        <v>3.1000000000000139</v>
      </c>
      <c r="D132" s="48">
        <f t="shared" si="28"/>
        <v>28.542040161136288</v>
      </c>
      <c r="E132" s="46"/>
      <c r="F132" s="47">
        <v>0.90700000000000003</v>
      </c>
      <c r="G132" s="47">
        <v>0.90700000000000003</v>
      </c>
      <c r="H132" s="47">
        <v>0.90700000000000003</v>
      </c>
      <c r="I132" s="47">
        <v>0.87599999999999989</v>
      </c>
      <c r="J132" s="47">
        <v>0.82399999999999995</v>
      </c>
      <c r="K132" s="47">
        <v>0.73099999999999998</v>
      </c>
      <c r="L132" s="47">
        <v>0.72099999999999997</v>
      </c>
      <c r="M132" s="47">
        <v>0.48399999999999999</v>
      </c>
      <c r="N132" s="47">
        <v>0.47400000000000003</v>
      </c>
      <c r="O132" s="47">
        <v>0.69</v>
      </c>
      <c r="P132" s="47">
        <v>0.89600000000000002</v>
      </c>
      <c r="Q132" s="47">
        <v>0.94800000000000006</v>
      </c>
      <c r="R132" s="47">
        <v>0.96899999999999986</v>
      </c>
      <c r="S132" s="47">
        <v>0.95799999999999985</v>
      </c>
      <c r="T132" s="47">
        <v>6.0999999999999999E-2</v>
      </c>
      <c r="U132" s="47">
        <v>0.154</v>
      </c>
      <c r="V132" s="47">
        <v>0.25700000000000001</v>
      </c>
      <c r="W132" s="47">
        <v>0.45300000000000007</v>
      </c>
      <c r="X132" s="47">
        <v>0.59699999999999998</v>
      </c>
      <c r="Y132" s="47">
        <v>0.76200000000000001</v>
      </c>
      <c r="Z132" s="47">
        <v>0.79300000000000004</v>
      </c>
      <c r="AA132" s="47">
        <v>0.68</v>
      </c>
      <c r="AB132" s="47">
        <v>7.1999999999999995E-2</v>
      </c>
      <c r="AC132" s="47">
        <v>0.03</v>
      </c>
      <c r="AD132" s="47">
        <v>0.01</v>
      </c>
      <c r="AE132" s="47">
        <v>4.1000000000000002E-2</v>
      </c>
      <c r="AF132" s="47">
        <v>0.51500000000000001</v>
      </c>
      <c r="AG132" s="47">
        <v>0.58699999999999997</v>
      </c>
      <c r="AH132" s="47">
        <v>0.71099999999999997</v>
      </c>
      <c r="AI132" s="47">
        <v>0.78300000000000014</v>
      </c>
      <c r="AJ132" s="47">
        <v>0.80399999999999994</v>
      </c>
      <c r="AK132" s="47">
        <v>0.81399999999999983</v>
      </c>
      <c r="AL132" s="47">
        <v>0.86499999999999988</v>
      </c>
      <c r="AM132" s="47">
        <v>0.88600000000000001</v>
      </c>
      <c r="AN132" s="47">
        <v>0.93799999999999994</v>
      </c>
      <c r="AO132" s="47">
        <v>0.97899999999999998</v>
      </c>
      <c r="AP132" s="47">
        <v>0.98899999999999999</v>
      </c>
      <c r="AQ132" s="47">
        <v>1</v>
      </c>
      <c r="AR132" s="47">
        <v>0.752</v>
      </c>
      <c r="AS132" s="47">
        <v>0.85499999999999998</v>
      </c>
      <c r="AT132" s="47">
        <v>0.83499999999999996</v>
      </c>
      <c r="AU132" s="47">
        <v>0.84499999999999997</v>
      </c>
      <c r="AV132" s="47">
        <v>0.77300000000000002</v>
      </c>
      <c r="AW132" s="47">
        <v>0.74199999999999999</v>
      </c>
      <c r="AX132" s="47">
        <v>0.53600000000000003</v>
      </c>
      <c r="AY132" s="47">
        <v>0.31900000000000001</v>
      </c>
      <c r="AZ132" s="47">
        <v>0.113</v>
      </c>
      <c r="BA132" s="47">
        <v>5.0999999999999997E-2</v>
      </c>
      <c r="BB132" s="47">
        <v>0.02</v>
      </c>
      <c r="BC132" s="47">
        <v>0</v>
      </c>
      <c r="BD132" s="47">
        <v>0.42200000000000004</v>
      </c>
      <c r="BE132" s="47">
        <v>0.34</v>
      </c>
      <c r="BF132" s="47">
        <v>0.24700000000000003</v>
      </c>
      <c r="BG132" s="47">
        <v>0.14399999999999999</v>
      </c>
      <c r="BH132" s="47">
        <v>8.2000000000000003E-2</v>
      </c>
      <c r="BI132" s="47">
        <v>0.10299999999999999</v>
      </c>
      <c r="BJ132" s="47">
        <v>0.216</v>
      </c>
      <c r="BK132" s="47">
        <v>0.35</v>
      </c>
      <c r="BL132" s="47">
        <v>0.371</v>
      </c>
      <c r="BM132" s="47">
        <v>0.29799999999999999</v>
      </c>
      <c r="BN132" s="47">
        <v>0.20599999999999999</v>
      </c>
      <c r="BO132" s="47">
        <v>0.22600000000000001</v>
      </c>
      <c r="BP132" s="47">
        <v>0.13400000000000001</v>
      </c>
      <c r="BQ132" s="47">
        <v>0.17499999999999999</v>
      </c>
      <c r="BR132" s="47">
        <v>0.123</v>
      </c>
      <c r="BS132" s="47">
        <v>0.185</v>
      </c>
      <c r="BT132" s="47">
        <v>0.28799999999999998</v>
      </c>
      <c r="BU132" s="47">
        <v>0.36</v>
      </c>
      <c r="BV132" s="47">
        <v>0.32900000000000001</v>
      </c>
      <c r="BW132" s="47">
        <v>0.19499999999999998</v>
      </c>
      <c r="BX132" s="47">
        <v>0.16400000000000001</v>
      </c>
      <c r="BY132" s="47">
        <v>0.26800000000000002</v>
      </c>
      <c r="BZ132" s="47">
        <v>0.309</v>
      </c>
      <c r="CA132" s="47">
        <v>0.49400000000000005</v>
      </c>
      <c r="CB132" s="47">
        <v>0.38100000000000001</v>
      </c>
      <c r="CC132" s="47">
        <v>0.432</v>
      </c>
      <c r="CD132" s="47">
        <v>0.443</v>
      </c>
      <c r="CE132" s="47">
        <v>0.52500000000000002</v>
      </c>
      <c r="CF132" s="47">
        <v>0.57699999999999996</v>
      </c>
      <c r="CG132" s="47">
        <v>0.56699999999999995</v>
      </c>
      <c r="CH132" s="47">
        <v>0.54600000000000004</v>
      </c>
      <c r="CI132" s="47">
        <v>0.55600000000000005</v>
      </c>
      <c r="CJ132" s="47">
        <v>0.60799999999999998</v>
      </c>
      <c r="CK132" s="47">
        <v>0.65900000000000003</v>
      </c>
      <c r="CL132" s="47">
        <v>0.63900000000000001</v>
      </c>
      <c r="CM132" s="47">
        <v>0.67</v>
      </c>
      <c r="CN132" s="47">
        <v>0.70099999999999996</v>
      </c>
      <c r="CO132" s="47">
        <v>0.64900000000000002</v>
      </c>
      <c r="CP132" s="47">
        <v>0.628</v>
      </c>
      <c r="CQ132" s="47">
        <v>0.61799999999999999</v>
      </c>
      <c r="CR132" s="47">
        <v>0.505</v>
      </c>
      <c r="CS132" s="47">
        <v>0.46300000000000002</v>
      </c>
      <c r="CT132" s="47">
        <v>0.41199999999999998</v>
      </c>
      <c r="CU132" s="47">
        <v>0.39100000000000001</v>
      </c>
      <c r="CV132" s="47">
        <v>0.40199999999999997</v>
      </c>
      <c r="CW132" s="47">
        <v>0.23700000000000002</v>
      </c>
      <c r="CX132" s="47">
        <v>0.27800000000000002</v>
      </c>
      <c r="CY132" s="47">
        <v>9.1999999999999998E-2</v>
      </c>
      <c r="CZ132" s="47">
        <v>0.5</v>
      </c>
    </row>
    <row r="133" spans="1:104" x14ac:dyDescent="0.2">
      <c r="A133" s="45" t="s">
        <v>162</v>
      </c>
      <c r="B133" s="46">
        <f t="shared" si="26"/>
        <v>9.6749999999999972</v>
      </c>
      <c r="C133" s="46">
        <f t="shared" si="27"/>
        <v>-35.956249999999997</v>
      </c>
      <c r="D133" s="48">
        <f t="shared" si="28"/>
        <v>19.165791283477311</v>
      </c>
      <c r="E133" s="46"/>
      <c r="F133" s="47">
        <v>0.25868749999999996</v>
      </c>
      <c r="G133" s="47">
        <v>0.34487500000000004</v>
      </c>
      <c r="H133" s="47">
        <v>0.5300625000000001</v>
      </c>
      <c r="I133" s="47">
        <v>0.61824999999999997</v>
      </c>
      <c r="J133" s="47">
        <v>0.63524999999999998</v>
      </c>
      <c r="K133" s="47">
        <v>0.64181250000000012</v>
      </c>
      <c r="L133" s="47">
        <v>0.64918750000000003</v>
      </c>
      <c r="M133" s="47">
        <v>0.64037500000000003</v>
      </c>
      <c r="N133" s="47">
        <v>0.5949374999999999</v>
      </c>
      <c r="O133" s="47">
        <v>0.55224999999999991</v>
      </c>
      <c r="P133" s="47">
        <v>0.53474999999999995</v>
      </c>
      <c r="Q133" s="47">
        <v>0.5162500000000001</v>
      </c>
      <c r="R133" s="47">
        <v>0.49687500000000001</v>
      </c>
      <c r="S133" s="47">
        <v>0.46450000000000002</v>
      </c>
      <c r="T133" s="47">
        <v>0.317</v>
      </c>
      <c r="U133" s="47">
        <v>0.16650000000000001</v>
      </c>
      <c r="V133" s="47">
        <v>0.15675000000000003</v>
      </c>
      <c r="W133" s="47">
        <v>0.16193749999999998</v>
      </c>
      <c r="X133" s="47">
        <v>0.1829375</v>
      </c>
      <c r="Y133" s="47">
        <v>0.23931250000000004</v>
      </c>
      <c r="Z133" s="47">
        <v>0.37275000000000008</v>
      </c>
      <c r="AA133" s="47">
        <v>0.43762499999999993</v>
      </c>
      <c r="AB133" s="47">
        <v>0.50362499999999988</v>
      </c>
      <c r="AC133" s="47">
        <v>0.53899999999999981</v>
      </c>
      <c r="AD133" s="47">
        <v>0.60143749999999996</v>
      </c>
      <c r="AE133" s="47">
        <v>0.65431249999999996</v>
      </c>
      <c r="AF133" s="47">
        <v>0.71806250000000016</v>
      </c>
      <c r="AG133" s="47">
        <v>0.76012500000000016</v>
      </c>
      <c r="AH133" s="47">
        <v>0.77156249999999982</v>
      </c>
      <c r="AI133" s="47">
        <v>0.80081250000000004</v>
      </c>
      <c r="AJ133" s="47">
        <v>0.83574999999999999</v>
      </c>
      <c r="AK133" s="47">
        <v>0.85456249999999978</v>
      </c>
      <c r="AL133" s="47">
        <v>0.87912500000000005</v>
      </c>
      <c r="AM133" s="47">
        <v>0.89687499999999998</v>
      </c>
      <c r="AN133" s="47">
        <v>0.91043750000000001</v>
      </c>
      <c r="AO133" s="47">
        <v>0.9016249999999999</v>
      </c>
      <c r="AP133" s="47">
        <v>0.95118750000000007</v>
      </c>
      <c r="AQ133" s="47">
        <v>0.9365</v>
      </c>
      <c r="AR133" s="47">
        <v>0.85412499999999991</v>
      </c>
      <c r="AS133" s="47">
        <v>0.62643749999999998</v>
      </c>
      <c r="AT133" s="47">
        <v>0.56424999999999992</v>
      </c>
      <c r="AU133" s="47">
        <v>0.54393749999999996</v>
      </c>
      <c r="AV133" s="47">
        <v>0.48875000000000002</v>
      </c>
      <c r="AW133" s="47">
        <v>0.42856250000000007</v>
      </c>
      <c r="AX133" s="47">
        <v>0.40212500000000007</v>
      </c>
      <c r="AY133" s="47">
        <v>0.31949999999999995</v>
      </c>
      <c r="AZ133" s="47">
        <v>0.22312499999999999</v>
      </c>
      <c r="BA133" s="47">
        <v>0.17274999999999999</v>
      </c>
      <c r="BB133" s="47">
        <v>0.14756250000000001</v>
      </c>
      <c r="BC133" s="47">
        <v>0.19412499999999996</v>
      </c>
      <c r="BD133" s="47">
        <v>0.323625</v>
      </c>
      <c r="BE133" s="47">
        <v>0.44956249999999998</v>
      </c>
      <c r="BF133" s="47">
        <v>0.43593749999999992</v>
      </c>
      <c r="BG133" s="47">
        <v>0.43393750000000009</v>
      </c>
      <c r="BH133" s="47">
        <v>0.41737499999999994</v>
      </c>
      <c r="BI133" s="47">
        <v>0.38462499999999994</v>
      </c>
      <c r="BJ133" s="47">
        <v>0.35131250000000003</v>
      </c>
      <c r="BK133" s="47">
        <v>0.31849999999999995</v>
      </c>
      <c r="BL133" s="47">
        <v>0.30312499999999998</v>
      </c>
      <c r="BM133" s="47">
        <v>0.34787499999999999</v>
      </c>
      <c r="BN133" s="47">
        <v>0.3715</v>
      </c>
      <c r="BO133" s="47">
        <v>0.29593750000000002</v>
      </c>
      <c r="BP133" s="47">
        <v>0.36843749999999997</v>
      </c>
      <c r="BQ133" s="47">
        <v>0.35468749999999993</v>
      </c>
      <c r="BR133" s="47">
        <v>0.36643750000000003</v>
      </c>
      <c r="BS133" s="47">
        <v>0.31225000000000003</v>
      </c>
      <c r="BT133" s="47">
        <v>0.32225000000000004</v>
      </c>
      <c r="BU133" s="47">
        <v>0.35499999999999998</v>
      </c>
      <c r="BV133" s="47">
        <v>0.40881250000000002</v>
      </c>
      <c r="BW133" s="47">
        <v>0.47350000000000003</v>
      </c>
      <c r="BX133" s="47">
        <v>0.49825000000000003</v>
      </c>
      <c r="BY133" s="47">
        <v>0.51187499999999997</v>
      </c>
      <c r="BZ133" s="47">
        <v>0.43593749999999998</v>
      </c>
      <c r="CA133" s="47">
        <v>0.49887499999999996</v>
      </c>
      <c r="CB133" s="47">
        <v>0.51681250000000001</v>
      </c>
      <c r="CC133" s="47">
        <v>0.49775000000000008</v>
      </c>
      <c r="CD133" s="47">
        <v>0.45749999999999996</v>
      </c>
      <c r="CE133" s="47">
        <v>0.515625</v>
      </c>
      <c r="CF133" s="47">
        <v>0.53781250000000003</v>
      </c>
      <c r="CG133" s="47">
        <v>0.5300625000000001</v>
      </c>
      <c r="CH133" s="47">
        <v>0.50793749999999993</v>
      </c>
      <c r="CI133" s="47">
        <v>0.49562499999999993</v>
      </c>
      <c r="CJ133" s="47">
        <v>0.4931875</v>
      </c>
      <c r="CK133" s="47">
        <v>0.52118749999999991</v>
      </c>
      <c r="CL133" s="47">
        <v>0.57118750000000007</v>
      </c>
      <c r="CM133" s="47">
        <v>0.58762500000000006</v>
      </c>
      <c r="CN133" s="47">
        <v>0.57687500000000003</v>
      </c>
      <c r="CO133" s="47">
        <v>0.53656249999999994</v>
      </c>
      <c r="CP133" s="47">
        <v>0.59412500000000001</v>
      </c>
      <c r="CQ133" s="47">
        <v>0.56525000000000014</v>
      </c>
      <c r="CR133" s="47">
        <v>0.55931249999999999</v>
      </c>
      <c r="CS133" s="47">
        <v>0.52200000000000002</v>
      </c>
      <c r="CT133" s="47">
        <v>0.57218749999999996</v>
      </c>
      <c r="CU133" s="47">
        <v>0.57474999999999987</v>
      </c>
      <c r="CV133" s="47">
        <v>0.57693749999999999</v>
      </c>
      <c r="CW133" s="47">
        <v>0.54025000000000012</v>
      </c>
      <c r="CX133" s="47">
        <v>0.52187499999999998</v>
      </c>
      <c r="CY133" s="47">
        <v>0.41750000000000004</v>
      </c>
      <c r="CZ133" s="47">
        <v>0.32306250000000003</v>
      </c>
    </row>
    <row r="134" spans="1:104" x14ac:dyDescent="0.2">
      <c r="A134" s="45" t="s">
        <v>164</v>
      </c>
      <c r="B134" s="46">
        <f t="shared" ref="B134:B168" si="29">(F134-W134)*100</f>
        <v>-25.5</v>
      </c>
      <c r="C134" s="46">
        <f t="shared" ref="C134:C168" si="30">(F134-I134)*100</f>
        <v>-2.1000000000000005</v>
      </c>
      <c r="D134" s="48">
        <f t="shared" ref="D134:D166" si="31">_xlfn.STDEV.P(Q134:CZ134)*100</f>
        <v>26.145654252896101</v>
      </c>
      <c r="E134" s="46"/>
      <c r="F134" s="47">
        <v>0.04</v>
      </c>
      <c r="G134" s="47">
        <v>0.04</v>
      </c>
      <c r="H134" s="47">
        <v>2.9999999999999995E-2</v>
      </c>
      <c r="I134" s="47">
        <v>6.1000000000000006E-2</v>
      </c>
      <c r="J134" s="47">
        <v>0.13200000000000001</v>
      </c>
      <c r="K134" s="47">
        <v>0.10199999999999999</v>
      </c>
      <c r="L134" s="47">
        <v>9.0999999999999998E-2</v>
      </c>
      <c r="M134" s="47">
        <v>0</v>
      </c>
      <c r="N134" s="47">
        <v>0.01</v>
      </c>
      <c r="O134" s="47">
        <v>7.0999999999999994E-2</v>
      </c>
      <c r="P134" s="47">
        <v>8.1000000000000003E-2</v>
      </c>
      <c r="Q134" s="47">
        <v>0.14199999999999999</v>
      </c>
      <c r="R134" s="47">
        <v>0.153</v>
      </c>
      <c r="S134" s="47">
        <v>0.183</v>
      </c>
      <c r="T134" s="47">
        <v>0.224</v>
      </c>
      <c r="U134" s="47">
        <v>0.21399999999999997</v>
      </c>
      <c r="V134" s="47">
        <v>0.20399999999999999</v>
      </c>
      <c r="W134" s="47">
        <v>0.29499999999999998</v>
      </c>
      <c r="X134" s="47">
        <v>0.377</v>
      </c>
      <c r="Y134" s="47">
        <v>0.59099999999999997</v>
      </c>
      <c r="Z134" s="47">
        <v>0.60199999999999998</v>
      </c>
      <c r="AA134" s="47">
        <v>0.45900000000000002</v>
      </c>
      <c r="AB134" s="47">
        <v>0.23400000000000004</v>
      </c>
      <c r="AC134" s="47">
        <v>0.26500000000000001</v>
      </c>
      <c r="AD134" s="47">
        <v>0.41800000000000004</v>
      </c>
      <c r="AE134" s="47">
        <v>0.69299999999999995</v>
      </c>
      <c r="AF134" s="47">
        <v>0.63200000000000001</v>
      </c>
      <c r="AG134" s="47">
        <v>0.82599999999999996</v>
      </c>
      <c r="AH134" s="47">
        <v>0.81599999999999995</v>
      </c>
      <c r="AI134" s="47">
        <v>0.92800000000000016</v>
      </c>
      <c r="AJ134" s="47">
        <v>0.94799999999999995</v>
      </c>
      <c r="AK134" s="47">
        <v>0.95899999999999996</v>
      </c>
      <c r="AL134" s="47">
        <v>0.96900000000000008</v>
      </c>
      <c r="AM134" s="47">
        <v>0.93799999999999994</v>
      </c>
      <c r="AN134" s="47">
        <v>0.89700000000000002</v>
      </c>
      <c r="AO134" s="47">
        <v>0.86699999999999999</v>
      </c>
      <c r="AP134" s="47">
        <v>0.97899999999999998</v>
      </c>
      <c r="AQ134" s="47">
        <v>1</v>
      </c>
      <c r="AR134" s="47">
        <v>0.98899999999999988</v>
      </c>
      <c r="AS134" s="47">
        <v>0.67300000000000004</v>
      </c>
      <c r="AT134" s="47">
        <v>0.73399999999999999</v>
      </c>
      <c r="AU134" s="47">
        <v>0.79500000000000015</v>
      </c>
      <c r="AV134" s="47">
        <v>0.755</v>
      </c>
      <c r="AW134" s="47">
        <v>0.53</v>
      </c>
      <c r="AX134" s="47">
        <v>0.48899999999999999</v>
      </c>
      <c r="AY134" s="47">
        <v>0.34599999999999997</v>
      </c>
      <c r="AZ134" s="47">
        <v>0.438</v>
      </c>
      <c r="BA134" s="47">
        <v>0.40799999999999997</v>
      </c>
      <c r="BB134" s="47">
        <v>0.28499999999999998</v>
      </c>
      <c r="BC134" s="47">
        <v>0.193</v>
      </c>
      <c r="BD134" s="47">
        <v>0.02</v>
      </c>
      <c r="BE134" s="47">
        <v>0.112</v>
      </c>
      <c r="BF134" s="47">
        <v>0.12200000000000001</v>
      </c>
      <c r="BG134" s="47">
        <v>0.24400000000000002</v>
      </c>
      <c r="BH134" s="47">
        <v>0.42799999999999994</v>
      </c>
      <c r="BI134" s="47">
        <v>0.77500000000000002</v>
      </c>
      <c r="BJ134" s="47">
        <v>0.8570000000000001</v>
      </c>
      <c r="BK134" s="47">
        <v>0.54</v>
      </c>
      <c r="BL134" s="47">
        <v>0.38700000000000001</v>
      </c>
      <c r="BM134" s="47">
        <v>0.27500000000000002</v>
      </c>
      <c r="BN134" s="47">
        <v>0.33600000000000002</v>
      </c>
      <c r="BO134" s="47">
        <v>0.316</v>
      </c>
      <c r="BP134" s="47">
        <v>0.316</v>
      </c>
      <c r="BQ134" s="47">
        <v>0.17299999999999999</v>
      </c>
      <c r="BR134" s="47">
        <v>0.16300000000000001</v>
      </c>
      <c r="BS134" s="47">
        <v>0.255</v>
      </c>
      <c r="BT134" s="47">
        <v>0.30599999999999999</v>
      </c>
      <c r="BU134" s="47">
        <v>0.36699999999999999</v>
      </c>
      <c r="BV134" s="47">
        <v>0.35699999999999998</v>
      </c>
      <c r="BW134" s="47">
        <v>0.39699999999999996</v>
      </c>
      <c r="BX134" s="47">
        <v>0.65300000000000002</v>
      </c>
      <c r="BY134" s="47">
        <v>0.84599999999999997</v>
      </c>
      <c r="BZ134" s="47">
        <v>0.66300000000000003</v>
      </c>
      <c r="CA134" s="47">
        <v>0.46899999999999997</v>
      </c>
      <c r="CB134" s="47">
        <v>0.47899999999999998</v>
      </c>
      <c r="CC134" s="47">
        <v>0.755</v>
      </c>
      <c r="CD134" s="47">
        <v>0.64200000000000002</v>
      </c>
      <c r="CE134" s="47">
        <v>0.51</v>
      </c>
      <c r="CF134" s="47">
        <v>0.44800000000000001</v>
      </c>
      <c r="CG134" s="47">
        <v>0.52</v>
      </c>
      <c r="CH134" s="47">
        <v>0.74399999999999999</v>
      </c>
      <c r="CI134" s="47">
        <v>0.70399999999999996</v>
      </c>
      <c r="CJ134" s="47">
        <v>0.56100000000000005</v>
      </c>
      <c r="CK134" s="47">
        <v>0.57099999999999995</v>
      </c>
      <c r="CL134" s="47">
        <v>0.78500000000000003</v>
      </c>
      <c r="CM134" s="47">
        <v>0.90800000000000003</v>
      </c>
      <c r="CN134" s="47">
        <v>0.87699999999999989</v>
      </c>
      <c r="CO134" s="47">
        <v>0.91800000000000004</v>
      </c>
      <c r="CP134" s="47">
        <v>0.88700000000000001</v>
      </c>
      <c r="CQ134" s="47">
        <v>0.83600000000000008</v>
      </c>
      <c r="CR134" s="47">
        <v>0.80600000000000005</v>
      </c>
      <c r="CS134" s="47">
        <v>0.68300000000000005</v>
      </c>
      <c r="CT134" s="47">
        <v>0.70399999999999996</v>
      </c>
      <c r="CU134" s="47">
        <v>0.60199999999999998</v>
      </c>
      <c r="CV134" s="47">
        <v>0.72399999999999998</v>
      </c>
      <c r="CW134" s="47">
        <v>0.55100000000000005</v>
      </c>
      <c r="CX134" s="47">
        <v>0.58099999999999996</v>
      </c>
      <c r="CY134" s="47">
        <v>0.5</v>
      </c>
      <c r="CZ134" s="47">
        <v>0.622</v>
      </c>
    </row>
    <row r="135" spans="1:104" x14ac:dyDescent="0.2">
      <c r="A135" s="45" t="s">
        <v>166</v>
      </c>
      <c r="B135" s="46">
        <f t="shared" si="29"/>
        <v>-45.4</v>
      </c>
      <c r="C135" s="46">
        <f t="shared" si="30"/>
        <v>6.65</v>
      </c>
      <c r="D135" s="48">
        <f t="shared" si="31"/>
        <v>23.223900299728136</v>
      </c>
      <c r="E135" s="46"/>
      <c r="F135" s="47">
        <v>0.16300000000000001</v>
      </c>
      <c r="G135" s="47">
        <v>0.1525</v>
      </c>
      <c r="H135" s="47">
        <v>0.14749999999999999</v>
      </c>
      <c r="I135" s="47">
        <v>9.6500000000000002E-2</v>
      </c>
      <c r="J135" s="47">
        <v>8.1500000000000003E-2</v>
      </c>
      <c r="K135" s="47">
        <v>5.5500000000000001E-2</v>
      </c>
      <c r="L135" s="47">
        <v>7.6499999999999999E-2</v>
      </c>
      <c r="M135" s="47">
        <v>6.0999999999999999E-2</v>
      </c>
      <c r="N135" s="47">
        <v>9.6500000000000002E-2</v>
      </c>
      <c r="O135" s="47">
        <v>0.14250000000000002</v>
      </c>
      <c r="P135" s="47">
        <v>0.23399999999999996</v>
      </c>
      <c r="Q135" s="47">
        <v>0.33100000000000002</v>
      </c>
      <c r="R135" s="47">
        <v>0.42799999999999999</v>
      </c>
      <c r="S135" s="47">
        <v>0.47899999999999998</v>
      </c>
      <c r="T135" s="47">
        <v>0.48400000000000004</v>
      </c>
      <c r="U135" s="47">
        <v>0.53500000000000003</v>
      </c>
      <c r="V135" s="47">
        <v>0.57599999999999996</v>
      </c>
      <c r="W135" s="47">
        <v>0.61699999999999999</v>
      </c>
      <c r="X135" s="47">
        <v>0.62749999999999995</v>
      </c>
      <c r="Y135" s="47">
        <v>0.6319999999999999</v>
      </c>
      <c r="Z135" s="47">
        <v>0.69349999999999989</v>
      </c>
      <c r="AA135" s="47">
        <v>0.71350000000000002</v>
      </c>
      <c r="AB135" s="47">
        <v>0.71899999999999997</v>
      </c>
      <c r="AC135" s="47">
        <v>0.76</v>
      </c>
      <c r="AD135" s="47">
        <v>0.80049999999999988</v>
      </c>
      <c r="AE135" s="47">
        <v>0.82100000000000006</v>
      </c>
      <c r="AF135" s="47">
        <v>0.85199999999999998</v>
      </c>
      <c r="AG135" s="47">
        <v>0.84649999999999992</v>
      </c>
      <c r="AH135" s="47">
        <v>0.83099999999999996</v>
      </c>
      <c r="AI135" s="47">
        <v>0.79049999999999998</v>
      </c>
      <c r="AJ135" s="47">
        <v>0.73899999999999999</v>
      </c>
      <c r="AK135" s="47">
        <v>0.76949999999999996</v>
      </c>
      <c r="AL135" s="47">
        <v>0.79549999999999987</v>
      </c>
      <c r="AM135" s="47">
        <v>0.75449999999999995</v>
      </c>
      <c r="AN135" s="47">
        <v>0.69350000000000012</v>
      </c>
      <c r="AO135" s="47">
        <v>0.55549999999999999</v>
      </c>
      <c r="AP135" s="47">
        <v>0.48450000000000004</v>
      </c>
      <c r="AQ135" s="47">
        <v>0.43300000000000005</v>
      </c>
      <c r="AR135" s="47">
        <v>0.43300000000000005</v>
      </c>
      <c r="AS135" s="47">
        <v>0.48899999999999999</v>
      </c>
      <c r="AT135" s="47">
        <v>0.44850000000000001</v>
      </c>
      <c r="AU135" s="47">
        <v>0.44850000000000001</v>
      </c>
      <c r="AV135" s="47">
        <v>0.39750000000000002</v>
      </c>
      <c r="AW135" s="47">
        <v>0.36699999999999994</v>
      </c>
      <c r="AX135" s="47">
        <v>0.30549999999999999</v>
      </c>
      <c r="AY135" s="47">
        <v>0.27999999999999997</v>
      </c>
      <c r="AZ135" s="47">
        <v>0.34650000000000003</v>
      </c>
      <c r="BA135" s="47">
        <v>0.44850000000000001</v>
      </c>
      <c r="BB135" s="47">
        <v>0.44850000000000001</v>
      </c>
      <c r="BC135" s="47">
        <v>0.44349999999999995</v>
      </c>
      <c r="BD135" s="47">
        <v>0.188</v>
      </c>
      <c r="BE135" s="47">
        <v>0.10199999999999999</v>
      </c>
      <c r="BF135" s="47">
        <v>8.6499999999999994E-2</v>
      </c>
      <c r="BG135" s="47">
        <v>4.5499999999999999E-2</v>
      </c>
      <c r="BH135" s="47">
        <v>5.5500000000000001E-2</v>
      </c>
      <c r="BI135" s="47">
        <v>0.107</v>
      </c>
      <c r="BJ135" s="47">
        <v>0.19299999999999998</v>
      </c>
      <c r="BK135" s="47">
        <v>0.2545</v>
      </c>
      <c r="BL135" s="47">
        <v>0.37199999999999994</v>
      </c>
      <c r="BM135" s="47">
        <v>0.38200000000000006</v>
      </c>
      <c r="BN135" s="47">
        <v>0.41800000000000009</v>
      </c>
      <c r="BO135" s="47">
        <v>0.42300000000000004</v>
      </c>
      <c r="BP135" s="47">
        <v>0.59150000000000003</v>
      </c>
      <c r="BQ135" s="47">
        <v>0.66300000000000003</v>
      </c>
      <c r="BR135" s="47">
        <v>0.71399999999999997</v>
      </c>
      <c r="BS135" s="47">
        <v>0.80049999999999988</v>
      </c>
      <c r="BT135" s="47">
        <v>0.84099999999999997</v>
      </c>
      <c r="BU135" s="47">
        <v>0.92300000000000004</v>
      </c>
      <c r="BV135" s="47">
        <v>0.92300000000000004</v>
      </c>
      <c r="BW135" s="47">
        <v>0.90749999999999997</v>
      </c>
      <c r="BX135" s="47">
        <v>0.84649999999999992</v>
      </c>
      <c r="BY135" s="47">
        <v>0.8005000000000001</v>
      </c>
      <c r="BZ135" s="47">
        <v>0.81100000000000005</v>
      </c>
      <c r="CA135" s="47">
        <v>0.85150000000000003</v>
      </c>
      <c r="CB135" s="47">
        <v>0.89700000000000002</v>
      </c>
      <c r="CC135" s="47">
        <v>0.9385</v>
      </c>
      <c r="CD135" s="47">
        <v>0.91249999999999998</v>
      </c>
      <c r="CE135" s="47">
        <v>0.81100000000000005</v>
      </c>
      <c r="CF135" s="47">
        <v>0.71900000000000008</v>
      </c>
      <c r="CG135" s="47">
        <v>0.68799999999999994</v>
      </c>
      <c r="CH135" s="47">
        <v>0.69349999999999989</v>
      </c>
      <c r="CI135" s="47">
        <v>0.66799999999999993</v>
      </c>
      <c r="CJ135" s="47">
        <v>0.61699999999999999</v>
      </c>
      <c r="CK135" s="47">
        <v>0.59100000000000008</v>
      </c>
      <c r="CL135" s="47">
        <v>0.56100000000000005</v>
      </c>
      <c r="CM135" s="47">
        <v>0.52500000000000002</v>
      </c>
      <c r="CN135" s="47">
        <v>0.4385</v>
      </c>
      <c r="CO135" s="47">
        <v>0.36149999999999999</v>
      </c>
      <c r="CP135" s="47">
        <v>0.34150000000000003</v>
      </c>
      <c r="CQ135" s="47">
        <v>0.30049999999999999</v>
      </c>
      <c r="CR135" s="47">
        <v>0.316</v>
      </c>
      <c r="CS135" s="47">
        <v>0.30549999999999999</v>
      </c>
      <c r="CT135" s="47">
        <v>0.31599999999999995</v>
      </c>
      <c r="CU135" s="47">
        <v>0.33100000000000002</v>
      </c>
      <c r="CV135" s="47">
        <v>0.34149999999999997</v>
      </c>
      <c r="CW135" s="47">
        <v>0.36699999999999999</v>
      </c>
      <c r="CX135" s="47">
        <v>0.37200000000000005</v>
      </c>
      <c r="CY135" s="47">
        <v>0.35649999999999998</v>
      </c>
      <c r="CZ135" s="47">
        <v>0.38250000000000001</v>
      </c>
    </row>
    <row r="136" spans="1:104" x14ac:dyDescent="0.2">
      <c r="A136" s="45" t="s">
        <v>168</v>
      </c>
      <c r="B136" s="46">
        <f t="shared" si="29"/>
        <v>14.3</v>
      </c>
      <c r="C136" s="46">
        <f t="shared" si="30"/>
        <v>4.1000000000000005</v>
      </c>
      <c r="D136" s="48">
        <f t="shared" si="31"/>
        <v>29.186065253108023</v>
      </c>
      <c r="E136" s="46"/>
      <c r="F136" s="47">
        <v>0.23400000000000001</v>
      </c>
      <c r="G136" s="47">
        <v>0.23400000000000001</v>
      </c>
      <c r="H136" s="47">
        <v>0.38700000000000001</v>
      </c>
      <c r="I136" s="47">
        <v>0.193</v>
      </c>
      <c r="J136" s="47">
        <v>0.183</v>
      </c>
      <c r="K136" s="47">
        <v>0.13199999999999998</v>
      </c>
      <c r="L136" s="47">
        <v>0.255</v>
      </c>
      <c r="M136" s="47">
        <v>0.17299999999999999</v>
      </c>
      <c r="N136" s="47">
        <v>0.224</v>
      </c>
      <c r="O136" s="47">
        <v>0.255</v>
      </c>
      <c r="P136" s="47">
        <v>0.72399999999999998</v>
      </c>
      <c r="Q136" s="47">
        <v>0.81599999999999995</v>
      </c>
      <c r="R136" s="47">
        <v>0.69299999999999995</v>
      </c>
      <c r="S136" s="47">
        <v>0.377</v>
      </c>
      <c r="T136" s="47">
        <v>5.0999999999999997E-2</v>
      </c>
      <c r="U136" s="47">
        <v>0.02</v>
      </c>
      <c r="V136" s="47">
        <v>0.03</v>
      </c>
      <c r="W136" s="47">
        <v>9.0999999999999998E-2</v>
      </c>
      <c r="X136" s="47">
        <v>8.1000000000000003E-2</v>
      </c>
      <c r="Y136" s="47">
        <v>0.10199999999999999</v>
      </c>
      <c r="Z136" s="47">
        <v>0.153</v>
      </c>
      <c r="AA136" s="47">
        <v>0.122</v>
      </c>
      <c r="AB136" s="47">
        <v>0.04</v>
      </c>
      <c r="AC136" s="47">
        <v>0</v>
      </c>
      <c r="AD136" s="47">
        <v>7.0999999999999994E-2</v>
      </c>
      <c r="AE136" s="47">
        <v>0.14199999999999999</v>
      </c>
      <c r="AF136" s="47">
        <v>0.28499999999999998</v>
      </c>
      <c r="AG136" s="47">
        <v>0.29499999999999998</v>
      </c>
      <c r="AH136" s="47">
        <v>0.33600000000000002</v>
      </c>
      <c r="AI136" s="47">
        <v>0.35699999999999998</v>
      </c>
      <c r="AJ136" s="47">
        <v>0.316</v>
      </c>
      <c r="AK136" s="47">
        <v>0.214</v>
      </c>
      <c r="AL136" s="47">
        <v>0.47899999999999998</v>
      </c>
      <c r="AM136" s="47">
        <v>0.58099999999999996</v>
      </c>
      <c r="AN136" s="47">
        <v>0.82599999999999996</v>
      </c>
      <c r="AO136" s="47">
        <v>0.97899999999999998</v>
      </c>
      <c r="AP136" s="47">
        <v>0.98899999999999999</v>
      </c>
      <c r="AQ136" s="47">
        <v>1</v>
      </c>
      <c r="AR136" s="47">
        <v>0.96899999999999997</v>
      </c>
      <c r="AS136" s="47">
        <v>0.94799999999999995</v>
      </c>
      <c r="AT136" s="47">
        <v>0.93799999999999994</v>
      </c>
      <c r="AU136" s="47">
        <v>0.95899999999999996</v>
      </c>
      <c r="AV136" s="47">
        <v>0.89700000000000002</v>
      </c>
      <c r="AW136" s="47">
        <v>0.74399999999999999</v>
      </c>
      <c r="AX136" s="47">
        <v>0.86699999999999999</v>
      </c>
      <c r="AY136" s="47">
        <v>0.755</v>
      </c>
      <c r="AZ136" s="47">
        <v>0.66300000000000003</v>
      </c>
      <c r="BA136" s="47">
        <v>0.16300000000000001</v>
      </c>
      <c r="BB136" s="47">
        <v>6.0999999999999999E-2</v>
      </c>
      <c r="BC136" s="47">
        <v>0.01</v>
      </c>
      <c r="BD136" s="47">
        <v>0.112</v>
      </c>
      <c r="BE136" s="47">
        <v>0.77500000000000002</v>
      </c>
      <c r="BF136" s="47">
        <v>0.622</v>
      </c>
      <c r="BG136" s="47">
        <v>0.65300000000000002</v>
      </c>
      <c r="BH136" s="47">
        <v>0.61199999999999999</v>
      </c>
      <c r="BI136" s="47">
        <v>0.64200000000000002</v>
      </c>
      <c r="BJ136" s="47">
        <v>0.80600000000000005</v>
      </c>
      <c r="BK136" s="47">
        <v>0.85699999999999998</v>
      </c>
      <c r="BL136" s="47">
        <v>0.82599999999999996</v>
      </c>
      <c r="BM136" s="47">
        <v>0.70399999999999996</v>
      </c>
      <c r="BN136" s="47">
        <v>0.57099999999999995</v>
      </c>
      <c r="BO136" s="47">
        <v>0.63200000000000001</v>
      </c>
      <c r="BP136" s="47">
        <v>0.30599999999999999</v>
      </c>
      <c r="BQ136" s="47">
        <v>0.20399999999999999</v>
      </c>
      <c r="BR136" s="47">
        <v>0.27500000000000002</v>
      </c>
      <c r="BS136" s="47">
        <v>0.34599999999999997</v>
      </c>
      <c r="BT136" s="47">
        <v>0.40799999999999997</v>
      </c>
      <c r="BU136" s="47">
        <v>0.46899999999999997</v>
      </c>
      <c r="BV136" s="47">
        <v>0.51</v>
      </c>
      <c r="BW136" s="47">
        <v>0.56100000000000005</v>
      </c>
      <c r="BX136" s="47">
        <v>0.66300000000000003</v>
      </c>
      <c r="BY136" s="47">
        <v>0.84599999999999997</v>
      </c>
      <c r="BZ136" s="47">
        <v>0.877</v>
      </c>
      <c r="CA136" s="47">
        <v>0.91800000000000004</v>
      </c>
      <c r="CB136" s="47">
        <v>0.71399999999999997</v>
      </c>
      <c r="CC136" s="47">
        <v>0.91800000000000004</v>
      </c>
      <c r="CD136" s="47">
        <v>0.90800000000000003</v>
      </c>
      <c r="CE136" s="47">
        <v>0.88700000000000001</v>
      </c>
      <c r="CF136" s="47">
        <v>0.78500000000000003</v>
      </c>
      <c r="CG136" s="47">
        <v>0.72399999999999998</v>
      </c>
      <c r="CH136" s="47">
        <v>0.79500000000000004</v>
      </c>
      <c r="CI136" s="47">
        <v>0.755</v>
      </c>
      <c r="CJ136" s="47">
        <v>0.68300000000000005</v>
      </c>
      <c r="CK136" s="47">
        <v>0.55100000000000005</v>
      </c>
      <c r="CL136" s="47">
        <v>0.5</v>
      </c>
      <c r="CM136" s="47">
        <v>0.54</v>
      </c>
      <c r="CN136" s="47">
        <v>0.60199999999999998</v>
      </c>
      <c r="CO136" s="47">
        <v>0.53</v>
      </c>
      <c r="CP136" s="47">
        <v>0.45900000000000002</v>
      </c>
      <c r="CQ136" s="47">
        <v>0.36699999999999999</v>
      </c>
      <c r="CR136" s="47">
        <v>0.32600000000000001</v>
      </c>
      <c r="CS136" s="47">
        <v>0.41799999999999998</v>
      </c>
      <c r="CT136" s="47">
        <v>0.438</v>
      </c>
      <c r="CU136" s="47">
        <v>0.44800000000000001</v>
      </c>
      <c r="CV136" s="47">
        <v>0.39700000000000002</v>
      </c>
      <c r="CW136" s="47">
        <v>0.42799999999999999</v>
      </c>
      <c r="CX136" s="47">
        <v>0.52</v>
      </c>
      <c r="CY136" s="47">
        <v>0.59099999999999997</v>
      </c>
      <c r="CZ136" s="47">
        <v>0.48899999999999999</v>
      </c>
    </row>
    <row r="137" spans="1:104" x14ac:dyDescent="0.2">
      <c r="A137" s="45" t="s">
        <v>170</v>
      </c>
      <c r="B137" s="46">
        <f t="shared" si="29"/>
        <v>-25.900000000000002</v>
      </c>
      <c r="C137" s="46">
        <f t="shared" si="30"/>
        <v>-3.35</v>
      </c>
      <c r="D137" s="48">
        <f t="shared" si="31"/>
        <v>14.250412662123345</v>
      </c>
      <c r="E137" s="46"/>
      <c r="F137" s="47">
        <v>0.14799999999999999</v>
      </c>
      <c r="G137" s="47">
        <v>0.14799999999999999</v>
      </c>
      <c r="H137" s="47">
        <v>0.12249999999999998</v>
      </c>
      <c r="I137" s="47">
        <v>0.18149999999999999</v>
      </c>
      <c r="J137" s="47">
        <v>0.153</v>
      </c>
      <c r="K137" s="47">
        <v>0.17099999999999999</v>
      </c>
      <c r="L137" s="47">
        <v>0.14750000000000002</v>
      </c>
      <c r="M137" s="47">
        <v>9.6500000000000002E-2</v>
      </c>
      <c r="N137" s="47">
        <v>6.8500000000000005E-2</v>
      </c>
      <c r="O137" s="47">
        <v>9.1500000000000012E-2</v>
      </c>
      <c r="P137" s="47">
        <v>0.18049999999999999</v>
      </c>
      <c r="Q137" s="47">
        <v>0.31900000000000006</v>
      </c>
      <c r="R137" s="47">
        <v>0.3805</v>
      </c>
      <c r="S137" s="47">
        <v>0.33949999999999997</v>
      </c>
      <c r="T137" s="47">
        <v>0.37649999999999995</v>
      </c>
      <c r="U137" s="47">
        <v>0.33300000000000002</v>
      </c>
      <c r="V137" s="47">
        <v>0.4405</v>
      </c>
      <c r="W137" s="47">
        <v>0.40699999999999997</v>
      </c>
      <c r="X137" s="47">
        <v>0.40949999999999998</v>
      </c>
      <c r="Y137" s="47">
        <v>0.27049999999999996</v>
      </c>
      <c r="Z137" s="47">
        <v>0.42749999999999999</v>
      </c>
      <c r="AA137" s="47">
        <v>0.4405</v>
      </c>
      <c r="AB137" s="47">
        <v>0.46350000000000002</v>
      </c>
      <c r="AC137" s="47">
        <v>0.21499999999999997</v>
      </c>
      <c r="AD137" s="47">
        <v>0.29649999999999999</v>
      </c>
      <c r="AE137" s="47">
        <v>0.40650000000000003</v>
      </c>
      <c r="AF137" s="47">
        <v>0.74299999999999999</v>
      </c>
      <c r="AG137" s="47">
        <v>0.68500000000000005</v>
      </c>
      <c r="AH137" s="47">
        <v>0.51100000000000001</v>
      </c>
      <c r="AI137" s="47">
        <v>0.48599999999999999</v>
      </c>
      <c r="AJ137" s="47">
        <v>0.48349999999999999</v>
      </c>
      <c r="AK137" s="47">
        <v>0.60649999999999993</v>
      </c>
      <c r="AL137" s="47">
        <v>0.629</v>
      </c>
      <c r="AM137" s="47">
        <v>0.80549999999999999</v>
      </c>
      <c r="AN137" s="47">
        <v>0.61</v>
      </c>
      <c r="AO137" s="47">
        <v>0.72799999999999998</v>
      </c>
      <c r="AP137" s="47">
        <v>0.67349999999999999</v>
      </c>
      <c r="AQ137" s="47">
        <v>0.96149999999999991</v>
      </c>
      <c r="AR137" s="47">
        <v>0.97649999999999992</v>
      </c>
      <c r="AS137" s="47">
        <v>0.69350000000000001</v>
      </c>
      <c r="AT137" s="47">
        <v>0.48449999999999993</v>
      </c>
      <c r="AU137" s="47">
        <v>0.5</v>
      </c>
      <c r="AV137" s="47">
        <v>0.53549999999999998</v>
      </c>
      <c r="AW137" s="47">
        <v>0.4945</v>
      </c>
      <c r="AX137" s="47">
        <v>0.55600000000000005</v>
      </c>
      <c r="AY137" s="47">
        <v>0.64750000000000008</v>
      </c>
      <c r="AZ137" s="47">
        <v>0.66300000000000003</v>
      </c>
      <c r="BA137" s="47">
        <v>0.46399999999999997</v>
      </c>
      <c r="BB137" s="47">
        <v>0.33150000000000002</v>
      </c>
      <c r="BC137" s="47">
        <v>0.27550000000000002</v>
      </c>
      <c r="BD137" s="47">
        <v>0.37200000000000005</v>
      </c>
      <c r="BE137" s="47">
        <v>0.71399999999999997</v>
      </c>
      <c r="BF137" s="47">
        <v>0.67849999999999988</v>
      </c>
      <c r="BG137" s="47">
        <v>0.65800000000000003</v>
      </c>
      <c r="BH137" s="47">
        <v>0.58150000000000002</v>
      </c>
      <c r="BI137" s="47">
        <v>0.60199999999999987</v>
      </c>
      <c r="BJ137" s="47">
        <v>0.61199999999999999</v>
      </c>
      <c r="BK137" s="47">
        <v>0.57099999999999995</v>
      </c>
      <c r="BL137" s="47">
        <v>0.56600000000000006</v>
      </c>
      <c r="BM137" s="47">
        <v>0.64249999999999996</v>
      </c>
      <c r="BN137" s="47">
        <v>0.70900000000000007</v>
      </c>
      <c r="BO137" s="47">
        <v>0.71899999999999997</v>
      </c>
      <c r="BP137" s="47">
        <v>0.72399999999999998</v>
      </c>
      <c r="BQ137" s="47">
        <v>0.72950000000000004</v>
      </c>
      <c r="BR137" s="47">
        <v>0.67300000000000004</v>
      </c>
      <c r="BS137" s="47">
        <v>0.6885</v>
      </c>
      <c r="BT137" s="47">
        <v>0.67849999999999988</v>
      </c>
      <c r="BU137" s="47">
        <v>0.70400000000000007</v>
      </c>
      <c r="BV137" s="47">
        <v>0.66799999999999993</v>
      </c>
      <c r="BW137" s="47">
        <v>0.59150000000000003</v>
      </c>
      <c r="BX137" s="47">
        <v>0.60699999999999998</v>
      </c>
      <c r="BY137" s="47">
        <v>0.622</v>
      </c>
      <c r="BZ137" s="47">
        <v>0.61699999999999999</v>
      </c>
      <c r="CA137" s="47">
        <v>0.63749999999999996</v>
      </c>
      <c r="CB137" s="47">
        <v>0.4335</v>
      </c>
      <c r="CC137" s="47">
        <v>0.40300000000000002</v>
      </c>
      <c r="CD137" s="47">
        <v>0.40800000000000003</v>
      </c>
      <c r="CE137" s="47">
        <v>0.42849999999999999</v>
      </c>
      <c r="CF137" s="47">
        <v>0.42299999999999999</v>
      </c>
      <c r="CG137" s="47">
        <v>0.41799999999999998</v>
      </c>
      <c r="CH137" s="47">
        <v>0.45900000000000002</v>
      </c>
      <c r="CI137" s="47">
        <v>0.47400000000000003</v>
      </c>
      <c r="CJ137" s="47">
        <v>0.48949999999999999</v>
      </c>
      <c r="CK137" s="47">
        <v>0.43850000000000006</v>
      </c>
      <c r="CL137" s="47">
        <v>0.44850000000000001</v>
      </c>
      <c r="CM137" s="47">
        <v>0.45399999999999996</v>
      </c>
      <c r="CN137" s="47">
        <v>0.54549999999999998</v>
      </c>
      <c r="CO137" s="47">
        <v>0.57650000000000001</v>
      </c>
      <c r="CP137" s="47">
        <v>0.54049999999999998</v>
      </c>
      <c r="CQ137" s="47">
        <v>0.52</v>
      </c>
      <c r="CR137" s="47">
        <v>0.51</v>
      </c>
      <c r="CS137" s="47">
        <v>0.52550000000000008</v>
      </c>
      <c r="CT137" s="47">
        <v>0.51500000000000001</v>
      </c>
      <c r="CU137" s="47">
        <v>0.55099999999999993</v>
      </c>
      <c r="CV137" s="47">
        <v>0.58650000000000002</v>
      </c>
      <c r="CW137" s="47">
        <v>0.59650000000000003</v>
      </c>
      <c r="CX137" s="47">
        <v>0.55600000000000005</v>
      </c>
      <c r="CY137" s="47">
        <v>0.53050000000000008</v>
      </c>
      <c r="CZ137" s="47">
        <v>0.62750000000000006</v>
      </c>
    </row>
    <row r="138" spans="1:104" x14ac:dyDescent="0.2">
      <c r="A138" s="45" t="s">
        <v>171</v>
      </c>
      <c r="B138" s="46">
        <f t="shared" si="29"/>
        <v>-59.166666666666679</v>
      </c>
      <c r="C138" s="46">
        <f t="shared" si="30"/>
        <v>-7.2000000000000037</v>
      </c>
      <c r="D138" s="48">
        <f t="shared" si="31"/>
        <v>11.072539015870584</v>
      </c>
      <c r="E138" s="46"/>
      <c r="F138" s="47">
        <v>0.10433333333333333</v>
      </c>
      <c r="G138" s="47">
        <v>0.15066666666666667</v>
      </c>
      <c r="H138" s="47">
        <v>0.13933333333333334</v>
      </c>
      <c r="I138" s="47">
        <v>0.17633333333333337</v>
      </c>
      <c r="J138" s="47">
        <v>0.23383333333333334</v>
      </c>
      <c r="K138" s="47">
        <v>0.30116666666666669</v>
      </c>
      <c r="L138" s="47">
        <v>0.41616666666666668</v>
      </c>
      <c r="M138" s="47">
        <v>0.45416666666666677</v>
      </c>
      <c r="N138" s="47">
        <v>0.5581666666666667</v>
      </c>
      <c r="O138" s="47">
        <v>0.65066666666666673</v>
      </c>
      <c r="P138" s="47">
        <v>0.75650000000000006</v>
      </c>
      <c r="Q138" s="47">
        <v>0.77383333333333337</v>
      </c>
      <c r="R138" s="47">
        <v>0.7296666666666668</v>
      </c>
      <c r="S138" s="47">
        <v>0.68550000000000011</v>
      </c>
      <c r="T138" s="47">
        <v>0.67716666666666681</v>
      </c>
      <c r="U138" s="47">
        <v>0.70316666666666672</v>
      </c>
      <c r="V138" s="47">
        <v>0.69200000000000006</v>
      </c>
      <c r="W138" s="47">
        <v>0.69600000000000006</v>
      </c>
      <c r="X138" s="47">
        <v>0.56716666666666671</v>
      </c>
      <c r="Y138" s="47">
        <v>0.52216666666666678</v>
      </c>
      <c r="Z138" s="47">
        <v>0.4256666666666668</v>
      </c>
      <c r="AA138" s="47">
        <v>0.41816666666666674</v>
      </c>
      <c r="AB138" s="47">
        <v>0.39550000000000002</v>
      </c>
      <c r="AC138" s="47">
        <v>0.44333333333333341</v>
      </c>
      <c r="AD138" s="47">
        <v>0.47950000000000004</v>
      </c>
      <c r="AE138" s="47">
        <v>0.48849999999999999</v>
      </c>
      <c r="AF138" s="47">
        <v>0.51916666666666678</v>
      </c>
      <c r="AG138" s="47">
        <v>0.51183333333333347</v>
      </c>
      <c r="AH138" s="47">
        <v>0.54633333333333334</v>
      </c>
      <c r="AI138" s="47">
        <v>0.54033333333333333</v>
      </c>
      <c r="AJ138" s="47">
        <v>0.59599999999999997</v>
      </c>
      <c r="AK138" s="47">
        <v>0.59250000000000014</v>
      </c>
      <c r="AL138" s="47">
        <v>0.64250000000000018</v>
      </c>
      <c r="AM138" s="47">
        <v>0.59850000000000014</v>
      </c>
      <c r="AN138" s="47">
        <v>0.59233333333333349</v>
      </c>
      <c r="AO138" s="47">
        <v>0.61499999999999999</v>
      </c>
      <c r="AP138" s="47">
        <v>0.68916666666666682</v>
      </c>
      <c r="AQ138" s="47">
        <v>0.73016666666666685</v>
      </c>
      <c r="AR138" s="47">
        <v>0.66916666666666669</v>
      </c>
      <c r="AS138" s="47">
        <v>0.54849999999999999</v>
      </c>
      <c r="AT138" s="47">
        <v>0.48016666666666674</v>
      </c>
      <c r="AU138" s="47">
        <v>0.4963333333333334</v>
      </c>
      <c r="AV138" s="47">
        <v>0.44716666666666671</v>
      </c>
      <c r="AW138" s="47">
        <v>0.61599999999999999</v>
      </c>
      <c r="AX138" s="47">
        <v>0.58400000000000007</v>
      </c>
      <c r="AY138" s="47">
        <v>0.57116666666666671</v>
      </c>
      <c r="AZ138" s="47">
        <v>0.39683333333333343</v>
      </c>
      <c r="BA138" s="47">
        <v>0.3663333333333334</v>
      </c>
      <c r="BB138" s="47">
        <v>0.31450000000000006</v>
      </c>
      <c r="BC138" s="47">
        <v>0.3111666666666667</v>
      </c>
      <c r="BD138" s="47">
        <v>0.34916666666666668</v>
      </c>
      <c r="BE138" s="47">
        <v>0.39516666666666661</v>
      </c>
      <c r="BF138" s="47">
        <v>0.42366666666666669</v>
      </c>
      <c r="BG138" s="47">
        <v>0.44050000000000006</v>
      </c>
      <c r="BH138" s="47">
        <v>0.43300000000000005</v>
      </c>
      <c r="BI138" s="47">
        <v>0.40133333333333332</v>
      </c>
      <c r="BJ138" s="47">
        <v>0.40666666666666668</v>
      </c>
      <c r="BK138" s="47">
        <v>0.43733333333333335</v>
      </c>
      <c r="BL138" s="47">
        <v>0.53866666666666663</v>
      </c>
      <c r="BM138" s="47">
        <v>0.51800000000000002</v>
      </c>
      <c r="BN138" s="47">
        <v>0.51200000000000012</v>
      </c>
      <c r="BO138" s="47">
        <v>0.4958333333333334</v>
      </c>
      <c r="BP138" s="47">
        <v>0.46316666666666667</v>
      </c>
      <c r="BQ138" s="47">
        <v>0.49450000000000005</v>
      </c>
      <c r="BR138" s="47">
        <v>0.52683333333333338</v>
      </c>
      <c r="BS138" s="47">
        <v>0.42083333333333334</v>
      </c>
      <c r="BT138" s="47">
        <v>0.38816666666666666</v>
      </c>
      <c r="BU138" s="47">
        <v>0.33450000000000002</v>
      </c>
      <c r="BV138" s="47">
        <v>0.38183333333333341</v>
      </c>
      <c r="BW138" s="47">
        <v>0.37533333333333335</v>
      </c>
      <c r="BX138" s="47">
        <v>0.39616666666666672</v>
      </c>
      <c r="BY138" s="47">
        <v>0.46533333333333343</v>
      </c>
      <c r="BZ138" s="47">
        <v>0.42666666666666675</v>
      </c>
      <c r="CA138" s="47">
        <v>0.47916666666666669</v>
      </c>
      <c r="CB138" s="47">
        <v>0.55666666666666664</v>
      </c>
      <c r="CC138" s="47">
        <v>0.69566666666666677</v>
      </c>
      <c r="CD138" s="47">
        <v>0.69933333333333325</v>
      </c>
      <c r="CE138" s="47">
        <v>0.73899999999999999</v>
      </c>
      <c r="CF138" s="47">
        <v>0.70899999999999996</v>
      </c>
      <c r="CG138" s="47">
        <v>0.68783333333333341</v>
      </c>
      <c r="CH138" s="47">
        <v>0.62816666666666665</v>
      </c>
      <c r="CI138" s="47">
        <v>0.49949999999999994</v>
      </c>
      <c r="CJ138" s="47">
        <v>0.41850000000000004</v>
      </c>
      <c r="CK138" s="47">
        <v>0.36033333333333334</v>
      </c>
      <c r="CL138" s="47">
        <v>0.42850000000000005</v>
      </c>
      <c r="CM138" s="47">
        <v>0.43200000000000011</v>
      </c>
      <c r="CN138" s="47">
        <v>0.53816666666666668</v>
      </c>
      <c r="CO138" s="47">
        <v>0.44216666666666676</v>
      </c>
      <c r="CP138" s="47">
        <v>0.5</v>
      </c>
      <c r="CQ138" s="47">
        <v>0.5</v>
      </c>
      <c r="CR138" s="47">
        <v>0.5</v>
      </c>
      <c r="CS138" s="47">
        <v>0.5</v>
      </c>
      <c r="CT138" s="47">
        <v>0.5</v>
      </c>
      <c r="CU138" s="47">
        <v>0.5</v>
      </c>
      <c r="CV138" s="47">
        <v>0.5</v>
      </c>
      <c r="CW138" s="47">
        <v>0.5</v>
      </c>
      <c r="CX138" s="47">
        <v>0.5</v>
      </c>
      <c r="CY138" s="47">
        <v>0.5</v>
      </c>
      <c r="CZ138" s="47">
        <v>0.5</v>
      </c>
    </row>
    <row r="139" spans="1:104" x14ac:dyDescent="0.2">
      <c r="A139" s="45" t="s">
        <v>172</v>
      </c>
      <c r="B139" s="46">
        <f t="shared" si="29"/>
        <v>-52.45000000000001</v>
      </c>
      <c r="C139" s="46">
        <f t="shared" si="30"/>
        <v>-2.9600000000000044</v>
      </c>
      <c r="D139" s="48">
        <f t="shared" si="31"/>
        <v>17.959819035652615</v>
      </c>
      <c r="E139" s="46"/>
      <c r="F139" s="47">
        <v>0.19429999999999992</v>
      </c>
      <c r="G139" s="47">
        <v>0.20149999999999993</v>
      </c>
      <c r="H139" s="47">
        <v>0.20649999999999991</v>
      </c>
      <c r="I139" s="47">
        <v>0.22389999999999996</v>
      </c>
      <c r="J139" s="47">
        <v>0.23640000000000003</v>
      </c>
      <c r="K139" s="47">
        <v>0.25760000000000005</v>
      </c>
      <c r="L139" s="47">
        <v>0.30789999999999995</v>
      </c>
      <c r="M139" s="47">
        <v>0.29539999999999988</v>
      </c>
      <c r="N139" s="47">
        <v>0.23919999999999986</v>
      </c>
      <c r="O139" s="47">
        <v>0.18719999999999981</v>
      </c>
      <c r="P139" s="47">
        <v>0.21409999999999979</v>
      </c>
      <c r="Q139" s="47">
        <v>0.29849999999999971</v>
      </c>
      <c r="R139" s="47">
        <v>0.33629999999999965</v>
      </c>
      <c r="S139" s="47">
        <v>0.31469999999999965</v>
      </c>
      <c r="T139" s="47">
        <v>0.37919999999999987</v>
      </c>
      <c r="U139" s="47">
        <v>0.50859999999999983</v>
      </c>
      <c r="V139" s="47">
        <v>0.67389999999999983</v>
      </c>
      <c r="W139" s="47">
        <v>0.71879999999999999</v>
      </c>
      <c r="X139" s="47">
        <v>0.6752999999999999</v>
      </c>
      <c r="Y139" s="47">
        <v>0.57619999999999993</v>
      </c>
      <c r="Z139" s="47">
        <v>0.48739999999999994</v>
      </c>
      <c r="AA139" s="47">
        <v>0.39429999999999987</v>
      </c>
      <c r="AB139" s="47">
        <v>0.20179999999999987</v>
      </c>
      <c r="AC139" s="47">
        <v>0.14449999999999982</v>
      </c>
      <c r="AD139" s="47">
        <v>0.12219999999999984</v>
      </c>
      <c r="AE139" s="47">
        <v>0.13939999999999986</v>
      </c>
      <c r="AF139" s="47">
        <v>0.27389999999999987</v>
      </c>
      <c r="AG139" s="47">
        <v>0.36569999999999991</v>
      </c>
      <c r="AH139" s="47">
        <v>0.3360999999999999</v>
      </c>
      <c r="AI139" s="47">
        <v>0.23139999999999977</v>
      </c>
      <c r="AJ139" s="47">
        <v>0.22499999999999973</v>
      </c>
      <c r="AK139" s="47">
        <v>0.23409999999999978</v>
      </c>
      <c r="AL139" s="47">
        <v>0.28419999999999984</v>
      </c>
      <c r="AM139" s="47">
        <v>0.37479999999999991</v>
      </c>
      <c r="AN139" s="47">
        <v>0.44129999999999991</v>
      </c>
      <c r="AO139" s="47">
        <v>0.57790000000000019</v>
      </c>
      <c r="AP139" s="47">
        <v>0.68540000000000001</v>
      </c>
      <c r="AQ139" s="47">
        <v>0.7905000000000002</v>
      </c>
      <c r="AR139" s="47">
        <v>0.80959999999999999</v>
      </c>
      <c r="AS139" s="47">
        <v>0.74530000000000018</v>
      </c>
      <c r="AT139" s="47">
        <v>0.68950000000000033</v>
      </c>
      <c r="AU139" s="47">
        <v>0.68650000000000022</v>
      </c>
      <c r="AV139" s="47">
        <v>0.71780000000000022</v>
      </c>
      <c r="AW139" s="47">
        <v>0.75570000000000048</v>
      </c>
      <c r="AX139" s="47">
        <v>0.77900000000000036</v>
      </c>
      <c r="AY139" s="47">
        <v>0.75870000000000037</v>
      </c>
      <c r="AZ139" s="47">
        <v>0.74000000000000044</v>
      </c>
      <c r="BA139" s="47">
        <v>0.69220000000000048</v>
      </c>
      <c r="BB139" s="47">
        <v>0.72290000000000043</v>
      </c>
      <c r="BC139" s="47">
        <v>0.72220000000000051</v>
      </c>
      <c r="BD139" s="47">
        <v>0.72080000000000033</v>
      </c>
      <c r="BE139" s="47">
        <v>0.74850000000000028</v>
      </c>
      <c r="BF139" s="47">
        <v>0.7906000000000003</v>
      </c>
      <c r="BG139" s="47">
        <v>0.80230000000000024</v>
      </c>
      <c r="BH139" s="47">
        <v>0.76070000000000015</v>
      </c>
      <c r="BI139" s="47">
        <v>0.69440000000000024</v>
      </c>
      <c r="BJ139" s="47">
        <v>0.63190000000000035</v>
      </c>
      <c r="BK139" s="47">
        <v>0.58940000000000015</v>
      </c>
      <c r="BL139" s="47">
        <v>0.59860000000000002</v>
      </c>
      <c r="BM139" s="47">
        <v>0.56869999999999998</v>
      </c>
      <c r="BN139" s="47">
        <v>0.51349999999999996</v>
      </c>
      <c r="BO139" s="47">
        <v>0.42309999999999992</v>
      </c>
      <c r="BP139" s="47">
        <v>0.3985999999999999</v>
      </c>
      <c r="BQ139" s="47">
        <v>0.4574999999999998</v>
      </c>
      <c r="BR139" s="47">
        <v>0.49039999999999984</v>
      </c>
      <c r="BS139" s="47">
        <v>0.5299999999999998</v>
      </c>
      <c r="BT139" s="47">
        <v>0.50959999999999994</v>
      </c>
      <c r="BU139" s="47">
        <v>0.44940000000000002</v>
      </c>
      <c r="BV139" s="47">
        <v>0.40649999999999997</v>
      </c>
      <c r="BW139" s="47">
        <v>0.38209999999999983</v>
      </c>
      <c r="BX139" s="47">
        <v>0.32609999999999983</v>
      </c>
      <c r="BY139" s="47">
        <v>0.27929999999999988</v>
      </c>
      <c r="BZ139" s="47">
        <v>0.3957</v>
      </c>
      <c r="CA139" s="47">
        <v>0.4882999999999999</v>
      </c>
      <c r="CB139" s="47">
        <v>0.56480000000000008</v>
      </c>
      <c r="CC139" s="47">
        <v>0.52220000000000011</v>
      </c>
      <c r="CD139" s="47">
        <v>0.47480000000000011</v>
      </c>
      <c r="CE139" s="47">
        <v>0.42910000000000026</v>
      </c>
      <c r="CF139" s="47">
        <v>0.42840000000000017</v>
      </c>
      <c r="CG139" s="47">
        <v>0.41880000000000012</v>
      </c>
      <c r="CH139" s="47">
        <v>0.39140000000000014</v>
      </c>
      <c r="CI139" s="47">
        <v>0.37400000000000022</v>
      </c>
      <c r="CJ139" s="47">
        <v>0.44240000000000018</v>
      </c>
      <c r="CK139" s="47">
        <v>0.49230000000000024</v>
      </c>
      <c r="CL139" s="47">
        <v>0.54240000000000022</v>
      </c>
      <c r="CM139" s="47">
        <v>0.58940000000000037</v>
      </c>
      <c r="CN139" s="47">
        <v>0.61200000000000021</v>
      </c>
      <c r="CO139" s="47">
        <v>0.6342000000000001</v>
      </c>
      <c r="CP139" s="47">
        <v>0.63540000000000008</v>
      </c>
      <c r="CQ139" s="47">
        <v>0.65990000000000004</v>
      </c>
      <c r="CR139" s="47">
        <v>0.68010000000000015</v>
      </c>
      <c r="CS139" s="47">
        <v>0.67090000000000005</v>
      </c>
      <c r="CT139" s="47">
        <v>0.70140000000000013</v>
      </c>
      <c r="CU139" s="47">
        <v>0.74330000000000018</v>
      </c>
      <c r="CV139" s="47">
        <v>0.75690000000000013</v>
      </c>
      <c r="CW139" s="47">
        <v>0.71760000000000013</v>
      </c>
      <c r="CX139" s="47">
        <v>0.66180000000000017</v>
      </c>
      <c r="CY139" s="47">
        <v>0.60850000000000015</v>
      </c>
      <c r="CZ139" s="47">
        <v>0.53640000000000021</v>
      </c>
    </row>
    <row r="140" spans="1:104" x14ac:dyDescent="0.2">
      <c r="A140" s="45" t="s">
        <v>173</v>
      </c>
      <c r="B140" s="46">
        <f t="shared" si="29"/>
        <v>-45.9</v>
      </c>
      <c r="C140" s="46">
        <f t="shared" si="30"/>
        <v>15.300000000000002</v>
      </c>
      <c r="D140" s="48">
        <f t="shared" si="31"/>
        <v>28.707587023049321</v>
      </c>
      <c r="E140" s="46"/>
      <c r="F140" s="47">
        <v>0.33600000000000002</v>
      </c>
      <c r="G140" s="47">
        <v>0.32600000000000001</v>
      </c>
      <c r="H140" s="47">
        <v>0.214</v>
      </c>
      <c r="I140" s="47">
        <v>0.183</v>
      </c>
      <c r="J140" s="47">
        <v>0.153</v>
      </c>
      <c r="K140" s="47">
        <v>0.24400000000000002</v>
      </c>
      <c r="L140" s="47">
        <v>0.27500000000000002</v>
      </c>
      <c r="M140" s="47">
        <v>0.23400000000000001</v>
      </c>
      <c r="N140" s="47">
        <v>0.17299999999999999</v>
      </c>
      <c r="O140" s="47">
        <v>6.1000000000000006E-2</v>
      </c>
      <c r="P140" s="47">
        <v>5.0999999999999997E-2</v>
      </c>
      <c r="Q140" s="47">
        <v>8.1000000000000003E-2</v>
      </c>
      <c r="R140" s="47">
        <v>9.0999999999999998E-2</v>
      </c>
      <c r="S140" s="47">
        <v>0.10199999999999999</v>
      </c>
      <c r="T140" s="47">
        <v>0.224</v>
      </c>
      <c r="U140" s="47">
        <v>0.54</v>
      </c>
      <c r="V140" s="47">
        <v>0.73399999999999999</v>
      </c>
      <c r="W140" s="47">
        <v>0.79500000000000004</v>
      </c>
      <c r="X140" s="47">
        <v>0.77500000000000002</v>
      </c>
      <c r="Y140" s="47">
        <v>0.65300000000000002</v>
      </c>
      <c r="Z140" s="47">
        <v>0.55100000000000005</v>
      </c>
      <c r="AA140" s="47">
        <v>0.34599999999999997</v>
      </c>
      <c r="AB140" s="47">
        <v>0.12200000000000001</v>
      </c>
      <c r="AC140" s="47">
        <v>0.03</v>
      </c>
      <c r="AD140" s="47">
        <v>0</v>
      </c>
      <c r="AE140" s="47">
        <v>0.02</v>
      </c>
      <c r="AF140" s="47">
        <v>0.16300000000000001</v>
      </c>
      <c r="AG140" s="47">
        <v>0.28499999999999998</v>
      </c>
      <c r="AH140" s="47">
        <v>0.20399999999999999</v>
      </c>
      <c r="AI140" s="47">
        <v>7.0999999999999994E-2</v>
      </c>
      <c r="AJ140" s="47">
        <v>0.01</v>
      </c>
      <c r="AK140" s="47">
        <v>0.04</v>
      </c>
      <c r="AL140" s="47">
        <v>0.13200000000000001</v>
      </c>
      <c r="AM140" s="47">
        <v>0.26500000000000001</v>
      </c>
      <c r="AN140" s="47">
        <v>0.48899999999999993</v>
      </c>
      <c r="AO140" s="47">
        <v>0.78500000000000003</v>
      </c>
      <c r="AP140" s="47">
        <v>0.81599999999999995</v>
      </c>
      <c r="AQ140" s="47">
        <v>0.83599999999999997</v>
      </c>
      <c r="AR140" s="47">
        <v>0.86699999999999999</v>
      </c>
      <c r="AS140" s="47">
        <v>0.877</v>
      </c>
      <c r="AT140" s="47">
        <v>0.84599999999999997</v>
      </c>
      <c r="AU140" s="47">
        <v>0.85699999999999998</v>
      </c>
      <c r="AV140" s="47">
        <v>0.91800000000000004</v>
      </c>
      <c r="AW140" s="47">
        <v>0.96899999999999997</v>
      </c>
      <c r="AX140" s="47">
        <v>0.93800000000000006</v>
      </c>
      <c r="AY140" s="47">
        <v>0.89700000000000002</v>
      </c>
      <c r="AZ140" s="47">
        <v>0.88700000000000001</v>
      </c>
      <c r="BA140" s="47">
        <v>0.90800000000000003</v>
      </c>
      <c r="BB140" s="47">
        <v>0.9890000000000001</v>
      </c>
      <c r="BC140" s="47">
        <v>1</v>
      </c>
      <c r="BD140" s="47">
        <v>0.97899999999999998</v>
      </c>
      <c r="BE140" s="47">
        <v>0.94799999999999995</v>
      </c>
      <c r="BF140" s="47">
        <v>0.95899999999999985</v>
      </c>
      <c r="BG140" s="47">
        <v>0.92800000000000005</v>
      </c>
      <c r="BH140" s="47">
        <v>0.82599999999999996</v>
      </c>
      <c r="BI140" s="47">
        <v>0.80600000000000005</v>
      </c>
      <c r="BJ140" s="47">
        <v>0.70399999999999996</v>
      </c>
      <c r="BK140" s="47">
        <v>0.59099999999999997</v>
      </c>
      <c r="BL140" s="47">
        <v>0.57099999999999995</v>
      </c>
      <c r="BM140" s="47">
        <v>0.53</v>
      </c>
      <c r="BN140" s="47">
        <v>0.39700000000000002</v>
      </c>
      <c r="BO140" s="47">
        <v>0.316</v>
      </c>
      <c r="BP140" s="47">
        <v>0.30599999999999999</v>
      </c>
      <c r="BQ140" s="47">
        <v>0.35699999999999998</v>
      </c>
      <c r="BR140" s="47">
        <v>0.38700000000000001</v>
      </c>
      <c r="BS140" s="47">
        <v>0.40799999999999997</v>
      </c>
      <c r="BT140" s="47">
        <v>0.41799999999999998</v>
      </c>
      <c r="BU140" s="47">
        <v>0.36699999999999999</v>
      </c>
      <c r="BV140" s="47">
        <v>0.29499999999999998</v>
      </c>
      <c r="BW140" s="47">
        <v>0.193</v>
      </c>
      <c r="BX140" s="47">
        <v>0.14199999999999999</v>
      </c>
      <c r="BY140" s="47">
        <v>0.112</v>
      </c>
      <c r="BZ140" s="47">
        <v>0.255</v>
      </c>
      <c r="CA140" s="47">
        <v>0.377</v>
      </c>
      <c r="CB140" s="47">
        <v>0.5</v>
      </c>
      <c r="CC140" s="47">
        <v>0.52</v>
      </c>
      <c r="CD140" s="47">
        <v>0.47899999999999993</v>
      </c>
      <c r="CE140" s="47">
        <v>0.45900000000000002</v>
      </c>
      <c r="CF140" s="47">
        <v>0.46900000000000003</v>
      </c>
      <c r="CG140" s="47">
        <v>0.44800000000000001</v>
      </c>
      <c r="CH140" s="47">
        <v>0.42799999999999999</v>
      </c>
      <c r="CI140" s="47">
        <v>0.438</v>
      </c>
      <c r="CJ140" s="47">
        <v>0.51</v>
      </c>
      <c r="CK140" s="47">
        <v>0.56100000000000005</v>
      </c>
      <c r="CL140" s="47">
        <v>0.58099999999999996</v>
      </c>
      <c r="CM140" s="47">
        <v>0.63200000000000001</v>
      </c>
      <c r="CN140" s="47">
        <v>0.67300000000000004</v>
      </c>
      <c r="CO140" s="47">
        <v>0.66300000000000003</v>
      </c>
      <c r="CP140" s="47">
        <v>0.61199999999999999</v>
      </c>
      <c r="CQ140" s="47">
        <v>0.64200000000000002</v>
      </c>
      <c r="CR140" s="47">
        <v>0.69299999999999995</v>
      </c>
      <c r="CS140" s="47">
        <v>0.72399999999999998</v>
      </c>
      <c r="CT140" s="47">
        <v>0.74399999999999999</v>
      </c>
      <c r="CU140" s="47">
        <v>0.755</v>
      </c>
      <c r="CV140" s="47">
        <v>0.76500000000000001</v>
      </c>
      <c r="CW140" s="47">
        <v>0.71399999999999997</v>
      </c>
      <c r="CX140" s="47">
        <v>0.68300000000000005</v>
      </c>
      <c r="CY140" s="47">
        <v>0.622</v>
      </c>
      <c r="CZ140" s="47">
        <v>0.60199999999999998</v>
      </c>
    </row>
    <row r="141" spans="1:104" x14ac:dyDescent="0.2">
      <c r="A141" s="45" t="s">
        <v>174</v>
      </c>
      <c r="B141" s="46">
        <f t="shared" si="29"/>
        <v>-85.7</v>
      </c>
      <c r="C141" s="46">
        <f t="shared" si="30"/>
        <v>3</v>
      </c>
      <c r="D141" s="48">
        <f t="shared" si="31"/>
        <v>27.747901207766169</v>
      </c>
      <c r="E141" s="46"/>
      <c r="F141" s="47">
        <v>0.04</v>
      </c>
      <c r="G141" s="47">
        <v>0.02</v>
      </c>
      <c r="H141" s="47">
        <v>0</v>
      </c>
      <c r="I141" s="47">
        <v>0.01</v>
      </c>
      <c r="J141" s="47">
        <v>0.03</v>
      </c>
      <c r="K141" s="47">
        <v>7.0999999999999994E-2</v>
      </c>
      <c r="L141" s="47">
        <v>0.26500000000000001</v>
      </c>
      <c r="M141" s="47">
        <v>0.44800000000000001</v>
      </c>
      <c r="N141" s="47">
        <v>0.48899999999999999</v>
      </c>
      <c r="O141" s="47">
        <v>0.34599999999999997</v>
      </c>
      <c r="P141" s="47">
        <v>0.214</v>
      </c>
      <c r="Q141" s="47">
        <v>0.10199999999999999</v>
      </c>
      <c r="R141" s="47">
        <v>0.20399999999999999</v>
      </c>
      <c r="S141" s="47">
        <v>0.438</v>
      </c>
      <c r="T141" s="47">
        <v>0.63200000000000001</v>
      </c>
      <c r="U141" s="47">
        <v>0.83599999999999997</v>
      </c>
      <c r="V141" s="47">
        <v>0.86699999999999999</v>
      </c>
      <c r="W141" s="47">
        <v>0.89700000000000002</v>
      </c>
      <c r="X141" s="47">
        <v>0.85699999999999998</v>
      </c>
      <c r="Y141" s="47">
        <v>0.80600000000000005</v>
      </c>
      <c r="Z141" s="47">
        <v>0.74400000000000011</v>
      </c>
      <c r="AA141" s="47">
        <v>0.755</v>
      </c>
      <c r="AB141" s="47">
        <v>0.76500000000000001</v>
      </c>
      <c r="AC141" s="47">
        <v>0.81599999999999995</v>
      </c>
      <c r="AD141" s="47">
        <v>0.72399999999999998</v>
      </c>
      <c r="AE141" s="47">
        <v>0.56100000000000005</v>
      </c>
      <c r="AF141" s="47">
        <v>0.5</v>
      </c>
      <c r="AG141" s="47">
        <v>0.57099999999999995</v>
      </c>
      <c r="AH141" s="47">
        <v>0.78500000000000003</v>
      </c>
      <c r="AI141" s="47">
        <v>0.84599999999999997</v>
      </c>
      <c r="AJ141" s="47">
        <v>0.877</v>
      </c>
      <c r="AK141" s="47">
        <v>0.90800000000000003</v>
      </c>
      <c r="AL141" s="47">
        <v>0.92799999999999994</v>
      </c>
      <c r="AM141" s="47">
        <v>0.93799999999999994</v>
      </c>
      <c r="AN141" s="47">
        <v>0.95899999999999996</v>
      </c>
      <c r="AO141" s="47">
        <v>0.96899999999999986</v>
      </c>
      <c r="AP141" s="47">
        <v>0.97899999999999998</v>
      </c>
      <c r="AQ141" s="47">
        <v>1</v>
      </c>
      <c r="AR141" s="47">
        <v>0.98899999999999999</v>
      </c>
      <c r="AS141" s="47">
        <v>0.94799999999999995</v>
      </c>
      <c r="AT141" s="47">
        <v>0.91800000000000004</v>
      </c>
      <c r="AU141" s="47">
        <v>0.88700000000000001</v>
      </c>
      <c r="AV141" s="47">
        <v>0.82599999999999996</v>
      </c>
      <c r="AW141" s="47">
        <v>0.79500000000000004</v>
      </c>
      <c r="AX141" s="47">
        <v>0.64200000000000002</v>
      </c>
      <c r="AY141" s="47">
        <v>0.58099999999999996</v>
      </c>
      <c r="AZ141" s="47">
        <v>0.59099999999999997</v>
      </c>
      <c r="BA141" s="47">
        <v>0.66300000000000003</v>
      </c>
      <c r="BB141" s="47">
        <v>0.70400000000000007</v>
      </c>
      <c r="BC141" s="47">
        <v>0.55100000000000005</v>
      </c>
      <c r="BD141" s="47">
        <v>0.41799999999999998</v>
      </c>
      <c r="BE141" s="47">
        <v>0.32600000000000007</v>
      </c>
      <c r="BF141" s="47">
        <v>0.24399999999999999</v>
      </c>
      <c r="BG141" s="47">
        <v>0.28499999999999998</v>
      </c>
      <c r="BH141" s="47">
        <v>0.33600000000000002</v>
      </c>
      <c r="BI141" s="47">
        <v>0.36699999999999999</v>
      </c>
      <c r="BJ141" s="47">
        <v>0.39700000000000002</v>
      </c>
      <c r="BK141" s="47">
        <v>0.42799999999999999</v>
      </c>
      <c r="BL141" s="47">
        <v>0.30600000000000005</v>
      </c>
      <c r="BM141" s="47">
        <v>0.13200000000000001</v>
      </c>
      <c r="BN141" s="47">
        <v>8.1000000000000003E-2</v>
      </c>
      <c r="BO141" s="47">
        <v>0.17299999999999999</v>
      </c>
      <c r="BP141" s="47">
        <v>0.377</v>
      </c>
      <c r="BQ141" s="47">
        <v>0.52</v>
      </c>
      <c r="BR141" s="47">
        <v>0.6120000000000001</v>
      </c>
      <c r="BS141" s="47">
        <v>0.73399999999999999</v>
      </c>
      <c r="BT141" s="47">
        <v>0.77500000000000002</v>
      </c>
      <c r="BU141" s="47">
        <v>0.68300000000000005</v>
      </c>
      <c r="BV141" s="47">
        <v>0.65300000000000002</v>
      </c>
      <c r="BW141" s="47">
        <v>0.622</v>
      </c>
      <c r="BX141" s="47">
        <v>0.67300000000000004</v>
      </c>
      <c r="BY141" s="47">
        <v>0.71399999999999997</v>
      </c>
      <c r="BZ141" s="47">
        <v>0.69299999999999984</v>
      </c>
      <c r="CA141" s="47">
        <v>0.60199999999999998</v>
      </c>
      <c r="CB141" s="47">
        <v>0.47899999999999998</v>
      </c>
      <c r="CC141" s="47">
        <v>0.316</v>
      </c>
      <c r="CD141" s="47">
        <v>0.224</v>
      </c>
      <c r="CE141" s="47">
        <v>0.193</v>
      </c>
      <c r="CF141" s="47">
        <v>0.14199999999999999</v>
      </c>
      <c r="CG141" s="47">
        <v>9.0999999999999998E-2</v>
      </c>
      <c r="CH141" s="47">
        <v>5.0999999999999997E-2</v>
      </c>
      <c r="CI141" s="47">
        <v>6.0999999999999999E-2</v>
      </c>
      <c r="CJ141" s="47">
        <v>0.122</v>
      </c>
      <c r="CK141" s="47">
        <v>0.38700000000000001</v>
      </c>
      <c r="CL141" s="47">
        <v>0.46899999999999997</v>
      </c>
      <c r="CM141" s="47">
        <v>0.40799999999999997</v>
      </c>
      <c r="CN141" s="47">
        <v>0.45900000000000002</v>
      </c>
      <c r="CO141" s="47">
        <v>0.53</v>
      </c>
      <c r="CP141" s="47">
        <v>0.54</v>
      </c>
      <c r="CQ141" s="47">
        <v>0.51</v>
      </c>
      <c r="CR141" s="47">
        <v>0.35699999999999998</v>
      </c>
      <c r="CS141" s="47">
        <v>0.23400000000000001</v>
      </c>
      <c r="CT141" s="47">
        <v>0.255</v>
      </c>
      <c r="CU141" s="47">
        <v>0.27500000000000002</v>
      </c>
      <c r="CV141" s="47">
        <v>0.29499999999999998</v>
      </c>
      <c r="CW141" s="47">
        <v>0.183</v>
      </c>
      <c r="CX141" s="47">
        <v>0.15300000000000002</v>
      </c>
      <c r="CY141" s="47">
        <v>0.112</v>
      </c>
      <c r="CZ141" s="47">
        <v>0.16300000000000003</v>
      </c>
    </row>
    <row r="142" spans="1:104" x14ac:dyDescent="0.2">
      <c r="A142" s="45" t="s">
        <v>175</v>
      </c>
      <c r="B142" s="46">
        <f t="shared" si="29"/>
        <v>-58.803891776859153</v>
      </c>
      <c r="C142" s="46">
        <f t="shared" si="30"/>
        <v>-5.1172317213462399</v>
      </c>
      <c r="D142" s="48">
        <f t="shared" si="31"/>
        <v>18.881846185472153</v>
      </c>
      <c r="E142" s="46"/>
      <c r="F142" s="47">
        <v>7.0058003727980087E-2</v>
      </c>
      <c r="G142" s="47">
        <v>7.4610259053936992E-2</v>
      </c>
      <c r="H142" s="47">
        <v>8.2473245526044389E-2</v>
      </c>
      <c r="I142" s="47">
        <v>0.12123032094144248</v>
      </c>
      <c r="J142" s="47">
        <v>0.11363716031073379</v>
      </c>
      <c r="K142" s="47">
        <v>0.10090558574733705</v>
      </c>
      <c r="L142" s="47">
        <v>8.2726266509897159E-2</v>
      </c>
      <c r="M142" s="47">
        <v>8.3929686194542844E-2</v>
      </c>
      <c r="N142" s="47">
        <v>7.5133105879188505E-2</v>
      </c>
      <c r="O142" s="47">
        <v>9.4351930016584623E-2</v>
      </c>
      <c r="P142" s="47">
        <v>0.14526282381742123</v>
      </c>
      <c r="Q142" s="47">
        <v>0.22450545483634082</v>
      </c>
      <c r="R142" s="47">
        <v>0.33658866585063979</v>
      </c>
      <c r="S142" s="47">
        <v>0.37576798508807963</v>
      </c>
      <c r="T142" s="47">
        <v>0.40472848018812341</v>
      </c>
      <c r="U142" s="47">
        <v>0.41635414369481089</v>
      </c>
      <c r="V142" s="47">
        <v>0.53360687111298133</v>
      </c>
      <c r="W142" s="47">
        <v>0.65809692149657162</v>
      </c>
      <c r="X142" s="47">
        <v>0.72089490221672148</v>
      </c>
      <c r="Y142" s="47">
        <v>0.73543875511390533</v>
      </c>
      <c r="Z142" s="47">
        <v>0.74482989646476394</v>
      </c>
      <c r="AA142" s="47">
        <v>0.75198400841588475</v>
      </c>
      <c r="AB142" s="47">
        <v>0.7497410838312828</v>
      </c>
      <c r="AC142" s="47">
        <v>0.70244885151315628</v>
      </c>
      <c r="AD142" s="47">
        <v>0.72872427897373682</v>
      </c>
      <c r="AE142" s="47">
        <v>0.799629864721074</v>
      </c>
      <c r="AF142" s="47">
        <v>0.81660576427386811</v>
      </c>
      <c r="AG142" s="47">
        <v>0.88269767128262244</v>
      </c>
      <c r="AH142" s="47">
        <v>0.83813391915261926</v>
      </c>
      <c r="AI142" s="47">
        <v>0.80272567937853245</v>
      </c>
      <c r="AJ142" s="47">
        <v>0.76827093268051183</v>
      </c>
      <c r="AK142" s="47">
        <v>0.7519871027911581</v>
      </c>
      <c r="AL142" s="47">
        <v>0.83299019716643152</v>
      </c>
      <c r="AM142" s="47">
        <v>0.876925191414474</v>
      </c>
      <c r="AN142" s="47">
        <v>0.90207200777593521</v>
      </c>
      <c r="AO142" s="47">
        <v>0.88138834054126769</v>
      </c>
      <c r="AP142" s="47">
        <v>0.8447766810825349</v>
      </c>
      <c r="AQ142" s="47">
        <v>0.90085178323374349</v>
      </c>
      <c r="AR142" s="47">
        <v>0.77749815924668098</v>
      </c>
      <c r="AS142" s="47">
        <v>0.7617340818073054</v>
      </c>
      <c r="AT142" s="47">
        <v>0.75172567937853241</v>
      </c>
      <c r="AU142" s="47">
        <v>0.75517202364778002</v>
      </c>
      <c r="AV142" s="47">
        <v>0.73287109533519823</v>
      </c>
      <c r="AW142" s="47">
        <v>0.71088649978794838</v>
      </c>
      <c r="AX142" s="47">
        <v>0.67548666244263456</v>
      </c>
      <c r="AY142" s="47">
        <v>0.66386099893594708</v>
      </c>
      <c r="AZ142" s="47">
        <v>0.6723908477851761</v>
      </c>
      <c r="BA142" s="47">
        <v>0.64567327726973434</v>
      </c>
      <c r="BB142" s="47">
        <v>0.61750236046106743</v>
      </c>
      <c r="BC142" s="47">
        <v>0.52481869322639985</v>
      </c>
      <c r="BD142" s="47">
        <v>0.52799830602952214</v>
      </c>
      <c r="BE142" s="47">
        <v>0.43729923434210421</v>
      </c>
      <c r="BF142" s="47">
        <v>0.40765507200739282</v>
      </c>
      <c r="BG142" s="47">
        <v>0.47149255762749892</v>
      </c>
      <c r="BH142" s="47">
        <v>0.53256736621302503</v>
      </c>
      <c r="BI142" s="47">
        <v>0.57727513389489826</v>
      </c>
      <c r="BJ142" s="47">
        <v>0.54816222081421162</v>
      </c>
      <c r="BK142" s="47">
        <v>0.49442224382204181</v>
      </c>
      <c r="BL142" s="47">
        <v>0.47038133851729003</v>
      </c>
      <c r="BM142" s="47">
        <v>0.44471476970585083</v>
      </c>
      <c r="BN142" s="47">
        <v>0.41722752013185144</v>
      </c>
      <c r="BO142" s="47">
        <v>0.43214710992714345</v>
      </c>
      <c r="BP142" s="47">
        <v>0.40758645217241357</v>
      </c>
      <c r="BQ142" s="47">
        <v>0.33908770579436787</v>
      </c>
      <c r="BR142" s="47">
        <v>0.29163155869155183</v>
      </c>
      <c r="BS142" s="47">
        <v>0.26011180624157371</v>
      </c>
      <c r="BT142" s="47">
        <v>0.25889158169938209</v>
      </c>
      <c r="BU142" s="47">
        <v>0.2769100805274059</v>
      </c>
      <c r="BV142" s="47">
        <v>0.31163465306682514</v>
      </c>
      <c r="BW142" s="47">
        <v>0.31007230134161751</v>
      </c>
      <c r="BX142" s="47">
        <v>0.31886888165697169</v>
      </c>
      <c r="BY142" s="47">
        <v>0.35133372475424324</v>
      </c>
      <c r="BZ142" s="47">
        <v>0.37148923711015963</v>
      </c>
      <c r="CA142" s="47">
        <v>0.41689747688424644</v>
      </c>
      <c r="CB142" s="47">
        <v>0.46790587931301941</v>
      </c>
      <c r="CC142" s="47">
        <v>0.49622921410232934</v>
      </c>
      <c r="CD142" s="47">
        <v>0.52562035545318786</v>
      </c>
      <c r="CE142" s="47">
        <v>0.48839143491654091</v>
      </c>
      <c r="CF142" s="47">
        <v>0.44832502875978786</v>
      </c>
      <c r="CG142" s="47">
        <v>0.42213870749837046</v>
      </c>
      <c r="CH142" s="47">
        <v>0.47675736898108051</v>
      </c>
      <c r="CI142" s="47">
        <v>0.54085627801381231</v>
      </c>
      <c r="CJ142" s="47">
        <v>0.59202859522727469</v>
      </c>
      <c r="CK142" s="47">
        <v>0.62071926448591974</v>
      </c>
      <c r="CL142" s="47">
        <v>0.62261475383400589</v>
      </c>
      <c r="CM142" s="47">
        <v>0.60030542309265089</v>
      </c>
      <c r="CN142" s="47">
        <v>0.52112300947993773</v>
      </c>
      <c r="CO142" s="47">
        <v>0.54903559725125217</v>
      </c>
      <c r="CP142" s="47">
        <v>0.48702719482247914</v>
      </c>
      <c r="CQ142" s="47">
        <v>0.45695238623695317</v>
      </c>
      <c r="CR142" s="47">
        <v>0.43465145792437115</v>
      </c>
      <c r="CS142" s="47">
        <v>0.45194369024249781</v>
      </c>
      <c r="CT142" s="47">
        <v>0.43377277343383097</v>
      </c>
      <c r="CU142" s="47">
        <v>0.40328412345503611</v>
      </c>
      <c r="CV142" s="47">
        <v>0.37735922560624446</v>
      </c>
      <c r="CW142" s="47">
        <v>0.34798488911293196</v>
      </c>
      <c r="CX142" s="47">
        <v>0.30136482722542646</v>
      </c>
      <c r="CY142" s="47">
        <v>0.21202999563207017</v>
      </c>
      <c r="CZ142" s="47">
        <v>0.15361475383400588</v>
      </c>
    </row>
    <row r="143" spans="1:104" x14ac:dyDescent="0.2">
      <c r="A143" s="45" t="s">
        <v>176</v>
      </c>
      <c r="B143" s="46">
        <f t="shared" si="29"/>
        <v>12.42763819095477</v>
      </c>
      <c r="C143" s="46">
        <f t="shared" si="30"/>
        <v>10.315577889447219</v>
      </c>
      <c r="D143" s="48">
        <f t="shared" si="31"/>
        <v>20.327237368862871</v>
      </c>
      <c r="E143" s="46"/>
      <c r="F143" s="47">
        <v>0.36108542713567832</v>
      </c>
      <c r="G143" s="47">
        <v>0.36622613065326626</v>
      </c>
      <c r="H143" s="47">
        <v>0.29084422110552771</v>
      </c>
      <c r="I143" s="47">
        <v>0.25792964824120612</v>
      </c>
      <c r="J143" s="47">
        <v>0.24273869346733679</v>
      </c>
      <c r="K143" s="47">
        <v>0.21008040201005032</v>
      </c>
      <c r="L143" s="47">
        <v>0.16936180904522621</v>
      </c>
      <c r="M143" s="47">
        <v>0.14887437185929658</v>
      </c>
      <c r="N143" s="47">
        <v>0.12467839195979907</v>
      </c>
      <c r="O143" s="47">
        <v>0.12943718592964829</v>
      </c>
      <c r="P143" s="47">
        <v>0.12740703517587948</v>
      </c>
      <c r="Q143" s="47">
        <v>0.13083919597989954</v>
      </c>
      <c r="R143" s="47">
        <v>0.12878391959799002</v>
      </c>
      <c r="S143" s="47">
        <v>0.13069849246231158</v>
      </c>
      <c r="T143" s="47">
        <v>0.15010552763819091</v>
      </c>
      <c r="U143" s="47">
        <v>0.20083417085427133</v>
      </c>
      <c r="V143" s="47">
        <v>0.21984422110552759</v>
      </c>
      <c r="W143" s="47">
        <v>0.23680904522613061</v>
      </c>
      <c r="X143" s="47">
        <v>0.23105527638190962</v>
      </c>
      <c r="Y143" s="47">
        <v>0.24685929648241212</v>
      </c>
      <c r="Z143" s="47">
        <v>0.27410552763819107</v>
      </c>
      <c r="AA143" s="47">
        <v>0.37627135678391965</v>
      </c>
      <c r="AB143" s="47">
        <v>0.46814572864321613</v>
      </c>
      <c r="AC143" s="47">
        <v>0.58246733668341699</v>
      </c>
      <c r="AD143" s="47">
        <v>0.61655276381909541</v>
      </c>
      <c r="AE143" s="47">
        <v>0.64911055276381902</v>
      </c>
      <c r="AF143" s="47">
        <v>0.52367336683417087</v>
      </c>
      <c r="AG143" s="47">
        <v>0.48470351758793978</v>
      </c>
      <c r="AH143" s="47">
        <v>0.56385929648241206</v>
      </c>
      <c r="AI143" s="47">
        <v>0.69170351758793958</v>
      </c>
      <c r="AJ143" s="47">
        <v>0.78055276381909544</v>
      </c>
      <c r="AK143" s="47">
        <v>0.83458793969849243</v>
      </c>
      <c r="AL143" s="47">
        <v>0.82744221105527616</v>
      </c>
      <c r="AM143" s="47">
        <v>0.80759798994974863</v>
      </c>
      <c r="AN143" s="47">
        <v>0.77713567839195963</v>
      </c>
      <c r="AO143" s="47">
        <v>0.78332160804020079</v>
      </c>
      <c r="AP143" s="47">
        <v>0.81040201005025103</v>
      </c>
      <c r="AQ143" s="47">
        <v>0.79404020100502493</v>
      </c>
      <c r="AR143" s="47">
        <v>0.71744723618090434</v>
      </c>
      <c r="AS143" s="47">
        <v>0.32974874371859308</v>
      </c>
      <c r="AT143" s="47">
        <v>0.30720603015075387</v>
      </c>
      <c r="AU143" s="47">
        <v>0.25096482412060317</v>
      </c>
      <c r="AV143" s="47">
        <v>0.24394974874371872</v>
      </c>
      <c r="AW143" s="47">
        <v>0.23658793969849254</v>
      </c>
      <c r="AX143" s="47">
        <v>0.27256281407035182</v>
      </c>
      <c r="AY143" s="47">
        <v>0.26365829145728642</v>
      </c>
      <c r="AZ143" s="47">
        <v>0.27162814070351765</v>
      </c>
      <c r="BA143" s="47">
        <v>0.24119095477386943</v>
      </c>
      <c r="BB143" s="47">
        <v>0.23236180904522619</v>
      </c>
      <c r="BC143" s="47">
        <v>0.30610552763819115</v>
      </c>
      <c r="BD143" s="47">
        <v>0.4355075376884423</v>
      </c>
      <c r="BE143" s="47">
        <v>0.55164321608040212</v>
      </c>
      <c r="BF143" s="47">
        <v>0.58229648241206033</v>
      </c>
      <c r="BG143" s="47">
        <v>0.60613567839195992</v>
      </c>
      <c r="BH143" s="47">
        <v>0.6223768844221107</v>
      </c>
      <c r="BI143" s="47">
        <v>0.61204522613065337</v>
      </c>
      <c r="BJ143" s="47">
        <v>0.63600000000000012</v>
      </c>
      <c r="BK143" s="47">
        <v>0.63424120603015088</v>
      </c>
      <c r="BL143" s="47">
        <v>0.63440703517587949</v>
      </c>
      <c r="BM143" s="47">
        <v>0.60373869346733688</v>
      </c>
      <c r="BN143" s="47">
        <v>0.55610552763819121</v>
      </c>
      <c r="BO143" s="47">
        <v>0.5035025125628142</v>
      </c>
      <c r="BP143" s="47">
        <v>0.50550753768844237</v>
      </c>
      <c r="BQ143" s="47">
        <v>0.51409547738693473</v>
      </c>
      <c r="BR143" s="47">
        <v>0.54948743718592974</v>
      </c>
      <c r="BS143" s="47">
        <v>0.55727135678391959</v>
      </c>
      <c r="BT143" s="47">
        <v>0.56063819095477385</v>
      </c>
      <c r="BU143" s="47">
        <v>0.58924120603015062</v>
      </c>
      <c r="BV143" s="47">
        <v>0.6132613065326632</v>
      </c>
      <c r="BW143" s="47">
        <v>0.66937688442211041</v>
      </c>
      <c r="BX143" s="47">
        <v>0.7430100502512561</v>
      </c>
      <c r="BY143" s="47">
        <v>0.74621105527638176</v>
      </c>
      <c r="BZ143" s="47">
        <v>0.80065326633165812</v>
      </c>
      <c r="CA143" s="47">
        <v>0.82601507537688412</v>
      </c>
      <c r="CB143" s="47">
        <v>0.82475376884422091</v>
      </c>
      <c r="CC143" s="47">
        <v>0.81410050251256261</v>
      </c>
      <c r="CD143" s="47">
        <v>0.80548743718592952</v>
      </c>
      <c r="CE143" s="47">
        <v>0.78709547738693453</v>
      </c>
      <c r="CF143" s="47">
        <v>0.77985929648241192</v>
      </c>
      <c r="CG143" s="47">
        <v>0.79150753768844195</v>
      </c>
      <c r="CH143" s="47">
        <v>0.80852261306532636</v>
      </c>
      <c r="CI143" s="47">
        <v>0.75914572864321583</v>
      </c>
      <c r="CJ143" s="47">
        <v>0.70605025125628118</v>
      </c>
      <c r="CK143" s="47">
        <v>0.64959296482412043</v>
      </c>
      <c r="CL143" s="47">
        <v>0.59167839195979888</v>
      </c>
      <c r="CM143" s="47">
        <v>0.55061306532663301</v>
      </c>
      <c r="CN143" s="47">
        <v>0.54751758793969829</v>
      </c>
      <c r="CO143" s="47">
        <v>0.54899497487437166</v>
      </c>
      <c r="CP143" s="47">
        <v>0.530472361809045</v>
      </c>
      <c r="CQ143" s="47">
        <v>0.51885427135678364</v>
      </c>
      <c r="CR143" s="47">
        <v>0.51751758793969826</v>
      </c>
      <c r="CS143" s="47">
        <v>0.48539698492462291</v>
      </c>
      <c r="CT143" s="47">
        <v>0.47019095477386913</v>
      </c>
      <c r="CU143" s="47">
        <v>0.45364824120602987</v>
      </c>
      <c r="CV143" s="47">
        <v>0.43318592964824093</v>
      </c>
      <c r="CW143" s="47">
        <v>0.43332663316582881</v>
      </c>
      <c r="CX143" s="47">
        <v>0.45892964824120575</v>
      </c>
      <c r="CY143" s="47">
        <v>0.5223165829145725</v>
      </c>
      <c r="CZ143" s="47">
        <v>0.52434170854271345</v>
      </c>
    </row>
    <row r="144" spans="1:104" x14ac:dyDescent="0.2">
      <c r="A144" s="45" t="s">
        <v>177</v>
      </c>
      <c r="B144" s="46">
        <f t="shared" si="29"/>
        <v>63.903184713375794</v>
      </c>
      <c r="C144" s="46">
        <f t="shared" si="30"/>
        <v>4.1433121019108228</v>
      </c>
      <c r="D144" s="48">
        <f t="shared" si="31"/>
        <v>21.878264881435282</v>
      </c>
      <c r="E144" s="46"/>
      <c r="F144" s="47">
        <v>0.79322292993630561</v>
      </c>
      <c r="G144" s="47">
        <v>0.79736942675159217</v>
      </c>
      <c r="H144" s="47">
        <v>0.79961146496815272</v>
      </c>
      <c r="I144" s="47">
        <v>0.75178980891719738</v>
      </c>
      <c r="J144" s="47">
        <v>0.73202547770700632</v>
      </c>
      <c r="K144" s="47">
        <v>0.72024840764331199</v>
      </c>
      <c r="L144" s="47">
        <v>0.68773885350318464</v>
      </c>
      <c r="M144" s="47">
        <v>0.69368152866242028</v>
      </c>
      <c r="N144" s="47">
        <v>0.69303821656050935</v>
      </c>
      <c r="O144" s="47">
        <v>0.67672611464968124</v>
      </c>
      <c r="P144" s="47">
        <v>0.73838853503184687</v>
      </c>
      <c r="Q144" s="47">
        <v>0.72347133757961746</v>
      </c>
      <c r="R144" s="47">
        <v>0.67889808917197414</v>
      </c>
      <c r="S144" s="47">
        <v>0.58479617834394881</v>
      </c>
      <c r="T144" s="47">
        <v>0.31875159235668771</v>
      </c>
      <c r="U144" s="47">
        <v>0.27949044585987243</v>
      </c>
      <c r="V144" s="47">
        <v>0.15515923566878972</v>
      </c>
      <c r="W144" s="47">
        <v>0.15419108280254767</v>
      </c>
      <c r="X144" s="47">
        <v>0.24882802547770688</v>
      </c>
      <c r="Y144" s="47">
        <v>0.33724203821656035</v>
      </c>
      <c r="Z144" s="47">
        <v>0.34169426751592341</v>
      </c>
      <c r="AA144" s="47">
        <v>0.32224840764331208</v>
      </c>
      <c r="AB144" s="47">
        <v>0.17662420382165611</v>
      </c>
      <c r="AC144" s="47">
        <v>0.17987261146496822</v>
      </c>
      <c r="AD144" s="47">
        <v>0.18179617834394904</v>
      </c>
      <c r="AE144" s="47">
        <v>0.28147770700636948</v>
      </c>
      <c r="AF144" s="47">
        <v>0.82025477707006356</v>
      </c>
      <c r="AG144" s="47">
        <v>0.89663694267515914</v>
      </c>
      <c r="AH144" s="47">
        <v>0.91780254777070058</v>
      </c>
      <c r="AI144" s="47">
        <v>0.88884713375796165</v>
      </c>
      <c r="AJ144" s="47">
        <v>0.83574522292993636</v>
      </c>
      <c r="AK144" s="47">
        <v>0.7244267515923567</v>
      </c>
      <c r="AL144" s="47">
        <v>0.71753503184713374</v>
      </c>
      <c r="AM144" s="47">
        <v>0.70633121019108269</v>
      </c>
      <c r="AN144" s="47">
        <v>0.72602547770700632</v>
      </c>
      <c r="AO144" s="47">
        <v>0.92936305732484059</v>
      </c>
      <c r="AP144" s="47">
        <v>0.95069426751592345</v>
      </c>
      <c r="AQ144" s="47">
        <v>0.93624203821656027</v>
      </c>
      <c r="AR144" s="47">
        <v>0.84601910828025462</v>
      </c>
      <c r="AS144" s="47">
        <v>0.21722292993630593</v>
      </c>
      <c r="AT144" s="47">
        <v>0.19006369426751607</v>
      </c>
      <c r="AU144" s="47">
        <v>0.1793503184713377</v>
      </c>
      <c r="AV144" s="47">
        <v>0.15041401273885358</v>
      </c>
      <c r="AW144" s="47">
        <v>0.19136305732484074</v>
      </c>
      <c r="AX144" s="47">
        <v>0.21674522292993634</v>
      </c>
      <c r="AY144" s="47">
        <v>0.32312738853503181</v>
      </c>
      <c r="AZ144" s="47">
        <v>0.36085987261146496</v>
      </c>
      <c r="BA144" s="47">
        <v>0.23616560509554146</v>
      </c>
      <c r="BB144" s="47">
        <v>0.11879617834394922</v>
      </c>
      <c r="BC144" s="47">
        <v>0.10464968152866258</v>
      </c>
      <c r="BD144" s="47">
        <v>0.14466878980891729</v>
      </c>
      <c r="BE144" s="47">
        <v>0.5817197452229298</v>
      </c>
      <c r="BF144" s="47">
        <v>0.53359235668789795</v>
      </c>
      <c r="BG144" s="47">
        <v>0.49917834394904448</v>
      </c>
      <c r="BH144" s="47">
        <v>0.44593630573248388</v>
      </c>
      <c r="BI144" s="47">
        <v>0.40717834394904451</v>
      </c>
      <c r="BJ144" s="47">
        <v>0.38614012738853487</v>
      </c>
      <c r="BK144" s="47">
        <v>0.38122292993630558</v>
      </c>
      <c r="BL144" s="47">
        <v>0.36350318471337567</v>
      </c>
      <c r="BM144" s="47">
        <v>0.4029617834394903</v>
      </c>
      <c r="BN144" s="47">
        <v>0.49943312101910803</v>
      </c>
      <c r="BO144" s="47">
        <v>0.56865605095541383</v>
      </c>
      <c r="BP144" s="47">
        <v>0.51562420382165586</v>
      </c>
      <c r="BQ144" s="47">
        <v>0.38638853503184706</v>
      </c>
      <c r="BR144" s="47">
        <v>0.38362420382165591</v>
      </c>
      <c r="BS144" s="47">
        <v>0.38636942675159236</v>
      </c>
      <c r="BT144" s="47">
        <v>0.38861146496815285</v>
      </c>
      <c r="BU144" s="47">
        <v>0.39516560509554133</v>
      </c>
      <c r="BV144" s="47">
        <v>0.45201910828025477</v>
      </c>
      <c r="BW144" s="47">
        <v>0.4570063694267516</v>
      </c>
      <c r="BX144" s="47">
        <v>0.58719108280254773</v>
      </c>
      <c r="BY144" s="47">
        <v>0.64928662420382166</v>
      </c>
      <c r="BZ144" s="47">
        <v>0.64768789808917193</v>
      </c>
      <c r="CA144" s="47">
        <v>0.60478343949044588</v>
      </c>
      <c r="CB144" s="47">
        <v>0.4779745222929937</v>
      </c>
      <c r="CC144" s="47">
        <v>0.4752292993630573</v>
      </c>
      <c r="CD144" s="47">
        <v>0.51208280254777072</v>
      </c>
      <c r="CE144" s="47">
        <v>0.56729936305732487</v>
      </c>
      <c r="CF144" s="47">
        <v>0.60616560509554129</v>
      </c>
      <c r="CG144" s="47">
        <v>0.66305095541401271</v>
      </c>
      <c r="CH144" s="47">
        <v>0.70863057324840761</v>
      </c>
      <c r="CI144" s="47">
        <v>0.72354777070063692</v>
      </c>
      <c r="CJ144" s="47">
        <v>0.69261783439490443</v>
      </c>
      <c r="CK144" s="47">
        <v>0.60420382165605102</v>
      </c>
      <c r="CL144" s="47">
        <v>0.54929299363057327</v>
      </c>
      <c r="CM144" s="47">
        <v>0.47732484076433129</v>
      </c>
      <c r="CN144" s="47">
        <v>0.55313375796178343</v>
      </c>
      <c r="CO144" s="47">
        <v>0.5348789808917197</v>
      </c>
      <c r="CP144" s="47">
        <v>0.49875796178343956</v>
      </c>
      <c r="CQ144" s="47">
        <v>0.43226751592356688</v>
      </c>
      <c r="CR144" s="47">
        <v>0.42710191082802546</v>
      </c>
      <c r="CS144" s="47">
        <v>0.4116815286624203</v>
      </c>
      <c r="CT144" s="47">
        <v>0.35556687898089168</v>
      </c>
      <c r="CU144" s="47">
        <v>0.31018471337579612</v>
      </c>
      <c r="CV144" s="47">
        <v>0.28991719745222927</v>
      </c>
      <c r="CW144" s="47">
        <v>0.29124840764331206</v>
      </c>
      <c r="CX144" s="47">
        <v>0.2801146496815286</v>
      </c>
      <c r="CY144" s="47">
        <v>0.30011464968152857</v>
      </c>
      <c r="CZ144" s="47">
        <v>0.36355414012738851</v>
      </c>
    </row>
    <row r="145" spans="1:104" x14ac:dyDescent="0.2">
      <c r="A145" s="45" t="s">
        <v>178</v>
      </c>
      <c r="B145" s="46">
        <f t="shared" si="29"/>
        <v>-12.059632581297794</v>
      </c>
      <c r="C145" s="46">
        <f t="shared" si="30"/>
        <v>4.7753396188676689E-2</v>
      </c>
      <c r="D145" s="48">
        <f t="shared" si="31"/>
        <v>16.447041103645006</v>
      </c>
      <c r="E145" s="46"/>
      <c r="F145" s="47">
        <v>0.24029169730483804</v>
      </c>
      <c r="G145" s="47">
        <v>0.23562403567226362</v>
      </c>
      <c r="H145" s="47">
        <v>0.24724421558309573</v>
      </c>
      <c r="I145" s="47">
        <v>0.23981416334295128</v>
      </c>
      <c r="J145" s="47">
        <v>0.22600143914831841</v>
      </c>
      <c r="K145" s="47">
        <v>0.20330917500956119</v>
      </c>
      <c r="L145" s="47">
        <v>0.18964150845900976</v>
      </c>
      <c r="M145" s="47">
        <v>0.19266669609218784</v>
      </c>
      <c r="N145" s="47">
        <v>0.20967513475706337</v>
      </c>
      <c r="O145" s="47">
        <v>0.25121327553355222</v>
      </c>
      <c r="P145" s="47">
        <v>0.27421000182256994</v>
      </c>
      <c r="Q145" s="47">
        <v>0.28903845301189457</v>
      </c>
      <c r="R145" s="47">
        <v>0.28395511292663544</v>
      </c>
      <c r="S145" s="47">
        <v>0.28826766308326512</v>
      </c>
      <c r="T145" s="47">
        <v>0.24217843213721513</v>
      </c>
      <c r="U145" s="47">
        <v>0.20807373350187028</v>
      </c>
      <c r="V145" s="47">
        <v>0.26755886710826327</v>
      </c>
      <c r="W145" s="47">
        <v>0.36088802311781598</v>
      </c>
      <c r="X145" s="47">
        <v>0.43928265433510516</v>
      </c>
      <c r="Y145" s="47">
        <v>0.45197312116656063</v>
      </c>
      <c r="Z145" s="47">
        <v>0.46387926846729632</v>
      </c>
      <c r="AA145" s="47">
        <v>0.45700586860638287</v>
      </c>
      <c r="AB145" s="47">
        <v>0.4739788169026789</v>
      </c>
      <c r="AC145" s="47">
        <v>0.48271961215619735</v>
      </c>
      <c r="AD145" s="47">
        <v>0.55292825118260436</v>
      </c>
      <c r="AE145" s="47">
        <v>0.59552672680282137</v>
      </c>
      <c r="AF145" s="47">
        <v>0.7324362813409877</v>
      </c>
      <c r="AG145" s="47">
        <v>0.81031505111642133</v>
      </c>
      <c r="AH145" s="47">
        <v>0.82909337367930969</v>
      </c>
      <c r="AI145" s="47">
        <v>0.83998785544848076</v>
      </c>
      <c r="AJ145" s="47">
        <v>0.81566211884778983</v>
      </c>
      <c r="AK145" s="47">
        <v>0.78907355079565156</v>
      </c>
      <c r="AL145" s="47">
        <v>0.80218917921970934</v>
      </c>
      <c r="AM145" s="47">
        <v>0.83379561964984694</v>
      </c>
      <c r="AN145" s="47">
        <v>0.84023199000846693</v>
      </c>
      <c r="AO145" s="47">
        <v>0.86375859361483986</v>
      </c>
      <c r="AP145" s="47">
        <v>0.87140053424951125</v>
      </c>
      <c r="AQ145" s="47">
        <v>0.82224615158184589</v>
      </c>
      <c r="AR145" s="47">
        <v>0.723525862945544</v>
      </c>
      <c r="AS145" s="47">
        <v>0.44217380079506968</v>
      </c>
      <c r="AT145" s="47">
        <v>0.38017153922174435</v>
      </c>
      <c r="AU145" s="47">
        <v>0.30928033608153244</v>
      </c>
      <c r="AV145" s="47">
        <v>0.27431482906638627</v>
      </c>
      <c r="AW145" s="47">
        <v>0.27023198275501292</v>
      </c>
      <c r="AX145" s="47">
        <v>0.28804570199789453</v>
      </c>
      <c r="AY145" s="47">
        <v>0.29311659396444423</v>
      </c>
      <c r="AZ145" s="47">
        <v>0.26347517919402086</v>
      </c>
      <c r="BA145" s="47">
        <v>0.30531348127117725</v>
      </c>
      <c r="BB145" s="47">
        <v>0.36445624291609424</v>
      </c>
      <c r="BC145" s="47">
        <v>0.43703985589294264</v>
      </c>
      <c r="BD145" s="47">
        <v>0.71829504602059036</v>
      </c>
      <c r="BE145" s="47">
        <v>0.72794818816782569</v>
      </c>
      <c r="BF145" s="47">
        <v>0.71715083047342409</v>
      </c>
      <c r="BG145" s="47">
        <v>0.6992143996843182</v>
      </c>
      <c r="BH145" s="47">
        <v>0.66371235665781236</v>
      </c>
      <c r="BI145" s="47">
        <v>0.62117472932711726</v>
      </c>
      <c r="BJ145" s="47">
        <v>0.59107040102218689</v>
      </c>
      <c r="BK145" s="47">
        <v>0.56624513710871205</v>
      </c>
      <c r="BL145" s="47">
        <v>0.5500746299435556</v>
      </c>
      <c r="BM145" s="47">
        <v>0.50468268472775357</v>
      </c>
      <c r="BN145" s="47">
        <v>0.48948954523398053</v>
      </c>
      <c r="BO145" s="47">
        <v>0.46682835208871543</v>
      </c>
      <c r="BP145" s="47">
        <v>0.47051157768167079</v>
      </c>
      <c r="BQ145" s="47">
        <v>0.4863307654456358</v>
      </c>
      <c r="BR145" s="47">
        <v>0.4722245730701794</v>
      </c>
      <c r="BS145" s="47">
        <v>0.45808612702878665</v>
      </c>
      <c r="BT145" s="47">
        <v>0.47266499714442667</v>
      </c>
      <c r="BU145" s="47">
        <v>0.51708983783340756</v>
      </c>
      <c r="BV145" s="47">
        <v>0.51842724746614</v>
      </c>
      <c r="BW145" s="47">
        <v>0.53143820209176085</v>
      </c>
      <c r="BX145" s="47">
        <v>0.52562348054717645</v>
      </c>
      <c r="BY145" s="47">
        <v>0.51780805535010255</v>
      </c>
      <c r="BZ145" s="47">
        <v>0.48671665418383631</v>
      </c>
      <c r="CA145" s="47">
        <v>0.42709520282995045</v>
      </c>
      <c r="CB145" s="47">
        <v>0.38133827557846384</v>
      </c>
      <c r="CC145" s="47">
        <v>0.40559306094985798</v>
      </c>
      <c r="CD145" s="47">
        <v>0.49758810845706847</v>
      </c>
      <c r="CE145" s="47">
        <v>0.57296572156470404</v>
      </c>
      <c r="CF145" s="47">
        <v>0.58427880016808165</v>
      </c>
      <c r="CG145" s="47">
        <v>0.5689983137177157</v>
      </c>
      <c r="CH145" s="47">
        <v>0.54648104755338078</v>
      </c>
      <c r="CI145" s="47">
        <v>0.56947165601359562</v>
      </c>
      <c r="CJ145" s="47">
        <v>0.57227314685232555</v>
      </c>
      <c r="CK145" s="47">
        <v>0.63353834364866146</v>
      </c>
      <c r="CL145" s="47">
        <v>0.63566389697722925</v>
      </c>
      <c r="CM145" s="47">
        <v>0.65761143534328925</v>
      </c>
      <c r="CN145" s="47">
        <v>0.65434588063499322</v>
      </c>
      <c r="CO145" s="47">
        <v>0.64241882921424143</v>
      </c>
      <c r="CP145" s="47">
        <v>0.59164992794602322</v>
      </c>
      <c r="CQ145" s="47">
        <v>0.56656688159200019</v>
      </c>
      <c r="CR145" s="47">
        <v>0.53620532855410852</v>
      </c>
      <c r="CS145" s="47">
        <v>0.50221200175502156</v>
      </c>
      <c r="CT145" s="47">
        <v>0.47864117513693466</v>
      </c>
      <c r="CU145" s="47">
        <v>0.46548852326036977</v>
      </c>
      <c r="CV145" s="47">
        <v>0.51927736101976341</v>
      </c>
      <c r="CW145" s="47">
        <v>0.52569110396774388</v>
      </c>
      <c r="CX145" s="47">
        <v>0.51530100081508268</v>
      </c>
      <c r="CY145" s="47">
        <v>0.52186236888313731</v>
      </c>
      <c r="CZ145" s="47">
        <v>0.50774070648290914</v>
      </c>
    </row>
    <row r="146" spans="1:104" x14ac:dyDescent="0.2">
      <c r="A146" s="45" t="s">
        <v>179</v>
      </c>
      <c r="B146" s="46">
        <f t="shared" si="29"/>
        <v>-68.2</v>
      </c>
      <c r="C146" s="46">
        <f t="shared" si="30"/>
        <v>0</v>
      </c>
      <c r="D146" s="48">
        <f t="shared" si="31"/>
        <v>10.342173686412242</v>
      </c>
      <c r="E146" s="46"/>
      <c r="F146" s="47">
        <v>0.09</v>
      </c>
      <c r="G146" s="47">
        <v>0.09</v>
      </c>
      <c r="H146" s="47">
        <v>0.09</v>
      </c>
      <c r="I146" s="47">
        <v>0.09</v>
      </c>
      <c r="J146" s="47">
        <v>0.09</v>
      </c>
      <c r="K146" s="47">
        <v>0.09</v>
      </c>
      <c r="L146" s="47">
        <v>0.09</v>
      </c>
      <c r="M146" s="47">
        <v>4.4999999999999998E-2</v>
      </c>
      <c r="N146" s="47">
        <v>0</v>
      </c>
      <c r="O146" s="47">
        <v>0.40899999999999997</v>
      </c>
      <c r="P146" s="47">
        <v>0.45400000000000001</v>
      </c>
      <c r="Q146" s="47">
        <v>0.5</v>
      </c>
      <c r="R146" s="47">
        <v>0.54500000000000004</v>
      </c>
      <c r="S146" s="47">
        <v>0.59</v>
      </c>
      <c r="T146" s="47">
        <v>0.68100000000000005</v>
      </c>
      <c r="U146" s="47">
        <v>0.63600000000000001</v>
      </c>
      <c r="V146" s="47">
        <v>0.72699999999999998</v>
      </c>
      <c r="W146" s="47">
        <v>0.77200000000000002</v>
      </c>
      <c r="X146" s="47">
        <v>0.81799999999999995</v>
      </c>
      <c r="Y146" s="47">
        <v>0.86299999999999988</v>
      </c>
      <c r="Z146" s="47">
        <v>0.90900000000000003</v>
      </c>
      <c r="AA146" s="47">
        <v>0.95399999999999996</v>
      </c>
      <c r="AB146" s="47">
        <v>1</v>
      </c>
      <c r="AC146" s="47">
        <v>0.5</v>
      </c>
      <c r="AD146" s="47">
        <v>0.5</v>
      </c>
      <c r="AE146" s="47">
        <v>0.5</v>
      </c>
      <c r="AF146" s="47">
        <v>0.5</v>
      </c>
      <c r="AG146" s="47">
        <v>0.5</v>
      </c>
      <c r="AH146" s="47">
        <v>0.5</v>
      </c>
      <c r="AI146" s="47">
        <v>0.5</v>
      </c>
      <c r="AJ146" s="47">
        <v>0.5</v>
      </c>
      <c r="AK146" s="47">
        <v>0.5</v>
      </c>
      <c r="AL146" s="47">
        <v>0.5</v>
      </c>
      <c r="AM146" s="47">
        <v>0.5</v>
      </c>
      <c r="AN146" s="47">
        <v>0.5</v>
      </c>
      <c r="AO146" s="47">
        <v>0.5</v>
      </c>
      <c r="AP146" s="47">
        <v>0.5</v>
      </c>
      <c r="AQ146" s="47">
        <v>0.5</v>
      </c>
      <c r="AR146" s="47">
        <v>0.5</v>
      </c>
      <c r="AS146" s="47">
        <v>0.5</v>
      </c>
      <c r="AT146" s="47">
        <v>0.5</v>
      </c>
      <c r="AU146" s="47">
        <v>0.5</v>
      </c>
      <c r="AV146" s="47">
        <v>0.5</v>
      </c>
      <c r="AW146" s="47">
        <v>0.5</v>
      </c>
      <c r="AX146" s="47">
        <v>0.5</v>
      </c>
      <c r="AY146" s="47">
        <v>0.5</v>
      </c>
      <c r="AZ146" s="47">
        <v>0.5</v>
      </c>
      <c r="BA146" s="47">
        <v>0.5</v>
      </c>
      <c r="BB146" s="47">
        <v>0.5</v>
      </c>
      <c r="BC146" s="47">
        <v>0.5</v>
      </c>
      <c r="BD146" s="47">
        <v>0.5</v>
      </c>
      <c r="BE146" s="47">
        <v>0.5</v>
      </c>
      <c r="BF146" s="47">
        <v>0.5</v>
      </c>
      <c r="BG146" s="47">
        <v>0.5</v>
      </c>
      <c r="BH146" s="47">
        <v>0.5</v>
      </c>
      <c r="BI146" s="47">
        <v>0.5</v>
      </c>
      <c r="BJ146" s="47">
        <v>0.5</v>
      </c>
      <c r="BK146" s="47">
        <v>0.5</v>
      </c>
      <c r="BL146" s="47">
        <v>0.5</v>
      </c>
      <c r="BM146" s="47">
        <v>0.5</v>
      </c>
      <c r="BN146" s="47">
        <v>0.5</v>
      </c>
      <c r="BO146" s="47">
        <v>0.5</v>
      </c>
      <c r="BP146" s="47">
        <v>0.5</v>
      </c>
      <c r="BQ146" s="47">
        <v>0.5</v>
      </c>
      <c r="BR146" s="47">
        <v>0.5</v>
      </c>
      <c r="BS146" s="47">
        <v>0.5</v>
      </c>
      <c r="BT146" s="47">
        <v>0.5</v>
      </c>
      <c r="BU146" s="47">
        <v>0.5</v>
      </c>
      <c r="BV146" s="47">
        <v>0.5</v>
      </c>
      <c r="BW146" s="47">
        <v>0.5</v>
      </c>
      <c r="BX146" s="47">
        <v>0.5</v>
      </c>
      <c r="BY146" s="47">
        <v>0.5</v>
      </c>
      <c r="BZ146" s="47">
        <v>0.5</v>
      </c>
      <c r="CA146" s="47">
        <v>0.5</v>
      </c>
      <c r="CB146" s="47">
        <v>0.5</v>
      </c>
      <c r="CC146" s="47">
        <v>0.5</v>
      </c>
      <c r="CD146" s="47">
        <v>0.5</v>
      </c>
      <c r="CE146" s="47">
        <v>0.5</v>
      </c>
      <c r="CF146" s="47">
        <v>0.5</v>
      </c>
      <c r="CG146" s="47">
        <v>0.5</v>
      </c>
      <c r="CH146" s="47">
        <v>0.5</v>
      </c>
      <c r="CI146" s="47">
        <v>0.5</v>
      </c>
      <c r="CJ146" s="47">
        <v>0.5</v>
      </c>
      <c r="CK146" s="47">
        <v>0.5</v>
      </c>
      <c r="CL146" s="47">
        <v>0.5</v>
      </c>
      <c r="CM146" s="47">
        <v>0.5</v>
      </c>
      <c r="CN146" s="47">
        <v>0.5</v>
      </c>
      <c r="CO146" s="47">
        <v>0.5</v>
      </c>
      <c r="CP146" s="47">
        <v>0.5</v>
      </c>
      <c r="CQ146" s="47">
        <v>0.5</v>
      </c>
      <c r="CR146" s="47">
        <v>0.5</v>
      </c>
      <c r="CS146" s="47">
        <v>0.5</v>
      </c>
      <c r="CT146" s="47">
        <v>0.5</v>
      </c>
      <c r="CU146" s="47">
        <v>0.5</v>
      </c>
      <c r="CV146" s="47">
        <v>0.5</v>
      </c>
      <c r="CW146" s="47">
        <v>0.5</v>
      </c>
      <c r="CX146" s="47">
        <v>0.5</v>
      </c>
      <c r="CY146" s="47">
        <v>0.5</v>
      </c>
      <c r="CZ146" s="47">
        <v>0.5</v>
      </c>
    </row>
    <row r="147" spans="1:104" x14ac:dyDescent="0.2">
      <c r="A147" s="45" t="s">
        <v>180</v>
      </c>
      <c r="B147" s="46">
        <f t="shared" si="29"/>
        <v>28.466666666666633</v>
      </c>
      <c r="C147" s="46">
        <f t="shared" si="30"/>
        <v>0.5833333333333468</v>
      </c>
      <c r="D147" s="48">
        <f t="shared" si="31"/>
        <v>14.454594141758909</v>
      </c>
      <c r="E147" s="46"/>
      <c r="F147" s="47">
        <v>0.77233333333333332</v>
      </c>
      <c r="G147" s="47">
        <v>0.7546666666666666</v>
      </c>
      <c r="H147" s="47">
        <v>0.7576666666666666</v>
      </c>
      <c r="I147" s="47">
        <v>0.76649999999999985</v>
      </c>
      <c r="J147" s="47">
        <v>0.72749999999999981</v>
      </c>
      <c r="K147" s="47">
        <v>0.7131666666666665</v>
      </c>
      <c r="L147" s="47">
        <v>0.7004999999999999</v>
      </c>
      <c r="M147" s="47">
        <v>0.72066666666666657</v>
      </c>
      <c r="N147" s="47">
        <v>0.76449999999999996</v>
      </c>
      <c r="O147" s="47">
        <v>0.84700000000000009</v>
      </c>
      <c r="P147" s="47">
        <v>0.90800000000000003</v>
      </c>
      <c r="Q147" s="47">
        <v>0.91600000000000004</v>
      </c>
      <c r="R147" s="47">
        <v>0.87616666666666654</v>
      </c>
      <c r="S147" s="47">
        <v>0.79066666666666674</v>
      </c>
      <c r="T147" s="47">
        <v>0.48083333333333367</v>
      </c>
      <c r="U147" s="47">
        <v>0.460166666666667</v>
      </c>
      <c r="V147" s="47">
        <v>0.47266666666666696</v>
      </c>
      <c r="W147" s="47">
        <v>0.48766666666666697</v>
      </c>
      <c r="X147" s="47">
        <v>0.47583333333333361</v>
      </c>
      <c r="Y147" s="47">
        <v>0.44783333333333358</v>
      </c>
      <c r="Z147" s="47">
        <v>0.42216666666666697</v>
      </c>
      <c r="AA147" s="47">
        <v>0.39916666666666695</v>
      </c>
      <c r="AB147" s="47">
        <v>0.38166666666666699</v>
      </c>
      <c r="AC147" s="47">
        <v>0.37866666666666693</v>
      </c>
      <c r="AD147" s="47">
        <v>0.38716666666666688</v>
      </c>
      <c r="AE147" s="47">
        <v>0.31083333333333346</v>
      </c>
      <c r="AF147" s="47">
        <v>0.57449999999999979</v>
      </c>
      <c r="AG147" s="47">
        <v>0.58116666666666639</v>
      </c>
      <c r="AH147" s="47">
        <v>0.59383333333333299</v>
      </c>
      <c r="AI147" s="47">
        <v>0.55216666666666636</v>
      </c>
      <c r="AJ147" s="47">
        <v>0.52433333333333298</v>
      </c>
      <c r="AK147" s="47">
        <v>0.51299999999999957</v>
      </c>
      <c r="AL147" s="47">
        <v>0.51599999999999957</v>
      </c>
      <c r="AM147" s="47">
        <v>0.50566666666666615</v>
      </c>
      <c r="AN147" s="47">
        <v>0.5024999999999995</v>
      </c>
      <c r="AO147" s="47">
        <v>0.50866666666666616</v>
      </c>
      <c r="AP147" s="47">
        <v>0.5118333333333327</v>
      </c>
      <c r="AQ147" s="47">
        <v>0.52349999999999952</v>
      </c>
      <c r="AR147" s="47">
        <v>0.47266666666666635</v>
      </c>
      <c r="AS147" s="47">
        <v>0.13683333333333336</v>
      </c>
      <c r="AT147" s="47">
        <v>0.14900000000000005</v>
      </c>
      <c r="AU147" s="47">
        <v>0.15333333333333343</v>
      </c>
      <c r="AV147" s="47">
        <v>0.16350000000000012</v>
      </c>
      <c r="AW147" s="47">
        <v>0.1795000000000001</v>
      </c>
      <c r="AX147" s="47">
        <v>0.21550000000000016</v>
      </c>
      <c r="AY147" s="47">
        <v>0.25683333333333364</v>
      </c>
      <c r="AZ147" s="47">
        <v>0.29950000000000032</v>
      </c>
      <c r="BA147" s="47">
        <v>0.30166666666666697</v>
      </c>
      <c r="BB147" s="47">
        <v>0.30450000000000033</v>
      </c>
      <c r="BC147" s="47">
        <v>0.28133333333333366</v>
      </c>
      <c r="BD147" s="47">
        <v>0.28483333333333355</v>
      </c>
      <c r="BE147" s="47">
        <v>0.46416666666666667</v>
      </c>
      <c r="BF147" s="47">
        <v>0.45183333333333336</v>
      </c>
      <c r="BG147" s="47">
        <v>0.4878333333333334</v>
      </c>
      <c r="BH147" s="47">
        <v>0.53300000000000003</v>
      </c>
      <c r="BI147" s="47">
        <v>0.58050000000000013</v>
      </c>
      <c r="BJ147" s="47">
        <v>0.57633333333333336</v>
      </c>
      <c r="BK147" s="47">
        <v>0.55933333333333346</v>
      </c>
      <c r="BL147" s="47">
        <v>0.54350000000000009</v>
      </c>
      <c r="BM147" s="47">
        <v>0.59866666666666668</v>
      </c>
      <c r="BN147" s="47">
        <v>0.6263333333333333</v>
      </c>
      <c r="BO147" s="47">
        <v>0.64149999999999996</v>
      </c>
      <c r="BP147" s="47">
        <v>0.58183333333333342</v>
      </c>
      <c r="BQ147" s="47">
        <v>0.45033333333333353</v>
      </c>
      <c r="BR147" s="47">
        <v>0.45283333333333348</v>
      </c>
      <c r="BS147" s="47">
        <v>0.48783333333333345</v>
      </c>
      <c r="BT147" s="47">
        <v>0.51800000000000013</v>
      </c>
      <c r="BU147" s="47">
        <v>0.52400000000000024</v>
      </c>
      <c r="BV147" s="47">
        <v>0.50900000000000012</v>
      </c>
      <c r="BW147" s="47">
        <v>0.46966666666666673</v>
      </c>
      <c r="BX147" s="47">
        <v>0.52899999999999991</v>
      </c>
      <c r="BY147" s="47">
        <v>0.55999999999999994</v>
      </c>
      <c r="BZ147" s="47">
        <v>0.55366666666666653</v>
      </c>
      <c r="CA147" s="47">
        <v>0.60883333333333334</v>
      </c>
      <c r="CB147" s="47">
        <v>0.5575</v>
      </c>
      <c r="CC147" s="47">
        <v>0.57283333333333342</v>
      </c>
      <c r="CD147" s="47">
        <v>0.57799999999999996</v>
      </c>
      <c r="CE147" s="47">
        <v>0.58166666666666667</v>
      </c>
      <c r="CF147" s="47">
        <v>0.58983333333333321</v>
      </c>
      <c r="CG147" s="47">
        <v>0.59349999999999992</v>
      </c>
      <c r="CH147" s="47">
        <v>0.58849999999999991</v>
      </c>
      <c r="CI147" s="47">
        <v>0.55449999999999977</v>
      </c>
      <c r="CJ147" s="47">
        <v>0.52716666666666645</v>
      </c>
      <c r="CK147" s="47">
        <v>0.47116666666666657</v>
      </c>
      <c r="CL147" s="47">
        <v>0.41999999999999993</v>
      </c>
      <c r="CM147" s="47">
        <v>0.36716666666666659</v>
      </c>
      <c r="CN147" s="47">
        <v>0.29433333333333339</v>
      </c>
      <c r="CO147" s="47">
        <v>0.27350000000000002</v>
      </c>
      <c r="CP147" s="47">
        <v>0.29100000000000009</v>
      </c>
      <c r="CQ147" s="47">
        <v>0.30450000000000005</v>
      </c>
      <c r="CR147" s="47">
        <v>0.31450000000000006</v>
      </c>
      <c r="CS147" s="47">
        <v>0.31450000000000006</v>
      </c>
      <c r="CT147" s="47">
        <v>0.32633333333333331</v>
      </c>
      <c r="CU147" s="47">
        <v>0.38750000000000007</v>
      </c>
      <c r="CV147" s="47">
        <v>0.4283333333333334</v>
      </c>
      <c r="CW147" s="47">
        <v>0.51683333333333348</v>
      </c>
      <c r="CX147" s="47">
        <v>0.51716666666666689</v>
      </c>
      <c r="CY147" s="47">
        <v>0.52200000000000024</v>
      </c>
      <c r="CZ147" s="47">
        <v>0.54083333333333361</v>
      </c>
    </row>
    <row r="148" spans="1:104" x14ac:dyDescent="0.2">
      <c r="A148" s="45" t="s">
        <v>181</v>
      </c>
      <c r="B148" s="46">
        <f t="shared" si="29"/>
        <v>-15.933333333333339</v>
      </c>
      <c r="C148" s="46">
        <f t="shared" si="30"/>
        <v>-24.708333333333314</v>
      </c>
      <c r="D148" s="48">
        <f t="shared" si="31"/>
        <v>12.779308325384919</v>
      </c>
      <c r="E148" s="46"/>
      <c r="F148" s="47">
        <v>0.25475000000000009</v>
      </c>
      <c r="G148" s="47">
        <v>0.26758333333333351</v>
      </c>
      <c r="H148" s="47">
        <v>0.5183333333333332</v>
      </c>
      <c r="I148" s="47">
        <v>0.50183333333333324</v>
      </c>
      <c r="J148" s="47">
        <v>0.52849999999999986</v>
      </c>
      <c r="K148" s="47">
        <v>0.44275000000000003</v>
      </c>
      <c r="L148" s="47">
        <v>0.36691666666666667</v>
      </c>
      <c r="M148" s="47">
        <v>0.45466666666666661</v>
      </c>
      <c r="N148" s="47">
        <v>0.46650000000000003</v>
      </c>
      <c r="O148" s="47">
        <v>0.56333333333333324</v>
      </c>
      <c r="P148" s="47">
        <v>0.54441666666666677</v>
      </c>
      <c r="Q148" s="47">
        <v>0.56291666666666662</v>
      </c>
      <c r="R148" s="47">
        <v>0.47566666666666679</v>
      </c>
      <c r="S148" s="47">
        <v>0.43275000000000019</v>
      </c>
      <c r="T148" s="47">
        <v>0.38391666666666691</v>
      </c>
      <c r="U148" s="47">
        <v>0.3765833333333336</v>
      </c>
      <c r="V148" s="47">
        <v>0.4088333333333336</v>
      </c>
      <c r="W148" s="47">
        <v>0.41408333333333347</v>
      </c>
      <c r="X148" s="47">
        <v>0.40375000000000016</v>
      </c>
      <c r="Y148" s="47">
        <v>0.39875000000000022</v>
      </c>
      <c r="Z148" s="47">
        <v>0.40541666666666687</v>
      </c>
      <c r="AA148" s="47">
        <v>0.39691666666666686</v>
      </c>
      <c r="AB148" s="47">
        <v>0.41466666666666702</v>
      </c>
      <c r="AC148" s="47">
        <v>0.48300000000000021</v>
      </c>
      <c r="AD148" s="47">
        <v>0.55125000000000013</v>
      </c>
      <c r="AE148" s="47">
        <v>0.64375000000000004</v>
      </c>
      <c r="AF148" s="47">
        <v>0.85399999999999998</v>
      </c>
      <c r="AG148" s="47">
        <v>0.82483333333333309</v>
      </c>
      <c r="AH148" s="47">
        <v>0.82424999999999982</v>
      </c>
      <c r="AI148" s="47">
        <v>0.77291666666666647</v>
      </c>
      <c r="AJ148" s="47">
        <v>0.71991666666666654</v>
      </c>
      <c r="AK148" s="47">
        <v>0.66024999999999989</v>
      </c>
      <c r="AL148" s="47">
        <v>0.66699999999999993</v>
      </c>
      <c r="AM148" s="47">
        <v>0.69966666666666644</v>
      </c>
      <c r="AN148" s="47">
        <v>0.71516666666666651</v>
      </c>
      <c r="AO148" s="47">
        <v>0.7161666666666664</v>
      </c>
      <c r="AP148" s="47">
        <v>0.70266666666666633</v>
      </c>
      <c r="AQ148" s="47">
        <v>0.65841666666666654</v>
      </c>
      <c r="AR148" s="47">
        <v>0.55991666666666662</v>
      </c>
      <c r="AS148" s="47">
        <v>0.48266666666666663</v>
      </c>
      <c r="AT148" s="47">
        <v>0.51358333333333317</v>
      </c>
      <c r="AU148" s="47">
        <v>0.53733333333333322</v>
      </c>
      <c r="AV148" s="47">
        <v>0.52216666666666656</v>
      </c>
      <c r="AW148" s="47">
        <v>0.53149999999999997</v>
      </c>
      <c r="AX148" s="47">
        <v>0.53583333333333327</v>
      </c>
      <c r="AY148" s="47">
        <v>0.52799999999999991</v>
      </c>
      <c r="AZ148" s="47">
        <v>0.51008333333333322</v>
      </c>
      <c r="BA148" s="47">
        <v>0.43241666666666673</v>
      </c>
      <c r="BB148" s="47">
        <v>0.4</v>
      </c>
      <c r="BC148" s="47">
        <v>0.36083333333333334</v>
      </c>
      <c r="BD148" s="47">
        <v>0.38216666666666643</v>
      </c>
      <c r="BE148" s="47">
        <v>0.38258333333333322</v>
      </c>
      <c r="BF148" s="47">
        <v>0.37274999999999991</v>
      </c>
      <c r="BG148" s="47">
        <v>0.36316666666666658</v>
      </c>
      <c r="BH148" s="47">
        <v>0.39233333333333326</v>
      </c>
      <c r="BI148" s="47">
        <v>0.39466666666666661</v>
      </c>
      <c r="BJ148" s="47">
        <v>0.39566666666666661</v>
      </c>
      <c r="BK148" s="47">
        <v>0.37916666666666671</v>
      </c>
      <c r="BL148" s="47">
        <v>0.3405833333333334</v>
      </c>
      <c r="BM148" s="47">
        <v>0.29649999999999999</v>
      </c>
      <c r="BN148" s="47">
        <v>0.28108333333333341</v>
      </c>
      <c r="BO148" s="47">
        <v>0.33641666666666675</v>
      </c>
      <c r="BP148" s="47">
        <v>0.39716666666666667</v>
      </c>
      <c r="BQ148" s="47">
        <v>0.42033333333333328</v>
      </c>
      <c r="BR148" s="47">
        <v>0.40983333333333333</v>
      </c>
      <c r="BS148" s="47">
        <v>0.39466666666666661</v>
      </c>
      <c r="BT148" s="47">
        <v>0.37041666666666667</v>
      </c>
      <c r="BU148" s="47">
        <v>0.37016666666666675</v>
      </c>
      <c r="BV148" s="47">
        <v>0.41041666666666671</v>
      </c>
      <c r="BW148" s="47">
        <v>0.46583333333333332</v>
      </c>
      <c r="BX148" s="47">
        <v>0.53683333333333327</v>
      </c>
      <c r="BY148" s="47">
        <v>0.63824999999999987</v>
      </c>
      <c r="BZ148" s="47">
        <v>0.69333333333333336</v>
      </c>
      <c r="CA148" s="47">
        <v>0.70649999999999991</v>
      </c>
      <c r="CB148" s="47">
        <v>0.66633333333333333</v>
      </c>
      <c r="CC148" s="47">
        <v>0.65249999999999986</v>
      </c>
      <c r="CD148" s="47">
        <v>0.63400000000000001</v>
      </c>
      <c r="CE148" s="47">
        <v>0.59308333333333341</v>
      </c>
      <c r="CF148" s="47">
        <v>0.56083333333333318</v>
      </c>
      <c r="CG148" s="47">
        <v>0.51999999999999991</v>
      </c>
      <c r="CH148" s="47">
        <v>0.49016666666666658</v>
      </c>
      <c r="CI148" s="47">
        <v>0.47924999999999984</v>
      </c>
      <c r="CJ148" s="47">
        <v>0.49374999999999986</v>
      </c>
      <c r="CK148" s="47">
        <v>0.47324999999999989</v>
      </c>
      <c r="CL148" s="47">
        <v>0.46666666666666656</v>
      </c>
      <c r="CM148" s="47">
        <v>0.45441666666666658</v>
      </c>
      <c r="CN148" s="47">
        <v>0.47999999999999993</v>
      </c>
      <c r="CO148" s="47">
        <v>0.4825833333333332</v>
      </c>
      <c r="CP148" s="47">
        <v>0.49108333333333321</v>
      </c>
      <c r="CQ148" s="47">
        <v>0.48091666666666649</v>
      </c>
      <c r="CR148" s="47">
        <v>0.46749999999999986</v>
      </c>
      <c r="CS148" s="47">
        <v>0.46066666666666645</v>
      </c>
      <c r="CT148" s="47">
        <v>0.4631666666666665</v>
      </c>
      <c r="CU148" s="47">
        <v>0.46899999999999986</v>
      </c>
      <c r="CV148" s="47">
        <v>0.48708333333333315</v>
      </c>
      <c r="CW148" s="47">
        <v>0.47574999999999984</v>
      </c>
      <c r="CX148" s="47">
        <v>0.41633333333333311</v>
      </c>
      <c r="CY148" s="47">
        <v>0.38916666666666655</v>
      </c>
      <c r="CZ148" s="47">
        <v>0.37649999999999983</v>
      </c>
    </row>
    <row r="149" spans="1:104" x14ac:dyDescent="0.2">
      <c r="A149" s="45" t="s">
        <v>182</v>
      </c>
      <c r="B149" s="46">
        <f t="shared" si="29"/>
        <v>-33.699999999999996</v>
      </c>
      <c r="C149" s="46">
        <f t="shared" si="30"/>
        <v>1.9999999999999998</v>
      </c>
      <c r="D149" s="48">
        <f t="shared" si="31"/>
        <v>26.243218329017171</v>
      </c>
      <c r="E149" s="46"/>
      <c r="F149" s="47">
        <v>0.03</v>
      </c>
      <c r="G149" s="47">
        <v>0.03</v>
      </c>
      <c r="H149" s="47">
        <v>0</v>
      </c>
      <c r="I149" s="47">
        <v>0.01</v>
      </c>
      <c r="J149" s="47">
        <v>0.02</v>
      </c>
      <c r="K149" s="47">
        <v>0.17299999999999999</v>
      </c>
      <c r="L149" s="47">
        <v>9.0999999999999998E-2</v>
      </c>
      <c r="M149" s="47">
        <v>5.1000000000000004E-2</v>
      </c>
      <c r="N149" s="47">
        <v>8.1000000000000003E-2</v>
      </c>
      <c r="O149" s="47">
        <v>0.12199999999999998</v>
      </c>
      <c r="P149" s="47">
        <v>0.12199999999999998</v>
      </c>
      <c r="Q149" s="47">
        <v>0.214</v>
      </c>
      <c r="R149" s="47">
        <v>0.73399999999999999</v>
      </c>
      <c r="S149" s="47">
        <v>0.95899999999999996</v>
      </c>
      <c r="T149" s="47">
        <v>1</v>
      </c>
      <c r="U149" s="47">
        <v>0.98899999999999999</v>
      </c>
      <c r="V149" s="47">
        <v>0.97899999999999987</v>
      </c>
      <c r="W149" s="47">
        <v>0.36699999999999999</v>
      </c>
      <c r="X149" s="47">
        <v>0.42799999999999999</v>
      </c>
      <c r="Y149" s="47">
        <v>0.33600000000000002</v>
      </c>
      <c r="Z149" s="47">
        <v>0.47899999999999998</v>
      </c>
      <c r="AA149" s="47">
        <v>0.54</v>
      </c>
      <c r="AB149" s="47">
        <v>0.55100000000000005</v>
      </c>
      <c r="AC149" s="47">
        <v>0.55100000000000005</v>
      </c>
      <c r="AD149" s="47">
        <v>0.40800000000000003</v>
      </c>
      <c r="AE149" s="47">
        <v>0.48899999999999993</v>
      </c>
      <c r="AF149" s="47">
        <v>0.29499999999999998</v>
      </c>
      <c r="AG149" s="47">
        <v>0.45900000000000007</v>
      </c>
      <c r="AH149" s="47">
        <v>0.255</v>
      </c>
      <c r="AI149" s="47">
        <v>0.224</v>
      </c>
      <c r="AJ149" s="47">
        <v>0.26500000000000001</v>
      </c>
      <c r="AK149" s="47">
        <v>0.438</v>
      </c>
      <c r="AL149" s="47">
        <v>0.40800000000000003</v>
      </c>
      <c r="AM149" s="47">
        <v>0.27500000000000002</v>
      </c>
      <c r="AN149" s="47">
        <v>0.23400000000000001</v>
      </c>
      <c r="AO149" s="47">
        <v>0.38700000000000001</v>
      </c>
      <c r="AP149" s="47">
        <v>0.78500000000000003</v>
      </c>
      <c r="AQ149" s="47">
        <v>0.92800000000000005</v>
      </c>
      <c r="AR149" s="47">
        <v>0.93799999999999994</v>
      </c>
      <c r="AS149" s="47">
        <v>0.81600000000000006</v>
      </c>
      <c r="AT149" s="47">
        <v>0.77500000000000002</v>
      </c>
      <c r="AU149" s="47">
        <v>0.68300000000000005</v>
      </c>
      <c r="AV149" s="47">
        <v>0.377</v>
      </c>
      <c r="AW149" s="47">
        <v>0.183</v>
      </c>
      <c r="AX149" s="47">
        <v>0.193</v>
      </c>
      <c r="AY149" s="47">
        <v>0.20400000000000001</v>
      </c>
      <c r="AZ149" s="47">
        <v>0.30599999999999999</v>
      </c>
      <c r="BA149" s="47">
        <v>0.24399999999999997</v>
      </c>
      <c r="BB149" s="47">
        <v>0.112</v>
      </c>
      <c r="BC149" s="47">
        <v>6.0999999999999992E-2</v>
      </c>
      <c r="BD149" s="47">
        <v>7.0999999999999994E-2</v>
      </c>
      <c r="BE149" s="47">
        <v>0.16300000000000001</v>
      </c>
      <c r="BF149" s="47">
        <v>0.14199999999999999</v>
      </c>
      <c r="BG149" s="47">
        <v>0.10200000000000001</v>
      </c>
      <c r="BH149" s="47">
        <v>0.153</v>
      </c>
      <c r="BI149" s="47">
        <v>0.32600000000000001</v>
      </c>
      <c r="BJ149" s="47">
        <v>0.51</v>
      </c>
      <c r="BK149" s="47">
        <v>0.68300000000000005</v>
      </c>
      <c r="BL149" s="47">
        <v>0.65300000000000014</v>
      </c>
      <c r="BM149" s="47">
        <v>0.71399999999999986</v>
      </c>
      <c r="BN149" s="47">
        <v>0.70399999999999996</v>
      </c>
      <c r="BO149" s="47">
        <v>0.66300000000000003</v>
      </c>
      <c r="BP149" s="47">
        <v>0.58099999999999996</v>
      </c>
      <c r="BQ149" s="47">
        <v>0.53</v>
      </c>
      <c r="BR149" s="47">
        <v>0.59099999999999997</v>
      </c>
      <c r="BS149" s="47">
        <v>0.51</v>
      </c>
      <c r="BT149" s="47">
        <v>0.44800000000000001</v>
      </c>
      <c r="BU149" s="47">
        <v>0.34599999999999997</v>
      </c>
      <c r="BV149" s="47">
        <v>0.316</v>
      </c>
      <c r="BW149" s="47">
        <v>0.35699999999999993</v>
      </c>
      <c r="BX149" s="47">
        <v>0.28499999999999998</v>
      </c>
      <c r="BY149" s="47">
        <v>0.39700000000000002</v>
      </c>
      <c r="BZ149" s="47">
        <v>0.5</v>
      </c>
      <c r="CA149" s="47">
        <v>0.60199999999999998</v>
      </c>
      <c r="CB149" s="47">
        <v>0.7649999999999999</v>
      </c>
      <c r="CC149" s="47">
        <v>0.80600000000000005</v>
      </c>
      <c r="CD149" s="47">
        <v>0.78500000000000003</v>
      </c>
      <c r="CE149" s="47">
        <v>0.82599999999999996</v>
      </c>
      <c r="CF149" s="47">
        <v>0.85699999999999998</v>
      </c>
      <c r="CG149" s="47">
        <v>0.88700000000000001</v>
      </c>
      <c r="CH149" s="47">
        <v>0.8670000000000001</v>
      </c>
      <c r="CI149" s="47">
        <v>0.90800000000000003</v>
      </c>
      <c r="CJ149" s="47">
        <v>0.89700000000000002</v>
      </c>
      <c r="CK149" s="47">
        <v>0.877</v>
      </c>
      <c r="CL149" s="47">
        <v>0.72399999999999998</v>
      </c>
      <c r="CM149" s="47">
        <v>0.64200000000000002</v>
      </c>
      <c r="CN149" s="47">
        <v>0.46899999999999997</v>
      </c>
      <c r="CO149" s="47">
        <v>0.57099999999999995</v>
      </c>
      <c r="CP149" s="47">
        <v>0.622</v>
      </c>
      <c r="CQ149" s="47">
        <v>0.755</v>
      </c>
      <c r="CR149" s="47">
        <v>0.82599999999999996</v>
      </c>
      <c r="CS149" s="47">
        <v>0.67300000000000004</v>
      </c>
      <c r="CT149" s="47">
        <v>0.61199999999999999</v>
      </c>
      <c r="CU149" s="47">
        <v>0.622</v>
      </c>
      <c r="CV149" s="47">
        <v>0.74399999999999999</v>
      </c>
      <c r="CW149" s="47">
        <v>0.94799999999999995</v>
      </c>
      <c r="CX149" s="47">
        <v>0.91800000000000015</v>
      </c>
      <c r="CY149" s="47">
        <v>0.96899999999999997</v>
      </c>
      <c r="CZ149" s="47">
        <v>0.82599999999999996</v>
      </c>
    </row>
    <row r="150" spans="1:104" x14ac:dyDescent="0.2">
      <c r="A150" s="45" t="s">
        <v>183</v>
      </c>
      <c r="B150" s="46">
        <f t="shared" si="29"/>
        <v>64.779999999999987</v>
      </c>
      <c r="C150" s="46">
        <f t="shared" si="30"/>
        <v>-3.1399999999999983</v>
      </c>
      <c r="D150" s="48">
        <f t="shared" si="31"/>
        <v>14.547427463854753</v>
      </c>
      <c r="E150" s="46"/>
      <c r="F150" s="47">
        <v>0.69699999999999995</v>
      </c>
      <c r="G150" s="47">
        <v>0.73859999999999992</v>
      </c>
      <c r="H150" s="47">
        <v>0.74959999999999993</v>
      </c>
      <c r="I150" s="47">
        <v>0.72839999999999994</v>
      </c>
      <c r="J150" s="47">
        <v>0.70679999999999987</v>
      </c>
      <c r="K150" s="47">
        <v>0.73579999999999979</v>
      </c>
      <c r="L150" s="47">
        <v>0.75679999999999981</v>
      </c>
      <c r="M150" s="47">
        <v>0.66299999999999981</v>
      </c>
      <c r="N150" s="47">
        <v>0.64379999999999971</v>
      </c>
      <c r="O150" s="47">
        <v>0.33279999999999993</v>
      </c>
      <c r="P150" s="47">
        <v>0.32760000000000006</v>
      </c>
      <c r="Q150" s="47">
        <v>0.35680000000000006</v>
      </c>
      <c r="R150" s="47">
        <v>0.33080000000000009</v>
      </c>
      <c r="S150" s="47">
        <v>0.24180000000000004</v>
      </c>
      <c r="T150" s="47">
        <v>0.12979999999999997</v>
      </c>
      <c r="U150" s="47">
        <v>8.0199999999999952E-2</v>
      </c>
      <c r="V150" s="47">
        <v>5.9199999999999996E-2</v>
      </c>
      <c r="W150" s="47">
        <v>4.9200000000000015E-2</v>
      </c>
      <c r="X150" s="47">
        <v>4.6800000000000043E-2</v>
      </c>
      <c r="Y150" s="47">
        <v>0.15560000000000007</v>
      </c>
      <c r="Z150" s="47">
        <v>0.3226</v>
      </c>
      <c r="AA150" s="47">
        <v>0.37659999999999999</v>
      </c>
      <c r="AB150" s="47">
        <v>0.3763999999999999</v>
      </c>
      <c r="AC150" s="47">
        <v>0.41859999999999992</v>
      </c>
      <c r="AD150" s="47">
        <v>0.4701999999999999</v>
      </c>
      <c r="AE150" s="47">
        <v>0.55959999999999999</v>
      </c>
      <c r="AF150" s="47">
        <v>0.63479999999999992</v>
      </c>
      <c r="AG150" s="47">
        <v>0.69959999999999989</v>
      </c>
      <c r="AH150" s="47">
        <v>0.72620000000000007</v>
      </c>
      <c r="AI150" s="47">
        <v>0.67960000000000009</v>
      </c>
      <c r="AJ150" s="47">
        <v>0.63260000000000005</v>
      </c>
      <c r="AK150" s="47">
        <v>0.49959999999999999</v>
      </c>
      <c r="AL150" s="47">
        <v>0.31179999999999997</v>
      </c>
      <c r="AM150" s="47">
        <v>0.19979999999999989</v>
      </c>
      <c r="AN150" s="47">
        <v>0.35479999999999984</v>
      </c>
      <c r="AO150" s="47">
        <v>0.55080000000000007</v>
      </c>
      <c r="AP150" s="47">
        <v>0.68400000000000016</v>
      </c>
      <c r="AQ150" s="47">
        <v>0.70000000000000018</v>
      </c>
      <c r="AR150" s="47">
        <v>0.69200000000000017</v>
      </c>
      <c r="AS150" s="47">
        <v>0.61360000000000015</v>
      </c>
      <c r="AT150" s="47">
        <v>0.62120000000000009</v>
      </c>
      <c r="AU150" s="47">
        <v>0.62920000000000009</v>
      </c>
      <c r="AV150" s="47">
        <v>0.63720000000000021</v>
      </c>
      <c r="AW150" s="47">
        <v>0.65280000000000016</v>
      </c>
      <c r="AX150" s="47">
        <v>0.6604000000000001</v>
      </c>
      <c r="AY150" s="47">
        <v>0.67640000000000022</v>
      </c>
      <c r="AZ150" s="47">
        <v>0.66840000000000011</v>
      </c>
      <c r="BA150" s="47">
        <v>0.64480000000000015</v>
      </c>
      <c r="BB150" s="47">
        <v>0.48799999999999999</v>
      </c>
      <c r="BC150" s="47">
        <v>0.3703999999999999</v>
      </c>
      <c r="BD150" s="47">
        <v>0.31559999999999983</v>
      </c>
      <c r="BE150" s="47">
        <v>0.57440000000000013</v>
      </c>
      <c r="BF150" s="47">
        <v>0.5</v>
      </c>
      <c r="BG150" s="47">
        <v>0.5</v>
      </c>
      <c r="BH150" s="47">
        <v>0.5</v>
      </c>
      <c r="BI150" s="47">
        <v>0.5</v>
      </c>
      <c r="BJ150" s="47">
        <v>0.5</v>
      </c>
      <c r="BK150" s="47">
        <v>0.5</v>
      </c>
      <c r="BL150" s="47">
        <v>0.5</v>
      </c>
      <c r="BM150" s="47">
        <v>0.5</v>
      </c>
      <c r="BN150" s="47">
        <v>0.5</v>
      </c>
      <c r="BO150" s="47">
        <v>0.5</v>
      </c>
      <c r="BP150" s="47">
        <v>0.5</v>
      </c>
      <c r="BQ150" s="47">
        <v>0.5</v>
      </c>
      <c r="BR150" s="47">
        <v>0.5</v>
      </c>
      <c r="BS150" s="47">
        <v>0.5</v>
      </c>
      <c r="BT150" s="47">
        <v>0.5</v>
      </c>
      <c r="BU150" s="47">
        <v>0.5</v>
      </c>
      <c r="BV150" s="47">
        <v>0.5</v>
      </c>
      <c r="BW150" s="47">
        <v>0.5</v>
      </c>
      <c r="BX150" s="47">
        <v>0.5</v>
      </c>
      <c r="BY150" s="47">
        <v>0.5</v>
      </c>
      <c r="BZ150" s="47">
        <v>0.5</v>
      </c>
      <c r="CA150" s="47">
        <v>0.5</v>
      </c>
      <c r="CB150" s="47">
        <v>0.5</v>
      </c>
      <c r="CC150" s="47">
        <v>0.5</v>
      </c>
      <c r="CD150" s="47">
        <v>0.5</v>
      </c>
      <c r="CE150" s="47">
        <v>0.5</v>
      </c>
      <c r="CF150" s="47">
        <v>0.5</v>
      </c>
      <c r="CG150" s="47">
        <v>0.5</v>
      </c>
      <c r="CH150" s="47">
        <v>0.5</v>
      </c>
      <c r="CI150" s="47">
        <v>0.5</v>
      </c>
      <c r="CJ150" s="47">
        <v>0.5</v>
      </c>
      <c r="CK150" s="47">
        <v>0.5</v>
      </c>
      <c r="CL150" s="47">
        <v>0.5</v>
      </c>
      <c r="CM150" s="47">
        <v>0.5</v>
      </c>
      <c r="CN150" s="47">
        <v>0.5</v>
      </c>
      <c r="CO150" s="47">
        <v>0.5</v>
      </c>
      <c r="CP150" s="47">
        <v>0.5</v>
      </c>
      <c r="CQ150" s="47">
        <v>0.5</v>
      </c>
      <c r="CR150" s="47">
        <v>0.5</v>
      </c>
      <c r="CS150" s="47">
        <v>0.5</v>
      </c>
      <c r="CT150" s="47">
        <v>0.5</v>
      </c>
      <c r="CU150" s="47">
        <v>0.5</v>
      </c>
      <c r="CV150" s="47">
        <v>0.5</v>
      </c>
      <c r="CW150" s="47">
        <v>0.5</v>
      </c>
      <c r="CX150" s="47">
        <v>0.5</v>
      </c>
      <c r="CY150" s="47">
        <v>0.5</v>
      </c>
      <c r="CZ150" s="47">
        <v>0.5</v>
      </c>
    </row>
    <row r="151" spans="1:104" x14ac:dyDescent="0.2">
      <c r="A151" s="45" t="s">
        <v>184</v>
      </c>
      <c r="B151" s="46">
        <f t="shared" si="29"/>
        <v>-21.500000000000004</v>
      </c>
      <c r="C151" s="46">
        <f t="shared" si="30"/>
        <v>-63.737500000000011</v>
      </c>
      <c r="D151" s="48">
        <f t="shared" si="31"/>
        <v>18.342293865203267</v>
      </c>
      <c r="E151" s="46"/>
      <c r="F151" s="47">
        <v>8.0125000000000002E-2</v>
      </c>
      <c r="G151" s="47">
        <v>0.2521250000000001</v>
      </c>
      <c r="H151" s="47">
        <v>0.56900000000000006</v>
      </c>
      <c r="I151" s="47">
        <v>0.71750000000000014</v>
      </c>
      <c r="J151" s="47">
        <v>0.74187500000000006</v>
      </c>
      <c r="K151" s="47">
        <v>0.66662500000000002</v>
      </c>
      <c r="L151" s="47">
        <v>0.57625000000000004</v>
      </c>
      <c r="M151" s="47">
        <v>0.61449999999999994</v>
      </c>
      <c r="N151" s="47">
        <v>0.5588749999999999</v>
      </c>
      <c r="O151" s="47">
        <v>0.69349999999999989</v>
      </c>
      <c r="P151" s="47">
        <v>0.7586250000000001</v>
      </c>
      <c r="Q151" s="47">
        <v>0.8317500000000001</v>
      </c>
      <c r="R151" s="47">
        <v>0.70587500000000025</v>
      </c>
      <c r="S151" s="47">
        <v>0.54525000000000001</v>
      </c>
      <c r="T151" s="47">
        <v>0.35199999999999998</v>
      </c>
      <c r="U151" s="47">
        <v>0.24112499999999995</v>
      </c>
      <c r="V151" s="47">
        <v>0.26437500000000003</v>
      </c>
      <c r="W151" s="47">
        <v>0.29512500000000003</v>
      </c>
      <c r="X151" s="47">
        <v>0.36287499999999995</v>
      </c>
      <c r="Y151" s="47">
        <v>0.38200000000000001</v>
      </c>
      <c r="Z151" s="47">
        <v>0.33237500000000003</v>
      </c>
      <c r="AA151" s="47">
        <v>0.21450000000000008</v>
      </c>
      <c r="AB151" s="47">
        <v>0.11800000000000002</v>
      </c>
      <c r="AC151" s="47">
        <v>0.17462499999999997</v>
      </c>
      <c r="AD151" s="47">
        <v>0.31699999999999989</v>
      </c>
      <c r="AE151" s="47">
        <v>0.5585</v>
      </c>
      <c r="AF151" s="47">
        <v>0.65049999999999986</v>
      </c>
      <c r="AG151" s="47">
        <v>0.68375000000000008</v>
      </c>
      <c r="AH151" s="47">
        <v>0.55349999999999999</v>
      </c>
      <c r="AI151" s="47">
        <v>0.53412500000000007</v>
      </c>
      <c r="AJ151" s="47">
        <v>0.55500000000000005</v>
      </c>
      <c r="AK151" s="47">
        <v>0.53650000000000009</v>
      </c>
      <c r="AL151" s="47">
        <v>0.63087499999999996</v>
      </c>
      <c r="AM151" s="47">
        <v>0.62762499999999999</v>
      </c>
      <c r="AN151" s="47">
        <v>0.60225000000000006</v>
      </c>
      <c r="AO151" s="47">
        <v>0.52600000000000002</v>
      </c>
      <c r="AP151" s="47">
        <v>0.49987500000000001</v>
      </c>
      <c r="AQ151" s="47">
        <v>0.47050000000000008</v>
      </c>
      <c r="AR151" s="47">
        <v>0.31012499999999998</v>
      </c>
      <c r="AS151" s="47">
        <v>0.33187499999999998</v>
      </c>
      <c r="AT151" s="47">
        <v>0.372</v>
      </c>
      <c r="AU151" s="47">
        <v>0.38099999999999995</v>
      </c>
      <c r="AV151" s="47">
        <v>0.37462499999999999</v>
      </c>
      <c r="AW151" s="47">
        <v>0.358875</v>
      </c>
      <c r="AX151" s="47">
        <v>0.32274999999999998</v>
      </c>
      <c r="AY151" s="47">
        <v>0.309</v>
      </c>
      <c r="AZ151" s="47">
        <v>0.31800000000000006</v>
      </c>
      <c r="BA151" s="47">
        <v>0.30200000000000005</v>
      </c>
      <c r="BB151" s="47">
        <v>0.27700000000000008</v>
      </c>
      <c r="BC151" s="47">
        <v>0.2531250000000001</v>
      </c>
      <c r="BD151" s="47">
        <v>0.2677500000000001</v>
      </c>
      <c r="BE151" s="47">
        <v>0.25175000000000008</v>
      </c>
      <c r="BF151" s="47">
        <v>0.22887500000000008</v>
      </c>
      <c r="BG151" s="47">
        <v>0.19750000000000012</v>
      </c>
      <c r="BH151" s="47">
        <v>0.20112500000000008</v>
      </c>
      <c r="BI151" s="47">
        <v>0.19575000000000009</v>
      </c>
      <c r="BJ151" s="47">
        <v>0.23112500000000008</v>
      </c>
      <c r="BK151" s="47">
        <v>0.35600000000000009</v>
      </c>
      <c r="BL151" s="47">
        <v>0.39612500000000017</v>
      </c>
      <c r="BM151" s="47">
        <v>0.42099999999999999</v>
      </c>
      <c r="BN151" s="47">
        <v>0.496</v>
      </c>
      <c r="BO151" s="47">
        <v>0.44262499999999994</v>
      </c>
      <c r="BP151" s="47">
        <v>0.42375000000000002</v>
      </c>
      <c r="BQ151" s="47">
        <v>0.30387499999999995</v>
      </c>
      <c r="BR151" s="47">
        <v>0.45024999999999998</v>
      </c>
      <c r="BS151" s="47">
        <v>0.37837500000000002</v>
      </c>
      <c r="BT151" s="47">
        <v>0.3297500000000001</v>
      </c>
      <c r="BU151" s="47">
        <v>0.34512500000000007</v>
      </c>
      <c r="BV151" s="47">
        <v>0.38500000000000006</v>
      </c>
      <c r="BW151" s="47">
        <v>0.45537500000000003</v>
      </c>
      <c r="BX151" s="47">
        <v>0.46500000000000002</v>
      </c>
      <c r="BY151" s="47">
        <v>0.60199999999999998</v>
      </c>
      <c r="BZ151" s="47">
        <v>0.66825000000000012</v>
      </c>
      <c r="CA151" s="47">
        <v>0.66774999999999995</v>
      </c>
      <c r="CB151" s="47">
        <v>0.65650000000000008</v>
      </c>
      <c r="CC151" s="47">
        <v>0.66825000000000012</v>
      </c>
      <c r="CD151" s="47">
        <v>0.68700000000000006</v>
      </c>
      <c r="CE151" s="47">
        <v>0.70387500000000003</v>
      </c>
      <c r="CF151" s="47">
        <v>0.72537499999999999</v>
      </c>
      <c r="CG151" s="47">
        <v>0.74862499999999998</v>
      </c>
      <c r="CH151" s="47">
        <v>0.77037500000000003</v>
      </c>
      <c r="CI151" s="47">
        <v>0.75849999999999995</v>
      </c>
      <c r="CJ151" s="47">
        <v>0.71900000000000008</v>
      </c>
      <c r="CK151" s="47">
        <v>0.74212500000000003</v>
      </c>
      <c r="CL151" s="47">
        <v>0.71112500000000001</v>
      </c>
      <c r="CM151" s="47">
        <v>0.69862499999999994</v>
      </c>
      <c r="CN151" s="47">
        <v>0.66425000000000001</v>
      </c>
      <c r="CO151" s="47">
        <v>0.67549999999999999</v>
      </c>
      <c r="CP151" s="47">
        <v>0.63749999999999996</v>
      </c>
      <c r="CQ151" s="47">
        <v>0.67299999999999993</v>
      </c>
      <c r="CR151" s="47">
        <v>0.65399999999999991</v>
      </c>
      <c r="CS151" s="47">
        <v>0.62875000000000003</v>
      </c>
      <c r="CT151" s="47">
        <v>0.58262499999999995</v>
      </c>
      <c r="CU151" s="47">
        <v>0.59149999999999991</v>
      </c>
      <c r="CV151" s="47">
        <v>0.65037499999999993</v>
      </c>
      <c r="CW151" s="47">
        <v>0.70137499999999997</v>
      </c>
      <c r="CX151" s="47">
        <v>0.69874999999999998</v>
      </c>
      <c r="CY151" s="47">
        <v>0.72537499999999988</v>
      </c>
      <c r="CZ151" s="47">
        <v>0.72549999999999992</v>
      </c>
    </row>
    <row r="152" spans="1:104" x14ac:dyDescent="0.2">
      <c r="A152" s="45" t="s">
        <v>185</v>
      </c>
      <c r="B152" s="46">
        <f t="shared" si="29"/>
        <v>-48.000000000000007</v>
      </c>
      <c r="C152" s="46">
        <f t="shared" si="30"/>
        <v>-11.300000000000004</v>
      </c>
      <c r="D152" s="48">
        <f t="shared" si="31"/>
        <v>30.1702058498567</v>
      </c>
      <c r="E152" s="46"/>
      <c r="F152" s="47">
        <v>0.44800000000000001</v>
      </c>
      <c r="G152" s="47">
        <v>0.42799999999999999</v>
      </c>
      <c r="H152" s="47">
        <v>0.51</v>
      </c>
      <c r="I152" s="47">
        <v>0.56100000000000005</v>
      </c>
      <c r="J152" s="47">
        <v>0.64200000000000002</v>
      </c>
      <c r="K152" s="47">
        <v>0.70399999999999996</v>
      </c>
      <c r="L152" s="47">
        <v>0.74399999999999999</v>
      </c>
      <c r="M152" s="47">
        <v>0.755</v>
      </c>
      <c r="N152" s="47">
        <v>0.73399999999999999</v>
      </c>
      <c r="O152" s="47">
        <v>0.72399999999999998</v>
      </c>
      <c r="P152" s="47">
        <v>0.77500000000000002</v>
      </c>
      <c r="Q152" s="47">
        <v>0.82599999999999996</v>
      </c>
      <c r="R152" s="47">
        <v>0.84599999999999997</v>
      </c>
      <c r="S152" s="47">
        <v>0.8570000000000001</v>
      </c>
      <c r="T152" s="47">
        <v>0.8670000000000001</v>
      </c>
      <c r="U152" s="47">
        <v>0.88700000000000012</v>
      </c>
      <c r="V152" s="47">
        <v>0.89700000000000013</v>
      </c>
      <c r="W152" s="47">
        <v>0.92800000000000005</v>
      </c>
      <c r="X152" s="47">
        <v>0.94799999999999995</v>
      </c>
      <c r="Y152" s="47">
        <v>0.97899999999999987</v>
      </c>
      <c r="Z152" s="47">
        <v>1</v>
      </c>
      <c r="AA152" s="47">
        <v>0.98899999999999988</v>
      </c>
      <c r="AB152" s="47">
        <v>0.96899999999999986</v>
      </c>
      <c r="AC152" s="47">
        <v>0.95899999999999985</v>
      </c>
      <c r="AD152" s="47">
        <v>0.93800000000000006</v>
      </c>
      <c r="AE152" s="47">
        <v>0.91800000000000004</v>
      </c>
      <c r="AF152" s="47">
        <v>0.90800000000000003</v>
      </c>
      <c r="AG152" s="47">
        <v>0.87700000000000011</v>
      </c>
      <c r="AH152" s="47">
        <v>0.83599999999999997</v>
      </c>
      <c r="AI152" s="47">
        <v>0.78500000000000003</v>
      </c>
      <c r="AJ152" s="47">
        <v>0.59099999999999997</v>
      </c>
      <c r="AK152" s="47">
        <v>0.377</v>
      </c>
      <c r="AL152" s="47">
        <v>0.224</v>
      </c>
      <c r="AM152" s="47">
        <v>0.23400000000000001</v>
      </c>
      <c r="AN152" s="47">
        <v>0.24400000000000002</v>
      </c>
      <c r="AO152" s="47">
        <v>0.29499999999999998</v>
      </c>
      <c r="AP152" s="47">
        <v>0.33600000000000002</v>
      </c>
      <c r="AQ152" s="47">
        <v>0.38700000000000001</v>
      </c>
      <c r="AR152" s="47">
        <v>0.34599999999999997</v>
      </c>
      <c r="AS152" s="47">
        <v>0.40799999999999997</v>
      </c>
      <c r="AT152" s="47">
        <v>0.47899999999999998</v>
      </c>
      <c r="AU152" s="47">
        <v>0.54</v>
      </c>
      <c r="AV152" s="47">
        <v>0.60199999999999998</v>
      </c>
      <c r="AW152" s="47">
        <v>0.58099999999999996</v>
      </c>
      <c r="AX152" s="47">
        <v>0.52</v>
      </c>
      <c r="AY152" s="47">
        <v>0.438</v>
      </c>
      <c r="AZ152" s="47">
        <v>0.36699999999999999</v>
      </c>
      <c r="BA152" s="47">
        <v>0.35699999999999998</v>
      </c>
      <c r="BB152" s="47">
        <v>0.26500000000000001</v>
      </c>
      <c r="BC152" s="47">
        <v>0.28499999999999998</v>
      </c>
      <c r="BD152" s="47">
        <v>0.255</v>
      </c>
      <c r="BE152" s="47">
        <v>0.214</v>
      </c>
      <c r="BF152" s="47">
        <v>0.12200000000000001</v>
      </c>
      <c r="BG152" s="47">
        <v>0.01</v>
      </c>
      <c r="BH152" s="47">
        <v>0</v>
      </c>
      <c r="BI152" s="47">
        <v>5.0999999999999997E-2</v>
      </c>
      <c r="BJ152" s="47">
        <v>0.14199999999999999</v>
      </c>
      <c r="BK152" s="47">
        <v>0.17299999999999999</v>
      </c>
      <c r="BL152" s="47">
        <v>0.183</v>
      </c>
      <c r="BM152" s="47">
        <v>0.13200000000000001</v>
      </c>
      <c r="BN152" s="47">
        <v>9.0999999999999998E-2</v>
      </c>
      <c r="BO152" s="47">
        <v>0.10199999999999999</v>
      </c>
      <c r="BP152" s="47">
        <v>0.16300000000000001</v>
      </c>
      <c r="BQ152" s="47">
        <v>0.20399999999999999</v>
      </c>
      <c r="BR152" s="47">
        <v>0.316</v>
      </c>
      <c r="BS152" s="47">
        <v>0.45900000000000002</v>
      </c>
      <c r="BT152" s="47">
        <v>0.48899999999999999</v>
      </c>
      <c r="BU152" s="47">
        <v>0.41799999999999998</v>
      </c>
      <c r="BV152" s="47">
        <v>0.32600000000000001</v>
      </c>
      <c r="BW152" s="47">
        <v>0.30599999999999999</v>
      </c>
      <c r="BX152" s="47">
        <v>0.39700000000000002</v>
      </c>
      <c r="BY152" s="47">
        <v>0.46900000000000003</v>
      </c>
      <c r="BZ152" s="47">
        <v>0.53</v>
      </c>
      <c r="CA152" s="47">
        <v>0.55100000000000005</v>
      </c>
      <c r="CB152" s="47">
        <v>0.57099999999999995</v>
      </c>
      <c r="CC152" s="47">
        <v>0.61199999999999999</v>
      </c>
      <c r="CD152" s="47">
        <v>0.63200000000000001</v>
      </c>
      <c r="CE152" s="47">
        <v>0.67300000000000004</v>
      </c>
      <c r="CF152" s="47">
        <v>0.76500000000000001</v>
      </c>
      <c r="CG152" s="47">
        <v>0.80599999999999994</v>
      </c>
      <c r="CH152" s="47">
        <v>0.81599999999999995</v>
      </c>
      <c r="CI152" s="47">
        <v>0.79500000000000004</v>
      </c>
      <c r="CJ152" s="47">
        <v>0.71399999999999997</v>
      </c>
      <c r="CK152" s="47">
        <v>0.66300000000000003</v>
      </c>
      <c r="CL152" s="47">
        <v>0.65300000000000002</v>
      </c>
      <c r="CM152" s="47">
        <v>0.69299999999999995</v>
      </c>
      <c r="CN152" s="47">
        <v>0.68300000000000005</v>
      </c>
      <c r="CO152" s="47">
        <v>0.622</v>
      </c>
      <c r="CP152" s="47">
        <v>0.5</v>
      </c>
      <c r="CQ152" s="47">
        <v>0.27500000000000002</v>
      </c>
      <c r="CR152" s="47">
        <v>0.193</v>
      </c>
      <c r="CS152" s="47">
        <v>8.1000000000000003E-2</v>
      </c>
      <c r="CT152" s="47">
        <v>0.02</v>
      </c>
      <c r="CU152" s="47">
        <v>0.03</v>
      </c>
      <c r="CV152" s="47">
        <v>7.0999999999999994E-2</v>
      </c>
      <c r="CW152" s="47">
        <v>0.112</v>
      </c>
      <c r="CX152" s="47">
        <v>0.153</v>
      </c>
      <c r="CY152" s="47">
        <v>6.1000000000000006E-2</v>
      </c>
      <c r="CZ152" s="47">
        <v>0.04</v>
      </c>
    </row>
    <row r="153" spans="1:104" x14ac:dyDescent="0.2">
      <c r="A153" s="45" t="s">
        <v>186</v>
      </c>
      <c r="B153" s="46">
        <f t="shared" si="29"/>
        <v>2.3499999999999965</v>
      </c>
      <c r="C153" s="46">
        <f t="shared" si="30"/>
        <v>0</v>
      </c>
      <c r="D153" s="48">
        <f t="shared" si="31"/>
        <v>17.019747802959497</v>
      </c>
      <c r="E153" s="46"/>
      <c r="F153" s="47">
        <v>0.5</v>
      </c>
      <c r="G153" s="47">
        <v>0.5</v>
      </c>
      <c r="H153" s="47">
        <v>0.5</v>
      </c>
      <c r="I153" s="47">
        <v>0.5</v>
      </c>
      <c r="J153" s="47">
        <v>0.5</v>
      </c>
      <c r="K153" s="47">
        <v>0.49850000000000005</v>
      </c>
      <c r="L153" s="47">
        <v>0.49900000000000005</v>
      </c>
      <c r="M153" s="47">
        <v>0.5</v>
      </c>
      <c r="N153" s="47">
        <v>0.4955</v>
      </c>
      <c r="O153" s="47">
        <v>0.49100000000000005</v>
      </c>
      <c r="P153" s="47">
        <v>0.47649999999999998</v>
      </c>
      <c r="Q153" s="47">
        <v>0.48699999999999999</v>
      </c>
      <c r="R153" s="47">
        <v>0.51350000000000007</v>
      </c>
      <c r="S153" s="47">
        <v>0.52999999999999992</v>
      </c>
      <c r="T153" s="47">
        <v>0.4945</v>
      </c>
      <c r="U153" s="47">
        <v>0.48500000000000004</v>
      </c>
      <c r="V153" s="47">
        <v>0.48599999999999999</v>
      </c>
      <c r="W153" s="47">
        <v>0.47650000000000003</v>
      </c>
      <c r="X153" s="47">
        <v>0.47699999999999998</v>
      </c>
      <c r="Y153" s="47">
        <v>0.47749999999999998</v>
      </c>
      <c r="Z153" s="47">
        <v>0.47849999999999998</v>
      </c>
      <c r="AA153" s="47">
        <v>0.47950000000000009</v>
      </c>
      <c r="AB153" s="47">
        <v>0.48000000000000004</v>
      </c>
      <c r="AC153" s="47">
        <v>0.47549999999999998</v>
      </c>
      <c r="AD153" s="47">
        <v>0.47649999999999998</v>
      </c>
      <c r="AE153" s="47">
        <v>0.47699999999999992</v>
      </c>
      <c r="AF153" s="47">
        <v>0.49</v>
      </c>
      <c r="AG153" s="47">
        <v>0.503</v>
      </c>
      <c r="AH153" s="47">
        <v>0.60299999999999998</v>
      </c>
      <c r="AI153" s="47">
        <v>0.54900000000000004</v>
      </c>
      <c r="AJ153" s="47">
        <v>0.48699999999999999</v>
      </c>
      <c r="AK153" s="47">
        <v>0.46000000000000008</v>
      </c>
      <c r="AL153" s="47">
        <v>0.443</v>
      </c>
      <c r="AM153" s="47">
        <v>0.4325</v>
      </c>
      <c r="AN153" s="47">
        <v>0.41</v>
      </c>
      <c r="AO153" s="47">
        <v>0.41750000000000004</v>
      </c>
      <c r="AP153" s="47">
        <v>0.43</v>
      </c>
      <c r="AQ153" s="47">
        <v>0.438</v>
      </c>
      <c r="AR153" s="47">
        <v>0.44750000000000001</v>
      </c>
      <c r="AS153" s="47">
        <v>0.45649999999999996</v>
      </c>
      <c r="AT153" s="47">
        <v>0.44800000000000006</v>
      </c>
      <c r="AU153" s="47">
        <v>0.44750000000000001</v>
      </c>
      <c r="AV153" s="47">
        <v>0.42849999999999994</v>
      </c>
      <c r="AW153" s="47">
        <v>0.40949999999999998</v>
      </c>
      <c r="AX153" s="47">
        <v>0.42899999999999999</v>
      </c>
      <c r="AY153" s="47">
        <v>0.44850000000000001</v>
      </c>
      <c r="AZ153" s="47">
        <v>0.45699999999999996</v>
      </c>
      <c r="BA153" s="47">
        <v>0.51700000000000002</v>
      </c>
      <c r="BB153" s="47">
        <v>0.55000000000000004</v>
      </c>
      <c r="BC153" s="47">
        <v>0.58900000000000008</v>
      </c>
      <c r="BD153" s="47">
        <v>0.63450000000000006</v>
      </c>
      <c r="BE153" s="47">
        <v>0.66300000000000003</v>
      </c>
      <c r="BF153" s="47">
        <v>0.76050000000000006</v>
      </c>
      <c r="BG153" s="47">
        <v>0.75800000000000001</v>
      </c>
      <c r="BH153" s="47">
        <v>0.77100000000000002</v>
      </c>
      <c r="BI153" s="47">
        <v>0.78300000000000003</v>
      </c>
      <c r="BJ153" s="47">
        <v>0.80349999999999999</v>
      </c>
      <c r="BK153" s="47">
        <v>0.82900000000000007</v>
      </c>
      <c r="BL153" s="47">
        <v>0.86949999999999994</v>
      </c>
      <c r="BM153" s="47">
        <v>0.85799999999999998</v>
      </c>
      <c r="BN153" s="47">
        <v>0.85</v>
      </c>
      <c r="BO153" s="47">
        <v>0.84699999999999998</v>
      </c>
      <c r="BP153" s="47">
        <v>0.8095</v>
      </c>
      <c r="BQ153" s="47">
        <v>0.78949999999999987</v>
      </c>
      <c r="BR153" s="47">
        <v>0.77050000000000007</v>
      </c>
      <c r="BS153" s="47">
        <v>0.74350000000000005</v>
      </c>
      <c r="BT153" s="47">
        <v>0.70099999999999996</v>
      </c>
      <c r="BU153" s="47">
        <v>0.65800000000000014</v>
      </c>
      <c r="BV153" s="47">
        <v>0.63049999999999995</v>
      </c>
      <c r="BW153" s="47">
        <v>0.60799999999999987</v>
      </c>
      <c r="BX153" s="47">
        <v>0.57400000000000007</v>
      </c>
      <c r="BY153" s="47">
        <v>0.55799999999999994</v>
      </c>
      <c r="BZ153" s="47">
        <v>0.54199999999999993</v>
      </c>
      <c r="CA153" s="47">
        <v>0.53100000000000003</v>
      </c>
      <c r="CB153" s="47">
        <v>0.499</v>
      </c>
      <c r="CC153" s="47">
        <v>0.47749999999999998</v>
      </c>
      <c r="CD153" s="47">
        <v>0.46700000000000003</v>
      </c>
      <c r="CE153" s="47">
        <v>0.45050000000000001</v>
      </c>
      <c r="CF153" s="47">
        <v>0.43950000000000006</v>
      </c>
      <c r="CG153" s="47">
        <v>0.42799999999999999</v>
      </c>
      <c r="CH153" s="47">
        <v>0.39400000000000002</v>
      </c>
      <c r="CI153" s="47">
        <v>0.31950000000000001</v>
      </c>
      <c r="CJ153" s="47">
        <v>0.26800000000000002</v>
      </c>
      <c r="CK153" s="47">
        <v>0.251</v>
      </c>
      <c r="CL153" s="47">
        <v>0.23400000000000001</v>
      </c>
      <c r="CM153" s="47">
        <v>0.21749999999999997</v>
      </c>
      <c r="CN153" s="47">
        <v>0.21249999999999999</v>
      </c>
      <c r="CO153" s="47">
        <v>0.30649999999999999</v>
      </c>
      <c r="CP153" s="47">
        <v>0.28100000000000003</v>
      </c>
      <c r="CQ153" s="47">
        <v>0.29099999999999998</v>
      </c>
      <c r="CR153" s="47">
        <v>0.29599999999999999</v>
      </c>
      <c r="CS153" s="47">
        <v>0.30149999999999999</v>
      </c>
      <c r="CT153" s="47">
        <v>0.29099999999999998</v>
      </c>
      <c r="CU153" s="47">
        <v>0.27600000000000002</v>
      </c>
      <c r="CV153" s="47">
        <v>0.27050000000000002</v>
      </c>
      <c r="CW153" s="47">
        <v>0.26550000000000001</v>
      </c>
      <c r="CX153" s="47">
        <v>0.2555</v>
      </c>
      <c r="CY153" s="47">
        <v>0.25</v>
      </c>
      <c r="CZ153" s="47">
        <v>0.26550000000000001</v>
      </c>
    </row>
    <row r="154" spans="1:104" x14ac:dyDescent="0.2">
      <c r="A154" s="45" t="s">
        <v>187</v>
      </c>
      <c r="B154" s="46">
        <f t="shared" si="29"/>
        <v>-15.149999999999997</v>
      </c>
      <c r="C154" s="46">
        <f t="shared" si="30"/>
        <v>0</v>
      </c>
      <c r="D154" s="48">
        <f t="shared" si="31"/>
        <v>20.922218265180305</v>
      </c>
      <c r="E154" s="46"/>
      <c r="F154" s="47">
        <v>0.5</v>
      </c>
      <c r="G154" s="47">
        <v>0.5</v>
      </c>
      <c r="H154" s="47">
        <v>0.5</v>
      </c>
      <c r="I154" s="47">
        <v>0.5</v>
      </c>
      <c r="J154" s="47">
        <v>0.5</v>
      </c>
      <c r="K154" s="47">
        <v>0.50900000000000001</v>
      </c>
      <c r="L154" s="47">
        <v>0.52150000000000007</v>
      </c>
      <c r="M154" s="47">
        <v>0.51350000000000007</v>
      </c>
      <c r="N154" s="47">
        <v>0.52449999999999997</v>
      </c>
      <c r="O154" s="47">
        <v>0.5465000000000001</v>
      </c>
      <c r="P154" s="47">
        <v>0.5575</v>
      </c>
      <c r="Q154" s="47">
        <v>0.55299999999999994</v>
      </c>
      <c r="R154" s="47">
        <v>0.54349999999999998</v>
      </c>
      <c r="S154" s="47">
        <v>0.54400000000000004</v>
      </c>
      <c r="T154" s="47">
        <v>0.62050000000000005</v>
      </c>
      <c r="U154" s="47">
        <v>0.64399999999999991</v>
      </c>
      <c r="V154" s="47">
        <v>0.65099999999999991</v>
      </c>
      <c r="W154" s="47">
        <v>0.65149999999999997</v>
      </c>
      <c r="X154" s="47">
        <v>0.66400000000000003</v>
      </c>
      <c r="Y154" s="47">
        <v>0.67049999999999998</v>
      </c>
      <c r="Z154" s="47">
        <v>0.65949999999999998</v>
      </c>
      <c r="AA154" s="47">
        <v>0.64300000000000002</v>
      </c>
      <c r="AB154" s="47">
        <v>0.63200000000000001</v>
      </c>
      <c r="AC154" s="47">
        <v>0.65600000000000003</v>
      </c>
      <c r="AD154" s="47">
        <v>0.65700000000000003</v>
      </c>
      <c r="AE154" s="47">
        <v>0.66299999999999992</v>
      </c>
      <c r="AF154" s="47">
        <v>0.66399999999999992</v>
      </c>
      <c r="AG154" s="47">
        <v>0.746</v>
      </c>
      <c r="AH154" s="47">
        <v>0.79350000000000009</v>
      </c>
      <c r="AI154" s="47">
        <v>0.79999999999999993</v>
      </c>
      <c r="AJ154" s="47">
        <v>0.79999999999999993</v>
      </c>
      <c r="AK154" s="47">
        <v>0.80099999999999993</v>
      </c>
      <c r="AL154" s="47">
        <v>0.80200000000000005</v>
      </c>
      <c r="AM154" s="47">
        <v>0.80249999999999988</v>
      </c>
      <c r="AN154" s="47">
        <v>0.8095</v>
      </c>
      <c r="AO154" s="47">
        <v>0.8095</v>
      </c>
      <c r="AP154" s="47">
        <v>0.8105</v>
      </c>
      <c r="AQ154" s="47">
        <v>0.8115</v>
      </c>
      <c r="AR154" s="47">
        <v>0.77700000000000002</v>
      </c>
      <c r="AS154" s="47">
        <v>0.70799999999999996</v>
      </c>
      <c r="AT154" s="47">
        <v>0.59800000000000009</v>
      </c>
      <c r="AU154" s="47">
        <v>0.59899999999999998</v>
      </c>
      <c r="AV154" s="47">
        <v>0.61199999999999999</v>
      </c>
      <c r="AW154" s="47">
        <v>0.59050000000000002</v>
      </c>
      <c r="AX154" s="47">
        <v>0.58349999999999991</v>
      </c>
      <c r="AY154" s="47">
        <v>0.57050000000000001</v>
      </c>
      <c r="AZ154" s="47">
        <v>0.57399999999999995</v>
      </c>
      <c r="BA154" s="47">
        <v>0.57699999999999996</v>
      </c>
      <c r="BB154" s="47">
        <v>0.57399999999999995</v>
      </c>
      <c r="BC154" s="47">
        <v>0.58650000000000002</v>
      </c>
      <c r="BD154" s="47">
        <v>0.59399999999999997</v>
      </c>
      <c r="BE154" s="47">
        <v>0.6</v>
      </c>
      <c r="BF154" s="47">
        <v>0.61249999999999993</v>
      </c>
      <c r="BG154" s="47">
        <v>0.63350000000000006</v>
      </c>
      <c r="BH154" s="47">
        <v>0.65999999999999992</v>
      </c>
      <c r="BI154" s="47">
        <v>0.70200000000000007</v>
      </c>
      <c r="BJ154" s="47">
        <v>0.59550000000000003</v>
      </c>
      <c r="BK154" s="47">
        <v>0.57399999999999995</v>
      </c>
      <c r="BL154" s="47">
        <v>0.54049999999999998</v>
      </c>
      <c r="BM154" s="47">
        <v>0.51300000000000001</v>
      </c>
      <c r="BN154" s="47">
        <v>0.47000000000000008</v>
      </c>
      <c r="BO154" s="47">
        <v>0.40050000000000002</v>
      </c>
      <c r="BP154" s="47">
        <v>0.3715</v>
      </c>
      <c r="BQ154" s="47">
        <v>0.3135</v>
      </c>
      <c r="BR154" s="47">
        <v>0.30200000000000005</v>
      </c>
      <c r="BS154" s="47">
        <v>0.30599999999999999</v>
      </c>
      <c r="BT154" s="47">
        <v>0.30549999999999994</v>
      </c>
      <c r="BU154" s="47">
        <v>0.315</v>
      </c>
      <c r="BV154" s="47">
        <v>0.31899999999999995</v>
      </c>
      <c r="BW154" s="47">
        <v>0.28750000000000003</v>
      </c>
      <c r="BX154" s="47">
        <v>0.23450000000000001</v>
      </c>
      <c r="BY154" s="47">
        <v>0.20600000000000004</v>
      </c>
      <c r="BZ154" s="47">
        <v>0.17350000000000002</v>
      </c>
      <c r="CA154" s="47">
        <v>0.11749999999999999</v>
      </c>
      <c r="CB154" s="47">
        <v>0.15399999999999997</v>
      </c>
      <c r="CC154" s="47">
        <v>0.16049999999999998</v>
      </c>
      <c r="CD154" s="47">
        <v>0.20300000000000004</v>
      </c>
      <c r="CE154" s="47">
        <v>0.184</v>
      </c>
      <c r="CF154" s="47">
        <v>0.15000000000000002</v>
      </c>
      <c r="CG154" s="47">
        <v>0.16250000000000001</v>
      </c>
      <c r="CH154" s="47">
        <v>0.14500000000000002</v>
      </c>
      <c r="CI154" s="47">
        <v>0.14300000000000002</v>
      </c>
      <c r="CJ154" s="47">
        <v>0.16750000000000001</v>
      </c>
      <c r="CK154" s="47">
        <v>0.1855</v>
      </c>
      <c r="CL154" s="47">
        <v>0.20949999999999999</v>
      </c>
      <c r="CM154" s="47">
        <v>0.20999999999999996</v>
      </c>
      <c r="CN154" s="47">
        <v>0.20999999999999996</v>
      </c>
      <c r="CO154" s="47">
        <v>0.28599999999999998</v>
      </c>
      <c r="CP154" s="47">
        <v>0.28599999999999998</v>
      </c>
      <c r="CQ154" s="47">
        <v>0.3115</v>
      </c>
      <c r="CR154" s="47">
        <v>0.39800000000000002</v>
      </c>
      <c r="CS154" s="47">
        <v>0.41850000000000004</v>
      </c>
      <c r="CT154" s="47">
        <v>0.42899999999999994</v>
      </c>
      <c r="CU154" s="47">
        <v>0.43900000000000006</v>
      </c>
      <c r="CV154" s="47">
        <v>0.51049999999999995</v>
      </c>
      <c r="CW154" s="47">
        <v>0.51550000000000007</v>
      </c>
      <c r="CX154" s="47">
        <v>0.52049999999999996</v>
      </c>
      <c r="CY154" s="47">
        <v>0.52599999999999991</v>
      </c>
      <c r="CZ154" s="47">
        <v>0.53600000000000003</v>
      </c>
    </row>
    <row r="155" spans="1:104" x14ac:dyDescent="0.2">
      <c r="A155" s="45" t="s">
        <v>188</v>
      </c>
      <c r="B155" s="46">
        <f t="shared" si="29"/>
        <v>1.4500000000000068</v>
      </c>
      <c r="C155" s="46">
        <f t="shared" si="30"/>
        <v>0</v>
      </c>
      <c r="D155" s="48">
        <f t="shared" si="31"/>
        <v>16.709484427555264</v>
      </c>
      <c r="E155" s="46"/>
      <c r="F155" s="47">
        <v>0.33250000000000002</v>
      </c>
      <c r="G155" s="47">
        <v>0.33250000000000002</v>
      </c>
      <c r="H155" s="47">
        <v>0.33250000000000002</v>
      </c>
      <c r="I155" s="47">
        <v>0.33250000000000002</v>
      </c>
      <c r="J155" s="47">
        <v>0.32700000000000001</v>
      </c>
      <c r="K155" s="47">
        <v>0.32500000000000007</v>
      </c>
      <c r="L155" s="47">
        <v>0.27449999999999997</v>
      </c>
      <c r="M155" s="47">
        <v>0.16850000000000001</v>
      </c>
      <c r="N155" s="47">
        <v>0.18450000000000003</v>
      </c>
      <c r="O155" s="47">
        <v>0.2</v>
      </c>
      <c r="P155" s="47">
        <v>0.249</v>
      </c>
      <c r="Q155" s="47">
        <v>0.23799999999999999</v>
      </c>
      <c r="R155" s="47">
        <v>0.22700000000000001</v>
      </c>
      <c r="S155" s="47">
        <v>0.21150000000000002</v>
      </c>
      <c r="T155" s="47">
        <v>0.29050000000000004</v>
      </c>
      <c r="U155" s="47">
        <v>0.31699999999999995</v>
      </c>
      <c r="V155" s="47">
        <v>0.32799999999999996</v>
      </c>
      <c r="W155" s="47">
        <v>0.31799999999999995</v>
      </c>
      <c r="X155" s="47">
        <v>0.32650000000000001</v>
      </c>
      <c r="Y155" s="47">
        <v>0.32899999999999996</v>
      </c>
      <c r="Z155" s="47">
        <v>0.32850000000000001</v>
      </c>
      <c r="AA155" s="47">
        <v>0.32750000000000001</v>
      </c>
      <c r="AB155" s="47">
        <v>0.32650000000000007</v>
      </c>
      <c r="AC155" s="47">
        <v>0.249</v>
      </c>
      <c r="AD155" s="47">
        <v>0.22750000000000001</v>
      </c>
      <c r="AE155" s="47">
        <v>0.20699999999999999</v>
      </c>
      <c r="AF155" s="47">
        <v>0.26349999999999996</v>
      </c>
      <c r="AG155" s="47">
        <v>0.27899999999999997</v>
      </c>
      <c r="AH155" s="47">
        <v>0.36350000000000005</v>
      </c>
      <c r="AI155" s="47">
        <v>0.42749999999999999</v>
      </c>
      <c r="AJ155" s="47">
        <v>0.4345</v>
      </c>
      <c r="AK155" s="47">
        <v>0.43299999999999994</v>
      </c>
      <c r="AL155" s="47">
        <v>0.44450000000000006</v>
      </c>
      <c r="AM155" s="47">
        <v>0.46699999999999997</v>
      </c>
      <c r="AN155" s="47">
        <v>0.49500000000000005</v>
      </c>
      <c r="AO155" s="47">
        <v>0.44249999999999995</v>
      </c>
      <c r="AP155" s="47">
        <v>0.35499999999999998</v>
      </c>
      <c r="AQ155" s="47">
        <v>0.28749999999999998</v>
      </c>
      <c r="AR155" s="47">
        <v>0.42299999999999999</v>
      </c>
      <c r="AS155" s="47">
        <v>0.56950000000000001</v>
      </c>
      <c r="AT155" s="47">
        <v>0.6805000000000001</v>
      </c>
      <c r="AU155" s="47">
        <v>0.46899999999999997</v>
      </c>
      <c r="AV155" s="47">
        <v>0.44699999999999995</v>
      </c>
      <c r="AW155" s="47">
        <v>0.43149999999999994</v>
      </c>
      <c r="AX155" s="47">
        <v>0.43750000000000006</v>
      </c>
      <c r="AY155" s="47">
        <v>0.45</v>
      </c>
      <c r="AZ155" s="47">
        <v>0.45650000000000002</v>
      </c>
      <c r="BA155" s="47">
        <v>0.441</v>
      </c>
      <c r="BB155" s="47">
        <v>0.4210000000000001</v>
      </c>
      <c r="BC155" s="47">
        <v>0.40050000000000002</v>
      </c>
      <c r="BD155" s="47">
        <v>0.44450000000000006</v>
      </c>
      <c r="BE155" s="47">
        <v>0.47749999999999998</v>
      </c>
      <c r="BF155" s="47">
        <v>0.51649999999999996</v>
      </c>
      <c r="BG155" s="47">
        <v>0.50750000000000006</v>
      </c>
      <c r="BH155" s="47">
        <v>0.49849999999999994</v>
      </c>
      <c r="BI155" s="47">
        <v>0.5</v>
      </c>
      <c r="BJ155" s="47">
        <v>0.50349999999999995</v>
      </c>
      <c r="BK155" s="47">
        <v>0.51749999999999996</v>
      </c>
      <c r="BL155" s="47">
        <v>0.52149999999999996</v>
      </c>
      <c r="BM155" s="47">
        <v>0.54100000000000004</v>
      </c>
      <c r="BN155" s="47">
        <v>0.54500000000000004</v>
      </c>
      <c r="BO155" s="47">
        <v>0.66200000000000003</v>
      </c>
      <c r="BP155" s="47">
        <v>0.6915</v>
      </c>
      <c r="BQ155" s="47">
        <v>0.6944999999999999</v>
      </c>
      <c r="BR155" s="47">
        <v>0.72</v>
      </c>
      <c r="BS155" s="47">
        <v>0.70950000000000002</v>
      </c>
      <c r="BT155" s="47">
        <v>0.68549999999999989</v>
      </c>
      <c r="BU155" s="47">
        <v>0.67300000000000004</v>
      </c>
      <c r="BV155" s="47">
        <v>0.66049999999999998</v>
      </c>
      <c r="BW155" s="47">
        <v>0.64300000000000002</v>
      </c>
      <c r="BX155" s="47">
        <v>0.6130000000000001</v>
      </c>
      <c r="BY155" s="47">
        <v>0.60050000000000003</v>
      </c>
      <c r="BZ155" s="47">
        <v>0.59399999999999997</v>
      </c>
      <c r="CA155" s="47">
        <v>0.58149999999999991</v>
      </c>
      <c r="CB155" s="47">
        <v>0.61050000000000004</v>
      </c>
      <c r="CC155" s="47">
        <v>0.63300000000000001</v>
      </c>
      <c r="CD155" s="47">
        <v>0.67849999999999999</v>
      </c>
      <c r="CE155" s="47">
        <v>0.67199999999999993</v>
      </c>
      <c r="CF155" s="47">
        <v>0.66500000000000004</v>
      </c>
      <c r="CG155" s="47">
        <v>0.67900000000000005</v>
      </c>
      <c r="CH155" s="47">
        <v>0.6905</v>
      </c>
      <c r="CI155" s="47">
        <v>0.70250000000000001</v>
      </c>
      <c r="CJ155" s="47">
        <v>0.71399999999999986</v>
      </c>
      <c r="CK155" s="47">
        <v>0.73699999999999999</v>
      </c>
      <c r="CL155" s="47">
        <v>0.75850000000000006</v>
      </c>
      <c r="CM155" s="47">
        <v>0.77999999999999992</v>
      </c>
      <c r="CN155" s="47">
        <v>0.79050000000000009</v>
      </c>
      <c r="CO155" s="47">
        <v>0.72449999999999992</v>
      </c>
      <c r="CP155" s="47">
        <v>0.7350000000000001</v>
      </c>
      <c r="CQ155" s="47">
        <v>0.71950000000000003</v>
      </c>
      <c r="CR155" s="47">
        <v>0.69900000000000007</v>
      </c>
      <c r="CS155" s="47">
        <v>0.67349999999999999</v>
      </c>
      <c r="CT155" s="47">
        <v>0.68899999999999995</v>
      </c>
      <c r="CU155" s="47">
        <v>0.70450000000000002</v>
      </c>
      <c r="CV155" s="47">
        <v>0.71950000000000003</v>
      </c>
      <c r="CW155" s="47">
        <v>0.7350000000000001</v>
      </c>
      <c r="CX155" s="47">
        <v>0.73999999999999988</v>
      </c>
      <c r="CY155" s="47">
        <v>0.74499999999999988</v>
      </c>
      <c r="CZ155" s="47">
        <v>0.75</v>
      </c>
    </row>
    <row r="156" spans="1:104" x14ac:dyDescent="0.2">
      <c r="A156" s="45" t="s">
        <v>189</v>
      </c>
      <c r="B156" s="46">
        <f t="shared" si="29"/>
        <v>-12.85</v>
      </c>
      <c r="C156" s="46">
        <f t="shared" si="30"/>
        <v>0</v>
      </c>
      <c r="D156" s="48">
        <f t="shared" si="31"/>
        <v>17.298710561017664</v>
      </c>
      <c r="E156" s="46"/>
      <c r="F156" s="47">
        <v>0.32250000000000001</v>
      </c>
      <c r="G156" s="47">
        <v>0.32250000000000001</v>
      </c>
      <c r="H156" s="47">
        <v>0.32250000000000001</v>
      </c>
      <c r="I156" s="47">
        <v>0.32250000000000001</v>
      </c>
      <c r="J156" s="47">
        <v>0.32250000000000001</v>
      </c>
      <c r="K156" s="47">
        <v>0.34250000000000003</v>
      </c>
      <c r="L156" s="47">
        <v>0.38250000000000001</v>
      </c>
      <c r="M156" s="47">
        <v>0.41750000000000004</v>
      </c>
      <c r="N156" s="47">
        <v>0.40150000000000002</v>
      </c>
      <c r="O156" s="47">
        <v>0.39050000000000001</v>
      </c>
      <c r="P156" s="47">
        <v>0.33850000000000002</v>
      </c>
      <c r="Q156" s="47">
        <v>0.33850000000000002</v>
      </c>
      <c r="R156" s="47">
        <v>0.34249999999999997</v>
      </c>
      <c r="S156" s="47">
        <v>0.34699999999999998</v>
      </c>
      <c r="T156" s="47">
        <v>0.43850000000000006</v>
      </c>
      <c r="U156" s="47">
        <v>0.4395</v>
      </c>
      <c r="V156" s="47">
        <v>0.47699999999999992</v>
      </c>
      <c r="W156" s="47">
        <v>0.45100000000000001</v>
      </c>
      <c r="X156" s="47">
        <v>0.434</v>
      </c>
      <c r="Y156" s="47">
        <v>0.39450000000000002</v>
      </c>
      <c r="Z156" s="47">
        <v>0.38950000000000001</v>
      </c>
      <c r="AA156" s="47">
        <v>0.39050000000000001</v>
      </c>
      <c r="AB156" s="47">
        <v>0.39100000000000001</v>
      </c>
      <c r="AC156" s="47">
        <v>0.39200000000000002</v>
      </c>
      <c r="AD156" s="47">
        <v>0.36699999999999999</v>
      </c>
      <c r="AE156" s="47">
        <v>0.3735</v>
      </c>
      <c r="AF156" s="47">
        <v>0.38599999999999995</v>
      </c>
      <c r="AG156" s="47">
        <v>0.40399999999999997</v>
      </c>
      <c r="AH156" s="47">
        <v>0.40450000000000003</v>
      </c>
      <c r="AI156" s="47">
        <v>0.40899999999999997</v>
      </c>
      <c r="AJ156" s="47">
        <v>0.40750000000000003</v>
      </c>
      <c r="AK156" s="47">
        <v>0.40700000000000003</v>
      </c>
      <c r="AL156" s="47">
        <v>0.40600000000000008</v>
      </c>
      <c r="AM156" s="47">
        <v>0.40549999999999992</v>
      </c>
      <c r="AN156" s="47">
        <v>0.40449999999999997</v>
      </c>
      <c r="AO156" s="47">
        <v>0.35749999999999998</v>
      </c>
      <c r="AP156" s="47">
        <v>0.34150000000000003</v>
      </c>
      <c r="AQ156" s="47">
        <v>0.33</v>
      </c>
      <c r="AR156" s="47">
        <v>0.3775</v>
      </c>
      <c r="AS156" s="47">
        <v>0.39</v>
      </c>
      <c r="AT156" s="47">
        <v>0.44299999999999989</v>
      </c>
      <c r="AU156" s="47">
        <v>0.39150000000000001</v>
      </c>
      <c r="AV156" s="47">
        <v>0.33450000000000002</v>
      </c>
      <c r="AW156" s="47">
        <v>0.29649999999999999</v>
      </c>
      <c r="AX156" s="47">
        <v>0.28100000000000003</v>
      </c>
      <c r="AY156" s="47">
        <v>0.26400000000000001</v>
      </c>
      <c r="AZ156" s="47">
        <v>0.253</v>
      </c>
      <c r="BA156" s="47">
        <v>0.27999999999999997</v>
      </c>
      <c r="BB156" s="47">
        <v>0.313</v>
      </c>
      <c r="BC156" s="47">
        <v>0.32350000000000001</v>
      </c>
      <c r="BD156" s="47">
        <v>0.36749999999999999</v>
      </c>
      <c r="BE156" s="47">
        <v>0.436</v>
      </c>
      <c r="BF156" s="47">
        <v>0.5485000000000001</v>
      </c>
      <c r="BG156" s="47">
        <v>0.52550000000000008</v>
      </c>
      <c r="BH156" s="47">
        <v>0.48849999999999999</v>
      </c>
      <c r="BI156" s="47">
        <v>0.44650000000000001</v>
      </c>
      <c r="BJ156" s="47">
        <v>0.45599999999999996</v>
      </c>
      <c r="BK156" s="47">
        <v>0.46550000000000002</v>
      </c>
      <c r="BL156" s="47">
        <v>0.47500000000000003</v>
      </c>
      <c r="BM156" s="47">
        <v>0.4385</v>
      </c>
      <c r="BN156" s="47">
        <v>0.40650000000000008</v>
      </c>
      <c r="BO156" s="47">
        <v>0.38500000000000001</v>
      </c>
      <c r="BP156" s="47">
        <v>0.47150000000000009</v>
      </c>
      <c r="BQ156" s="47">
        <v>0.54999999999999993</v>
      </c>
      <c r="BR156" s="47">
        <v>0.63300000000000001</v>
      </c>
      <c r="BS156" s="47">
        <v>0.5655</v>
      </c>
      <c r="BT156" s="47">
        <v>0.53399999999999992</v>
      </c>
      <c r="BU156" s="47">
        <v>0.49200000000000005</v>
      </c>
      <c r="BV156" s="47">
        <v>0.48100000000000004</v>
      </c>
      <c r="BW156" s="47">
        <v>0.46450000000000002</v>
      </c>
      <c r="BX156" s="47">
        <v>0.4415</v>
      </c>
      <c r="BY156" s="47">
        <v>0.57300000000000006</v>
      </c>
      <c r="BZ156" s="47">
        <v>0.61749999999999994</v>
      </c>
      <c r="CA156" s="47">
        <v>0.72899999999999998</v>
      </c>
      <c r="CB156" s="47">
        <v>0.79250000000000009</v>
      </c>
      <c r="CC156" s="47">
        <v>0.83700000000000008</v>
      </c>
      <c r="CD156" s="47">
        <v>0.86450000000000005</v>
      </c>
      <c r="CE156" s="47">
        <v>0.84050000000000014</v>
      </c>
      <c r="CF156" s="47">
        <v>0.82200000000000006</v>
      </c>
      <c r="CG156" s="47">
        <v>0.80999999999999994</v>
      </c>
      <c r="CH156" s="47">
        <v>0.80349999999999999</v>
      </c>
      <c r="CI156" s="47">
        <v>0.79699999999999993</v>
      </c>
      <c r="CJ156" s="47">
        <v>0.79049999999999987</v>
      </c>
      <c r="CK156" s="47">
        <v>0.78349999999999997</v>
      </c>
      <c r="CL156" s="47">
        <v>0.77449999999999997</v>
      </c>
      <c r="CM156" s="47">
        <v>0.77649999999999986</v>
      </c>
      <c r="CN156" s="47">
        <v>0.78649999999999998</v>
      </c>
      <c r="CO156" s="47">
        <v>0.745</v>
      </c>
      <c r="CP156" s="47">
        <v>0.75</v>
      </c>
      <c r="CQ156" s="47">
        <v>0.71950000000000003</v>
      </c>
      <c r="CR156" s="47">
        <v>0.69399999999999995</v>
      </c>
      <c r="CS156" s="47">
        <v>0.67349999999999988</v>
      </c>
      <c r="CT156" s="47">
        <v>0.68399999999999994</v>
      </c>
      <c r="CU156" s="47">
        <v>0.68899999999999995</v>
      </c>
      <c r="CV156" s="47">
        <v>0.7044999999999999</v>
      </c>
      <c r="CW156" s="47">
        <v>0.70950000000000002</v>
      </c>
      <c r="CX156" s="47">
        <v>0.71450000000000002</v>
      </c>
      <c r="CY156" s="47">
        <v>0.72449999999999992</v>
      </c>
      <c r="CZ156" s="47">
        <v>0.73499999999999999</v>
      </c>
    </row>
    <row r="157" spans="1:104" x14ac:dyDescent="0.2">
      <c r="A157" s="45" t="s">
        <v>190</v>
      </c>
      <c r="B157" s="46">
        <f t="shared" si="29"/>
        <v>24.079999999999995</v>
      </c>
      <c r="C157" s="46">
        <f t="shared" si="30"/>
        <v>3.6799999999999944</v>
      </c>
      <c r="D157" s="48">
        <f t="shared" si="31"/>
        <v>18.554431471243564</v>
      </c>
      <c r="E157" s="46"/>
      <c r="F157" s="47">
        <v>0.40579999999999994</v>
      </c>
      <c r="G157" s="47">
        <v>0.38140000000000002</v>
      </c>
      <c r="H157" s="47">
        <v>0.41359999999999997</v>
      </c>
      <c r="I157" s="47">
        <v>0.36899999999999999</v>
      </c>
      <c r="J157" s="47">
        <v>0.4526</v>
      </c>
      <c r="K157" s="47">
        <v>0.45239999999999997</v>
      </c>
      <c r="L157" s="47">
        <v>0.45639999999999997</v>
      </c>
      <c r="M157" s="47">
        <v>0.48940000000000006</v>
      </c>
      <c r="N157" s="47">
        <v>0.47920000000000001</v>
      </c>
      <c r="O157" s="47">
        <v>0.5504</v>
      </c>
      <c r="P157" s="47">
        <v>0.55280000000000007</v>
      </c>
      <c r="Q157" s="47">
        <v>0.54039999999999999</v>
      </c>
      <c r="R157" s="47">
        <v>0.46279999999999993</v>
      </c>
      <c r="S157" s="47">
        <v>0.40939999999999999</v>
      </c>
      <c r="T157" s="47">
        <v>0.36280000000000001</v>
      </c>
      <c r="U157" s="47">
        <v>0.44019999999999998</v>
      </c>
      <c r="V157" s="47">
        <v>0.30759999999999998</v>
      </c>
      <c r="W157" s="47">
        <v>0.16499999999999998</v>
      </c>
      <c r="X157" s="47">
        <v>0.15259999999999996</v>
      </c>
      <c r="Y157" s="47">
        <v>0.15079999999999999</v>
      </c>
      <c r="Z157" s="47">
        <v>0.36480000000000001</v>
      </c>
      <c r="AA157" s="47">
        <v>0.45679999999999993</v>
      </c>
      <c r="AB157" s="47">
        <v>0.52599999999999991</v>
      </c>
      <c r="AC157" s="47">
        <v>0.36280000000000001</v>
      </c>
      <c r="AD157" s="47">
        <v>0.43439999999999995</v>
      </c>
      <c r="AE157" s="47">
        <v>0.41599999999999993</v>
      </c>
      <c r="AF157" s="47">
        <v>0.47300000000000003</v>
      </c>
      <c r="AG157" s="47">
        <v>0.54220000000000002</v>
      </c>
      <c r="AH157" s="47">
        <v>0.69140000000000001</v>
      </c>
      <c r="AI157" s="47">
        <v>0.61180000000000001</v>
      </c>
      <c r="AJ157" s="47">
        <v>0.54459999999999997</v>
      </c>
      <c r="AK157" s="47">
        <v>0.56280000000000008</v>
      </c>
      <c r="AL157" s="47">
        <v>0.65039999999999998</v>
      </c>
      <c r="AM157" s="47">
        <v>0.7178000000000001</v>
      </c>
      <c r="AN157" s="47">
        <v>0.76680000000000004</v>
      </c>
      <c r="AO157" s="47">
        <v>0.7118000000000001</v>
      </c>
      <c r="AP157" s="47">
        <v>0.5464</v>
      </c>
      <c r="AQ157" s="47">
        <v>0.68520000000000003</v>
      </c>
      <c r="AR157" s="47">
        <v>0.81379999999999986</v>
      </c>
      <c r="AS157" s="47">
        <v>0.92620000000000002</v>
      </c>
      <c r="AT157" s="47">
        <v>0.92800000000000005</v>
      </c>
      <c r="AU157" s="47">
        <v>0.71379999999999999</v>
      </c>
      <c r="AV157" s="47">
        <v>0.63639999999999985</v>
      </c>
      <c r="AW157" s="47">
        <v>0.69939999999999991</v>
      </c>
      <c r="AX157" s="47">
        <v>0.83420000000000005</v>
      </c>
      <c r="AY157" s="47">
        <v>0.76480000000000004</v>
      </c>
      <c r="AZ157" s="47">
        <v>0.78120000000000001</v>
      </c>
      <c r="BA157" s="47">
        <v>0.62839999999999996</v>
      </c>
      <c r="BB157" s="47">
        <v>0.73199999999999998</v>
      </c>
      <c r="BC157" s="47">
        <v>0.59560000000000002</v>
      </c>
      <c r="BD157" s="47">
        <v>0.79520000000000002</v>
      </c>
      <c r="BE157" s="47">
        <v>0.65479999999999994</v>
      </c>
      <c r="BF157" s="47">
        <v>0.66479999999999995</v>
      </c>
      <c r="BG157" s="47">
        <v>0.49540000000000001</v>
      </c>
      <c r="BH157" s="47">
        <v>0.62179999999999991</v>
      </c>
      <c r="BI157" s="47">
        <v>0.628</v>
      </c>
      <c r="BJ157" s="47">
        <v>0.65239999999999998</v>
      </c>
      <c r="BK157" s="47">
        <v>0.438</v>
      </c>
      <c r="BL157" s="47">
        <v>0.28919999999999996</v>
      </c>
      <c r="BM157" s="47">
        <v>0.377</v>
      </c>
      <c r="BN157" s="47">
        <v>0.52179999999999993</v>
      </c>
      <c r="BO157" s="47">
        <v>0.58140000000000003</v>
      </c>
      <c r="BP157" s="47">
        <v>0.32199999999999995</v>
      </c>
      <c r="BQ157" s="47">
        <v>0.24239999999999998</v>
      </c>
      <c r="BR157" s="47">
        <v>0.12180000000000001</v>
      </c>
      <c r="BS157" s="47">
        <v>0.22779999999999997</v>
      </c>
      <c r="BT157" s="47">
        <v>0.13439999999999999</v>
      </c>
      <c r="BU157" s="47">
        <v>0.25440000000000002</v>
      </c>
      <c r="BV157" s="47">
        <v>0.23819999999999997</v>
      </c>
      <c r="BW157" s="47">
        <v>0.4728</v>
      </c>
      <c r="BX157" s="47">
        <v>0.47300000000000003</v>
      </c>
      <c r="BY157" s="47">
        <v>0.54020000000000001</v>
      </c>
      <c r="BZ157" s="47">
        <v>0.47300000000000003</v>
      </c>
      <c r="CA157" s="47">
        <v>0.62380000000000002</v>
      </c>
      <c r="CB157" s="47">
        <v>0.74239999999999995</v>
      </c>
      <c r="CC157" s="47">
        <v>0.68540000000000001</v>
      </c>
      <c r="CD157" s="47">
        <v>0.49539999999999995</v>
      </c>
      <c r="CE157" s="47">
        <v>0.46280000000000004</v>
      </c>
      <c r="CF157" s="47">
        <v>0.58940000000000003</v>
      </c>
      <c r="CG157" s="47">
        <v>0.7056</v>
      </c>
      <c r="CH157" s="47">
        <v>0.60140000000000005</v>
      </c>
      <c r="CI157" s="47">
        <v>0.48920000000000002</v>
      </c>
      <c r="CJ157" s="47">
        <v>0.36680000000000001</v>
      </c>
      <c r="CK157" s="47">
        <v>0.34439999999999998</v>
      </c>
      <c r="CL157" s="47">
        <v>0.46060000000000001</v>
      </c>
      <c r="CM157" s="47">
        <v>0.43020000000000003</v>
      </c>
      <c r="CN157" s="47">
        <v>0.37519999999999998</v>
      </c>
      <c r="CO157" s="47">
        <v>0.2384</v>
      </c>
      <c r="CP157" s="47">
        <v>0.26700000000000002</v>
      </c>
      <c r="CQ157" s="47">
        <v>0.53839999999999999</v>
      </c>
      <c r="CR157" s="47">
        <v>0.59960000000000002</v>
      </c>
      <c r="CS157" s="47">
        <v>0.40560000000000002</v>
      </c>
      <c r="CT157" s="47">
        <v>0.39539999999999992</v>
      </c>
      <c r="CU157" s="47">
        <v>0.35039999999999999</v>
      </c>
      <c r="CV157" s="47">
        <v>0.43239999999999995</v>
      </c>
      <c r="CW157" s="47">
        <v>0.55059999999999998</v>
      </c>
      <c r="CX157" s="47">
        <v>0.39959999999999996</v>
      </c>
      <c r="CY157" s="47">
        <v>0.25479999999999997</v>
      </c>
      <c r="CZ157" s="47">
        <v>0.314</v>
      </c>
    </row>
    <row r="158" spans="1:104" x14ac:dyDescent="0.2">
      <c r="A158" s="45" t="s">
        <v>191</v>
      </c>
      <c r="B158" s="46">
        <f t="shared" si="29"/>
        <v>10.999999999999982</v>
      </c>
      <c r="C158" s="46">
        <f t="shared" si="30"/>
        <v>-1.375000000000004</v>
      </c>
      <c r="D158" s="48">
        <f t="shared" si="31"/>
        <v>25.190519558210234</v>
      </c>
      <c r="E158" s="46"/>
      <c r="F158" s="47">
        <v>0.48699999999999999</v>
      </c>
      <c r="G158" s="47">
        <v>0.50612500000000005</v>
      </c>
      <c r="H158" s="47">
        <v>0.50362499999999999</v>
      </c>
      <c r="I158" s="47">
        <v>0.50075000000000003</v>
      </c>
      <c r="J158" s="47">
        <v>0.48149999999999998</v>
      </c>
      <c r="K158" s="47">
        <v>0.51624999999999988</v>
      </c>
      <c r="L158" s="47">
        <v>0.5392499999999999</v>
      </c>
      <c r="M158" s="47">
        <v>0.59362500000000007</v>
      </c>
      <c r="N158" s="47">
        <v>0.614375</v>
      </c>
      <c r="O158" s="47">
        <v>0.61537500000000001</v>
      </c>
      <c r="P158" s="47">
        <v>0.59900000000000009</v>
      </c>
      <c r="Q158" s="47">
        <v>0.55075000000000007</v>
      </c>
      <c r="R158" s="47">
        <v>0.50587500000000007</v>
      </c>
      <c r="S158" s="47">
        <v>0.42425000000000007</v>
      </c>
      <c r="T158" s="47">
        <v>0.36824999999999997</v>
      </c>
      <c r="U158" s="47">
        <v>0.3782500000000002</v>
      </c>
      <c r="V158" s="47">
        <v>0.37950000000000017</v>
      </c>
      <c r="W158" s="47">
        <v>0.37700000000000017</v>
      </c>
      <c r="X158" s="47">
        <v>0.31862499999999999</v>
      </c>
      <c r="Y158" s="47">
        <v>0.32612500000000011</v>
      </c>
      <c r="Z158" s="47">
        <v>0.34887500000000005</v>
      </c>
      <c r="AA158" s="47">
        <v>0.252</v>
      </c>
      <c r="AB158" s="47">
        <v>0.20212500000000005</v>
      </c>
      <c r="AC158" s="47">
        <v>0.15237500000000004</v>
      </c>
      <c r="AD158" s="47">
        <v>0.17312500000000008</v>
      </c>
      <c r="AE158" s="47">
        <v>0.19600000000000015</v>
      </c>
      <c r="AF158" s="47">
        <v>0.16537500000000016</v>
      </c>
      <c r="AG158" s="47">
        <v>0.13075000000000006</v>
      </c>
      <c r="AH158" s="47">
        <v>0.15137500000000004</v>
      </c>
      <c r="AI158" s="47">
        <v>0.14262500000000006</v>
      </c>
      <c r="AJ158" s="47">
        <v>0.20100000000000015</v>
      </c>
      <c r="AK158" s="47">
        <v>0.14637500000000001</v>
      </c>
      <c r="AL158" s="47">
        <v>0.14237499999999997</v>
      </c>
      <c r="AM158" s="47">
        <v>0.17187499999999997</v>
      </c>
      <c r="AN158" s="47">
        <v>0.26225000000000004</v>
      </c>
      <c r="AO158" s="47">
        <v>0.40875000000000011</v>
      </c>
      <c r="AP158" s="47">
        <v>0.46637500000000004</v>
      </c>
      <c r="AQ158" s="47">
        <v>0.5711250000000001</v>
      </c>
      <c r="AR158" s="47">
        <v>0.5328750000000001</v>
      </c>
      <c r="AS158" s="47">
        <v>0.48925000000000002</v>
      </c>
      <c r="AT158" s="47">
        <v>0.43562500000000021</v>
      </c>
      <c r="AU158" s="47">
        <v>0.4446250000000001</v>
      </c>
      <c r="AV158" s="47">
        <v>0.44062499999999999</v>
      </c>
      <c r="AW158" s="47">
        <v>0.425375</v>
      </c>
      <c r="AX158" s="47">
        <v>0.41912500000000008</v>
      </c>
      <c r="AY158" s="47">
        <v>0.32600000000000001</v>
      </c>
      <c r="AZ158" s="47">
        <v>0.31175000000000003</v>
      </c>
      <c r="BA158" s="47">
        <v>0.24687499999999998</v>
      </c>
      <c r="BB158" s="47">
        <v>0.19724999999999998</v>
      </c>
      <c r="BC158" s="47">
        <v>0.21149999999999997</v>
      </c>
      <c r="BD158" s="47">
        <v>0.35674999999999996</v>
      </c>
      <c r="BE158" s="47">
        <v>0.51849999999999985</v>
      </c>
      <c r="BF158" s="47">
        <v>0.64275000000000015</v>
      </c>
      <c r="BG158" s="47">
        <v>0.64762500000000012</v>
      </c>
      <c r="BH158" s="47">
        <v>0.63975000000000004</v>
      </c>
      <c r="BI158" s="47">
        <v>0.61412500000000003</v>
      </c>
      <c r="BJ158" s="47">
        <v>0.63237499999999991</v>
      </c>
      <c r="BK158" s="47">
        <v>0.64637499999999992</v>
      </c>
      <c r="BL158" s="47">
        <v>0.667875</v>
      </c>
      <c r="BM158" s="47">
        <v>0.65874999999999995</v>
      </c>
      <c r="BN158" s="47">
        <v>0.72675000000000001</v>
      </c>
      <c r="BO158" s="47">
        <v>0.79287500000000011</v>
      </c>
      <c r="BP158" s="47">
        <v>0.75562500000000021</v>
      </c>
      <c r="BQ158" s="47">
        <v>0.58474999999999999</v>
      </c>
      <c r="BR158" s="47">
        <v>0.27625000000000011</v>
      </c>
      <c r="BS158" s="47">
        <v>0.32737500000000019</v>
      </c>
      <c r="BT158" s="47">
        <v>0.32462500000000022</v>
      </c>
      <c r="BU158" s="47">
        <v>0.31612500000000021</v>
      </c>
      <c r="BV158" s="47">
        <v>0.2242500000000002</v>
      </c>
      <c r="BW158" s="47">
        <v>0.21275000000000022</v>
      </c>
      <c r="BX158" s="47">
        <v>0.16887500000000019</v>
      </c>
      <c r="BY158" s="47">
        <v>0.1756250000000002</v>
      </c>
      <c r="BZ158" s="47">
        <v>0.15537500000000018</v>
      </c>
      <c r="CA158" s="47">
        <v>0.22825000000000031</v>
      </c>
      <c r="CB158" s="47">
        <v>0.26850000000000029</v>
      </c>
      <c r="CC158" s="47">
        <v>0.53162500000000035</v>
      </c>
      <c r="CD158" s="47">
        <v>0.79937500000000017</v>
      </c>
      <c r="CE158" s="47">
        <v>0.81175000000000019</v>
      </c>
      <c r="CF158" s="47">
        <v>0.80787500000000012</v>
      </c>
      <c r="CG158" s="47">
        <v>0.82762500000000028</v>
      </c>
      <c r="CH158" s="47">
        <v>0.84274999999999989</v>
      </c>
      <c r="CI158" s="47">
        <v>0.8540000000000002</v>
      </c>
      <c r="CJ158" s="47">
        <v>0.83737499999999998</v>
      </c>
      <c r="CK158" s="47">
        <v>0.82825000000000004</v>
      </c>
      <c r="CL158" s="47">
        <v>0.81825000000000014</v>
      </c>
      <c r="CM158" s="47">
        <v>0.85287500000000016</v>
      </c>
      <c r="CN158" s="47">
        <v>0.81049999999999989</v>
      </c>
      <c r="CO158" s="47">
        <v>0.79162499999999991</v>
      </c>
      <c r="CP158" s="47">
        <v>0.7776249999999999</v>
      </c>
      <c r="CQ158" s="47">
        <v>0.78775000000000006</v>
      </c>
      <c r="CR158" s="47">
        <v>0.79562499999999992</v>
      </c>
      <c r="CS158" s="47">
        <v>0.80812499999999998</v>
      </c>
      <c r="CT158" s="47">
        <v>0.81174999999999997</v>
      </c>
      <c r="CU158" s="47">
        <v>0.80399999999999994</v>
      </c>
      <c r="CV158" s="47">
        <v>0.83</v>
      </c>
      <c r="CW158" s="47">
        <v>0.89875000000000016</v>
      </c>
      <c r="CX158" s="47">
        <v>0.90625000000000011</v>
      </c>
      <c r="CY158" s="47">
        <v>0.84399999999999986</v>
      </c>
      <c r="CZ158" s="47">
        <v>0.82750000000000001</v>
      </c>
    </row>
    <row r="159" spans="1:104" x14ac:dyDescent="0.2">
      <c r="A159" s="45" t="s">
        <v>192</v>
      </c>
      <c r="B159" s="46">
        <f t="shared" si="29"/>
        <v>-16.675000000000022</v>
      </c>
      <c r="C159" s="46">
        <f t="shared" si="30"/>
        <v>-9.2875000000000014</v>
      </c>
      <c r="D159" s="48">
        <f t="shared" si="31"/>
        <v>20.714271505749696</v>
      </c>
      <c r="E159" s="46"/>
      <c r="F159" s="47">
        <v>0.12737500000000002</v>
      </c>
      <c r="G159" s="47">
        <v>0.1045</v>
      </c>
      <c r="H159" s="47">
        <v>0.15274999999999997</v>
      </c>
      <c r="I159" s="47">
        <v>0.22025000000000003</v>
      </c>
      <c r="J159" s="47">
        <v>0.24700000000000003</v>
      </c>
      <c r="K159" s="47">
        <v>0.20862499999999995</v>
      </c>
      <c r="L159" s="47">
        <v>0.20087499999999989</v>
      </c>
      <c r="M159" s="47">
        <v>0.1974999999999999</v>
      </c>
      <c r="N159" s="47">
        <v>0.19737499999999994</v>
      </c>
      <c r="O159" s="47">
        <v>0.24049999999999988</v>
      </c>
      <c r="P159" s="47">
        <v>0.33224999999999988</v>
      </c>
      <c r="Q159" s="47">
        <v>0.41149999999999992</v>
      </c>
      <c r="R159" s="47">
        <v>0.47800000000000009</v>
      </c>
      <c r="S159" s="47">
        <v>0.364375</v>
      </c>
      <c r="T159" s="47">
        <v>0.30175000000000013</v>
      </c>
      <c r="U159" s="47">
        <v>0.16787500000000014</v>
      </c>
      <c r="V159" s="47">
        <v>0.26362500000000022</v>
      </c>
      <c r="W159" s="47">
        <v>0.29412500000000025</v>
      </c>
      <c r="X159" s="47">
        <v>0.3081250000000002</v>
      </c>
      <c r="Y159" s="47">
        <v>0.24725000000000019</v>
      </c>
      <c r="Z159" s="47">
        <v>0.25850000000000023</v>
      </c>
      <c r="AA159" s="47">
        <v>0.17800000000000007</v>
      </c>
      <c r="AB159" s="47">
        <v>0.15125000000000002</v>
      </c>
      <c r="AC159" s="47">
        <v>0.135875</v>
      </c>
      <c r="AD159" s="47">
        <v>0.13099999999999995</v>
      </c>
      <c r="AE159" s="47">
        <v>0.17387499999999997</v>
      </c>
      <c r="AF159" s="47">
        <v>0.20474999999999985</v>
      </c>
      <c r="AG159" s="47">
        <v>0.40112499999999973</v>
      </c>
      <c r="AH159" s="47">
        <v>0.42274999999999974</v>
      </c>
      <c r="AI159" s="47">
        <v>0.43199999999999977</v>
      </c>
      <c r="AJ159" s="47">
        <v>0.4779999999999997</v>
      </c>
      <c r="AK159" s="47">
        <v>0.53149999999999975</v>
      </c>
      <c r="AL159" s="47">
        <v>0.57862499999999972</v>
      </c>
      <c r="AM159" s="47">
        <v>0.65237499999999971</v>
      </c>
      <c r="AN159" s="47">
        <v>0.7879999999999997</v>
      </c>
      <c r="AO159" s="47">
        <v>0.84274999999999978</v>
      </c>
      <c r="AP159" s="47">
        <v>0.96124999999999983</v>
      </c>
      <c r="AQ159" s="47">
        <v>0.94099999999999984</v>
      </c>
      <c r="AR159" s="47">
        <v>0.89224999999999977</v>
      </c>
      <c r="AS159" s="47">
        <v>0.55562499999999992</v>
      </c>
      <c r="AT159" s="47">
        <v>0.55062500000000003</v>
      </c>
      <c r="AU159" s="47">
        <v>0.53</v>
      </c>
      <c r="AV159" s="47">
        <v>0.45362500000000006</v>
      </c>
      <c r="AW159" s="47">
        <v>0.46525000000000005</v>
      </c>
      <c r="AX159" s="47">
        <v>0.46250000000000013</v>
      </c>
      <c r="AY159" s="47">
        <v>0.43200000000000022</v>
      </c>
      <c r="AZ159" s="47">
        <v>0.3680000000000001</v>
      </c>
      <c r="BA159" s="47">
        <v>0.30662500000000009</v>
      </c>
      <c r="BB159" s="47">
        <v>0.10037500000000009</v>
      </c>
      <c r="BC159" s="47">
        <v>0.13500000000000015</v>
      </c>
      <c r="BD159" s="47">
        <v>0.20612500000000006</v>
      </c>
      <c r="BE159" s="47">
        <v>0.51875000000000004</v>
      </c>
      <c r="BF159" s="47">
        <v>0.53387499999999999</v>
      </c>
      <c r="BG159" s="47">
        <v>0.54149999999999987</v>
      </c>
      <c r="BH159" s="47">
        <v>0.52</v>
      </c>
      <c r="BI159" s="47">
        <v>0.45224999999999993</v>
      </c>
      <c r="BJ159" s="47">
        <v>0.45737499999999998</v>
      </c>
      <c r="BK159" s="47">
        <v>0.51987500000000009</v>
      </c>
      <c r="BL159" s="47">
        <v>0.57837500000000008</v>
      </c>
      <c r="BM159" s="47">
        <v>0.57737500000000008</v>
      </c>
      <c r="BN159" s="47">
        <v>0.47400000000000003</v>
      </c>
      <c r="BO159" s="47">
        <v>0.420375</v>
      </c>
      <c r="BP159" s="47">
        <v>0.451125</v>
      </c>
      <c r="BQ159" s="47">
        <v>0.53162500000000001</v>
      </c>
      <c r="BR159" s="47">
        <v>0.49849999999999989</v>
      </c>
      <c r="BS159" s="47">
        <v>0.50437500000000002</v>
      </c>
      <c r="BT159" s="47">
        <v>0.52737499999999993</v>
      </c>
      <c r="BU159" s="47">
        <v>0.63862499999999989</v>
      </c>
      <c r="BV159" s="47">
        <v>0.66787499999999989</v>
      </c>
      <c r="BW159" s="47">
        <v>0.67712499999999987</v>
      </c>
      <c r="BX159" s="47">
        <v>0.65525000000000022</v>
      </c>
      <c r="BY159" s="47">
        <v>0.64137500000000003</v>
      </c>
      <c r="BZ159" s="47">
        <v>0.63975000000000004</v>
      </c>
      <c r="CA159" s="47">
        <v>0.67925000000000002</v>
      </c>
      <c r="CB159" s="47">
        <v>0.67949999999999988</v>
      </c>
      <c r="CC159" s="47">
        <v>0.6818749999999999</v>
      </c>
      <c r="CD159" s="47">
        <v>0.69325000000000003</v>
      </c>
      <c r="CE159" s="47">
        <v>0.69574999999999987</v>
      </c>
      <c r="CF159" s="47">
        <v>0.6948749999999998</v>
      </c>
      <c r="CG159" s="47">
        <v>0.70737499999999986</v>
      </c>
      <c r="CH159" s="47">
        <v>0.69074999999999986</v>
      </c>
      <c r="CI159" s="47">
        <v>0.65749999999999986</v>
      </c>
      <c r="CJ159" s="47">
        <v>0.65024999999999977</v>
      </c>
      <c r="CK159" s="47">
        <v>0.65374999999999994</v>
      </c>
      <c r="CL159" s="47">
        <v>0.66899999999999993</v>
      </c>
      <c r="CM159" s="47">
        <v>0.69462499999999971</v>
      </c>
      <c r="CN159" s="47">
        <v>0.72899999999999976</v>
      </c>
      <c r="CO159" s="47">
        <v>0.71124999999999983</v>
      </c>
      <c r="CP159" s="47">
        <v>0.71349999999999969</v>
      </c>
      <c r="CQ159" s="47">
        <v>0.71399999999999975</v>
      </c>
      <c r="CR159" s="47">
        <v>0.72137499999999966</v>
      </c>
      <c r="CS159" s="47">
        <v>0.71262499999999973</v>
      </c>
      <c r="CT159" s="47">
        <v>0.72387499999999982</v>
      </c>
      <c r="CU159" s="47">
        <v>0.77274999999999983</v>
      </c>
      <c r="CV159" s="47">
        <v>0.85662499999999997</v>
      </c>
      <c r="CW159" s="47">
        <v>0.91512499999999986</v>
      </c>
      <c r="CX159" s="47">
        <v>0.85262499999999974</v>
      </c>
      <c r="CY159" s="47">
        <v>0.75974999999999981</v>
      </c>
      <c r="CZ159" s="47">
        <v>0.59237499999999965</v>
      </c>
    </row>
    <row r="160" spans="1:104" x14ac:dyDescent="0.2">
      <c r="A160" s="45" t="s">
        <v>193</v>
      </c>
      <c r="B160" s="46">
        <f t="shared" si="29"/>
        <v>-15.299999999999999</v>
      </c>
      <c r="C160" s="46">
        <f t="shared" si="30"/>
        <v>0</v>
      </c>
      <c r="D160" s="48">
        <f t="shared" si="31"/>
        <v>27.126516029538816</v>
      </c>
      <c r="E160" s="46"/>
      <c r="F160" s="47">
        <v>1.9999999999999997E-2</v>
      </c>
      <c r="G160" s="47">
        <v>1.9999999999999997E-2</v>
      </c>
      <c r="H160" s="47">
        <v>1.9999999999999997E-2</v>
      </c>
      <c r="I160" s="47">
        <v>1.9999999999999997E-2</v>
      </c>
      <c r="J160" s="47">
        <v>1.9999999999999997E-2</v>
      </c>
      <c r="K160" s="47">
        <v>1.9999999999999997E-2</v>
      </c>
      <c r="L160" s="47">
        <v>0.112</v>
      </c>
      <c r="M160" s="47">
        <v>0.15299999999999997</v>
      </c>
      <c r="N160" s="47">
        <v>0.193</v>
      </c>
      <c r="O160" s="47">
        <v>0.224</v>
      </c>
      <c r="P160" s="47">
        <v>0.26500000000000001</v>
      </c>
      <c r="Q160" s="47">
        <v>0.32600000000000001</v>
      </c>
      <c r="R160" s="47">
        <v>0.29499999999999998</v>
      </c>
      <c r="S160" s="47">
        <v>0.27500000000000002</v>
      </c>
      <c r="T160" s="47">
        <v>0.24399999999999999</v>
      </c>
      <c r="U160" s="47">
        <v>0.23400000000000001</v>
      </c>
      <c r="V160" s="47">
        <v>0.20399999999999999</v>
      </c>
      <c r="W160" s="47">
        <v>0.17299999999999999</v>
      </c>
      <c r="X160" s="47">
        <v>0.13200000000000001</v>
      </c>
      <c r="Y160" s="47">
        <v>0.122</v>
      </c>
      <c r="Z160" s="47">
        <v>9.0999999999999998E-2</v>
      </c>
      <c r="AA160" s="47">
        <v>8.1000000000000003E-2</v>
      </c>
      <c r="AB160" s="47">
        <v>9.9999999999999985E-3</v>
      </c>
      <c r="AC160" s="47">
        <v>0</v>
      </c>
      <c r="AD160" s="47">
        <v>0.10199999999999999</v>
      </c>
      <c r="AE160" s="47">
        <v>0.14199999999999999</v>
      </c>
      <c r="AF160" s="47">
        <v>0.16300000000000001</v>
      </c>
      <c r="AG160" s="47">
        <v>0.183</v>
      </c>
      <c r="AH160" s="47">
        <v>0.214</v>
      </c>
      <c r="AI160" s="47">
        <v>0.255</v>
      </c>
      <c r="AJ160" s="47">
        <v>0.28499999999999998</v>
      </c>
      <c r="AK160" s="47">
        <v>0.30599999999999994</v>
      </c>
      <c r="AL160" s="47">
        <v>0.35699999999999998</v>
      </c>
      <c r="AM160" s="47">
        <v>0.38700000000000001</v>
      </c>
      <c r="AN160" s="47">
        <v>0.51</v>
      </c>
      <c r="AO160" s="47">
        <v>0.65300000000000002</v>
      </c>
      <c r="AP160" s="47">
        <v>0.877</v>
      </c>
      <c r="AQ160" s="47">
        <v>0.98899999999999999</v>
      </c>
      <c r="AR160" s="47">
        <v>0.95899999999999996</v>
      </c>
      <c r="AS160" s="47">
        <v>0.67300000000000004</v>
      </c>
      <c r="AT160" s="47">
        <v>0.5</v>
      </c>
      <c r="AU160" s="47">
        <v>0.44800000000000001</v>
      </c>
      <c r="AV160" s="47">
        <v>0.53</v>
      </c>
      <c r="AW160" s="47">
        <v>0.59099999999999997</v>
      </c>
      <c r="AX160" s="47">
        <v>0.64200000000000002</v>
      </c>
      <c r="AY160" s="47">
        <v>0.63200000000000001</v>
      </c>
      <c r="AZ160" s="47">
        <v>0.61199999999999988</v>
      </c>
      <c r="BA160" s="47">
        <v>0.60199999999999998</v>
      </c>
      <c r="BB160" s="47">
        <v>0.39700000000000002</v>
      </c>
      <c r="BC160" s="47">
        <v>0.34599999999999997</v>
      </c>
      <c r="BD160" s="47">
        <v>0.377</v>
      </c>
      <c r="BE160" s="47">
        <v>0.66299999999999992</v>
      </c>
      <c r="BF160" s="47">
        <v>0.78500000000000003</v>
      </c>
      <c r="BG160" s="47">
        <v>0.79500000000000004</v>
      </c>
      <c r="BH160" s="47">
        <v>0.72399999999999998</v>
      </c>
      <c r="BI160" s="47">
        <v>0.75500000000000012</v>
      </c>
      <c r="BJ160" s="47">
        <v>0.71399999999999997</v>
      </c>
      <c r="BK160" s="47">
        <v>0.74399999999999999</v>
      </c>
      <c r="BL160" s="47">
        <v>0.80600000000000005</v>
      </c>
      <c r="BM160" s="47">
        <v>0.76500000000000001</v>
      </c>
      <c r="BN160" s="47">
        <v>0.73399999999999999</v>
      </c>
      <c r="BO160" s="47">
        <v>0.58099999999999996</v>
      </c>
      <c r="BP160" s="47">
        <v>0.69299999999999995</v>
      </c>
      <c r="BQ160" s="47">
        <v>0.81599999999999995</v>
      </c>
      <c r="BR160" s="47">
        <v>0.85699999999999998</v>
      </c>
      <c r="BS160" s="47">
        <v>0.90800000000000003</v>
      </c>
      <c r="BT160" s="47">
        <v>0.94799999999999995</v>
      </c>
      <c r="BU160" s="47">
        <v>1</v>
      </c>
      <c r="BV160" s="47">
        <v>0.97899999999999987</v>
      </c>
      <c r="BW160" s="47">
        <v>0.89700000000000013</v>
      </c>
      <c r="BX160" s="47">
        <v>0.77500000000000002</v>
      </c>
      <c r="BY160" s="47">
        <v>0.70400000000000007</v>
      </c>
      <c r="BZ160" s="47">
        <v>0.68300000000000005</v>
      </c>
      <c r="CA160" s="47">
        <v>0.82599999999999996</v>
      </c>
      <c r="CB160" s="47">
        <v>0.88700000000000001</v>
      </c>
      <c r="CC160" s="47">
        <v>0.96899999999999997</v>
      </c>
      <c r="CD160" s="47">
        <v>0.93800000000000006</v>
      </c>
      <c r="CE160" s="47">
        <v>0.91800000000000004</v>
      </c>
      <c r="CF160" s="47">
        <v>0.83599999999999997</v>
      </c>
      <c r="CG160" s="47">
        <v>0.622</v>
      </c>
      <c r="CH160" s="47">
        <v>0.54</v>
      </c>
      <c r="CI160" s="47">
        <v>0.438</v>
      </c>
      <c r="CJ160" s="47">
        <v>0.41799999999999998</v>
      </c>
      <c r="CK160" s="47">
        <v>0.56100000000000005</v>
      </c>
      <c r="CL160" s="47">
        <v>0.86699999999999999</v>
      </c>
      <c r="CM160" s="47">
        <v>0.92800000000000005</v>
      </c>
      <c r="CN160" s="47">
        <v>0.84599999999999986</v>
      </c>
      <c r="CO160" s="47">
        <v>0.45900000000000002</v>
      </c>
      <c r="CP160" s="47">
        <v>0.33599999999999997</v>
      </c>
      <c r="CQ160" s="47">
        <v>0.316</v>
      </c>
      <c r="CR160" s="47">
        <v>0.36699999999999999</v>
      </c>
      <c r="CS160" s="47">
        <v>0.57099999999999995</v>
      </c>
      <c r="CT160" s="47">
        <v>0.55100000000000005</v>
      </c>
      <c r="CU160" s="47">
        <v>0.52</v>
      </c>
      <c r="CV160" s="47">
        <v>0.42799999999999999</v>
      </c>
      <c r="CW160" s="47">
        <v>0.40799999999999997</v>
      </c>
      <c r="CX160" s="47">
        <v>0.48899999999999999</v>
      </c>
      <c r="CY160" s="47">
        <v>0.46900000000000003</v>
      </c>
      <c r="CZ160" s="47">
        <v>0.47899999999999998</v>
      </c>
    </row>
    <row r="161" spans="1:104" x14ac:dyDescent="0.2">
      <c r="A161" s="45" t="s">
        <v>194</v>
      </c>
      <c r="B161" s="46">
        <f t="shared" si="29"/>
        <v>41.850981929859678</v>
      </c>
      <c r="C161" s="46">
        <f t="shared" si="30"/>
        <v>16.263934438459987</v>
      </c>
      <c r="D161" s="48">
        <f t="shared" si="31"/>
        <v>18.340808328550555</v>
      </c>
      <c r="E161" s="46"/>
      <c r="F161" s="47">
        <v>0.65705335318125146</v>
      </c>
      <c r="G161" s="47">
        <v>0.6580292723743425</v>
      </c>
      <c r="H161" s="47">
        <v>0.59700932644792903</v>
      </c>
      <c r="I161" s="47">
        <v>0.49441400879665159</v>
      </c>
      <c r="J161" s="47">
        <v>0.47239438982132176</v>
      </c>
      <c r="K161" s="47">
        <v>0.47514480786175595</v>
      </c>
      <c r="L161" s="47">
        <v>0.47221586633523088</v>
      </c>
      <c r="M161" s="47">
        <v>0.4668427894062685</v>
      </c>
      <c r="N161" s="47">
        <v>0.44786230141890693</v>
      </c>
      <c r="O161" s="47">
        <v>0.44094728194865845</v>
      </c>
      <c r="P161" s="47">
        <v>0.39909003498928625</v>
      </c>
      <c r="Q161" s="47">
        <v>0.34788493073744448</v>
      </c>
      <c r="R161" s="47">
        <v>0.26849816639861285</v>
      </c>
      <c r="S161" s="47">
        <v>0.1513538492156403</v>
      </c>
      <c r="T161" s="47">
        <v>0.13141053638809261</v>
      </c>
      <c r="U161" s="47">
        <v>0.15560357654403564</v>
      </c>
      <c r="V161" s="47">
        <v>0.22989736781218803</v>
      </c>
      <c r="W161" s="47">
        <v>0.2385435338826547</v>
      </c>
      <c r="X161" s="47">
        <v>0.26083302786008239</v>
      </c>
      <c r="Y161" s="47">
        <v>0.25076152744222902</v>
      </c>
      <c r="Z161" s="47">
        <v>0.23662750988273387</v>
      </c>
      <c r="AA161" s="47">
        <v>0.19968041390616326</v>
      </c>
      <c r="AB161" s="47">
        <v>0.20863561908292244</v>
      </c>
      <c r="AC161" s="47">
        <v>0.2516069728941886</v>
      </c>
      <c r="AD161" s="47">
        <v>0.34417597289975654</v>
      </c>
      <c r="AE161" s="47">
        <v>0.43006440618455838</v>
      </c>
      <c r="AF161" s="47">
        <v>0.54075799059296148</v>
      </c>
      <c r="AG161" s="47">
        <v>0.63852085529735647</v>
      </c>
      <c r="AH161" s="47">
        <v>0.61226518140099639</v>
      </c>
      <c r="AI161" s="47">
        <v>0.6298887621594168</v>
      </c>
      <c r="AJ161" s="47">
        <v>0.63631731481733322</v>
      </c>
      <c r="AK161" s="47">
        <v>0.68314724920976777</v>
      </c>
      <c r="AL161" s="47">
        <v>0.70008485403252008</v>
      </c>
      <c r="AM161" s="47">
        <v>0.71521145007876963</v>
      </c>
      <c r="AN161" s="47">
        <v>0.75468141523889565</v>
      </c>
      <c r="AO161" s="47">
        <v>0.77267282022002537</v>
      </c>
      <c r="AP161" s="47">
        <v>0.78741448141258541</v>
      </c>
      <c r="AQ161" s="47">
        <v>0.79426796847114789</v>
      </c>
      <c r="AR161" s="47">
        <v>0.74559530055419898</v>
      </c>
      <c r="AS161" s="47">
        <v>0.30233678404161063</v>
      </c>
      <c r="AT161" s="47">
        <v>0.32256355048623286</v>
      </c>
      <c r="AU161" s="47">
        <v>0.33395579154182131</v>
      </c>
      <c r="AV161" s="47">
        <v>0.34050611161233435</v>
      </c>
      <c r="AW161" s="47">
        <v>0.33308401951347039</v>
      </c>
      <c r="AX161" s="47">
        <v>0.32636993838450395</v>
      </c>
      <c r="AY161" s="47">
        <v>0.31811426302686907</v>
      </c>
      <c r="AZ161" s="47">
        <v>0.29184007824551222</v>
      </c>
      <c r="BA161" s="47">
        <v>0.28409331104862195</v>
      </c>
      <c r="BB161" s="47">
        <v>0.27587370373184783</v>
      </c>
      <c r="BC161" s="47">
        <v>0.25768418946801258</v>
      </c>
      <c r="BD161" s="47">
        <v>0.29065704665693504</v>
      </c>
      <c r="BE161" s="47">
        <v>0.51660225616544553</v>
      </c>
      <c r="BF161" s="47">
        <v>0.49775270699243779</v>
      </c>
      <c r="BG161" s="47">
        <v>0.46202448532814583</v>
      </c>
      <c r="BH161" s="47">
        <v>0.42989650239566224</v>
      </c>
      <c r="BI161" s="47">
        <v>0.43409094922433683</v>
      </c>
      <c r="BJ161" s="47">
        <v>0.44771227416340315</v>
      </c>
      <c r="BK161" s="47">
        <v>0.45760728518004717</v>
      </c>
      <c r="BL161" s="47">
        <v>0.4982837385308635</v>
      </c>
      <c r="BM161" s="47">
        <v>0.51890125241367757</v>
      </c>
      <c r="BN161" s="47">
        <v>0.5249915590671379</v>
      </c>
      <c r="BO161" s="47">
        <v>0.51248411419151674</v>
      </c>
      <c r="BP161" s="47">
        <v>0.60460263090719379</v>
      </c>
      <c r="BQ161" s="47">
        <v>0.6914719832647156</v>
      </c>
      <c r="BR161" s="47">
        <v>0.68399571264858983</v>
      </c>
      <c r="BS161" s="47">
        <v>0.68585077222258717</v>
      </c>
      <c r="BT161" s="47">
        <v>0.7088911027964151</v>
      </c>
      <c r="BU161" s="47">
        <v>0.73144875758051497</v>
      </c>
      <c r="BV161" s="47">
        <v>0.74478724203958613</v>
      </c>
      <c r="BW161" s="47">
        <v>0.74230902442945101</v>
      </c>
      <c r="BX161" s="47">
        <v>0.74697842081028787</v>
      </c>
      <c r="BY161" s="47">
        <v>0.75002695183828871</v>
      </c>
      <c r="BZ161" s="47">
        <v>0.7600085866257521</v>
      </c>
      <c r="CA161" s="47">
        <v>0.77662046853493838</v>
      </c>
      <c r="CB161" s="47">
        <v>0.72309051186727202</v>
      </c>
      <c r="CC161" s="47">
        <v>0.58375386197856416</v>
      </c>
      <c r="CD161" s="47">
        <v>0.58812034212703423</v>
      </c>
      <c r="CE161" s="47">
        <v>0.60774467109954833</v>
      </c>
      <c r="CF161" s="47">
        <v>0.63393874733156097</v>
      </c>
      <c r="CG161" s="47">
        <v>0.64734683648207836</v>
      </c>
      <c r="CH161" s="47">
        <v>0.66265794237929654</v>
      </c>
      <c r="CI161" s="47">
        <v>0.63442894737322808</v>
      </c>
      <c r="CJ161" s="47">
        <v>0.60929878612945565</v>
      </c>
      <c r="CK161" s="47">
        <v>0.63567042268062357</v>
      </c>
      <c r="CL161" s="47">
        <v>0.62783673094300874</v>
      </c>
      <c r="CM161" s="47">
        <v>0.63711657175775915</v>
      </c>
      <c r="CN161" s="47">
        <v>0.57838066102628416</v>
      </c>
      <c r="CO161" s="47">
        <v>0.5132203560688321</v>
      </c>
      <c r="CP161" s="47">
        <v>0.48316252765857648</v>
      </c>
      <c r="CQ161" s="47">
        <v>0.49550954468343256</v>
      </c>
      <c r="CR161" s="47">
        <v>0.52558502819023178</v>
      </c>
      <c r="CS161" s="47">
        <v>0.49141208279124732</v>
      </c>
      <c r="CT161" s="47">
        <v>0.45110098193318482</v>
      </c>
      <c r="CU161" s="47">
        <v>0.4453871946462859</v>
      </c>
      <c r="CV161" s="47">
        <v>0.40766927371504674</v>
      </c>
      <c r="CW161" s="47">
        <v>0.43940404112335729</v>
      </c>
      <c r="CX161" s="47">
        <v>0.41023489423561083</v>
      </c>
      <c r="CY161" s="47">
        <v>0.40861814107625427</v>
      </c>
      <c r="CZ161" s="47">
        <v>0.38458345176844966</v>
      </c>
    </row>
    <row r="162" spans="1:104" x14ac:dyDescent="0.2">
      <c r="A162" s="45" t="s">
        <v>195</v>
      </c>
      <c r="B162" s="46">
        <f t="shared" si="29"/>
        <v>-35.799999999999997</v>
      </c>
      <c r="C162" s="46">
        <f t="shared" si="30"/>
        <v>-21.5</v>
      </c>
      <c r="D162" s="48">
        <f t="shared" si="31"/>
        <v>27.411881736403643</v>
      </c>
      <c r="E162" s="46"/>
      <c r="F162" s="47">
        <v>0.14199999999999999</v>
      </c>
      <c r="G162" s="47">
        <v>0.20399999999999999</v>
      </c>
      <c r="H162" s="47">
        <v>0.214</v>
      </c>
      <c r="I162" s="47">
        <v>0.35699999999999998</v>
      </c>
      <c r="J162" s="47">
        <v>0.316</v>
      </c>
      <c r="K162" s="47">
        <v>0.10199999999999999</v>
      </c>
      <c r="L162" s="47">
        <v>5.0999999999999997E-2</v>
      </c>
      <c r="M162" s="47">
        <v>2.9999999999999995E-2</v>
      </c>
      <c r="N162" s="47">
        <v>0.02</v>
      </c>
      <c r="O162" s="47">
        <v>0.04</v>
      </c>
      <c r="P162" s="47">
        <v>0</v>
      </c>
      <c r="Q162" s="47">
        <v>0.01</v>
      </c>
      <c r="R162" s="47">
        <v>6.1000000000000006E-2</v>
      </c>
      <c r="S162" s="47">
        <v>0.48899999999999999</v>
      </c>
      <c r="T162" s="47">
        <v>0.70399999999999996</v>
      </c>
      <c r="U162" s="47">
        <v>0.68300000000000005</v>
      </c>
      <c r="V162" s="47">
        <v>0.56100000000000005</v>
      </c>
      <c r="W162" s="47">
        <v>0.5</v>
      </c>
      <c r="X162" s="47">
        <v>0.69299999999999995</v>
      </c>
      <c r="Y162" s="47">
        <v>0.76500000000000001</v>
      </c>
      <c r="Z162" s="47">
        <v>0.84599999999999997</v>
      </c>
      <c r="AA162" s="47">
        <v>0.89700000000000002</v>
      </c>
      <c r="AB162" s="47">
        <v>0.94799999999999995</v>
      </c>
      <c r="AC162" s="47">
        <v>1</v>
      </c>
      <c r="AD162" s="47">
        <v>0.96899999999999997</v>
      </c>
      <c r="AE162" s="47">
        <v>0.877</v>
      </c>
      <c r="AF162" s="47">
        <v>0.67300000000000004</v>
      </c>
      <c r="AG162" s="47">
        <v>0.72399999999999998</v>
      </c>
      <c r="AH162" s="47">
        <v>0.88700000000000001</v>
      </c>
      <c r="AI162" s="47">
        <v>0.97899999999999998</v>
      </c>
      <c r="AJ162" s="47">
        <v>0.9890000000000001</v>
      </c>
      <c r="AK162" s="47">
        <v>0.95900000000000007</v>
      </c>
      <c r="AL162" s="47">
        <v>0.91800000000000015</v>
      </c>
      <c r="AM162" s="47">
        <v>0.85699999999999998</v>
      </c>
      <c r="AN162" s="47">
        <v>0.78500000000000003</v>
      </c>
      <c r="AO162" s="47">
        <v>0.66300000000000003</v>
      </c>
      <c r="AP162" s="47">
        <v>0.57099999999999995</v>
      </c>
      <c r="AQ162" s="47">
        <v>0.755</v>
      </c>
      <c r="AR162" s="47">
        <v>0.81599999999999995</v>
      </c>
      <c r="AS162" s="47">
        <v>0.77500000000000002</v>
      </c>
      <c r="AT162" s="47">
        <v>0.53</v>
      </c>
      <c r="AU162" s="47">
        <v>0.40799999999999997</v>
      </c>
      <c r="AV162" s="47">
        <v>0.33600000000000002</v>
      </c>
      <c r="AW162" s="47">
        <v>0.23399999999999999</v>
      </c>
      <c r="AX162" s="47">
        <v>0.12200000000000001</v>
      </c>
      <c r="AY162" s="47">
        <v>9.0999999999999998E-2</v>
      </c>
      <c r="AZ162" s="47">
        <v>0.193</v>
      </c>
      <c r="BA162" s="47">
        <v>0.24400000000000002</v>
      </c>
      <c r="BB162" s="47">
        <v>0.26500000000000001</v>
      </c>
      <c r="BC162" s="47">
        <v>0.16300000000000001</v>
      </c>
      <c r="BD162" s="47">
        <v>0.30599999999999999</v>
      </c>
      <c r="BE162" s="47">
        <v>0.377</v>
      </c>
      <c r="BF162" s="47">
        <v>0.39700000000000002</v>
      </c>
      <c r="BG162" s="47">
        <v>0.34599999999999997</v>
      </c>
      <c r="BH162" s="47">
        <v>0.255</v>
      </c>
      <c r="BI162" s="47">
        <v>0.29499999999999998</v>
      </c>
      <c r="BJ162" s="47">
        <v>0.38700000000000001</v>
      </c>
      <c r="BK162" s="47">
        <v>0.44800000000000001</v>
      </c>
      <c r="BL162" s="47">
        <v>0.52</v>
      </c>
      <c r="BM162" s="47">
        <v>0.55100000000000005</v>
      </c>
      <c r="BN162" s="47">
        <v>0.51</v>
      </c>
      <c r="BO162" s="47">
        <v>0.45900000000000007</v>
      </c>
      <c r="BP162" s="47">
        <v>0.28499999999999998</v>
      </c>
      <c r="BQ162" s="47">
        <v>0.36699999999999999</v>
      </c>
      <c r="BR162" s="47">
        <v>0.42799999999999999</v>
      </c>
      <c r="BS162" s="47">
        <v>0.60199999999999998</v>
      </c>
      <c r="BT162" s="47">
        <v>0.74399999999999999</v>
      </c>
      <c r="BU162" s="47">
        <v>0.82599999999999996</v>
      </c>
      <c r="BV162" s="47">
        <v>0.79500000000000004</v>
      </c>
      <c r="BW162" s="47">
        <v>0.73399999999999999</v>
      </c>
      <c r="BX162" s="47">
        <v>0.65300000000000002</v>
      </c>
      <c r="BY162" s="47">
        <v>0.64200000000000002</v>
      </c>
      <c r="BZ162" s="47">
        <v>0.80600000000000005</v>
      </c>
      <c r="CA162" s="47">
        <v>0.86699999999999999</v>
      </c>
      <c r="CB162" s="47">
        <v>0.93799999999999983</v>
      </c>
      <c r="CC162" s="47">
        <v>0.92799999999999994</v>
      </c>
      <c r="CD162" s="47">
        <v>0.90800000000000003</v>
      </c>
      <c r="CE162" s="47">
        <v>0.83599999999999997</v>
      </c>
      <c r="CF162" s="47">
        <v>0.71399999999999997</v>
      </c>
      <c r="CG162" s="47">
        <v>0.59099999999999997</v>
      </c>
      <c r="CH162" s="47">
        <v>0.58099999999999996</v>
      </c>
      <c r="CI162" s="47">
        <v>0.61199999999999999</v>
      </c>
      <c r="CJ162" s="47">
        <v>0.63200000000000001</v>
      </c>
      <c r="CK162" s="47">
        <v>0.622</v>
      </c>
      <c r="CL162" s="47">
        <v>0.54</v>
      </c>
      <c r="CM162" s="47">
        <v>0.47899999999999998</v>
      </c>
      <c r="CN162" s="47">
        <v>0.46899999999999992</v>
      </c>
      <c r="CO162" s="47">
        <v>0.438</v>
      </c>
      <c r="CP162" s="47">
        <v>0.41799999999999998</v>
      </c>
      <c r="CQ162" s="47">
        <v>0.32600000000000001</v>
      </c>
      <c r="CR162" s="47">
        <v>0.27500000000000002</v>
      </c>
      <c r="CS162" s="47">
        <v>0.224</v>
      </c>
      <c r="CT162" s="47">
        <v>0.17299999999999999</v>
      </c>
      <c r="CU162" s="47">
        <v>0.13200000000000001</v>
      </c>
      <c r="CV162" s="47">
        <v>8.1000000000000003E-2</v>
      </c>
      <c r="CW162" s="47">
        <v>0.112</v>
      </c>
      <c r="CX162" s="47">
        <v>0.153</v>
      </c>
      <c r="CY162" s="47">
        <v>0.183</v>
      </c>
      <c r="CZ162" s="47">
        <v>7.0999999999999994E-2</v>
      </c>
    </row>
    <row r="163" spans="1:104" x14ac:dyDescent="0.2">
      <c r="A163" s="45" t="s">
        <v>196</v>
      </c>
      <c r="B163" s="46">
        <f t="shared" si="29"/>
        <v>35.4</v>
      </c>
      <c r="C163" s="46">
        <f t="shared" si="30"/>
        <v>7.8499999999999908</v>
      </c>
      <c r="D163" s="48">
        <f t="shared" si="31"/>
        <v>22.231855615381651</v>
      </c>
      <c r="E163" s="46"/>
      <c r="F163" s="47">
        <v>0.45974999999999999</v>
      </c>
      <c r="G163" s="47">
        <v>0.45974999999999999</v>
      </c>
      <c r="H163" s="47">
        <v>0.42450000000000004</v>
      </c>
      <c r="I163" s="47">
        <v>0.38125000000000009</v>
      </c>
      <c r="J163" s="47">
        <v>0.36200000000000004</v>
      </c>
      <c r="K163" s="47">
        <v>0.40175</v>
      </c>
      <c r="L163" s="47">
        <v>0.31700000000000006</v>
      </c>
      <c r="M163" s="47">
        <v>0.26150000000000001</v>
      </c>
      <c r="N163" s="47">
        <v>0.22399999999999998</v>
      </c>
      <c r="O163" s="47">
        <v>0.21324999999999997</v>
      </c>
      <c r="P163" s="47">
        <v>0.24375000000000002</v>
      </c>
      <c r="Q163" s="47">
        <v>0.35649999999999998</v>
      </c>
      <c r="R163" s="47">
        <v>0.30449999999999999</v>
      </c>
      <c r="S163" s="47">
        <v>0.17600000000000002</v>
      </c>
      <c r="T163" s="47">
        <v>0.13375000000000001</v>
      </c>
      <c r="U163" s="47">
        <v>0.12325</v>
      </c>
      <c r="V163" s="47">
        <v>7.9000000000000001E-2</v>
      </c>
      <c r="W163" s="47">
        <v>0.10575</v>
      </c>
      <c r="X163" s="47">
        <v>0.1245</v>
      </c>
      <c r="Y163" s="47">
        <v>0.156</v>
      </c>
      <c r="Z163" s="47">
        <v>0.16249999999999998</v>
      </c>
      <c r="AA163" s="47">
        <v>0.161</v>
      </c>
      <c r="AB163" s="47">
        <v>0.1055</v>
      </c>
      <c r="AC163" s="47">
        <v>9.8750000000000004E-2</v>
      </c>
      <c r="AD163" s="47">
        <v>0.10999999999999999</v>
      </c>
      <c r="AE163" s="47">
        <v>0.22724999999999995</v>
      </c>
      <c r="AF163" s="47">
        <v>0.29775000000000001</v>
      </c>
      <c r="AG163" s="47">
        <v>0.38500000000000001</v>
      </c>
      <c r="AH163" s="47">
        <v>0.49775000000000003</v>
      </c>
      <c r="AI163" s="47">
        <v>0.5482499999999999</v>
      </c>
      <c r="AJ163" s="47">
        <v>0.34950000000000003</v>
      </c>
      <c r="AK163" s="47">
        <v>0.30125000000000002</v>
      </c>
      <c r="AL163" s="47">
        <v>0.30774999999999997</v>
      </c>
      <c r="AM163" s="47">
        <v>0.49199999999999999</v>
      </c>
      <c r="AN163" s="47">
        <v>0.64575000000000005</v>
      </c>
      <c r="AO163" s="47">
        <v>0.6845</v>
      </c>
      <c r="AP163" s="47">
        <v>0.60225000000000006</v>
      </c>
      <c r="AQ163" s="47">
        <v>0.54849999999999999</v>
      </c>
      <c r="AR163" s="47">
        <v>0.65250000000000008</v>
      </c>
      <c r="AS163" s="47">
        <v>0.81574999999999998</v>
      </c>
      <c r="AT163" s="47">
        <v>0.76024999999999998</v>
      </c>
      <c r="AU163" s="47">
        <v>0.75075000000000003</v>
      </c>
      <c r="AV163" s="47">
        <v>0.66025</v>
      </c>
      <c r="AW163" s="47">
        <v>0.48999999999999988</v>
      </c>
      <c r="AX163" s="47">
        <v>0.41224999999999995</v>
      </c>
      <c r="AY163" s="47">
        <v>0.50600000000000001</v>
      </c>
      <c r="AZ163" s="47">
        <v>0.56025000000000003</v>
      </c>
      <c r="BA163" s="47">
        <v>0.46425000000000005</v>
      </c>
      <c r="BB163" s="47">
        <v>0.17149999999999999</v>
      </c>
      <c r="BC163" s="47">
        <v>0.157</v>
      </c>
      <c r="BD163" s="47">
        <v>0.17774999999999999</v>
      </c>
      <c r="BE163" s="47">
        <v>0.627</v>
      </c>
      <c r="BF163" s="47">
        <v>0.75050000000000006</v>
      </c>
      <c r="BG163" s="47">
        <v>0.68974999999999997</v>
      </c>
      <c r="BH163" s="47">
        <v>0.51424999999999998</v>
      </c>
      <c r="BI163" s="47">
        <v>0.45400000000000001</v>
      </c>
      <c r="BJ163" s="47">
        <v>0.42075000000000001</v>
      </c>
      <c r="BK163" s="47">
        <v>0.47525000000000001</v>
      </c>
      <c r="BL163" s="47">
        <v>0.54799999999999993</v>
      </c>
      <c r="BM163" s="47">
        <v>0.57000000000000006</v>
      </c>
      <c r="BN163" s="47">
        <v>0.46274999999999994</v>
      </c>
      <c r="BO163" s="47">
        <v>0.46624999999999994</v>
      </c>
      <c r="BP163" s="47">
        <v>0.50274999999999992</v>
      </c>
      <c r="BQ163" s="47">
        <v>0.69224999999999992</v>
      </c>
      <c r="BR163" s="47">
        <v>0.73250000000000004</v>
      </c>
      <c r="BS163" s="47">
        <v>0.70950000000000002</v>
      </c>
      <c r="BT163" s="47">
        <v>0.56575000000000009</v>
      </c>
      <c r="BU163" s="47">
        <v>0.45849999999999996</v>
      </c>
      <c r="BV163" s="47">
        <v>0.49049999999999999</v>
      </c>
      <c r="BW163" s="47">
        <v>0.67275000000000007</v>
      </c>
      <c r="BX163" s="47">
        <v>0.72675000000000001</v>
      </c>
      <c r="BY163" s="47">
        <v>0.70124999999999993</v>
      </c>
      <c r="BZ163" s="47">
        <v>0.53099999999999992</v>
      </c>
      <c r="CA163" s="47">
        <v>0.57074999999999998</v>
      </c>
      <c r="CB163" s="47">
        <v>0.69499999999999995</v>
      </c>
      <c r="CC163" s="47">
        <v>0.84024999999999994</v>
      </c>
      <c r="CD163" s="47">
        <v>0.79400000000000004</v>
      </c>
      <c r="CE163" s="47">
        <v>0.76674999999999993</v>
      </c>
      <c r="CF163" s="47">
        <v>0.71299999999999997</v>
      </c>
      <c r="CG163" s="47">
        <v>0.60925000000000007</v>
      </c>
      <c r="CH163" s="47">
        <v>0.63975000000000004</v>
      </c>
      <c r="CI163" s="47">
        <v>0.71624999999999994</v>
      </c>
      <c r="CJ163" s="47">
        <v>0.77024999999999999</v>
      </c>
      <c r="CK163" s="47">
        <v>0.77749999999999986</v>
      </c>
      <c r="CL163" s="47">
        <v>0.70899999999999996</v>
      </c>
      <c r="CM163" s="47">
        <v>0.52024999999999999</v>
      </c>
      <c r="CN163" s="47">
        <v>0.60450000000000004</v>
      </c>
      <c r="CO163" s="47">
        <v>0.74724999999999997</v>
      </c>
      <c r="CP163" s="47">
        <v>0.83624999999999994</v>
      </c>
      <c r="CQ163" s="47">
        <v>0.84424999999999994</v>
      </c>
      <c r="CR163" s="47">
        <v>0.83624999999999994</v>
      </c>
      <c r="CS163" s="47">
        <v>0.79549999999999998</v>
      </c>
      <c r="CT163" s="47">
        <v>0.73699999999999999</v>
      </c>
      <c r="CU163" s="47">
        <v>0.73450000000000004</v>
      </c>
      <c r="CV163" s="47">
        <v>0.72399999999999998</v>
      </c>
      <c r="CW163" s="47">
        <v>0.67549999999999999</v>
      </c>
      <c r="CX163" s="47">
        <v>0.51475000000000004</v>
      </c>
      <c r="CY163" s="47">
        <v>0.48399999999999999</v>
      </c>
      <c r="CZ163" s="47">
        <v>0.54800000000000004</v>
      </c>
    </row>
    <row r="164" spans="1:104" x14ac:dyDescent="0.2">
      <c r="A164" s="45" t="s">
        <v>197</v>
      </c>
      <c r="B164" s="46">
        <f t="shared" si="29"/>
        <v>39.050000000000004</v>
      </c>
      <c r="C164" s="46">
        <f t="shared" si="30"/>
        <v>-11.499999999999988</v>
      </c>
      <c r="D164" s="48">
        <f t="shared" si="31"/>
        <v>20.371784369533234</v>
      </c>
      <c r="E164" s="46"/>
      <c r="F164" s="47">
        <v>0.64</v>
      </c>
      <c r="G164" s="47">
        <v>0.64</v>
      </c>
      <c r="H164" s="47">
        <v>0.70600000000000007</v>
      </c>
      <c r="I164" s="47">
        <v>0.75499999999999989</v>
      </c>
      <c r="J164" s="47">
        <v>0.74175000000000002</v>
      </c>
      <c r="K164" s="47">
        <v>0.70350000000000001</v>
      </c>
      <c r="L164" s="47">
        <v>0.68300000000000005</v>
      </c>
      <c r="M164" s="47">
        <v>0.65</v>
      </c>
      <c r="N164" s="47">
        <v>0.64750000000000008</v>
      </c>
      <c r="O164" s="47">
        <v>0.67325000000000002</v>
      </c>
      <c r="P164" s="47">
        <v>0.69850000000000001</v>
      </c>
      <c r="Q164" s="47">
        <v>0.66</v>
      </c>
      <c r="R164" s="47">
        <v>0.62175000000000002</v>
      </c>
      <c r="S164" s="47">
        <v>0.54274999999999995</v>
      </c>
      <c r="T164" s="47">
        <v>0.35699999999999998</v>
      </c>
      <c r="U164" s="47">
        <v>0.20874999999999999</v>
      </c>
      <c r="V164" s="47">
        <v>0.22900000000000001</v>
      </c>
      <c r="W164" s="47">
        <v>0.2495</v>
      </c>
      <c r="X164" s="47">
        <v>0.26250000000000001</v>
      </c>
      <c r="Y164" s="47">
        <v>0.25974999999999998</v>
      </c>
      <c r="Z164" s="47">
        <v>0.23675000000000002</v>
      </c>
      <c r="AA164" s="47">
        <v>0.21124999999999999</v>
      </c>
      <c r="AB164" s="47">
        <v>0.21899999999999997</v>
      </c>
      <c r="AC164" s="47">
        <v>0.23925000000000002</v>
      </c>
      <c r="AD164" s="47">
        <v>0.24950000000000006</v>
      </c>
      <c r="AE164" s="47">
        <v>0.25700000000000006</v>
      </c>
      <c r="AF164" s="47">
        <v>0.41275000000000001</v>
      </c>
      <c r="AG164" s="47">
        <v>0.53800000000000003</v>
      </c>
      <c r="AH164" s="47">
        <v>0.62950000000000006</v>
      </c>
      <c r="AI164" s="47">
        <v>0.65</v>
      </c>
      <c r="AJ164" s="47">
        <v>0.67300000000000004</v>
      </c>
      <c r="AK164" s="47">
        <v>0.69850000000000001</v>
      </c>
      <c r="AL164" s="47">
        <v>0.73425000000000007</v>
      </c>
      <c r="AM164" s="47">
        <v>0.76975000000000005</v>
      </c>
      <c r="AN164" s="47">
        <v>0.85150000000000003</v>
      </c>
      <c r="AO164" s="47">
        <v>0.89500000000000002</v>
      </c>
      <c r="AP164" s="47">
        <v>0.7722500000000001</v>
      </c>
      <c r="AQ164" s="47">
        <v>0.60175000000000012</v>
      </c>
      <c r="AR164" s="47">
        <v>0.52750000000000008</v>
      </c>
      <c r="AS164" s="47">
        <v>0.42549999999999999</v>
      </c>
      <c r="AT164" s="47">
        <v>0.20350000000000001</v>
      </c>
      <c r="AU164" s="47">
        <v>0.18574999999999997</v>
      </c>
      <c r="AV164" s="47">
        <v>0.17050000000000001</v>
      </c>
      <c r="AW164" s="47">
        <v>0.14249999999999999</v>
      </c>
      <c r="AX164" s="47">
        <v>0.11924999999999999</v>
      </c>
      <c r="AY164" s="47">
        <v>9.6499999999999989E-2</v>
      </c>
      <c r="AZ164" s="47">
        <v>6.8499999999999991E-2</v>
      </c>
      <c r="BA164" s="47">
        <v>5.6000000000000001E-2</v>
      </c>
      <c r="BB164" s="47">
        <v>8.1250000000000003E-2</v>
      </c>
      <c r="BC164" s="47">
        <v>0.10425</v>
      </c>
      <c r="BD164" s="47">
        <v>0.21900000000000003</v>
      </c>
      <c r="BE164" s="47">
        <v>0.33099999999999996</v>
      </c>
      <c r="BF164" s="47">
        <v>0.51200000000000001</v>
      </c>
      <c r="BG164" s="47">
        <v>0.52750000000000008</v>
      </c>
      <c r="BH164" s="47">
        <v>0.52749999999999997</v>
      </c>
      <c r="BI164" s="47">
        <v>0.55049999999999999</v>
      </c>
      <c r="BJ164" s="47">
        <v>0.53800000000000003</v>
      </c>
      <c r="BK164" s="47">
        <v>0.52249999999999996</v>
      </c>
      <c r="BL164" s="47">
        <v>0.48175000000000007</v>
      </c>
      <c r="BM164" s="47">
        <v>0.47175</v>
      </c>
      <c r="BN164" s="47">
        <v>0.52</v>
      </c>
      <c r="BO164" s="47">
        <v>0.59624999999999995</v>
      </c>
      <c r="BP164" s="47">
        <v>0.65500000000000003</v>
      </c>
      <c r="BQ164" s="47">
        <v>0.61675000000000002</v>
      </c>
      <c r="BR164" s="47">
        <v>0.57075000000000009</v>
      </c>
      <c r="BS164" s="47">
        <v>0.57100000000000006</v>
      </c>
      <c r="BT164" s="47">
        <v>0.54299999999999993</v>
      </c>
      <c r="BU164" s="47">
        <v>0.52500000000000002</v>
      </c>
      <c r="BV164" s="47">
        <v>0.51475000000000004</v>
      </c>
      <c r="BW164" s="47">
        <v>0.52249999999999996</v>
      </c>
      <c r="BX164" s="47">
        <v>0.52</v>
      </c>
      <c r="BY164" s="47">
        <v>0.50175000000000003</v>
      </c>
      <c r="BZ164" s="47">
        <v>0.47675000000000001</v>
      </c>
      <c r="CA164" s="47">
        <v>0.55025000000000002</v>
      </c>
      <c r="CB164" s="47">
        <v>0.57350000000000012</v>
      </c>
      <c r="CC164" s="47">
        <v>0.59624999999999995</v>
      </c>
      <c r="CD164" s="47">
        <v>0.65775000000000006</v>
      </c>
      <c r="CE164" s="47">
        <v>0.66025</v>
      </c>
      <c r="CF164" s="47">
        <v>0.68574999999999997</v>
      </c>
      <c r="CG164" s="47">
        <v>0.73175000000000001</v>
      </c>
      <c r="CH164" s="47">
        <v>0.76</v>
      </c>
      <c r="CI164" s="47">
        <v>0.76975000000000016</v>
      </c>
      <c r="CJ164" s="47">
        <v>0.77250000000000008</v>
      </c>
      <c r="CK164" s="47">
        <v>0.7569999999999999</v>
      </c>
      <c r="CL164" s="47">
        <v>0.7569999999999999</v>
      </c>
      <c r="CM164" s="47">
        <v>0.69850000000000001</v>
      </c>
      <c r="CN164" s="47">
        <v>0.66549999999999998</v>
      </c>
      <c r="CO164" s="47">
        <v>0.54549999999999987</v>
      </c>
      <c r="CP164" s="47">
        <v>0.47174999999999995</v>
      </c>
      <c r="CQ164" s="47">
        <v>0.43325000000000002</v>
      </c>
      <c r="CR164" s="47">
        <v>0.40500000000000003</v>
      </c>
      <c r="CS164" s="47">
        <v>0.39249999999999996</v>
      </c>
      <c r="CT164" s="47">
        <v>0.38725000000000004</v>
      </c>
      <c r="CU164" s="47">
        <v>0.38724999999999998</v>
      </c>
      <c r="CV164" s="47">
        <v>0.39500000000000002</v>
      </c>
      <c r="CW164" s="47">
        <v>0.42774999999999996</v>
      </c>
      <c r="CX164" s="47">
        <v>0.43325000000000002</v>
      </c>
      <c r="CY164" s="47">
        <v>0.45600000000000002</v>
      </c>
      <c r="CZ164" s="47">
        <v>0.46375</v>
      </c>
    </row>
    <row r="165" spans="1:104" x14ac:dyDescent="0.2">
      <c r="A165" s="45" t="s">
        <v>198</v>
      </c>
      <c r="B165" s="46">
        <f t="shared" si="29"/>
        <v>69.399999999999991</v>
      </c>
      <c r="C165" s="46">
        <f t="shared" si="30"/>
        <v>-17.400000000000006</v>
      </c>
      <c r="D165" s="48">
        <f t="shared" si="31"/>
        <v>26.209426632825998</v>
      </c>
      <c r="E165" s="46"/>
      <c r="F165" s="47">
        <v>0.82599999999999996</v>
      </c>
      <c r="G165" s="47">
        <v>0.82599999999999996</v>
      </c>
      <c r="H165" s="47">
        <v>0.90800000000000003</v>
      </c>
      <c r="I165" s="47">
        <v>1</v>
      </c>
      <c r="J165" s="47">
        <v>0.98899999999999988</v>
      </c>
      <c r="K165" s="47">
        <v>0.96899999999999986</v>
      </c>
      <c r="L165" s="47">
        <v>0.93800000000000006</v>
      </c>
      <c r="M165" s="47">
        <v>0.92800000000000005</v>
      </c>
      <c r="N165" s="47">
        <v>0.94800000000000006</v>
      </c>
      <c r="O165" s="47">
        <v>0.97899999999999987</v>
      </c>
      <c r="P165" s="47">
        <v>0.95899999999999985</v>
      </c>
      <c r="Q165" s="47">
        <v>0.91800000000000004</v>
      </c>
      <c r="R165" s="47">
        <v>0.89700000000000002</v>
      </c>
      <c r="S165" s="47">
        <v>0.84599999999999997</v>
      </c>
      <c r="T165" s="47">
        <v>0.255</v>
      </c>
      <c r="U165" s="47">
        <v>0.12200000000000001</v>
      </c>
      <c r="V165" s="47">
        <v>0.112</v>
      </c>
      <c r="W165" s="47">
        <v>0.13200000000000001</v>
      </c>
      <c r="X165" s="47">
        <v>0.14199999999999999</v>
      </c>
      <c r="Y165" s="47">
        <v>9.0999999999999998E-2</v>
      </c>
      <c r="Z165" s="47">
        <v>7.0999999999999994E-2</v>
      </c>
      <c r="AA165" s="47">
        <v>0.04</v>
      </c>
      <c r="AB165" s="47">
        <v>6.1000000000000006E-2</v>
      </c>
      <c r="AC165" s="47">
        <v>0.153</v>
      </c>
      <c r="AD165" s="47">
        <v>0.214</v>
      </c>
      <c r="AE165" s="47">
        <v>0.23400000000000001</v>
      </c>
      <c r="AF165" s="47">
        <v>0.28499999999999998</v>
      </c>
      <c r="AG165" s="47">
        <v>0.27500000000000002</v>
      </c>
      <c r="AH165" s="47">
        <v>0.5</v>
      </c>
      <c r="AI165" s="47">
        <v>0.78500000000000003</v>
      </c>
      <c r="AJ165" s="47">
        <v>0.79500000000000004</v>
      </c>
      <c r="AK165" s="47">
        <v>0.81599999999999995</v>
      </c>
      <c r="AL165" s="47">
        <v>0.85699999999999998</v>
      </c>
      <c r="AM165" s="47">
        <v>0.877</v>
      </c>
      <c r="AN165" s="47">
        <v>0.88700000000000001</v>
      </c>
      <c r="AO165" s="47">
        <v>0.86699999999999999</v>
      </c>
      <c r="AP165" s="47">
        <v>0.80600000000000005</v>
      </c>
      <c r="AQ165" s="47">
        <v>0.24400000000000002</v>
      </c>
      <c r="AR165" s="47">
        <v>0.20399999999999999</v>
      </c>
      <c r="AS165" s="47">
        <v>0.17299999999999999</v>
      </c>
      <c r="AT165" s="47">
        <v>0.183</v>
      </c>
      <c r="AU165" s="47">
        <v>0.16300000000000001</v>
      </c>
      <c r="AV165" s="47">
        <v>0.10199999999999999</v>
      </c>
      <c r="AW165" s="47">
        <v>7.0999999999999994E-2</v>
      </c>
      <c r="AX165" s="47">
        <v>5.0999999999999997E-2</v>
      </c>
      <c r="AY165" s="47">
        <v>0.02</v>
      </c>
      <c r="AZ165" s="47">
        <v>0</v>
      </c>
      <c r="BA165" s="47">
        <v>0.01</v>
      </c>
      <c r="BB165" s="47">
        <v>0.03</v>
      </c>
      <c r="BC165" s="47">
        <v>0.193</v>
      </c>
      <c r="BD165" s="47">
        <v>0.224</v>
      </c>
      <c r="BE165" s="47">
        <v>0.26500000000000001</v>
      </c>
      <c r="BF165" s="47">
        <v>0.29499999999999998</v>
      </c>
      <c r="BG165" s="47">
        <v>0.30599999999999999</v>
      </c>
      <c r="BH165" s="47">
        <v>0.32600000000000001</v>
      </c>
      <c r="BI165" s="47">
        <v>0.35699999999999998</v>
      </c>
      <c r="BJ165" s="47">
        <v>0.34599999999999997</v>
      </c>
      <c r="BK165" s="47">
        <v>0.32600000000000001</v>
      </c>
      <c r="BL165" s="47">
        <v>0.316</v>
      </c>
      <c r="BM165" s="47">
        <v>0.377</v>
      </c>
      <c r="BN165" s="47">
        <v>0.39700000000000002</v>
      </c>
      <c r="BO165" s="47">
        <v>0.63200000000000001</v>
      </c>
      <c r="BP165" s="47">
        <v>0.67300000000000004</v>
      </c>
      <c r="BQ165" s="47">
        <v>0.60199999999999998</v>
      </c>
      <c r="BR165" s="47">
        <v>0.48899999999999999</v>
      </c>
      <c r="BS165" s="47">
        <v>0.52</v>
      </c>
      <c r="BT165" s="47">
        <v>0.55100000000000005</v>
      </c>
      <c r="BU165" s="47">
        <v>0.56100000000000005</v>
      </c>
      <c r="BV165" s="47">
        <v>0.58099999999999996</v>
      </c>
      <c r="BW165" s="47">
        <v>0.59099999999999997</v>
      </c>
      <c r="BX165" s="47">
        <v>0.61199999999999999</v>
      </c>
      <c r="BY165" s="47">
        <v>0.57099999999999995</v>
      </c>
      <c r="BZ165" s="47">
        <v>0.46900000000000003</v>
      </c>
      <c r="CA165" s="47">
        <v>0.36699999999999999</v>
      </c>
      <c r="CB165" s="47">
        <v>0.38700000000000001</v>
      </c>
      <c r="CC165" s="47">
        <v>0.40799999999999997</v>
      </c>
      <c r="CD165" s="47">
        <v>0.65300000000000002</v>
      </c>
      <c r="CE165" s="47">
        <v>0.64200000000000002</v>
      </c>
      <c r="CF165" s="47">
        <v>0.622</v>
      </c>
      <c r="CG165" s="47">
        <v>0.66300000000000003</v>
      </c>
      <c r="CH165" s="47">
        <v>0.69299999999999995</v>
      </c>
      <c r="CI165" s="47">
        <v>0.72399999999999998</v>
      </c>
      <c r="CJ165" s="47">
        <v>0.71399999999999997</v>
      </c>
      <c r="CK165" s="47">
        <v>0.72399999999999998</v>
      </c>
      <c r="CL165" s="47">
        <v>0.74399999999999999</v>
      </c>
      <c r="CM165" s="47">
        <v>0.77500000000000002</v>
      </c>
      <c r="CN165" s="47">
        <v>0.76500000000000001</v>
      </c>
      <c r="CO165" s="47">
        <v>0.755</v>
      </c>
      <c r="CP165" s="47">
        <v>0.53</v>
      </c>
      <c r="CQ165" s="47">
        <v>0.51</v>
      </c>
      <c r="CR165" s="47">
        <v>0.46900000000000003</v>
      </c>
      <c r="CS165" s="47">
        <v>0.45900000000000002</v>
      </c>
      <c r="CT165" s="47">
        <v>0.44800000000000001</v>
      </c>
      <c r="CU165" s="47">
        <v>0.42799999999999999</v>
      </c>
      <c r="CV165" s="47">
        <v>0.42799999999999999</v>
      </c>
      <c r="CW165" s="47">
        <v>0.41799999999999998</v>
      </c>
      <c r="CX165" s="47">
        <v>0.54</v>
      </c>
      <c r="CY165" s="47">
        <v>0.68300000000000005</v>
      </c>
      <c r="CZ165" s="47">
        <v>0.70399999999999996</v>
      </c>
    </row>
    <row r="166" spans="1:104" x14ac:dyDescent="0.2">
      <c r="A166" s="45" t="s">
        <v>199</v>
      </c>
      <c r="B166" s="46">
        <f t="shared" si="29"/>
        <v>5.600000000000005</v>
      </c>
      <c r="C166" s="46">
        <f t="shared" si="30"/>
        <v>4.3000000000000149</v>
      </c>
      <c r="D166" s="48">
        <f t="shared" si="31"/>
        <v>24.46413263188898</v>
      </c>
      <c r="E166" s="46"/>
      <c r="F166" s="47">
        <v>0.82600000000000007</v>
      </c>
      <c r="G166" s="47">
        <v>0.81574999999999998</v>
      </c>
      <c r="H166" s="47">
        <v>0.79800000000000004</v>
      </c>
      <c r="I166" s="47">
        <v>0.78299999999999992</v>
      </c>
      <c r="J166" s="47">
        <v>0.71650000000000003</v>
      </c>
      <c r="K166" s="47">
        <v>0.67525000000000002</v>
      </c>
      <c r="L166" s="47">
        <v>0.66024999999999989</v>
      </c>
      <c r="M166" s="47">
        <v>0.627</v>
      </c>
      <c r="N166" s="47">
        <v>0.60925000000000007</v>
      </c>
      <c r="O166" s="47">
        <v>0.62975000000000003</v>
      </c>
      <c r="P166" s="47">
        <v>0.65249999999999997</v>
      </c>
      <c r="Q166" s="47">
        <v>0.66775000000000007</v>
      </c>
      <c r="R166" s="47">
        <v>0.61950000000000005</v>
      </c>
      <c r="S166" s="47">
        <v>0.59650000000000003</v>
      </c>
      <c r="T166" s="47">
        <v>0.60949999999999993</v>
      </c>
      <c r="U166" s="47">
        <v>0.67300000000000004</v>
      </c>
      <c r="V166" s="47">
        <v>0.74424999999999997</v>
      </c>
      <c r="W166" s="47">
        <v>0.77</v>
      </c>
      <c r="X166" s="47">
        <v>0.79275000000000007</v>
      </c>
      <c r="Y166" s="47">
        <v>0.81074999999999997</v>
      </c>
      <c r="Z166" s="47">
        <v>0.84375000000000011</v>
      </c>
      <c r="AA166" s="47">
        <v>0.87925000000000009</v>
      </c>
      <c r="AB166" s="47">
        <v>0.87449999999999994</v>
      </c>
      <c r="AC166" s="47">
        <v>0.88724999999999998</v>
      </c>
      <c r="AD166" s="47">
        <v>0.88724999999999998</v>
      </c>
      <c r="AE166" s="47">
        <v>0.88975000000000015</v>
      </c>
      <c r="AF166" s="47">
        <v>0.89750000000000008</v>
      </c>
      <c r="AG166" s="47">
        <v>0.89224999999999999</v>
      </c>
      <c r="AH166" s="47">
        <v>0.90274999999999994</v>
      </c>
      <c r="AI166" s="47">
        <v>0.90000000000000013</v>
      </c>
      <c r="AJ166" s="47">
        <v>0.88474999999999981</v>
      </c>
      <c r="AK166" s="47">
        <v>0.86675000000000002</v>
      </c>
      <c r="AL166" s="47">
        <v>0.84650000000000003</v>
      </c>
      <c r="AM166" s="47">
        <v>0.83100000000000007</v>
      </c>
      <c r="AN166" s="47">
        <v>0.81824999999999992</v>
      </c>
      <c r="AO166" s="47">
        <v>0.79050000000000009</v>
      </c>
      <c r="AP166" s="47">
        <v>0.747</v>
      </c>
      <c r="AQ166" s="47">
        <v>0.68824999999999992</v>
      </c>
      <c r="AR166" s="47">
        <v>0.60925000000000007</v>
      </c>
      <c r="AS166" s="47">
        <v>0.56599999999999995</v>
      </c>
      <c r="AT166" s="47">
        <v>0.52500000000000002</v>
      </c>
      <c r="AU166" s="47">
        <v>0.52249999999999996</v>
      </c>
      <c r="AV166" s="47">
        <v>0.53525</v>
      </c>
      <c r="AW166" s="47">
        <v>0.52500000000000002</v>
      </c>
      <c r="AX166" s="47">
        <v>0.48175000000000001</v>
      </c>
      <c r="AY166" s="47">
        <v>0.372</v>
      </c>
      <c r="AZ166" s="47">
        <v>0.32074999999999998</v>
      </c>
      <c r="BA166" s="47">
        <v>0.311</v>
      </c>
      <c r="BB166" s="47">
        <v>0.33350000000000002</v>
      </c>
      <c r="BC166" s="47">
        <v>0.37974999999999998</v>
      </c>
      <c r="BD166" s="47">
        <v>0.40250000000000002</v>
      </c>
      <c r="BE166" s="47">
        <v>0.42550000000000004</v>
      </c>
      <c r="BF166" s="47">
        <v>0.39500000000000002</v>
      </c>
      <c r="BG166" s="47">
        <v>0.37474999999999997</v>
      </c>
      <c r="BH166" s="47">
        <v>0.4</v>
      </c>
      <c r="BI166" s="47">
        <v>0.44324999999999998</v>
      </c>
      <c r="BJ166" s="47">
        <v>0.42299999999999999</v>
      </c>
      <c r="BK166" s="47">
        <v>0.34150000000000003</v>
      </c>
      <c r="BL166" s="47">
        <v>0.26999999999999996</v>
      </c>
      <c r="BM166" s="47">
        <v>0.25199999999999995</v>
      </c>
      <c r="BN166" s="47">
        <v>0.3135</v>
      </c>
      <c r="BO166" s="47">
        <v>0.38224999999999998</v>
      </c>
      <c r="BP166" s="47">
        <v>0.441</v>
      </c>
      <c r="BQ166" s="47">
        <v>0.47175</v>
      </c>
      <c r="BR166" s="47">
        <v>0.46099999999999997</v>
      </c>
      <c r="BS166" s="47">
        <v>0.47674999999999995</v>
      </c>
      <c r="BT166" s="47">
        <v>0.49425000000000002</v>
      </c>
      <c r="BU166" s="47">
        <v>0.46899999999999997</v>
      </c>
      <c r="BV166" s="47">
        <v>0.42025000000000001</v>
      </c>
      <c r="BW166" s="47">
        <v>0.308</v>
      </c>
      <c r="BX166" s="47">
        <v>0.23174999999999998</v>
      </c>
      <c r="BY166" s="47">
        <v>0.20600000000000002</v>
      </c>
      <c r="BZ166" s="47">
        <v>0.20100000000000001</v>
      </c>
      <c r="CA166" s="47">
        <v>0.25724999999999998</v>
      </c>
      <c r="CB166" s="47">
        <v>0.2545</v>
      </c>
      <c r="CC166" s="47">
        <v>0.24174999999999999</v>
      </c>
      <c r="CD166" s="47">
        <v>0.224</v>
      </c>
      <c r="CE166" s="47">
        <v>0.21900000000000003</v>
      </c>
      <c r="CF166" s="47">
        <v>0.24700000000000003</v>
      </c>
      <c r="CG166" s="47">
        <v>0.27750000000000002</v>
      </c>
      <c r="CH166" s="47">
        <v>0.27499999999999997</v>
      </c>
      <c r="CI166" s="47">
        <v>0.26224999999999998</v>
      </c>
      <c r="CJ166" s="47">
        <v>0.26474999999999999</v>
      </c>
      <c r="CK166" s="47">
        <v>0.23649999999999999</v>
      </c>
      <c r="CL166" s="47">
        <v>0.24174999999999999</v>
      </c>
      <c r="CM166" s="47">
        <v>0.26474999999999999</v>
      </c>
      <c r="CN166" s="47">
        <v>0.26975000000000005</v>
      </c>
      <c r="CO166" s="47">
        <v>0.27250000000000002</v>
      </c>
      <c r="CP166" s="47">
        <v>0.23949999999999999</v>
      </c>
      <c r="CQ166" s="47">
        <v>0.23649999999999999</v>
      </c>
      <c r="CR166" s="47">
        <v>0.20600000000000002</v>
      </c>
      <c r="CS166" s="47">
        <v>0.19625000000000001</v>
      </c>
      <c r="CT166" s="47">
        <v>0.18825</v>
      </c>
      <c r="CU166" s="47">
        <v>0.18075000000000002</v>
      </c>
      <c r="CV166" s="47">
        <v>0.17300000000000001</v>
      </c>
      <c r="CW166" s="47">
        <v>0.16800000000000001</v>
      </c>
      <c r="CX166" s="47">
        <v>0.17050000000000001</v>
      </c>
      <c r="CY166" s="47">
        <v>0.18325000000000002</v>
      </c>
      <c r="CZ166" s="47">
        <v>0.19849999999999998</v>
      </c>
    </row>
    <row r="167" spans="1:104" x14ac:dyDescent="0.2">
      <c r="A167" s="45" t="s">
        <v>321</v>
      </c>
      <c r="B167" s="46">
        <f t="shared" si="29"/>
        <v>6.8749999999999982</v>
      </c>
      <c r="C167" s="46">
        <f t="shared" si="30"/>
        <v>-5.0000000000000044</v>
      </c>
      <c r="D167" s="48"/>
      <c r="E167" s="46"/>
      <c r="F167" s="47">
        <v>0.42125000000000001</v>
      </c>
      <c r="G167" s="47">
        <v>0.43325000000000002</v>
      </c>
      <c r="H167" s="47">
        <v>0.47025</v>
      </c>
      <c r="I167" s="47">
        <v>0.47125000000000006</v>
      </c>
      <c r="J167" s="47">
        <v>0.48375000000000001</v>
      </c>
      <c r="K167" s="47">
        <v>0.52774999999999994</v>
      </c>
      <c r="L167" s="47">
        <v>0.55724999999999991</v>
      </c>
      <c r="M167" s="47">
        <v>0.51575000000000004</v>
      </c>
      <c r="N167" s="47">
        <v>0.39324999999999999</v>
      </c>
      <c r="O167" s="47">
        <v>0.27024999999999993</v>
      </c>
      <c r="P167" s="47">
        <v>0.2485</v>
      </c>
      <c r="Q167" s="47">
        <v>0.27675</v>
      </c>
      <c r="R167" s="47">
        <v>0.25725000000000003</v>
      </c>
      <c r="S167" s="47">
        <v>0.24524999999999997</v>
      </c>
      <c r="T167" s="47">
        <v>0.2195</v>
      </c>
      <c r="U167" s="47">
        <v>0.21524999999999997</v>
      </c>
      <c r="V167" s="47">
        <v>0.27975</v>
      </c>
      <c r="W167" s="47">
        <v>0.35250000000000004</v>
      </c>
      <c r="X167" s="47">
        <v>0.29875000000000002</v>
      </c>
      <c r="Y167" s="47">
        <v>0.20074999999999998</v>
      </c>
      <c r="Z167" s="47">
        <v>0.18150000000000002</v>
      </c>
      <c r="AA167" s="47">
        <v>0.19475000000000001</v>
      </c>
      <c r="AB167" s="47">
        <v>0.28075000000000006</v>
      </c>
      <c r="AC167" s="47">
        <v>0.31874999999999998</v>
      </c>
      <c r="AD167" s="47">
        <v>0.35475000000000007</v>
      </c>
      <c r="AE167" s="47">
        <v>0.41150000000000003</v>
      </c>
      <c r="AF167" s="47">
        <v>0.37525000000000003</v>
      </c>
      <c r="AG167" s="47">
        <v>0.39749999999999996</v>
      </c>
      <c r="AH167" s="47">
        <v>0.311</v>
      </c>
      <c r="AI167" s="47">
        <v>0.26674999999999999</v>
      </c>
      <c r="AJ167" s="47">
        <v>0.24525000000000005</v>
      </c>
      <c r="AK167" s="47">
        <v>0.29025000000000001</v>
      </c>
      <c r="AL167" s="47">
        <v>0.38574999999999998</v>
      </c>
      <c r="AM167" s="47">
        <v>0.38525000000000004</v>
      </c>
      <c r="AN167" s="47">
        <v>0.53749999999999998</v>
      </c>
      <c r="AO167" s="47">
        <v>0.71525000000000005</v>
      </c>
      <c r="AP167" s="47">
        <v>0.73899999999999999</v>
      </c>
      <c r="AQ167" s="47">
        <v>0.5807500000000001</v>
      </c>
      <c r="AR167" s="47">
        <v>0.42274999999999996</v>
      </c>
      <c r="AS167" s="47">
        <v>0.50224999999999997</v>
      </c>
      <c r="AT167" s="47">
        <v>0.51</v>
      </c>
      <c r="AU167" s="47">
        <v>0.52875000000000005</v>
      </c>
      <c r="AV167" s="47">
        <v>0.57125000000000004</v>
      </c>
      <c r="AW167" s="47">
        <v>0.58199999999999996</v>
      </c>
      <c r="AX167" s="47">
        <v>0.62375000000000003</v>
      </c>
      <c r="AY167" s="47">
        <v>0.61499999999999999</v>
      </c>
      <c r="AZ167" s="47">
        <v>0.65299999999999991</v>
      </c>
      <c r="BA167" s="47">
        <v>0.59199999999999997</v>
      </c>
      <c r="BB167" s="47">
        <v>0.4995</v>
      </c>
      <c r="BC167" s="47">
        <v>0.47650000000000003</v>
      </c>
      <c r="BD167" s="47">
        <v>0.45875000000000005</v>
      </c>
      <c r="BE167" s="47">
        <v>0.41249999999999998</v>
      </c>
      <c r="BF167" s="47">
        <v>0.41225000000000001</v>
      </c>
      <c r="BG167" s="47">
        <v>0.41175</v>
      </c>
      <c r="BH167" s="47">
        <v>0.47</v>
      </c>
      <c r="BI167" s="47">
        <v>0.47799999999999992</v>
      </c>
      <c r="BJ167" s="47">
        <v>0.43674999999999997</v>
      </c>
      <c r="BK167" s="47">
        <v>0.437</v>
      </c>
      <c r="BL167" s="47">
        <v>0.5595</v>
      </c>
      <c r="BM167" s="47">
        <v>0.63524999999999998</v>
      </c>
      <c r="BN167" s="47">
        <v>0.67174999999999996</v>
      </c>
      <c r="BO167" s="47">
        <v>0.6492500000000001</v>
      </c>
      <c r="BP167" s="47">
        <v>0.61575000000000013</v>
      </c>
      <c r="BQ167" s="47">
        <v>0.55449999999999999</v>
      </c>
      <c r="BR167" s="47">
        <v>0.53799999999999992</v>
      </c>
      <c r="BS167" s="47">
        <v>0.55249999999999999</v>
      </c>
      <c r="BT167" s="47">
        <v>0.54525000000000001</v>
      </c>
      <c r="BU167" s="47">
        <v>0.50124999999999997</v>
      </c>
      <c r="BV167" s="47">
        <v>0.47300000000000009</v>
      </c>
      <c r="BW167" s="47">
        <v>0.50949999999999995</v>
      </c>
      <c r="BX167" s="47">
        <v>0.54600000000000004</v>
      </c>
      <c r="BY167" s="47">
        <v>0.60175000000000001</v>
      </c>
      <c r="BZ167" s="47">
        <v>0.61375000000000013</v>
      </c>
      <c r="CA167" s="47">
        <v>0.62724999999999997</v>
      </c>
      <c r="CB167" s="47">
        <v>0.60550000000000004</v>
      </c>
      <c r="CC167" s="47">
        <v>0.55999999999999994</v>
      </c>
      <c r="CD167" s="47">
        <v>0.53099999999999992</v>
      </c>
      <c r="CE167" s="47">
        <v>0.52200000000000002</v>
      </c>
      <c r="CF167" s="47">
        <v>0.5595</v>
      </c>
      <c r="CG167" s="47">
        <v>0.68600000000000005</v>
      </c>
      <c r="CH167" s="47">
        <v>0.75849999999999995</v>
      </c>
      <c r="CI167" s="47">
        <v>0.7649999999999999</v>
      </c>
      <c r="CJ167" s="47">
        <v>0.74775000000000003</v>
      </c>
      <c r="CK167" s="47">
        <v>0.68774999999999997</v>
      </c>
      <c r="CL167" s="47">
        <v>0.63175000000000003</v>
      </c>
      <c r="CM167" s="47">
        <v>0.63475000000000004</v>
      </c>
      <c r="CN167" s="47">
        <v>0.64</v>
      </c>
      <c r="CO167" s="47">
        <v>0.68074999999999997</v>
      </c>
      <c r="CP167" s="47">
        <v>0.67599999999999993</v>
      </c>
      <c r="CQ167" s="47">
        <v>0.64574999999999994</v>
      </c>
      <c r="CR167" s="47">
        <v>0.5665</v>
      </c>
      <c r="CS167" s="47">
        <v>0.56025000000000003</v>
      </c>
      <c r="CT167" s="47">
        <v>0.54849999999999999</v>
      </c>
      <c r="CU167" s="47">
        <v>0.6732499999999999</v>
      </c>
      <c r="CV167" s="47">
        <v>0.69874999999999987</v>
      </c>
      <c r="CW167" s="47">
        <v>0.69874999999999987</v>
      </c>
      <c r="CX167" s="47">
        <v>0.65024999999999999</v>
      </c>
      <c r="CY167" s="47">
        <v>0.61724999999999997</v>
      </c>
      <c r="CZ167" s="47">
        <v>0.61199999999999999</v>
      </c>
    </row>
    <row r="168" spans="1:104" x14ac:dyDescent="0.2">
      <c r="A168" s="45" t="s">
        <v>322</v>
      </c>
      <c r="B168" s="46">
        <f t="shared" si="29"/>
        <v>-12.166666666666663</v>
      </c>
      <c r="C168" s="46">
        <f t="shared" si="30"/>
        <v>-17.56666666666667</v>
      </c>
      <c r="D168" s="48"/>
      <c r="E168" s="46"/>
      <c r="F168" s="47">
        <v>0.12066666666666666</v>
      </c>
      <c r="G168" s="47">
        <v>0.14499999999999999</v>
      </c>
      <c r="H168" s="47">
        <v>0.11666666666666665</v>
      </c>
      <c r="I168" s="47">
        <v>0.29633333333333334</v>
      </c>
      <c r="J168" s="47">
        <v>0.44766666666666671</v>
      </c>
      <c r="K168" s="47">
        <v>0.55533333333333335</v>
      </c>
      <c r="L168" s="47">
        <v>0.59499999999999997</v>
      </c>
      <c r="M168" s="47">
        <v>0.48399999999999999</v>
      </c>
      <c r="N168" s="47">
        <v>0.3843333333333333</v>
      </c>
      <c r="O168" s="47">
        <v>0.27999999999999997</v>
      </c>
      <c r="P168" s="47">
        <v>0.48566666666666669</v>
      </c>
      <c r="Q168" s="47">
        <v>0.69466666666666654</v>
      </c>
      <c r="R168" s="47">
        <v>0.88099999999999978</v>
      </c>
      <c r="S168" s="47">
        <v>0.77133333333333332</v>
      </c>
      <c r="T168" s="47">
        <v>0.64933333333333332</v>
      </c>
      <c r="U168" s="47">
        <v>0.36499999999999999</v>
      </c>
      <c r="V168" s="47">
        <v>0.27966666666666662</v>
      </c>
      <c r="W168" s="47">
        <v>0.24233333333333329</v>
      </c>
      <c r="X168" s="47">
        <v>0.26499999999999996</v>
      </c>
      <c r="Y168" s="47">
        <v>0.29566666666666669</v>
      </c>
      <c r="Z168" s="47">
        <v>0.4376666666666667</v>
      </c>
      <c r="AA168" s="47">
        <v>0.39333333333333331</v>
      </c>
      <c r="AB168" s="47">
        <v>0.32199999999999995</v>
      </c>
      <c r="AC168" s="47">
        <v>0.22699999999999995</v>
      </c>
      <c r="AD168" s="47">
        <v>0.3086666666666667</v>
      </c>
      <c r="AE168" s="47">
        <v>0.34333333333333332</v>
      </c>
      <c r="AF168" s="47">
        <v>0.48233333333333334</v>
      </c>
      <c r="AG168" s="47">
        <v>0.43233333333333329</v>
      </c>
      <c r="AH168" s="47">
        <v>0.46599999999999997</v>
      </c>
      <c r="AI168" s="47">
        <v>0.39099999999999996</v>
      </c>
      <c r="AJ168" s="47">
        <v>0.4383333333333333</v>
      </c>
      <c r="AK168" s="47">
        <v>0.47966666666666657</v>
      </c>
      <c r="AL168" s="47">
        <v>0.49199999999999994</v>
      </c>
      <c r="AM168" s="47">
        <v>0.49066666666666658</v>
      </c>
      <c r="AN168" s="47">
        <v>0.61299999999999999</v>
      </c>
      <c r="AO168" s="47">
        <v>0.80666666666666653</v>
      </c>
      <c r="AP168" s="47">
        <v>0.89233333333333331</v>
      </c>
      <c r="AQ168" s="47">
        <v>0.89666666666666661</v>
      </c>
      <c r="AR168" s="47">
        <v>0.8899999999999999</v>
      </c>
      <c r="AS168" s="47">
        <v>0.78666666666666651</v>
      </c>
      <c r="AT168" s="47">
        <v>0.66066666666666662</v>
      </c>
      <c r="AU168" s="47">
        <v>0.59566666666666668</v>
      </c>
      <c r="AV168" s="47">
        <v>0.57500000000000007</v>
      </c>
      <c r="AW168" s="47">
        <v>0.56666666666666665</v>
      </c>
      <c r="AX168" s="47">
        <v>0.53366666666666662</v>
      </c>
      <c r="AY168" s="47">
        <v>0.51433333333333331</v>
      </c>
      <c r="AZ168" s="47">
        <v>0.50966666666666671</v>
      </c>
      <c r="BA168" s="47">
        <v>0.46866666666666662</v>
      </c>
      <c r="BB168" s="47">
        <v>0.36033333333333328</v>
      </c>
      <c r="BC168" s="47">
        <v>0.35699999999999993</v>
      </c>
      <c r="BD168" s="47">
        <v>0.3876666666666666</v>
      </c>
      <c r="BE168" s="47">
        <v>0.49633333333333329</v>
      </c>
      <c r="BF168" s="47">
        <v>0.51700000000000002</v>
      </c>
      <c r="BG168" s="47">
        <v>0.53399999999999992</v>
      </c>
      <c r="BH168" s="47">
        <v>0.52366666666666661</v>
      </c>
      <c r="BI168" s="47">
        <v>0.52700000000000002</v>
      </c>
      <c r="BJ168" s="47">
        <v>0.54066666666666663</v>
      </c>
      <c r="BK168" s="47">
        <v>0.56433333333333324</v>
      </c>
      <c r="BL168" s="47">
        <v>0.61199999999999988</v>
      </c>
      <c r="BM168" s="47">
        <v>0.63233333333333319</v>
      </c>
      <c r="BN168" s="47">
        <v>0.63933333333333331</v>
      </c>
      <c r="BO168" s="47">
        <v>0.61533333333333318</v>
      </c>
      <c r="BP168" s="47">
        <v>0.59166666666666656</v>
      </c>
      <c r="BQ168" s="47">
        <v>0.58133333333333326</v>
      </c>
      <c r="BR168" s="47">
        <v>0.60199999999999987</v>
      </c>
      <c r="BS168" s="47">
        <v>0.56799999999999995</v>
      </c>
      <c r="BT168" s="47">
        <v>0.55766666666666664</v>
      </c>
      <c r="BU168" s="47">
        <v>0.57466666666666655</v>
      </c>
      <c r="BV168" s="47">
        <v>0.55433333333333323</v>
      </c>
      <c r="BW168" s="47">
        <v>0.53733333333333333</v>
      </c>
      <c r="BX168" s="47">
        <v>0.50666666666666671</v>
      </c>
      <c r="BY168" s="47">
        <v>0.46233333333333321</v>
      </c>
      <c r="BZ168" s="47">
        <v>0.40133333333333332</v>
      </c>
      <c r="CA168" s="47">
        <v>0.46933333333333327</v>
      </c>
      <c r="CB168" s="47">
        <v>0.5033333333333333</v>
      </c>
      <c r="CC168" s="47">
        <v>0.51333333333333331</v>
      </c>
      <c r="CD168" s="47">
        <v>0.43866666666666659</v>
      </c>
      <c r="CE168" s="47">
        <v>0.38066666666666665</v>
      </c>
      <c r="CF168" s="47">
        <v>0.34666666666666662</v>
      </c>
      <c r="CG168" s="47">
        <v>0.35366666666666663</v>
      </c>
      <c r="CH168" s="47">
        <v>0.37066666666666664</v>
      </c>
      <c r="CI168" s="47">
        <v>0.374</v>
      </c>
      <c r="CJ168" s="47">
        <v>0.36733333333333329</v>
      </c>
      <c r="CK168" s="47">
        <v>0.36366666666666664</v>
      </c>
      <c r="CL168" s="47">
        <v>0.40466666666666662</v>
      </c>
      <c r="CM168" s="47">
        <v>0.41466666666666663</v>
      </c>
      <c r="CN168" s="47">
        <v>0.41833333333333328</v>
      </c>
      <c r="CO168" s="47">
        <v>0.39099999999999996</v>
      </c>
      <c r="CP168" s="47">
        <v>0.48966666666666658</v>
      </c>
      <c r="CQ168" s="47">
        <v>0.54399999999999993</v>
      </c>
      <c r="CR168" s="47">
        <v>0.62233333333333318</v>
      </c>
      <c r="CS168" s="47">
        <v>0.62566666666666648</v>
      </c>
      <c r="CT168" s="47">
        <v>0.59499999999999986</v>
      </c>
      <c r="CU168" s="47">
        <v>0.58499999999999985</v>
      </c>
      <c r="CV168" s="47">
        <v>0.63600000000000001</v>
      </c>
      <c r="CW168" s="47">
        <v>0.65299999999999991</v>
      </c>
      <c r="CX168" s="47">
        <v>0.65633333333333332</v>
      </c>
      <c r="CY168" s="47">
        <v>0.6459999999999998</v>
      </c>
      <c r="CZ168" s="47">
        <v>0.60866666666666658</v>
      </c>
    </row>
    <row r="169" spans="1:104" x14ac:dyDescent="0.2">
      <c r="I169" s="35"/>
      <c r="J169" s="35"/>
      <c r="K169" s="35"/>
      <c r="L169" s="35"/>
      <c r="M169" s="35"/>
      <c r="N169" s="35"/>
      <c r="O169" s="35"/>
      <c r="P169" s="35"/>
      <c r="Q169" s="35"/>
    </row>
    <row r="170" spans="1:104" s="44" customFormat="1" x14ac:dyDescent="0.2">
      <c r="A170" s="41" t="s">
        <v>2</v>
      </c>
      <c r="B170" s="42" t="s">
        <v>316</v>
      </c>
      <c r="C170" s="43" t="s">
        <v>319</v>
      </c>
      <c r="D170" s="43" t="s">
        <v>317</v>
      </c>
      <c r="E170" s="43">
        <v>45291</v>
      </c>
      <c r="F170" s="43">
        <v>45382</v>
      </c>
      <c r="G170" s="43">
        <v>45351</v>
      </c>
      <c r="H170" s="43">
        <v>45322</v>
      </c>
      <c r="I170" s="43">
        <v>45291</v>
      </c>
      <c r="J170" s="43">
        <v>45260</v>
      </c>
      <c r="K170" s="43">
        <v>45230</v>
      </c>
      <c r="L170" s="43">
        <v>45199</v>
      </c>
      <c r="M170" s="43">
        <v>45169</v>
      </c>
      <c r="N170" s="43">
        <v>45138</v>
      </c>
      <c r="O170" s="43">
        <v>45107</v>
      </c>
      <c r="P170" s="43">
        <v>45077</v>
      </c>
      <c r="Q170" s="43">
        <v>45046</v>
      </c>
      <c r="R170" s="43">
        <v>45016</v>
      </c>
      <c r="S170" s="43">
        <v>44985</v>
      </c>
      <c r="T170" s="43">
        <v>44957</v>
      </c>
      <c r="U170" s="43">
        <v>44926</v>
      </c>
      <c r="V170" s="43">
        <v>44895</v>
      </c>
      <c r="W170" s="43">
        <v>44865</v>
      </c>
      <c r="X170" s="43">
        <v>44834</v>
      </c>
      <c r="Y170" s="43">
        <v>44804</v>
      </c>
      <c r="Z170" s="43">
        <v>44773</v>
      </c>
      <c r="AA170" s="43">
        <v>44742</v>
      </c>
      <c r="AB170" s="43">
        <v>44712</v>
      </c>
      <c r="AC170" s="43">
        <v>44681</v>
      </c>
      <c r="AD170" s="43">
        <v>44651</v>
      </c>
      <c r="AE170" s="43">
        <v>44620</v>
      </c>
      <c r="AF170" s="43">
        <v>44592</v>
      </c>
      <c r="AG170" s="43">
        <v>44561</v>
      </c>
      <c r="AH170" s="43">
        <v>44530</v>
      </c>
      <c r="AI170" s="43">
        <v>44500</v>
      </c>
      <c r="AJ170" s="43">
        <v>44469</v>
      </c>
      <c r="AK170" s="43">
        <v>44439</v>
      </c>
      <c r="AL170" s="43">
        <v>44408</v>
      </c>
      <c r="AM170" s="43">
        <v>44377</v>
      </c>
      <c r="AN170" s="43">
        <v>44347</v>
      </c>
      <c r="AO170" s="43">
        <v>44316</v>
      </c>
      <c r="AP170" s="43">
        <v>44286</v>
      </c>
      <c r="AQ170" s="43">
        <v>44255</v>
      </c>
      <c r="AR170" s="43">
        <v>44227</v>
      </c>
      <c r="AS170" s="43">
        <v>44196</v>
      </c>
      <c r="AT170" s="43">
        <v>44165</v>
      </c>
      <c r="AU170" s="43">
        <v>44135</v>
      </c>
      <c r="AV170" s="43">
        <v>44104</v>
      </c>
      <c r="AW170" s="43">
        <v>44074</v>
      </c>
      <c r="AX170" s="43">
        <v>44043</v>
      </c>
      <c r="AY170" s="43">
        <v>44012</v>
      </c>
      <c r="AZ170" s="43">
        <v>43982</v>
      </c>
      <c r="BA170" s="43">
        <v>43951</v>
      </c>
      <c r="BB170" s="43">
        <v>43921</v>
      </c>
      <c r="BC170" s="43">
        <v>43890</v>
      </c>
      <c r="BD170" s="43">
        <v>43861</v>
      </c>
      <c r="BE170" s="43">
        <v>43830</v>
      </c>
      <c r="BF170" s="43">
        <v>43799</v>
      </c>
      <c r="BG170" s="43">
        <v>43769</v>
      </c>
      <c r="BH170" s="43">
        <v>43738</v>
      </c>
      <c r="BI170" s="43">
        <v>43708</v>
      </c>
      <c r="BJ170" s="43">
        <v>43677</v>
      </c>
      <c r="BK170" s="43">
        <v>43646</v>
      </c>
      <c r="BL170" s="43">
        <v>43616</v>
      </c>
      <c r="BM170" s="43">
        <v>43585</v>
      </c>
      <c r="BN170" s="43">
        <v>43555</v>
      </c>
      <c r="BO170" s="43">
        <v>43524</v>
      </c>
      <c r="BP170" s="43">
        <v>43496</v>
      </c>
      <c r="BQ170" s="43">
        <v>43465</v>
      </c>
      <c r="BR170" s="43">
        <v>43434</v>
      </c>
      <c r="BS170" s="43">
        <v>43404</v>
      </c>
      <c r="BT170" s="43">
        <v>43373</v>
      </c>
      <c r="BU170" s="43">
        <v>43343</v>
      </c>
      <c r="BV170" s="43">
        <v>43312</v>
      </c>
      <c r="BW170" s="43">
        <v>43281</v>
      </c>
      <c r="BX170" s="43">
        <v>43251</v>
      </c>
      <c r="BY170" s="43">
        <v>43220</v>
      </c>
      <c r="BZ170" s="43">
        <v>43190</v>
      </c>
      <c r="CA170" s="43">
        <v>43159</v>
      </c>
      <c r="CB170" s="43">
        <v>43131</v>
      </c>
      <c r="CC170" s="43">
        <v>43100</v>
      </c>
      <c r="CD170" s="43">
        <v>43069</v>
      </c>
      <c r="CE170" s="43">
        <v>43039</v>
      </c>
      <c r="CF170" s="43">
        <v>43008</v>
      </c>
      <c r="CG170" s="43">
        <v>42978</v>
      </c>
      <c r="CH170" s="43">
        <v>42947</v>
      </c>
      <c r="CI170" s="43">
        <v>42916</v>
      </c>
      <c r="CJ170" s="43">
        <v>42886</v>
      </c>
      <c r="CK170" s="43">
        <v>42855</v>
      </c>
      <c r="CL170" s="43">
        <v>42825</v>
      </c>
      <c r="CM170" s="43">
        <v>42794</v>
      </c>
      <c r="CN170" s="43">
        <v>42766</v>
      </c>
      <c r="CO170" s="43">
        <v>42735</v>
      </c>
      <c r="CP170" s="43">
        <v>42704</v>
      </c>
      <c r="CQ170" s="43">
        <v>42674</v>
      </c>
      <c r="CR170" s="43">
        <v>42643</v>
      </c>
      <c r="CS170" s="43">
        <v>42613</v>
      </c>
      <c r="CT170" s="43">
        <v>42582</v>
      </c>
      <c r="CU170" s="43">
        <v>42551</v>
      </c>
      <c r="CV170" s="43">
        <v>42521</v>
      </c>
      <c r="CW170" s="43">
        <v>42490</v>
      </c>
      <c r="CX170" s="43">
        <v>42460</v>
      </c>
      <c r="CY170" s="43">
        <v>42429</v>
      </c>
      <c r="CZ170" s="43">
        <v>42400</v>
      </c>
    </row>
    <row r="171" spans="1:104" x14ac:dyDescent="0.2">
      <c r="A171" s="50" t="s">
        <v>7</v>
      </c>
      <c r="B171" s="46">
        <f t="shared" ref="B171:B234" si="32">(F171-W171)*100</f>
        <v>35.699999999999996</v>
      </c>
      <c r="C171" s="46">
        <f t="shared" ref="C171:C234" si="33">(F171-I171)*100</f>
        <v>-4.0999999999999979</v>
      </c>
      <c r="D171" s="48">
        <f t="shared" ref="D171:D234" si="34">_xlfn.STDEV.P(Q171:CZ171)*100</f>
        <v>30.72603245210707</v>
      </c>
      <c r="E171" s="46"/>
      <c r="F171" s="47">
        <v>0.45900000000000002</v>
      </c>
      <c r="G171" s="47">
        <v>0.44800000000000001</v>
      </c>
      <c r="H171" s="47">
        <v>0.46899999999999997</v>
      </c>
      <c r="I171" s="47">
        <v>0.5</v>
      </c>
      <c r="J171" s="47">
        <v>0.52</v>
      </c>
      <c r="K171" s="47">
        <v>0.55100000000000005</v>
      </c>
      <c r="L171" s="47">
        <v>0.57099999999999995</v>
      </c>
      <c r="M171" s="47">
        <v>0.68300000000000005</v>
      </c>
      <c r="N171" s="47">
        <v>0.58099999999999996</v>
      </c>
      <c r="O171" s="47">
        <v>0.48899999999999993</v>
      </c>
      <c r="P171" s="47">
        <v>0.26500000000000001</v>
      </c>
      <c r="Q171" s="47">
        <v>0.193</v>
      </c>
      <c r="R171" s="47">
        <v>0.28499999999999998</v>
      </c>
      <c r="S171" s="47">
        <v>0.35699999999999998</v>
      </c>
      <c r="T171" s="47">
        <v>0.38700000000000007</v>
      </c>
      <c r="U171" s="47">
        <v>0.29499999999999998</v>
      </c>
      <c r="V171" s="47">
        <v>0.153</v>
      </c>
      <c r="W171" s="47">
        <v>0.10200000000000001</v>
      </c>
      <c r="X171" s="47">
        <v>9.0999999999999998E-2</v>
      </c>
      <c r="Y171" s="47">
        <v>8.1000000000000003E-2</v>
      </c>
      <c r="Z171" s="47">
        <v>0.13200000000000001</v>
      </c>
      <c r="AA171" s="47">
        <v>0.255</v>
      </c>
      <c r="AB171" s="47">
        <v>0.47899999999999998</v>
      </c>
      <c r="AC171" s="47">
        <v>0.54</v>
      </c>
      <c r="AD171" s="47">
        <v>0.65300000000000002</v>
      </c>
      <c r="AE171" s="47">
        <v>0.71399999999999997</v>
      </c>
      <c r="AF171" s="47">
        <v>0.755</v>
      </c>
      <c r="AG171" s="47">
        <v>0.7649999999999999</v>
      </c>
      <c r="AH171" s="47">
        <v>0.877</v>
      </c>
      <c r="AI171" s="47">
        <v>0.91800000000000004</v>
      </c>
      <c r="AJ171" s="47">
        <v>0.92800000000000016</v>
      </c>
      <c r="AK171" s="47">
        <v>0.90800000000000003</v>
      </c>
      <c r="AL171" s="47">
        <v>0.95899999999999996</v>
      </c>
      <c r="AM171" s="47">
        <v>0.96899999999999997</v>
      </c>
      <c r="AN171" s="47">
        <v>0.98899999999999999</v>
      </c>
      <c r="AO171" s="47">
        <v>1</v>
      </c>
      <c r="AP171" s="47">
        <v>0.97899999999999998</v>
      </c>
      <c r="AQ171" s="47">
        <v>0.93799999999999994</v>
      </c>
      <c r="AR171" s="47">
        <v>0.77500000000000002</v>
      </c>
      <c r="AS171" s="47">
        <v>0.73399999999999999</v>
      </c>
      <c r="AT171" s="47">
        <v>0.70399999999999996</v>
      </c>
      <c r="AU171" s="47">
        <v>0.64200000000000002</v>
      </c>
      <c r="AV171" s="47">
        <v>0.61199999999999999</v>
      </c>
      <c r="AW171" s="47">
        <v>0.60199999999999987</v>
      </c>
      <c r="AX171" s="47">
        <v>0.56100000000000005</v>
      </c>
      <c r="AY171" s="47">
        <v>0.43799999999999994</v>
      </c>
      <c r="AZ171" s="47">
        <v>0.16300000000000001</v>
      </c>
      <c r="BA171" s="47">
        <v>6.0999999999999999E-2</v>
      </c>
      <c r="BB171" s="47">
        <v>7.0999999999999994E-2</v>
      </c>
      <c r="BC171" s="47">
        <v>0.224</v>
      </c>
      <c r="BD171" s="47">
        <v>0.41799999999999998</v>
      </c>
      <c r="BE171" s="47">
        <v>0.42799999999999999</v>
      </c>
      <c r="BF171" s="47">
        <v>0.39700000000000002</v>
      </c>
      <c r="BG171" s="47">
        <v>0.33600000000000002</v>
      </c>
      <c r="BH171" s="47">
        <v>0.32600000000000001</v>
      </c>
      <c r="BI171" s="47">
        <v>0.34599999999999997</v>
      </c>
      <c r="BJ171" s="47">
        <v>0.214</v>
      </c>
      <c r="BK171" s="47">
        <v>0.183</v>
      </c>
      <c r="BL171" s="47">
        <v>0.20400000000000001</v>
      </c>
      <c r="BM171" s="47">
        <v>0.36699999999999999</v>
      </c>
      <c r="BN171" s="47">
        <v>0.377</v>
      </c>
      <c r="BO171" s="47">
        <v>0.23399999999999999</v>
      </c>
      <c r="BP171" s="47">
        <v>0.14199999999999999</v>
      </c>
      <c r="BQ171" s="47">
        <v>0.122</v>
      </c>
      <c r="BR171" s="47">
        <v>0.17299999999999999</v>
      </c>
      <c r="BS171" s="47">
        <v>0.24399999999999999</v>
      </c>
      <c r="BT171" s="47">
        <v>0.30599999999999999</v>
      </c>
      <c r="BU171" s="47">
        <v>0.40800000000000003</v>
      </c>
      <c r="BV171" s="47">
        <v>0.53</v>
      </c>
      <c r="BW171" s="47">
        <v>0.622</v>
      </c>
      <c r="BX171" s="47">
        <v>0.67300000000000004</v>
      </c>
      <c r="BY171" s="47">
        <v>0.63200000000000001</v>
      </c>
      <c r="BZ171" s="47">
        <v>0.59099999999999997</v>
      </c>
      <c r="CA171" s="47">
        <v>0.66300000000000014</v>
      </c>
      <c r="CB171" s="47">
        <v>0.69299999999999995</v>
      </c>
      <c r="CC171" s="47">
        <v>0.74399999999999999</v>
      </c>
      <c r="CD171" s="47">
        <v>0.82599999999999996</v>
      </c>
      <c r="CE171" s="47">
        <v>0.89700000000000002</v>
      </c>
      <c r="CF171" s="47">
        <v>0.94799999999999995</v>
      </c>
      <c r="CG171" s="47">
        <v>0.88700000000000001</v>
      </c>
      <c r="CH171" s="47">
        <v>0.84599999999999997</v>
      </c>
      <c r="CI171" s="47">
        <v>0.80600000000000005</v>
      </c>
      <c r="CJ171" s="47">
        <v>0.79500000000000004</v>
      </c>
      <c r="CK171" s="47">
        <v>0.78500000000000003</v>
      </c>
      <c r="CL171" s="47">
        <v>0.83599999999999997</v>
      </c>
      <c r="CM171" s="47">
        <v>0.85699999999999998</v>
      </c>
      <c r="CN171" s="47">
        <v>0.86699999999999988</v>
      </c>
      <c r="CO171" s="47">
        <v>0.81600000000000006</v>
      </c>
      <c r="CP171" s="47">
        <v>0.72399999999999998</v>
      </c>
      <c r="CQ171" s="47">
        <v>0.51</v>
      </c>
      <c r="CR171" s="47">
        <v>0.316</v>
      </c>
      <c r="CS171" s="47">
        <v>0.27500000000000002</v>
      </c>
      <c r="CT171" s="47">
        <v>0.112</v>
      </c>
      <c r="CU171" s="47">
        <v>0.03</v>
      </c>
      <c r="CV171" s="47">
        <v>0.01</v>
      </c>
      <c r="CW171" s="47">
        <v>0.02</v>
      </c>
      <c r="CX171" s="47">
        <v>5.1000000000000004E-2</v>
      </c>
      <c r="CY171" s="47">
        <v>0.04</v>
      </c>
      <c r="CZ171" s="47">
        <v>0</v>
      </c>
    </row>
    <row r="172" spans="1:104" x14ac:dyDescent="0.2">
      <c r="A172" s="50" t="s">
        <v>10</v>
      </c>
      <c r="B172" s="46">
        <f t="shared" si="32"/>
        <v>40.800000000000004</v>
      </c>
      <c r="C172" s="46">
        <f t="shared" si="33"/>
        <v>4.1000000000000032</v>
      </c>
      <c r="D172" s="48">
        <f t="shared" si="34"/>
        <v>30.41802591164608</v>
      </c>
      <c r="E172" s="46"/>
      <c r="F172" s="47">
        <v>0.46900000000000003</v>
      </c>
      <c r="G172" s="47">
        <v>0.51</v>
      </c>
      <c r="H172" s="47">
        <v>0.41799999999999993</v>
      </c>
      <c r="I172" s="47">
        <v>0.42799999999999999</v>
      </c>
      <c r="J172" s="47">
        <v>0.40799999999999997</v>
      </c>
      <c r="K172" s="47">
        <v>0.53</v>
      </c>
      <c r="L172" s="47">
        <v>0.52</v>
      </c>
      <c r="M172" s="47">
        <v>0.44800000000000001</v>
      </c>
      <c r="N172" s="47">
        <v>0.34599999999999997</v>
      </c>
      <c r="O172" s="47">
        <v>0.23400000000000004</v>
      </c>
      <c r="P172" s="47">
        <v>0.12200000000000001</v>
      </c>
      <c r="Q172" s="47">
        <v>5.0999999999999997E-2</v>
      </c>
      <c r="R172" s="47">
        <v>0.02</v>
      </c>
      <c r="S172" s="47">
        <v>0.01</v>
      </c>
      <c r="T172" s="47">
        <v>8.1000000000000003E-2</v>
      </c>
      <c r="U172" s="47">
        <v>0.214</v>
      </c>
      <c r="V172" s="47">
        <v>0.193</v>
      </c>
      <c r="W172" s="47">
        <v>6.1000000000000006E-2</v>
      </c>
      <c r="X172" s="47">
        <v>0.04</v>
      </c>
      <c r="Y172" s="47">
        <v>0.112</v>
      </c>
      <c r="Z172" s="47">
        <v>0.30599999999999999</v>
      </c>
      <c r="AA172" s="47">
        <v>0.47899999999999998</v>
      </c>
      <c r="AB172" s="47">
        <v>0.69299999999999995</v>
      </c>
      <c r="AC172" s="47">
        <v>0.77500000000000002</v>
      </c>
      <c r="AD172" s="47">
        <v>0.8869999999999999</v>
      </c>
      <c r="AE172" s="47">
        <v>0.94799999999999995</v>
      </c>
      <c r="AF172" s="47">
        <v>0.90800000000000003</v>
      </c>
      <c r="AG172" s="47">
        <v>0.85699999999999998</v>
      </c>
      <c r="AH172" s="47">
        <v>0.86699999999999999</v>
      </c>
      <c r="AI172" s="47">
        <v>0.96899999999999986</v>
      </c>
      <c r="AJ172" s="47">
        <v>1</v>
      </c>
      <c r="AK172" s="47">
        <v>0.95899999999999996</v>
      </c>
      <c r="AL172" s="47">
        <v>0.91800000000000004</v>
      </c>
      <c r="AM172" s="47">
        <v>0.93800000000000006</v>
      </c>
      <c r="AN172" s="47">
        <v>0.97899999999999987</v>
      </c>
      <c r="AO172" s="47">
        <v>0.9890000000000001</v>
      </c>
      <c r="AP172" s="47">
        <v>0.92800000000000005</v>
      </c>
      <c r="AQ172" s="47">
        <v>0.80600000000000005</v>
      </c>
      <c r="AR172" s="47">
        <v>0.72399999999999998</v>
      </c>
      <c r="AS172" s="47">
        <v>0.68300000000000005</v>
      </c>
      <c r="AT172" s="47">
        <v>0.70399999999999996</v>
      </c>
      <c r="AU172" s="47">
        <v>0.63200000000000001</v>
      </c>
      <c r="AV172" s="47">
        <v>0.57099999999999995</v>
      </c>
      <c r="AW172" s="47">
        <v>0.56100000000000005</v>
      </c>
      <c r="AX172" s="47">
        <v>0.5</v>
      </c>
      <c r="AY172" s="47">
        <v>0.35699999999999998</v>
      </c>
      <c r="AZ172" s="47">
        <v>0.183</v>
      </c>
      <c r="BA172" s="47">
        <v>0.10199999999999999</v>
      </c>
      <c r="BB172" s="47">
        <v>0.16300000000000001</v>
      </c>
      <c r="BC172" s="47">
        <v>0.377</v>
      </c>
      <c r="BD172" s="47">
        <v>0.58099999999999996</v>
      </c>
      <c r="BE172" s="47">
        <v>0.60199999999999998</v>
      </c>
      <c r="BF172" s="47">
        <v>0.438</v>
      </c>
      <c r="BG172" s="47">
        <v>0.39700000000000002</v>
      </c>
      <c r="BH172" s="47">
        <v>0.32600000000000001</v>
      </c>
      <c r="BI172" s="47">
        <v>0.33600000000000002</v>
      </c>
      <c r="BJ172" s="47">
        <v>0.28499999999999998</v>
      </c>
      <c r="BK172" s="47">
        <v>0.29499999999999998</v>
      </c>
      <c r="BL172" s="47">
        <v>0.26500000000000001</v>
      </c>
      <c r="BM172" s="47">
        <v>0.316</v>
      </c>
      <c r="BN172" s="47">
        <v>0.27500000000000002</v>
      </c>
      <c r="BO172" s="47">
        <v>0.255</v>
      </c>
      <c r="BP172" s="47">
        <v>0.224</v>
      </c>
      <c r="BQ172" s="47">
        <v>0.17299999999999999</v>
      </c>
      <c r="BR172" s="47">
        <v>0.14199999999999999</v>
      </c>
      <c r="BS172" s="47">
        <v>9.0999999999999998E-2</v>
      </c>
      <c r="BT172" s="47">
        <v>0.13200000000000001</v>
      </c>
      <c r="BU172" s="47">
        <v>0.20399999999999999</v>
      </c>
      <c r="BV172" s="47">
        <v>0.38700000000000001</v>
      </c>
      <c r="BW172" s="47">
        <v>0.55100000000000005</v>
      </c>
      <c r="BX172" s="47">
        <v>0.59099999999999997</v>
      </c>
      <c r="BY172" s="47">
        <v>0.54</v>
      </c>
      <c r="BZ172" s="47">
        <v>0.45900000000000002</v>
      </c>
      <c r="CA172" s="47">
        <v>0.61199999999999999</v>
      </c>
      <c r="CB172" s="47">
        <v>0.64200000000000002</v>
      </c>
      <c r="CC172" s="47">
        <v>0.65300000000000002</v>
      </c>
      <c r="CD172" s="47">
        <v>0.66300000000000003</v>
      </c>
      <c r="CE172" s="47">
        <v>0.76500000000000001</v>
      </c>
      <c r="CF172" s="47">
        <v>0.82599999999999985</v>
      </c>
      <c r="CG172" s="47">
        <v>0.78500000000000003</v>
      </c>
      <c r="CH172" s="47">
        <v>0.74399999999999999</v>
      </c>
      <c r="CI172" s="47">
        <v>0.67300000000000004</v>
      </c>
      <c r="CJ172" s="47">
        <v>0.71399999999999997</v>
      </c>
      <c r="CK172" s="47">
        <v>0.755</v>
      </c>
      <c r="CL172" s="47">
        <v>0.79500000000000004</v>
      </c>
      <c r="CM172" s="47">
        <v>0.81599999999999995</v>
      </c>
      <c r="CN172" s="47">
        <v>0.83599999999999985</v>
      </c>
      <c r="CO172" s="47">
        <v>0.877</v>
      </c>
      <c r="CP172" s="47">
        <v>0.89699999999999991</v>
      </c>
      <c r="CQ172" s="47">
        <v>0.84600000000000009</v>
      </c>
      <c r="CR172" s="47">
        <v>0.73399999999999999</v>
      </c>
      <c r="CS172" s="47">
        <v>0.622</v>
      </c>
      <c r="CT172" s="47">
        <v>0.48899999999999999</v>
      </c>
      <c r="CU172" s="47">
        <v>0.36699999999999999</v>
      </c>
      <c r="CV172" s="47">
        <v>0.24400000000000002</v>
      </c>
      <c r="CW172" s="47">
        <v>0.153</v>
      </c>
      <c r="CX172" s="47">
        <v>7.0999999999999994E-2</v>
      </c>
      <c r="CY172" s="47">
        <v>3.0000000000000002E-2</v>
      </c>
      <c r="CZ172" s="47">
        <v>0</v>
      </c>
    </row>
    <row r="173" spans="1:104" x14ac:dyDescent="0.2">
      <c r="A173" s="50" t="s">
        <v>13</v>
      </c>
      <c r="B173" s="46">
        <f t="shared" si="32"/>
        <v>7.6499999999999959</v>
      </c>
      <c r="C173" s="46">
        <f t="shared" si="33"/>
        <v>9.1500000000000075</v>
      </c>
      <c r="D173" s="48">
        <f t="shared" si="34"/>
        <v>27.577820557926692</v>
      </c>
      <c r="E173" s="46"/>
      <c r="F173" s="47">
        <v>0.5605</v>
      </c>
      <c r="G173" s="47">
        <v>0.55049999999999999</v>
      </c>
      <c r="H173" s="47">
        <v>0.45349999999999996</v>
      </c>
      <c r="I173" s="47">
        <v>0.46899999999999992</v>
      </c>
      <c r="J173" s="47">
        <v>0.45850000000000002</v>
      </c>
      <c r="K173" s="47">
        <v>0.53550000000000009</v>
      </c>
      <c r="L173" s="47">
        <v>0.48400000000000004</v>
      </c>
      <c r="M173" s="47">
        <v>0.48400000000000004</v>
      </c>
      <c r="N173" s="47">
        <v>0.35649999999999998</v>
      </c>
      <c r="O173" s="47">
        <v>0.311</v>
      </c>
      <c r="P173" s="47">
        <v>0.22399999999999995</v>
      </c>
      <c r="Q173" s="47">
        <v>0.21899999999999997</v>
      </c>
      <c r="R173" s="47">
        <v>0.30049999999999999</v>
      </c>
      <c r="S173" s="47">
        <v>0.40749999999999997</v>
      </c>
      <c r="T173" s="47">
        <v>0.44299999999999995</v>
      </c>
      <c r="U173" s="47">
        <v>0.47399999999999992</v>
      </c>
      <c r="V173" s="47">
        <v>0.47949999999999993</v>
      </c>
      <c r="W173" s="47">
        <v>0.48400000000000004</v>
      </c>
      <c r="X173" s="47">
        <v>0.46350000000000002</v>
      </c>
      <c r="Y173" s="47">
        <v>0.4385</v>
      </c>
      <c r="Z173" s="47">
        <v>0.44350000000000001</v>
      </c>
      <c r="AA173" s="47">
        <v>0.45899999999999996</v>
      </c>
      <c r="AB173" s="47">
        <v>0.58650000000000002</v>
      </c>
      <c r="AC173" s="47">
        <v>0.63750000000000007</v>
      </c>
      <c r="AD173" s="47">
        <v>0.65250000000000008</v>
      </c>
      <c r="AE173" s="47">
        <v>0.62199999999999989</v>
      </c>
      <c r="AF173" s="47">
        <v>0.61150000000000004</v>
      </c>
      <c r="AG173" s="47">
        <v>0.61149999999999993</v>
      </c>
      <c r="AH173" s="47">
        <v>0.65749999999999997</v>
      </c>
      <c r="AI173" s="47">
        <v>0.61199999999999999</v>
      </c>
      <c r="AJ173" s="47">
        <v>0.55549999999999999</v>
      </c>
      <c r="AK173" s="47">
        <v>0.54</v>
      </c>
      <c r="AL173" s="47">
        <v>0.6835</v>
      </c>
      <c r="AM173" s="47">
        <v>0.76449999999999996</v>
      </c>
      <c r="AN173" s="47">
        <v>0.80049999999999999</v>
      </c>
      <c r="AO173" s="47">
        <v>0.82599999999999996</v>
      </c>
      <c r="AP173" s="47">
        <v>0.80549999999999988</v>
      </c>
      <c r="AQ173" s="47">
        <v>0.73950000000000005</v>
      </c>
      <c r="AR173" s="47">
        <v>0.63749999999999996</v>
      </c>
      <c r="AS173" s="47">
        <v>0.46350000000000002</v>
      </c>
      <c r="AT173" s="47">
        <v>0.40249999999999997</v>
      </c>
      <c r="AU173" s="47">
        <v>0.33100000000000002</v>
      </c>
      <c r="AV173" s="47">
        <v>0.34650000000000003</v>
      </c>
      <c r="AW173" s="47">
        <v>0.35149999999999998</v>
      </c>
      <c r="AX173" s="47">
        <v>0.32600000000000001</v>
      </c>
      <c r="AY173" s="47">
        <v>0.13750000000000001</v>
      </c>
      <c r="AZ173" s="47">
        <v>6.0500000000000005E-2</v>
      </c>
      <c r="BA173" s="47">
        <v>4.0499999999999994E-2</v>
      </c>
      <c r="BB173" s="47">
        <v>0.01</v>
      </c>
      <c r="BC173" s="47">
        <v>1.4999999999999999E-2</v>
      </c>
      <c r="BD173" s="47">
        <v>4.5499999999999999E-2</v>
      </c>
      <c r="BE173" s="47">
        <v>9.6500000000000002E-2</v>
      </c>
      <c r="BF173" s="47">
        <v>0.1115</v>
      </c>
      <c r="BG173" s="47">
        <v>0.14750000000000002</v>
      </c>
      <c r="BH173" s="47">
        <v>0.19350000000000001</v>
      </c>
      <c r="BI173" s="47">
        <v>0.21900000000000003</v>
      </c>
      <c r="BJ173" s="47">
        <v>0.17799999999999999</v>
      </c>
      <c r="BK173" s="47">
        <v>0.158</v>
      </c>
      <c r="BL173" s="47">
        <v>0.20400000000000001</v>
      </c>
      <c r="BM173" s="47">
        <v>0.24450000000000002</v>
      </c>
      <c r="BN173" s="47">
        <v>0.22399999999999995</v>
      </c>
      <c r="BO173" s="47">
        <v>0.16799999999999998</v>
      </c>
      <c r="BP173" s="47">
        <v>0.158</v>
      </c>
      <c r="BQ173" s="47">
        <v>0.2135</v>
      </c>
      <c r="BR173" s="47">
        <v>0.23450000000000001</v>
      </c>
      <c r="BS173" s="47">
        <v>0.21850000000000003</v>
      </c>
      <c r="BT173" s="47">
        <v>0.214</v>
      </c>
      <c r="BU173" s="47">
        <v>0.38700000000000001</v>
      </c>
      <c r="BV173" s="47">
        <v>0.62699999999999989</v>
      </c>
      <c r="BW173" s="47">
        <v>0.67300000000000004</v>
      </c>
      <c r="BX173" s="47">
        <v>0.71899999999999986</v>
      </c>
      <c r="BY173" s="47">
        <v>0.71849999999999992</v>
      </c>
      <c r="BZ173" s="47">
        <v>0.65250000000000008</v>
      </c>
      <c r="CA173" s="47">
        <v>0.62749999999999995</v>
      </c>
      <c r="CB173" s="47">
        <v>0.57600000000000007</v>
      </c>
      <c r="CC173" s="47">
        <v>0.627</v>
      </c>
      <c r="CD173" s="47">
        <v>0.82599999999999996</v>
      </c>
      <c r="CE173" s="47">
        <v>0.877</v>
      </c>
      <c r="CF173" s="47">
        <v>0.94349999999999989</v>
      </c>
      <c r="CG173" s="47">
        <v>0.93799999999999983</v>
      </c>
      <c r="CH173" s="47">
        <v>0.92799999999999994</v>
      </c>
      <c r="CI173" s="47">
        <v>0.92800000000000016</v>
      </c>
      <c r="CJ173" s="47">
        <v>0.92299999999999993</v>
      </c>
      <c r="CK173" s="47">
        <v>0.92799999999999994</v>
      </c>
      <c r="CL173" s="47">
        <v>0.94349999999999989</v>
      </c>
      <c r="CM173" s="47">
        <v>0.96899999999999986</v>
      </c>
      <c r="CN173" s="47">
        <v>0.99449999999999994</v>
      </c>
      <c r="CO173" s="47">
        <v>0.99449999999999994</v>
      </c>
      <c r="CP173" s="47">
        <v>0.94300000000000006</v>
      </c>
      <c r="CQ173" s="47">
        <v>0.88200000000000001</v>
      </c>
      <c r="CR173" s="47">
        <v>0.8155</v>
      </c>
      <c r="CS173" s="47">
        <v>0.65250000000000008</v>
      </c>
      <c r="CT173" s="47">
        <v>0.46399999999999997</v>
      </c>
      <c r="CU173" s="47">
        <v>0.35699999999999998</v>
      </c>
      <c r="CV173" s="47">
        <v>0.34149999999999997</v>
      </c>
      <c r="CW173" s="47">
        <v>0.47399999999999992</v>
      </c>
      <c r="CX173" s="47">
        <v>0.54049999999999998</v>
      </c>
      <c r="CY173" s="47">
        <v>0.44849999999999995</v>
      </c>
      <c r="CZ173" s="47">
        <v>0.37749999999999995</v>
      </c>
    </row>
    <row r="174" spans="1:104" x14ac:dyDescent="0.2">
      <c r="A174" s="50" t="s">
        <v>16</v>
      </c>
      <c r="B174" s="46">
        <f t="shared" si="32"/>
        <v>64.3</v>
      </c>
      <c r="C174" s="46">
        <f t="shared" si="33"/>
        <v>-1.0000000000000009</v>
      </c>
      <c r="D174" s="48">
        <f t="shared" si="34"/>
        <v>30.065161992758789</v>
      </c>
      <c r="E174" s="46"/>
      <c r="F174" s="47">
        <v>0.70399999999999996</v>
      </c>
      <c r="G174" s="47">
        <v>0.65300000000000002</v>
      </c>
      <c r="H174" s="47">
        <v>0.64200000000000002</v>
      </c>
      <c r="I174" s="47">
        <v>0.71399999999999997</v>
      </c>
      <c r="J174" s="47">
        <v>0.7649999999999999</v>
      </c>
      <c r="K174" s="47">
        <v>0.77500000000000002</v>
      </c>
      <c r="L174" s="47">
        <v>0.73399999999999999</v>
      </c>
      <c r="M174" s="47">
        <v>0.72399999999999998</v>
      </c>
      <c r="N174" s="47">
        <v>0.63200000000000001</v>
      </c>
      <c r="O174" s="47">
        <v>0.622</v>
      </c>
      <c r="P174" s="47">
        <v>0.53</v>
      </c>
      <c r="Q174" s="47">
        <v>0.438</v>
      </c>
      <c r="R174" s="47">
        <v>0.33600000000000002</v>
      </c>
      <c r="S174" s="47">
        <v>0.34599999999999997</v>
      </c>
      <c r="T174" s="47">
        <v>0.377</v>
      </c>
      <c r="U174" s="47">
        <v>0.316</v>
      </c>
      <c r="V174" s="47">
        <v>0.14199999999999999</v>
      </c>
      <c r="W174" s="47">
        <v>6.0999999999999999E-2</v>
      </c>
      <c r="X174" s="47">
        <v>0.112</v>
      </c>
      <c r="Y174" s="47">
        <v>0.153</v>
      </c>
      <c r="Z174" s="47">
        <v>0.24399999999999999</v>
      </c>
      <c r="AA174" s="47">
        <v>0.26500000000000001</v>
      </c>
      <c r="AB174" s="47">
        <v>0.40799999999999997</v>
      </c>
      <c r="AC174" s="47">
        <v>0.57099999999999995</v>
      </c>
      <c r="AD174" s="47">
        <v>0.60199999999999998</v>
      </c>
      <c r="AE174" s="47">
        <v>0.45900000000000007</v>
      </c>
      <c r="AF174" s="47">
        <v>0.28499999999999998</v>
      </c>
      <c r="AG174" s="47">
        <v>0.16300000000000001</v>
      </c>
      <c r="AH174" s="47">
        <v>8.1000000000000003E-2</v>
      </c>
      <c r="AI174" s="47">
        <v>5.0999999999999997E-2</v>
      </c>
      <c r="AJ174" s="47">
        <v>0.01</v>
      </c>
      <c r="AK174" s="47">
        <v>0.03</v>
      </c>
      <c r="AL174" s="47">
        <v>0.20399999999999999</v>
      </c>
      <c r="AM174" s="47">
        <v>0.41799999999999993</v>
      </c>
      <c r="AN174" s="47">
        <v>0.48899999999999999</v>
      </c>
      <c r="AO174" s="47">
        <v>0.52</v>
      </c>
      <c r="AP174" s="47">
        <v>0.58099999999999996</v>
      </c>
      <c r="AQ174" s="47">
        <v>0.74399999999999988</v>
      </c>
      <c r="AR174" s="47">
        <v>0.82599999999999996</v>
      </c>
      <c r="AS174" s="47">
        <v>0.89700000000000002</v>
      </c>
      <c r="AT174" s="47">
        <v>0.92800000000000005</v>
      </c>
      <c r="AU174" s="47">
        <v>0.93799999999999994</v>
      </c>
      <c r="AV174" s="47">
        <v>0.94800000000000006</v>
      </c>
      <c r="AW174" s="47">
        <v>0.95899999999999996</v>
      </c>
      <c r="AX174" s="47">
        <v>0.96900000000000008</v>
      </c>
      <c r="AY174" s="47">
        <v>0.98899999999999999</v>
      </c>
      <c r="AZ174" s="47">
        <v>1</v>
      </c>
      <c r="BA174" s="47">
        <v>0.97899999999999998</v>
      </c>
      <c r="BB174" s="47">
        <v>0.91800000000000015</v>
      </c>
      <c r="BC174" s="47">
        <v>0.86699999999999999</v>
      </c>
      <c r="BD174" s="47">
        <v>0.84599999999999997</v>
      </c>
      <c r="BE174" s="47">
        <v>0.83599999999999985</v>
      </c>
      <c r="BF174" s="47">
        <v>0.85699999999999987</v>
      </c>
      <c r="BG174" s="47">
        <v>0.88700000000000001</v>
      </c>
      <c r="BH174" s="47">
        <v>0.90800000000000003</v>
      </c>
      <c r="BI174" s="47">
        <v>0.87700000000000011</v>
      </c>
      <c r="BJ174" s="47">
        <v>0.78500000000000014</v>
      </c>
      <c r="BK174" s="47">
        <v>0.54</v>
      </c>
      <c r="BL174" s="47">
        <v>0.32600000000000001</v>
      </c>
      <c r="BM174" s="47">
        <v>0.193</v>
      </c>
      <c r="BN174" s="47">
        <v>0.21400000000000002</v>
      </c>
      <c r="BO174" s="47">
        <v>0.224</v>
      </c>
      <c r="BP174" s="47">
        <v>0.23400000000000001</v>
      </c>
      <c r="BQ174" s="47">
        <v>0.17299999999999999</v>
      </c>
      <c r="BR174" s="47">
        <v>0.122</v>
      </c>
      <c r="BS174" s="47">
        <v>0.04</v>
      </c>
      <c r="BT174" s="47">
        <v>0.02</v>
      </c>
      <c r="BU174" s="47">
        <v>7.0999999999999994E-2</v>
      </c>
      <c r="BV174" s="47">
        <v>0.255</v>
      </c>
      <c r="BW174" s="47">
        <v>0.38700000000000001</v>
      </c>
      <c r="BX174" s="47">
        <v>0.44800000000000001</v>
      </c>
      <c r="BY174" s="47">
        <v>0.51</v>
      </c>
      <c r="BZ174" s="47">
        <v>0.56100000000000005</v>
      </c>
      <c r="CA174" s="47">
        <v>0.61199999999999999</v>
      </c>
      <c r="CB174" s="47">
        <v>0.66300000000000003</v>
      </c>
      <c r="CC174" s="47">
        <v>0.59099999999999997</v>
      </c>
      <c r="CD174" s="47">
        <v>0.47899999999999998</v>
      </c>
      <c r="CE174" s="47">
        <v>0.36699999999999999</v>
      </c>
      <c r="CF174" s="47">
        <v>0.27500000000000002</v>
      </c>
      <c r="CG174" s="47">
        <v>0.10199999999999999</v>
      </c>
      <c r="CH174" s="47">
        <v>9.0999999999999998E-2</v>
      </c>
      <c r="CI174" s="47">
        <v>0.13200000000000001</v>
      </c>
      <c r="CJ174" s="47">
        <v>0.29499999999999998</v>
      </c>
      <c r="CK174" s="47">
        <v>0.30599999999999999</v>
      </c>
      <c r="CL174" s="47">
        <v>0.35699999999999998</v>
      </c>
      <c r="CM174" s="47">
        <v>0.42800000000000005</v>
      </c>
      <c r="CN174" s="47">
        <v>0.55100000000000005</v>
      </c>
      <c r="CO174" s="47">
        <v>0.67300000000000004</v>
      </c>
      <c r="CP174" s="47">
        <v>0.68300000000000005</v>
      </c>
      <c r="CQ174" s="47">
        <v>0.755</v>
      </c>
      <c r="CR174" s="47">
        <v>0.80599999999999994</v>
      </c>
      <c r="CS174" s="47">
        <v>0.81599999999999995</v>
      </c>
      <c r="CT174" s="47">
        <v>0.79500000000000004</v>
      </c>
      <c r="CU174" s="47">
        <v>0.69299999999999995</v>
      </c>
      <c r="CV174" s="47">
        <v>0.5</v>
      </c>
      <c r="CW174" s="47">
        <v>0.46899999999999997</v>
      </c>
      <c r="CX174" s="47">
        <v>0.39700000000000002</v>
      </c>
      <c r="CY174" s="47">
        <v>0.18299999999999997</v>
      </c>
      <c r="CZ174" s="47">
        <v>0</v>
      </c>
    </row>
    <row r="175" spans="1:104" x14ac:dyDescent="0.2">
      <c r="A175" s="50" t="s">
        <v>19</v>
      </c>
      <c r="B175" s="46">
        <f t="shared" si="32"/>
        <v>55.099999999999994</v>
      </c>
      <c r="C175" s="46">
        <f t="shared" si="33"/>
        <v>3.9999999999999925</v>
      </c>
      <c r="D175" s="48">
        <f t="shared" si="34"/>
        <v>30.088143390306101</v>
      </c>
      <c r="E175" s="46"/>
      <c r="F175" s="47">
        <v>0.59099999999999997</v>
      </c>
      <c r="G175" s="47">
        <v>0.56100000000000005</v>
      </c>
      <c r="H175" s="47">
        <v>0.51</v>
      </c>
      <c r="I175" s="47">
        <v>0.55100000000000005</v>
      </c>
      <c r="J175" s="47">
        <v>0.63200000000000001</v>
      </c>
      <c r="K175" s="47">
        <v>0.72399999999999998</v>
      </c>
      <c r="L175" s="47">
        <v>0.78500000000000014</v>
      </c>
      <c r="M175" s="47">
        <v>0.84599999999999997</v>
      </c>
      <c r="N175" s="47">
        <v>0.7649999999999999</v>
      </c>
      <c r="O175" s="47">
        <v>0.71399999999999997</v>
      </c>
      <c r="P175" s="47">
        <v>0.61199999999999999</v>
      </c>
      <c r="Q175" s="47">
        <v>0.5</v>
      </c>
      <c r="R175" s="47">
        <v>0.316</v>
      </c>
      <c r="S175" s="47">
        <v>0.32600000000000001</v>
      </c>
      <c r="T175" s="47">
        <v>0.48899999999999999</v>
      </c>
      <c r="U175" s="47">
        <v>0.44800000000000001</v>
      </c>
      <c r="V175" s="47">
        <v>0.21400000000000002</v>
      </c>
      <c r="W175" s="47">
        <v>0.04</v>
      </c>
      <c r="X175" s="47">
        <v>0.03</v>
      </c>
      <c r="Y175" s="47">
        <v>0.02</v>
      </c>
      <c r="Z175" s="47">
        <v>0.01</v>
      </c>
      <c r="AA175" s="47">
        <v>0</v>
      </c>
      <c r="AB175" s="47">
        <v>6.0999999999999999E-2</v>
      </c>
      <c r="AC175" s="47">
        <v>0.193</v>
      </c>
      <c r="AD175" s="47">
        <v>0.30599999999999999</v>
      </c>
      <c r="AE175" s="47">
        <v>0.224</v>
      </c>
      <c r="AF175" s="47">
        <v>0.112</v>
      </c>
      <c r="AG175" s="47">
        <v>0.27500000000000002</v>
      </c>
      <c r="AH175" s="47">
        <v>0.377</v>
      </c>
      <c r="AI175" s="47">
        <v>0.38700000000000001</v>
      </c>
      <c r="AJ175" s="47">
        <v>0.20399999999999999</v>
      </c>
      <c r="AK175" s="47">
        <v>0.47899999999999998</v>
      </c>
      <c r="AL175" s="47">
        <v>0.79500000000000004</v>
      </c>
      <c r="AM175" s="47">
        <v>0.94800000000000006</v>
      </c>
      <c r="AN175" s="47">
        <v>0.97899999999999998</v>
      </c>
      <c r="AO175" s="47">
        <v>1</v>
      </c>
      <c r="AP175" s="47">
        <v>0.98899999999999999</v>
      </c>
      <c r="AQ175" s="47">
        <v>0.96900000000000008</v>
      </c>
      <c r="AR175" s="47">
        <v>0.95899999999999996</v>
      </c>
      <c r="AS175" s="47">
        <v>0.91800000000000015</v>
      </c>
      <c r="AT175" s="47">
        <v>0.90800000000000003</v>
      </c>
      <c r="AU175" s="47">
        <v>0.89700000000000002</v>
      </c>
      <c r="AV175" s="47">
        <v>0.93799999999999994</v>
      </c>
      <c r="AW175" s="47">
        <v>0.92800000000000005</v>
      </c>
      <c r="AX175" s="47">
        <v>0.88700000000000001</v>
      </c>
      <c r="AY175" s="47">
        <v>0.82599999999999996</v>
      </c>
      <c r="AZ175" s="47">
        <v>0.64200000000000002</v>
      </c>
      <c r="BA175" s="47">
        <v>0.58099999999999996</v>
      </c>
      <c r="BB175" s="47">
        <v>0.57099999999999995</v>
      </c>
      <c r="BC175" s="47">
        <v>0.622</v>
      </c>
      <c r="BD175" s="47">
        <v>0.68300000000000005</v>
      </c>
      <c r="BE175" s="47">
        <v>0.70399999999999996</v>
      </c>
      <c r="BF175" s="47">
        <v>0.755</v>
      </c>
      <c r="BG175" s="47">
        <v>0.83599999999999985</v>
      </c>
      <c r="BH175" s="47">
        <v>0.80599999999999994</v>
      </c>
      <c r="BI175" s="47">
        <v>0.66300000000000003</v>
      </c>
      <c r="BJ175" s="47">
        <v>0.52</v>
      </c>
      <c r="BK175" s="47">
        <v>0.29499999999999998</v>
      </c>
      <c r="BL175" s="47">
        <v>0.16300000000000001</v>
      </c>
      <c r="BM175" s="47">
        <v>0.17299999999999999</v>
      </c>
      <c r="BN175" s="47">
        <v>0.26500000000000001</v>
      </c>
      <c r="BO175" s="47">
        <v>0.28499999999999998</v>
      </c>
      <c r="BP175" s="47">
        <v>0.24399999999999999</v>
      </c>
      <c r="BQ175" s="47">
        <v>0.13200000000000001</v>
      </c>
      <c r="BR175" s="47">
        <v>0.10199999999999999</v>
      </c>
      <c r="BS175" s="47">
        <v>5.0999999999999997E-2</v>
      </c>
      <c r="BT175" s="47">
        <v>7.0999999999999994E-2</v>
      </c>
      <c r="BU175" s="47">
        <v>0.153</v>
      </c>
      <c r="BV175" s="47">
        <v>0.33600000000000002</v>
      </c>
      <c r="BW175" s="47">
        <v>0.438</v>
      </c>
      <c r="BX175" s="47">
        <v>0.40799999999999997</v>
      </c>
      <c r="BY175" s="47">
        <v>0.35699999999999998</v>
      </c>
      <c r="BZ175" s="47">
        <v>0.255</v>
      </c>
      <c r="CA175" s="47">
        <v>0.39700000000000002</v>
      </c>
      <c r="CB175" s="47">
        <v>0.42800000000000005</v>
      </c>
      <c r="CC175" s="47">
        <v>0.46899999999999997</v>
      </c>
      <c r="CD175" s="47">
        <v>0.41799999999999993</v>
      </c>
      <c r="CE175" s="47">
        <v>0.34599999999999997</v>
      </c>
      <c r="CF175" s="47">
        <v>0.18299999999999997</v>
      </c>
      <c r="CG175" s="47">
        <v>8.1000000000000003E-2</v>
      </c>
      <c r="CH175" s="47">
        <v>0.122</v>
      </c>
      <c r="CI175" s="47">
        <v>0.23400000000000001</v>
      </c>
      <c r="CJ175" s="47">
        <v>0.53</v>
      </c>
      <c r="CK175" s="47">
        <v>0.60199999999999998</v>
      </c>
      <c r="CL175" s="47">
        <v>0.67300000000000004</v>
      </c>
      <c r="CM175" s="47">
        <v>0.73399999999999999</v>
      </c>
      <c r="CN175" s="47">
        <v>0.74399999999999988</v>
      </c>
      <c r="CO175" s="47">
        <v>0.77500000000000002</v>
      </c>
      <c r="CP175" s="47">
        <v>0.69299999999999995</v>
      </c>
      <c r="CQ175" s="47">
        <v>0.81599999999999995</v>
      </c>
      <c r="CR175" s="47">
        <v>0.86699999999999999</v>
      </c>
      <c r="CS175" s="47">
        <v>0.87700000000000011</v>
      </c>
      <c r="CT175" s="47">
        <v>0.85699999999999987</v>
      </c>
      <c r="CU175" s="47">
        <v>0.65300000000000002</v>
      </c>
      <c r="CV175" s="47">
        <v>0.54</v>
      </c>
      <c r="CW175" s="47">
        <v>0.45900000000000007</v>
      </c>
      <c r="CX175" s="47">
        <v>0.36699999999999999</v>
      </c>
      <c r="CY175" s="47">
        <v>0.14199999999999999</v>
      </c>
      <c r="CZ175" s="47">
        <v>9.0999999999999998E-2</v>
      </c>
    </row>
    <row r="176" spans="1:104" x14ac:dyDescent="0.2">
      <c r="A176" s="50" t="s">
        <v>22</v>
      </c>
      <c r="B176" s="46">
        <f t="shared" si="32"/>
        <v>-27.499999999999993</v>
      </c>
      <c r="C176" s="46">
        <f t="shared" si="33"/>
        <v>-9.1999999999999975</v>
      </c>
      <c r="D176" s="48">
        <f t="shared" si="34"/>
        <v>30.198894317097231</v>
      </c>
      <c r="E176" s="46"/>
      <c r="F176" s="47">
        <v>0.56100000000000005</v>
      </c>
      <c r="G176" s="47">
        <v>0.59099999999999997</v>
      </c>
      <c r="H176" s="47">
        <v>0.63200000000000001</v>
      </c>
      <c r="I176" s="47">
        <v>0.65300000000000002</v>
      </c>
      <c r="J176" s="47">
        <v>0.72399999999999998</v>
      </c>
      <c r="K176" s="47">
        <v>0.755</v>
      </c>
      <c r="L176" s="47">
        <v>0.73399999999999999</v>
      </c>
      <c r="M176" s="47">
        <v>0.69299999999999995</v>
      </c>
      <c r="N176" s="47">
        <v>0.67300000000000004</v>
      </c>
      <c r="O176" s="47">
        <v>0.66300000000000003</v>
      </c>
      <c r="P176" s="47">
        <v>0.68300000000000005</v>
      </c>
      <c r="Q176" s="47">
        <v>0.70399999999999996</v>
      </c>
      <c r="R176" s="47">
        <v>0.81599999999999995</v>
      </c>
      <c r="S176" s="47">
        <v>0.84599999999999997</v>
      </c>
      <c r="T176" s="47">
        <v>0.89700000000000002</v>
      </c>
      <c r="U176" s="47">
        <v>0.88700000000000012</v>
      </c>
      <c r="V176" s="47">
        <v>0.877</v>
      </c>
      <c r="W176" s="47">
        <v>0.83599999999999997</v>
      </c>
      <c r="X176" s="47">
        <v>0.86699999999999999</v>
      </c>
      <c r="Y176" s="47">
        <v>0.90800000000000003</v>
      </c>
      <c r="Z176" s="47">
        <v>0.92800000000000005</v>
      </c>
      <c r="AA176" s="47">
        <v>0.94799999999999984</v>
      </c>
      <c r="AB176" s="47">
        <v>0.95899999999999985</v>
      </c>
      <c r="AC176" s="47">
        <v>0.96899999999999997</v>
      </c>
      <c r="AD176" s="47">
        <v>0.98899999999999999</v>
      </c>
      <c r="AE176" s="47">
        <v>1</v>
      </c>
      <c r="AF176" s="47">
        <v>0.97899999999999987</v>
      </c>
      <c r="AG176" s="47">
        <v>0.93799999999999994</v>
      </c>
      <c r="AH176" s="47">
        <v>0.91800000000000004</v>
      </c>
      <c r="AI176" s="47">
        <v>0.85699999999999998</v>
      </c>
      <c r="AJ176" s="47">
        <v>0.82599999999999996</v>
      </c>
      <c r="AK176" s="47">
        <v>0.80600000000000005</v>
      </c>
      <c r="AL176" s="47">
        <v>0.77500000000000002</v>
      </c>
      <c r="AM176" s="47">
        <v>0.71399999999999997</v>
      </c>
      <c r="AN176" s="47">
        <v>0.74399999999999999</v>
      </c>
      <c r="AO176" s="47">
        <v>0.78499999999999992</v>
      </c>
      <c r="AP176" s="47">
        <v>0.79500000000000004</v>
      </c>
      <c r="AQ176" s="47">
        <v>0.7649999999999999</v>
      </c>
      <c r="AR176" s="47">
        <v>0.64200000000000002</v>
      </c>
      <c r="AS176" s="47">
        <v>0.622</v>
      </c>
      <c r="AT176" s="47">
        <v>0.57099999999999995</v>
      </c>
      <c r="AU176" s="47">
        <v>0.55100000000000005</v>
      </c>
      <c r="AV176" s="47">
        <v>0.52</v>
      </c>
      <c r="AW176" s="47">
        <v>0.5</v>
      </c>
      <c r="AX176" s="47">
        <v>0.45900000000000002</v>
      </c>
      <c r="AY176" s="47">
        <v>0.377</v>
      </c>
      <c r="AZ176" s="47">
        <v>0.30599999999999999</v>
      </c>
      <c r="BA176" s="47">
        <v>0.26500000000000001</v>
      </c>
      <c r="BB176" s="47">
        <v>0.27500000000000002</v>
      </c>
      <c r="BC176" s="47">
        <v>0.316</v>
      </c>
      <c r="BD176" s="47">
        <v>0.28499999999999998</v>
      </c>
      <c r="BE176" s="47">
        <v>0.24399999999999997</v>
      </c>
      <c r="BF176" s="47">
        <v>0.33600000000000002</v>
      </c>
      <c r="BG176" s="47">
        <v>0.40799999999999997</v>
      </c>
      <c r="BH176" s="47">
        <v>0.46899999999999997</v>
      </c>
      <c r="BI176" s="47">
        <v>0.47899999999999998</v>
      </c>
      <c r="BJ176" s="47">
        <v>0.54</v>
      </c>
      <c r="BK176" s="47">
        <v>0.48899999999999999</v>
      </c>
      <c r="BL176" s="47">
        <v>0.41799999999999998</v>
      </c>
      <c r="BM176" s="47">
        <v>0.183</v>
      </c>
      <c r="BN176" s="47">
        <v>0.17299999999999999</v>
      </c>
      <c r="BO176" s="47">
        <v>0.193</v>
      </c>
      <c r="BP176" s="47">
        <v>0.22399999999999998</v>
      </c>
      <c r="BQ176" s="47">
        <v>0.20399999999999999</v>
      </c>
      <c r="BR176" s="47">
        <v>0.21400000000000002</v>
      </c>
      <c r="BS176" s="47">
        <v>0.23400000000000001</v>
      </c>
      <c r="BT176" s="47">
        <v>0.255</v>
      </c>
      <c r="BU176" s="47">
        <v>0.29499999999999998</v>
      </c>
      <c r="BV176" s="47">
        <v>0.35699999999999998</v>
      </c>
      <c r="BW176" s="47">
        <v>0.36699999999999999</v>
      </c>
      <c r="BX176" s="47">
        <v>0.38700000000000001</v>
      </c>
      <c r="BY176" s="47">
        <v>0.43800000000000006</v>
      </c>
      <c r="BZ176" s="47">
        <v>0.44799999999999995</v>
      </c>
      <c r="CA176" s="47">
        <v>0.42800000000000005</v>
      </c>
      <c r="CB176" s="47">
        <v>0.34599999999999997</v>
      </c>
      <c r="CC176" s="47">
        <v>0.39700000000000002</v>
      </c>
      <c r="CD176" s="47">
        <v>0.51</v>
      </c>
      <c r="CE176" s="47">
        <v>0.58099999999999996</v>
      </c>
      <c r="CF176" s="47">
        <v>0.61199999999999999</v>
      </c>
      <c r="CG176" s="47">
        <v>0.60199999999999998</v>
      </c>
      <c r="CH176" s="47">
        <v>0.53</v>
      </c>
      <c r="CI176" s="47">
        <v>0.32600000000000001</v>
      </c>
      <c r="CJ176" s="47">
        <v>0.16300000000000001</v>
      </c>
      <c r="CK176" s="47">
        <v>0.153</v>
      </c>
      <c r="CL176" s="47">
        <v>0.14199999999999999</v>
      </c>
      <c r="CM176" s="47">
        <v>0.12199999999999998</v>
      </c>
      <c r="CN176" s="47">
        <v>6.0999999999999992E-2</v>
      </c>
      <c r="CO176" s="47">
        <v>0.04</v>
      </c>
      <c r="CP176" s="47">
        <v>0.02</v>
      </c>
      <c r="CQ176" s="47">
        <v>0</v>
      </c>
      <c r="CR176" s="47">
        <v>0.01</v>
      </c>
      <c r="CS176" s="47">
        <v>0.03</v>
      </c>
      <c r="CT176" s="47">
        <v>7.0999999999999994E-2</v>
      </c>
      <c r="CU176" s="47">
        <v>0.11199999999999999</v>
      </c>
      <c r="CV176" s="47">
        <v>0.10199999999999999</v>
      </c>
      <c r="CW176" s="47">
        <v>8.1000000000000003E-2</v>
      </c>
      <c r="CX176" s="47">
        <v>5.0999999999999997E-2</v>
      </c>
      <c r="CY176" s="47">
        <v>9.0999999999999998E-2</v>
      </c>
      <c r="CZ176" s="47">
        <v>0.13200000000000001</v>
      </c>
    </row>
    <row r="177" spans="1:104" x14ac:dyDescent="0.2">
      <c r="A177" s="50" t="s">
        <v>25</v>
      </c>
      <c r="B177" s="46">
        <f t="shared" si="32"/>
        <v>9.1999999999999975</v>
      </c>
      <c r="C177" s="46">
        <f t="shared" si="33"/>
        <v>-9.1999999999999975</v>
      </c>
      <c r="D177" s="48">
        <f t="shared" si="34"/>
        <v>30.850201839086822</v>
      </c>
      <c r="E177" s="46"/>
      <c r="F177" s="47">
        <v>0.47899999999999998</v>
      </c>
      <c r="G177" s="47">
        <v>0.45900000000000002</v>
      </c>
      <c r="H177" s="47">
        <v>0.48899999999999999</v>
      </c>
      <c r="I177" s="47">
        <v>0.57099999999999995</v>
      </c>
      <c r="J177" s="47">
        <v>0.61199999999999999</v>
      </c>
      <c r="K177" s="47">
        <v>0.56100000000000005</v>
      </c>
      <c r="L177" s="47">
        <v>0.52</v>
      </c>
      <c r="M177" s="47">
        <v>0.51</v>
      </c>
      <c r="N177" s="47">
        <v>0.58099999999999996</v>
      </c>
      <c r="O177" s="47">
        <v>0.59099999999999997</v>
      </c>
      <c r="P177" s="47">
        <v>0.46899999999999997</v>
      </c>
      <c r="Q177" s="47">
        <v>0.36699999999999999</v>
      </c>
      <c r="R177" s="47">
        <v>0.33600000000000002</v>
      </c>
      <c r="S177" s="47">
        <v>0.377</v>
      </c>
      <c r="T177" s="47">
        <v>0.41799999999999998</v>
      </c>
      <c r="U177" s="47">
        <v>0.39700000000000002</v>
      </c>
      <c r="V177" s="47">
        <v>0.35699999999999998</v>
      </c>
      <c r="W177" s="47">
        <v>0.38700000000000001</v>
      </c>
      <c r="X177" s="47">
        <v>0.40799999999999997</v>
      </c>
      <c r="Y177" s="47">
        <v>0.5</v>
      </c>
      <c r="Z177" s="47">
        <v>0.53</v>
      </c>
      <c r="AA177" s="47">
        <v>0.622</v>
      </c>
      <c r="AB177" s="47">
        <v>0.71399999999999997</v>
      </c>
      <c r="AC177" s="47">
        <v>0.755</v>
      </c>
      <c r="AD177" s="47">
        <v>0.80600000000000005</v>
      </c>
      <c r="AE177" s="47">
        <v>0.81599999999999995</v>
      </c>
      <c r="AF177" s="47">
        <v>0.82599999999999996</v>
      </c>
      <c r="AG177" s="47">
        <v>0.83599999999999997</v>
      </c>
      <c r="AH177" s="47">
        <v>0.85699999999999998</v>
      </c>
      <c r="AI177" s="47">
        <v>0.86699999999999999</v>
      </c>
      <c r="AJ177" s="47">
        <v>0.89700000000000002</v>
      </c>
      <c r="AK177" s="47">
        <v>0.877</v>
      </c>
      <c r="AL177" s="47">
        <v>0.84599999999999997</v>
      </c>
      <c r="AM177" s="47">
        <v>0.78499999999999992</v>
      </c>
      <c r="AN177" s="47">
        <v>0.7649999999999999</v>
      </c>
      <c r="AO177" s="47">
        <v>0.72399999999999998</v>
      </c>
      <c r="AP177" s="47">
        <v>0.63200000000000001</v>
      </c>
      <c r="AQ177" s="47">
        <v>0.43800000000000006</v>
      </c>
      <c r="AR177" s="47">
        <v>0.34599999999999997</v>
      </c>
      <c r="AS177" s="47">
        <v>0.316</v>
      </c>
      <c r="AT177" s="47">
        <v>0.27500000000000002</v>
      </c>
      <c r="AU177" s="47">
        <v>0.32600000000000001</v>
      </c>
      <c r="AV177" s="47">
        <v>0.42800000000000005</v>
      </c>
      <c r="AW177" s="47">
        <v>0.60199999999999998</v>
      </c>
      <c r="AX177" s="47">
        <v>0.44799999999999995</v>
      </c>
      <c r="AY177" s="47">
        <v>0.28499999999999998</v>
      </c>
      <c r="AZ177" s="47">
        <v>0.11199999999999999</v>
      </c>
      <c r="BA177" s="47">
        <v>9.0999999999999998E-2</v>
      </c>
      <c r="BB177" s="47">
        <v>0.17299999999999999</v>
      </c>
      <c r="BC177" s="47">
        <v>0.22399999999999998</v>
      </c>
      <c r="BD177" s="47">
        <v>0.24399999999999997</v>
      </c>
      <c r="BE177" s="47">
        <v>0.20399999999999999</v>
      </c>
      <c r="BF177" s="47">
        <v>0.193</v>
      </c>
      <c r="BG177" s="47">
        <v>0.10199999999999999</v>
      </c>
      <c r="BH177" s="47">
        <v>6.0999999999999992E-2</v>
      </c>
      <c r="BI177" s="47">
        <v>0.01</v>
      </c>
      <c r="BJ177" s="47">
        <v>0</v>
      </c>
      <c r="BK177" s="47">
        <v>0.04</v>
      </c>
      <c r="BL177" s="47">
        <v>8.1000000000000003E-2</v>
      </c>
      <c r="BM177" s="47">
        <v>0.12199999999999998</v>
      </c>
      <c r="BN177" s="47">
        <v>0.153</v>
      </c>
      <c r="BO177" s="47">
        <v>0.14199999999999999</v>
      </c>
      <c r="BP177" s="47">
        <v>0.16300000000000001</v>
      </c>
      <c r="BQ177" s="47">
        <v>0.21400000000000002</v>
      </c>
      <c r="BR177" s="47">
        <v>0.26500000000000001</v>
      </c>
      <c r="BS177" s="47">
        <v>0.255</v>
      </c>
      <c r="BT177" s="47">
        <v>0.30599999999999999</v>
      </c>
      <c r="BU177" s="47">
        <v>0.55100000000000005</v>
      </c>
      <c r="BV177" s="47">
        <v>0.77500000000000002</v>
      </c>
      <c r="BW177" s="47">
        <v>0.88700000000000012</v>
      </c>
      <c r="BX177" s="47">
        <v>0.90800000000000003</v>
      </c>
      <c r="BY177" s="47">
        <v>0.91800000000000004</v>
      </c>
      <c r="BZ177" s="47">
        <v>0.93799999999999994</v>
      </c>
      <c r="CA177" s="47">
        <v>0.96899999999999997</v>
      </c>
      <c r="CB177" s="47">
        <v>0.98899999999999999</v>
      </c>
      <c r="CC177" s="47">
        <v>0.97899999999999987</v>
      </c>
      <c r="CD177" s="47">
        <v>0.94799999999999984</v>
      </c>
      <c r="CE177" s="47">
        <v>1</v>
      </c>
      <c r="CF177" s="47">
        <v>0.95899999999999985</v>
      </c>
      <c r="CG177" s="47">
        <v>0.92800000000000005</v>
      </c>
      <c r="CH177" s="47">
        <v>0.79500000000000004</v>
      </c>
      <c r="CI177" s="47">
        <v>0.70399999999999996</v>
      </c>
      <c r="CJ177" s="47">
        <v>0.64200000000000002</v>
      </c>
      <c r="CK177" s="47">
        <v>0.65300000000000002</v>
      </c>
      <c r="CL177" s="47">
        <v>0.68300000000000005</v>
      </c>
      <c r="CM177" s="47">
        <v>0.67300000000000004</v>
      </c>
      <c r="CN177" s="47">
        <v>0.69299999999999995</v>
      </c>
      <c r="CO177" s="47">
        <v>0.73399999999999999</v>
      </c>
      <c r="CP177" s="47">
        <v>0.74399999999999999</v>
      </c>
      <c r="CQ177" s="47">
        <v>0.66300000000000003</v>
      </c>
      <c r="CR177" s="47">
        <v>0.54</v>
      </c>
      <c r="CS177" s="47">
        <v>0.29499999999999998</v>
      </c>
      <c r="CT177" s="47">
        <v>0.23400000000000001</v>
      </c>
      <c r="CU177" s="47">
        <v>0.183</v>
      </c>
      <c r="CV177" s="47">
        <v>0.13200000000000001</v>
      </c>
      <c r="CW177" s="47">
        <v>7.0999999999999994E-2</v>
      </c>
      <c r="CX177" s="47">
        <v>5.0999999999999997E-2</v>
      </c>
      <c r="CY177" s="47">
        <v>0.03</v>
      </c>
      <c r="CZ177" s="47">
        <v>0.02</v>
      </c>
    </row>
    <row r="178" spans="1:104" x14ac:dyDescent="0.2">
      <c r="A178" s="50" t="s">
        <v>28</v>
      </c>
      <c r="B178" s="46">
        <f t="shared" si="32"/>
        <v>-64.3</v>
      </c>
      <c r="C178" s="46">
        <f t="shared" si="33"/>
        <v>-8.1999999999999993</v>
      </c>
      <c r="D178" s="48">
        <f t="shared" si="34"/>
        <v>28.359461285812372</v>
      </c>
      <c r="E178" s="46"/>
      <c r="F178" s="47">
        <v>0.03</v>
      </c>
      <c r="G178" s="47">
        <v>0.04</v>
      </c>
      <c r="H178" s="47">
        <v>5.0999999999999997E-2</v>
      </c>
      <c r="I178" s="47">
        <v>0.11199999999999999</v>
      </c>
      <c r="J178" s="47">
        <v>0.21400000000000002</v>
      </c>
      <c r="K178" s="47">
        <v>0.55100000000000005</v>
      </c>
      <c r="L178" s="47">
        <v>0.7649999999999999</v>
      </c>
      <c r="M178" s="47">
        <v>0.92800000000000005</v>
      </c>
      <c r="N178" s="47">
        <v>0.90800000000000003</v>
      </c>
      <c r="O178" s="47">
        <v>0.70399999999999996</v>
      </c>
      <c r="P178" s="47">
        <v>0.57099999999999995</v>
      </c>
      <c r="Q178" s="47">
        <v>0.64200000000000002</v>
      </c>
      <c r="R178" s="47">
        <v>0.93799999999999994</v>
      </c>
      <c r="S178" s="47">
        <v>0.98899999999999999</v>
      </c>
      <c r="T178" s="47">
        <v>1</v>
      </c>
      <c r="U178" s="47">
        <v>0.95899999999999985</v>
      </c>
      <c r="V178" s="47">
        <v>0.89700000000000002</v>
      </c>
      <c r="W178" s="47">
        <v>0.67300000000000004</v>
      </c>
      <c r="X178" s="47">
        <v>0.56100000000000005</v>
      </c>
      <c r="Y178" s="47">
        <v>0.41799999999999998</v>
      </c>
      <c r="Z178" s="47">
        <v>0.5</v>
      </c>
      <c r="AA178" s="47">
        <v>0.622</v>
      </c>
      <c r="AB178" s="47">
        <v>0.79500000000000004</v>
      </c>
      <c r="AC178" s="47">
        <v>0.86699999999999999</v>
      </c>
      <c r="AD178" s="47">
        <v>0.88700000000000012</v>
      </c>
      <c r="AE178" s="47">
        <v>0.84599999999999997</v>
      </c>
      <c r="AF178" s="47">
        <v>0.85699999999999998</v>
      </c>
      <c r="AG178" s="47">
        <v>0.80600000000000005</v>
      </c>
      <c r="AH178" s="47">
        <v>0.83599999999999997</v>
      </c>
      <c r="AI178" s="47">
        <v>0.91800000000000004</v>
      </c>
      <c r="AJ178" s="47">
        <v>0.96899999999999997</v>
      </c>
      <c r="AK178" s="47">
        <v>0.97899999999999987</v>
      </c>
      <c r="AL178" s="47">
        <v>0.94799999999999984</v>
      </c>
      <c r="AM178" s="47">
        <v>0.81599999999999995</v>
      </c>
      <c r="AN178" s="47">
        <v>0.59099999999999997</v>
      </c>
      <c r="AO178" s="47">
        <v>0.54</v>
      </c>
      <c r="AP178" s="47">
        <v>0.33600000000000002</v>
      </c>
      <c r="AQ178" s="47">
        <v>0.255</v>
      </c>
      <c r="AR178" s="47">
        <v>0.17299999999999999</v>
      </c>
      <c r="AS178" s="47">
        <v>0.16300000000000001</v>
      </c>
      <c r="AT178" s="47">
        <v>0.12199999999999998</v>
      </c>
      <c r="AU178" s="47">
        <v>7.0999999999999994E-2</v>
      </c>
      <c r="AV178" s="47">
        <v>0.01</v>
      </c>
      <c r="AW178" s="47">
        <v>0</v>
      </c>
      <c r="AX178" s="47">
        <v>0.02</v>
      </c>
      <c r="AY178" s="47">
        <v>6.0999999999999992E-2</v>
      </c>
      <c r="AZ178" s="47">
        <v>8.1000000000000003E-2</v>
      </c>
      <c r="BA178" s="47">
        <v>0.10199999999999999</v>
      </c>
      <c r="BB178" s="47">
        <v>0.183</v>
      </c>
      <c r="BC178" s="47">
        <v>0.29499999999999998</v>
      </c>
      <c r="BD178" s="47">
        <v>0.28499999999999998</v>
      </c>
      <c r="BE178" s="47">
        <v>0.20399999999999999</v>
      </c>
      <c r="BF178" s="47">
        <v>0.153</v>
      </c>
      <c r="BG178" s="47">
        <v>0.24399999999999997</v>
      </c>
      <c r="BH178" s="47">
        <v>0.316</v>
      </c>
      <c r="BI178" s="47">
        <v>0.36699999999999999</v>
      </c>
      <c r="BJ178" s="47">
        <v>0.42800000000000005</v>
      </c>
      <c r="BK178" s="47">
        <v>0.45900000000000002</v>
      </c>
      <c r="BL178" s="47">
        <v>0.44799999999999995</v>
      </c>
      <c r="BM178" s="47">
        <v>0.40799999999999997</v>
      </c>
      <c r="BN178" s="47">
        <v>0.377</v>
      </c>
      <c r="BO178" s="47">
        <v>0.34599999999999997</v>
      </c>
      <c r="BP178" s="47">
        <v>0.47899999999999998</v>
      </c>
      <c r="BQ178" s="47">
        <v>0.58099999999999996</v>
      </c>
      <c r="BR178" s="47">
        <v>0.72399999999999998</v>
      </c>
      <c r="BS178" s="47">
        <v>0.77500000000000002</v>
      </c>
      <c r="BT178" s="47">
        <v>0.74399999999999999</v>
      </c>
      <c r="BU178" s="47">
        <v>0.73399999999999999</v>
      </c>
      <c r="BV178" s="47">
        <v>0.82599999999999996</v>
      </c>
      <c r="BW178" s="47">
        <v>0.877</v>
      </c>
      <c r="BX178" s="47">
        <v>0.78499999999999992</v>
      </c>
      <c r="BY178" s="47">
        <v>0.71399999999999997</v>
      </c>
      <c r="BZ178" s="47">
        <v>0.69299999999999995</v>
      </c>
      <c r="CA178" s="47">
        <v>0.755</v>
      </c>
      <c r="CB178" s="47">
        <v>0.68300000000000005</v>
      </c>
      <c r="CC178" s="47">
        <v>0.65300000000000002</v>
      </c>
      <c r="CD178" s="47">
        <v>0.61199999999999999</v>
      </c>
      <c r="CE178" s="47">
        <v>0.63200000000000001</v>
      </c>
      <c r="CF178" s="47">
        <v>0.66300000000000003</v>
      </c>
      <c r="CG178" s="47">
        <v>0.60199999999999998</v>
      </c>
      <c r="CH178" s="47">
        <v>0.52</v>
      </c>
      <c r="CI178" s="47">
        <v>0.30599999999999999</v>
      </c>
      <c r="CJ178" s="47">
        <v>0.35699999999999998</v>
      </c>
      <c r="CK178" s="47">
        <v>0.46899999999999997</v>
      </c>
      <c r="CL178" s="47">
        <v>0.48899999999999999</v>
      </c>
      <c r="CM178" s="47">
        <v>0.39700000000000002</v>
      </c>
      <c r="CN178" s="47">
        <v>0.43800000000000006</v>
      </c>
      <c r="CO178" s="47">
        <v>0.53</v>
      </c>
      <c r="CP178" s="47">
        <v>0.51</v>
      </c>
      <c r="CQ178" s="47">
        <v>0.38700000000000001</v>
      </c>
      <c r="CR178" s="47">
        <v>0.32600000000000001</v>
      </c>
      <c r="CS178" s="47">
        <v>0.27500000000000002</v>
      </c>
      <c r="CT178" s="47">
        <v>0.26500000000000001</v>
      </c>
      <c r="CU178" s="47">
        <v>0.23400000000000001</v>
      </c>
      <c r="CV178" s="47">
        <v>0.22399999999999998</v>
      </c>
      <c r="CW178" s="47">
        <v>0.193</v>
      </c>
      <c r="CX178" s="47">
        <v>0.14199999999999999</v>
      </c>
      <c r="CY178" s="47">
        <v>0.13200000000000001</v>
      </c>
      <c r="CZ178" s="47">
        <v>9.0999999999999998E-2</v>
      </c>
    </row>
    <row r="179" spans="1:104" x14ac:dyDescent="0.2">
      <c r="A179" s="50" t="s">
        <v>31</v>
      </c>
      <c r="B179" s="46">
        <f t="shared" si="32"/>
        <v>52</v>
      </c>
      <c r="C179" s="46">
        <f t="shared" si="33"/>
        <v>-4.0999999999999925</v>
      </c>
      <c r="D179" s="48">
        <f t="shared" si="34"/>
        <v>30.15944911412954</v>
      </c>
      <c r="E179" s="46"/>
      <c r="F179" s="47">
        <v>0.54</v>
      </c>
      <c r="G179" s="47">
        <v>0.47899999999999998</v>
      </c>
      <c r="H179" s="47">
        <v>0.41799999999999998</v>
      </c>
      <c r="I179" s="47">
        <v>0.58099999999999996</v>
      </c>
      <c r="J179" s="47">
        <v>0.66300000000000003</v>
      </c>
      <c r="K179" s="47">
        <v>0.70399999999999996</v>
      </c>
      <c r="L179" s="47">
        <v>0.69299999999999995</v>
      </c>
      <c r="M179" s="47">
        <v>0.71399999999999997</v>
      </c>
      <c r="N179" s="47">
        <v>0.63200000000000001</v>
      </c>
      <c r="O179" s="47">
        <v>0.255</v>
      </c>
      <c r="P179" s="47">
        <v>9.0999999999999998E-2</v>
      </c>
      <c r="Q179" s="47">
        <v>0.03</v>
      </c>
      <c r="R179" s="47">
        <v>0</v>
      </c>
      <c r="S179" s="47">
        <v>0.04</v>
      </c>
      <c r="T179" s="47">
        <v>6.0999999999999992E-2</v>
      </c>
      <c r="U179" s="47">
        <v>5.0999999999999997E-2</v>
      </c>
      <c r="V179" s="47">
        <v>0.01</v>
      </c>
      <c r="W179" s="47">
        <v>0.02</v>
      </c>
      <c r="X179" s="47">
        <v>7.0999999999999994E-2</v>
      </c>
      <c r="Y179" s="47">
        <v>0.10199999999999999</v>
      </c>
      <c r="Z179" s="47">
        <v>0.13200000000000001</v>
      </c>
      <c r="AA179" s="47">
        <v>0.622</v>
      </c>
      <c r="AB179" s="47">
        <v>0.81599999999999995</v>
      </c>
      <c r="AC179" s="47">
        <v>0.90800000000000003</v>
      </c>
      <c r="AD179" s="47">
        <v>0.94799999999999984</v>
      </c>
      <c r="AE179" s="47">
        <v>0.96899999999999997</v>
      </c>
      <c r="AF179" s="47">
        <v>0.97899999999999987</v>
      </c>
      <c r="AG179" s="47">
        <v>1</v>
      </c>
      <c r="AH179" s="47">
        <v>0.98899999999999999</v>
      </c>
      <c r="AI179" s="47">
        <v>0.95899999999999985</v>
      </c>
      <c r="AJ179" s="47">
        <v>0.93799999999999994</v>
      </c>
      <c r="AK179" s="47">
        <v>0.89700000000000002</v>
      </c>
      <c r="AL179" s="47">
        <v>0.86699999999999999</v>
      </c>
      <c r="AM179" s="47">
        <v>0.85699999999999998</v>
      </c>
      <c r="AN179" s="47">
        <v>0.82599999999999996</v>
      </c>
      <c r="AO179" s="47">
        <v>0.80600000000000005</v>
      </c>
      <c r="AP179" s="47">
        <v>0.77500000000000002</v>
      </c>
      <c r="AQ179" s="47">
        <v>0.74399999999999999</v>
      </c>
      <c r="AR179" s="47">
        <v>0.67300000000000004</v>
      </c>
      <c r="AS179" s="47">
        <v>0.61199999999999999</v>
      </c>
      <c r="AT179" s="47">
        <v>0.56100000000000005</v>
      </c>
      <c r="AU179" s="47">
        <v>0.57099999999999995</v>
      </c>
      <c r="AV179" s="47">
        <v>0.59099999999999997</v>
      </c>
      <c r="AW179" s="47">
        <v>0.53</v>
      </c>
      <c r="AX179" s="47">
        <v>0.42800000000000005</v>
      </c>
      <c r="AY179" s="47">
        <v>0.32600000000000001</v>
      </c>
      <c r="AZ179" s="47">
        <v>0.183</v>
      </c>
      <c r="BA179" s="47">
        <v>0.153</v>
      </c>
      <c r="BB179" s="47">
        <v>0.14199999999999999</v>
      </c>
      <c r="BC179" s="47">
        <v>0.17299999999999999</v>
      </c>
      <c r="BD179" s="47">
        <v>0.30599999999999999</v>
      </c>
      <c r="BE179" s="47">
        <v>0.29499999999999998</v>
      </c>
      <c r="BF179" s="47">
        <v>0.24399999999999997</v>
      </c>
      <c r="BG179" s="47">
        <v>0.20399999999999999</v>
      </c>
      <c r="BH179" s="47">
        <v>0.193</v>
      </c>
      <c r="BI179" s="47">
        <v>0.21400000000000002</v>
      </c>
      <c r="BJ179" s="47">
        <v>0.22399999999999998</v>
      </c>
      <c r="BK179" s="47">
        <v>0.26500000000000001</v>
      </c>
      <c r="BL179" s="47">
        <v>0.316</v>
      </c>
      <c r="BM179" s="47">
        <v>0.33600000000000002</v>
      </c>
      <c r="BN179" s="47">
        <v>0.38700000000000001</v>
      </c>
      <c r="BO179" s="47">
        <v>0.43800000000000006</v>
      </c>
      <c r="BP179" s="47">
        <v>0.52</v>
      </c>
      <c r="BQ179" s="47">
        <v>0.48899999999999999</v>
      </c>
      <c r="BR179" s="47">
        <v>0.46899999999999997</v>
      </c>
      <c r="BS179" s="47">
        <v>0.40799999999999997</v>
      </c>
      <c r="BT179" s="47">
        <v>0.35699999999999998</v>
      </c>
      <c r="BU179" s="47">
        <v>0.34599999999999997</v>
      </c>
      <c r="BV179" s="47">
        <v>0.39700000000000002</v>
      </c>
      <c r="BW179" s="47">
        <v>0.5</v>
      </c>
      <c r="BX179" s="47">
        <v>0.55100000000000005</v>
      </c>
      <c r="BY179" s="47">
        <v>0.51</v>
      </c>
      <c r="BZ179" s="47">
        <v>0.44799999999999995</v>
      </c>
      <c r="CA179" s="47">
        <v>0.377</v>
      </c>
      <c r="CB179" s="47">
        <v>0.23400000000000001</v>
      </c>
      <c r="CC179" s="47">
        <v>0.28499999999999998</v>
      </c>
      <c r="CD179" s="47">
        <v>0.36699999999999999</v>
      </c>
      <c r="CE179" s="47">
        <v>0.60199999999999998</v>
      </c>
      <c r="CF179" s="47">
        <v>0.65300000000000002</v>
      </c>
      <c r="CG179" s="47">
        <v>0.68300000000000005</v>
      </c>
      <c r="CH179" s="47">
        <v>0.72399999999999998</v>
      </c>
      <c r="CI179" s="47">
        <v>0.755</v>
      </c>
      <c r="CJ179" s="47">
        <v>0.78499999999999992</v>
      </c>
      <c r="CK179" s="47">
        <v>0.79500000000000004</v>
      </c>
      <c r="CL179" s="47">
        <v>0.83599999999999997</v>
      </c>
      <c r="CM179" s="47">
        <v>0.877</v>
      </c>
      <c r="CN179" s="47">
        <v>0.91800000000000004</v>
      </c>
      <c r="CO179" s="47">
        <v>0.92800000000000005</v>
      </c>
      <c r="CP179" s="47">
        <v>0.88700000000000012</v>
      </c>
      <c r="CQ179" s="47">
        <v>0.84599999999999997</v>
      </c>
      <c r="CR179" s="47">
        <v>0.7649999999999999</v>
      </c>
      <c r="CS179" s="47">
        <v>0.73399999999999999</v>
      </c>
      <c r="CT179" s="47">
        <v>0.64200000000000002</v>
      </c>
      <c r="CU179" s="47">
        <v>0.45900000000000002</v>
      </c>
      <c r="CV179" s="47">
        <v>0.27500000000000002</v>
      </c>
      <c r="CW179" s="47">
        <v>0.16300000000000001</v>
      </c>
      <c r="CX179" s="47">
        <v>0.12199999999999998</v>
      </c>
      <c r="CY179" s="47">
        <v>0.11199999999999999</v>
      </c>
      <c r="CZ179" s="47">
        <v>8.1000000000000003E-2</v>
      </c>
    </row>
    <row r="180" spans="1:104" x14ac:dyDescent="0.2">
      <c r="A180" s="50" t="s">
        <v>34</v>
      </c>
      <c r="B180" s="46">
        <f t="shared" si="32"/>
        <v>-77.3</v>
      </c>
      <c r="C180" s="46">
        <f t="shared" si="33"/>
        <v>4</v>
      </c>
      <c r="D180" s="48">
        <f t="shared" si="34"/>
        <v>22.812039081724265</v>
      </c>
      <c r="E180" s="46"/>
      <c r="F180" s="47">
        <v>5.2999999999999999E-2</v>
      </c>
      <c r="G180" s="47">
        <v>2.5999999999999999E-2</v>
      </c>
      <c r="H180" s="47">
        <v>0</v>
      </c>
      <c r="I180" s="47">
        <v>1.2999999999999999E-2</v>
      </c>
      <c r="J180" s="47">
        <v>0.04</v>
      </c>
      <c r="K180" s="47">
        <v>6.6000000000000003E-2</v>
      </c>
      <c r="L180" s="47">
        <v>0.08</v>
      </c>
      <c r="M180" s="47">
        <v>0.16</v>
      </c>
      <c r="N180" s="47">
        <v>0.33300000000000002</v>
      </c>
      <c r="O180" s="47">
        <v>0.373</v>
      </c>
      <c r="P180" s="47">
        <v>0.21299999999999999</v>
      </c>
      <c r="Q180" s="47">
        <v>0.186</v>
      </c>
      <c r="R180" s="47">
        <v>0.46600000000000003</v>
      </c>
      <c r="S180" s="47">
        <v>0.6</v>
      </c>
      <c r="T180" s="47">
        <v>0.70599999999999996</v>
      </c>
      <c r="U180" s="47">
        <v>0.77300000000000002</v>
      </c>
      <c r="V180" s="47">
        <v>0.8</v>
      </c>
      <c r="W180" s="47">
        <v>0.82599999999999996</v>
      </c>
      <c r="X180" s="47">
        <v>0.84</v>
      </c>
      <c r="Y180" s="47">
        <v>0.88</v>
      </c>
      <c r="Z180" s="47">
        <v>0.92</v>
      </c>
      <c r="AA180" s="47">
        <v>0.94599999999999995</v>
      </c>
      <c r="AB180" s="47">
        <v>0.93300000000000005</v>
      </c>
      <c r="AC180" s="47">
        <v>0.97299999999999998</v>
      </c>
      <c r="AD180" s="47">
        <v>0.9860000000000001</v>
      </c>
      <c r="AE180" s="47">
        <v>1</v>
      </c>
      <c r="AF180" s="47">
        <v>0.96</v>
      </c>
      <c r="AG180" s="47">
        <v>0.90600000000000003</v>
      </c>
      <c r="AH180" s="47">
        <v>0.89300000000000002</v>
      </c>
      <c r="AI180" s="47">
        <v>0.86599999999999999</v>
      </c>
      <c r="AJ180" s="47">
        <v>0.85299999999999998</v>
      </c>
      <c r="AK180" s="47">
        <v>0.81299999999999994</v>
      </c>
      <c r="AL180" s="47">
        <v>0.78600000000000003</v>
      </c>
      <c r="AM180" s="47">
        <v>0.76</v>
      </c>
      <c r="AN180" s="47">
        <v>0.746</v>
      </c>
      <c r="AO180" s="47">
        <v>0.73299999999999998</v>
      </c>
      <c r="AP180" s="47">
        <v>0.72</v>
      </c>
      <c r="AQ180" s="47">
        <v>0.69299999999999995</v>
      </c>
      <c r="AR180" s="47">
        <v>0.626</v>
      </c>
      <c r="AS180" s="47">
        <v>0.57299999999999995</v>
      </c>
      <c r="AT180" s="47">
        <v>0.48</v>
      </c>
      <c r="AU180" s="47">
        <v>0.34599999999999997</v>
      </c>
      <c r="AV180" s="47">
        <v>0.26600000000000001</v>
      </c>
      <c r="AW180" s="47">
        <v>0.22600000000000001</v>
      </c>
      <c r="AX180" s="47">
        <v>0.24</v>
      </c>
      <c r="AY180" s="47">
        <v>0.253</v>
      </c>
      <c r="AZ180" s="47">
        <v>0.30599999999999999</v>
      </c>
      <c r="BA180" s="47">
        <v>0.36</v>
      </c>
      <c r="BB180" s="47">
        <v>0.38600000000000001</v>
      </c>
      <c r="BC180" s="47">
        <v>0.4</v>
      </c>
      <c r="BD180" s="47">
        <v>0.41299999999999998</v>
      </c>
      <c r="BE180" s="47">
        <v>0.45300000000000001</v>
      </c>
      <c r="BF180" s="47">
        <v>0.50600000000000001</v>
      </c>
      <c r="BG180" s="47">
        <v>0.54600000000000004</v>
      </c>
      <c r="BH180" s="47">
        <v>0.53300000000000003</v>
      </c>
      <c r="BI180" s="47">
        <v>0.49300000000000005</v>
      </c>
      <c r="BJ180" s="47">
        <v>0.42599999999999999</v>
      </c>
      <c r="BK180" s="47">
        <v>0.32</v>
      </c>
      <c r="BL180" s="47">
        <v>0.28000000000000003</v>
      </c>
      <c r="BM180" s="47">
        <v>0.2</v>
      </c>
      <c r="BN180" s="47">
        <v>0.17299999999999999</v>
      </c>
      <c r="BO180" s="47">
        <v>0.13300000000000001</v>
      </c>
      <c r="BP180" s="47">
        <v>0.12</v>
      </c>
      <c r="BQ180" s="47">
        <v>0.106</v>
      </c>
      <c r="BR180" s="47">
        <v>9.2999999999999999E-2</v>
      </c>
      <c r="BS180" s="47">
        <v>0.14599999999999999</v>
      </c>
      <c r="BT180" s="47">
        <v>0.29299999999999998</v>
      </c>
      <c r="BU180" s="47">
        <v>0.44</v>
      </c>
      <c r="BV180" s="47">
        <v>0.52</v>
      </c>
      <c r="BW180" s="47">
        <v>0.56000000000000005</v>
      </c>
      <c r="BX180" s="47">
        <v>0.58599999999999997</v>
      </c>
      <c r="BY180" s="47">
        <v>0.61299999999999999</v>
      </c>
      <c r="BZ180" s="47">
        <v>0.64</v>
      </c>
      <c r="CA180" s="47">
        <v>0.65300000000000002</v>
      </c>
      <c r="CB180" s="47">
        <v>0.66600000000000004</v>
      </c>
      <c r="CC180" s="47">
        <v>0.68</v>
      </c>
      <c r="CD180" s="47">
        <v>0.5</v>
      </c>
      <c r="CE180" s="47">
        <v>0.5</v>
      </c>
      <c r="CF180" s="47">
        <v>0.5</v>
      </c>
      <c r="CG180" s="47">
        <v>0.5</v>
      </c>
      <c r="CH180" s="47">
        <v>0.5</v>
      </c>
      <c r="CI180" s="47">
        <v>0.5</v>
      </c>
      <c r="CJ180" s="47">
        <v>0.5</v>
      </c>
      <c r="CK180" s="47">
        <v>0.5</v>
      </c>
      <c r="CL180" s="47">
        <v>0.5</v>
      </c>
      <c r="CM180" s="47">
        <v>0.5</v>
      </c>
      <c r="CN180" s="47">
        <v>0.5</v>
      </c>
      <c r="CO180" s="47">
        <v>0.5</v>
      </c>
      <c r="CP180" s="47">
        <v>0.5</v>
      </c>
      <c r="CQ180" s="47">
        <v>0.5</v>
      </c>
      <c r="CR180" s="47">
        <v>0.5</v>
      </c>
      <c r="CS180" s="47">
        <v>0.5</v>
      </c>
      <c r="CT180" s="47">
        <v>0.5</v>
      </c>
      <c r="CU180" s="47">
        <v>0.5</v>
      </c>
      <c r="CV180" s="47">
        <v>0.5</v>
      </c>
      <c r="CW180" s="47">
        <v>0.5</v>
      </c>
      <c r="CX180" s="47">
        <v>0.5</v>
      </c>
      <c r="CY180" s="47">
        <v>0.5</v>
      </c>
      <c r="CZ180" s="47">
        <v>0.5</v>
      </c>
    </row>
    <row r="181" spans="1:104" x14ac:dyDescent="0.2">
      <c r="A181" s="50" t="s">
        <v>37</v>
      </c>
      <c r="B181" s="46">
        <f t="shared" si="32"/>
        <v>5.6</v>
      </c>
      <c r="C181" s="46">
        <f t="shared" si="33"/>
        <v>18.099999999999998</v>
      </c>
      <c r="D181" s="48">
        <f t="shared" si="34"/>
        <v>25.044548093438319</v>
      </c>
      <c r="E181" s="46"/>
      <c r="F181" s="47">
        <v>0.44400000000000001</v>
      </c>
      <c r="G181" s="47">
        <v>0.40200000000000002</v>
      </c>
      <c r="H181" s="47">
        <v>0.36099999999999999</v>
      </c>
      <c r="I181" s="47">
        <v>0.26300000000000001</v>
      </c>
      <c r="J181" s="47">
        <v>0.222</v>
      </c>
      <c r="K181" s="47">
        <v>0.23599999999999999</v>
      </c>
      <c r="L181" s="47">
        <v>0.29099999999999998</v>
      </c>
      <c r="M181" s="47">
        <v>0.33300000000000002</v>
      </c>
      <c r="N181" s="47">
        <v>0.25</v>
      </c>
      <c r="O181" s="47">
        <v>0.16600000000000001</v>
      </c>
      <c r="P181" s="47">
        <v>6.9000000000000006E-2</v>
      </c>
      <c r="Q181" s="47">
        <v>0</v>
      </c>
      <c r="R181" s="47">
        <v>1.2999999999999999E-2</v>
      </c>
      <c r="S181" s="47">
        <v>8.3000000000000004E-2</v>
      </c>
      <c r="T181" s="47">
        <v>0.125</v>
      </c>
      <c r="U181" s="47">
        <v>0.18</v>
      </c>
      <c r="V181" s="47">
        <v>0.31900000000000001</v>
      </c>
      <c r="W181" s="47">
        <v>0.38800000000000001</v>
      </c>
      <c r="X181" s="47">
        <v>0.43</v>
      </c>
      <c r="Y181" s="47">
        <v>0.45800000000000002</v>
      </c>
      <c r="Z181" s="47">
        <v>0.5</v>
      </c>
      <c r="AA181" s="47">
        <v>0.65200000000000002</v>
      </c>
      <c r="AB181" s="47">
        <v>0.75</v>
      </c>
      <c r="AC181" s="47">
        <v>0.80500000000000005</v>
      </c>
      <c r="AD181" s="47">
        <v>0.81899999999999995</v>
      </c>
      <c r="AE181" s="47">
        <v>0.84699999999999998</v>
      </c>
      <c r="AF181" s="47">
        <v>0.95799999999999996</v>
      </c>
      <c r="AG181" s="47">
        <v>1</v>
      </c>
      <c r="AH181" s="47">
        <v>0.9860000000000001</v>
      </c>
      <c r="AI181" s="47">
        <v>0.88800000000000001</v>
      </c>
      <c r="AJ181" s="47">
        <v>0.83299999999999996</v>
      </c>
      <c r="AK181" s="47">
        <v>0.875</v>
      </c>
      <c r="AL181" s="47">
        <v>0.90200000000000002</v>
      </c>
      <c r="AM181" s="47">
        <v>0.91600000000000004</v>
      </c>
      <c r="AN181" s="47">
        <v>0.93</v>
      </c>
      <c r="AO181" s="47">
        <v>0.97199999999999998</v>
      </c>
      <c r="AP181" s="47">
        <v>0.94399999999999995</v>
      </c>
      <c r="AQ181" s="47">
        <v>0.86099999999999999</v>
      </c>
      <c r="AR181" s="47">
        <v>0.76300000000000001</v>
      </c>
      <c r="AS181" s="47">
        <v>0.69399999999999995</v>
      </c>
      <c r="AT181" s="47">
        <v>0.61099999999999999</v>
      </c>
      <c r="AU181" s="47">
        <v>0.58299999999999996</v>
      </c>
      <c r="AV181" s="47">
        <v>0.63800000000000001</v>
      </c>
      <c r="AW181" s="47">
        <v>0.66600000000000004</v>
      </c>
      <c r="AX181" s="47">
        <v>0.68</v>
      </c>
      <c r="AY181" s="47">
        <v>0.59699999999999998</v>
      </c>
      <c r="AZ181" s="47">
        <v>0.55500000000000005</v>
      </c>
      <c r="BA181" s="47">
        <v>0.54100000000000004</v>
      </c>
      <c r="BB181" s="47">
        <v>0.52700000000000002</v>
      </c>
      <c r="BC181" s="47">
        <v>0.48599999999999999</v>
      </c>
      <c r="BD181" s="47">
        <v>0.41599999999999998</v>
      </c>
      <c r="BE181" s="47">
        <v>0.34699999999999998</v>
      </c>
      <c r="BF181" s="47">
        <v>0.30499999999999999</v>
      </c>
      <c r="BG181" s="47">
        <v>0.27700000000000002</v>
      </c>
      <c r="BH181" s="47">
        <v>0.19400000000000001</v>
      </c>
      <c r="BI181" s="47">
        <v>0.13800000000000001</v>
      </c>
      <c r="BJ181" s="47">
        <v>9.7000000000000003E-2</v>
      </c>
      <c r="BK181" s="47">
        <v>2.7E-2</v>
      </c>
      <c r="BL181" s="47">
        <v>4.1000000000000002E-2</v>
      </c>
      <c r="BM181" s="47">
        <v>5.5E-2</v>
      </c>
      <c r="BN181" s="47">
        <v>0.111</v>
      </c>
      <c r="BO181" s="47">
        <v>0.152</v>
      </c>
      <c r="BP181" s="47">
        <v>0.20799999999999999</v>
      </c>
      <c r="BQ181" s="47">
        <v>0.375</v>
      </c>
      <c r="BR181" s="47">
        <v>0.47199999999999998</v>
      </c>
      <c r="BS181" s="47">
        <v>0.51300000000000001</v>
      </c>
      <c r="BT181" s="47">
        <v>0.56899999999999995</v>
      </c>
      <c r="BU181" s="47">
        <v>0.625</v>
      </c>
      <c r="BV181" s="47">
        <v>0.70799999999999996</v>
      </c>
      <c r="BW181" s="47">
        <v>0.72199999999999998</v>
      </c>
      <c r="BX181" s="47">
        <v>0.77700000000000002</v>
      </c>
      <c r="BY181" s="47">
        <v>0.79100000000000004</v>
      </c>
      <c r="BZ181" s="47">
        <v>0.73599999999999999</v>
      </c>
      <c r="CA181" s="47">
        <v>0.5</v>
      </c>
      <c r="CB181" s="47">
        <v>0.5</v>
      </c>
      <c r="CC181" s="47">
        <v>0.5</v>
      </c>
      <c r="CD181" s="47">
        <v>0.5</v>
      </c>
      <c r="CE181" s="47">
        <v>0.5</v>
      </c>
      <c r="CF181" s="47">
        <v>0.5</v>
      </c>
      <c r="CG181" s="47">
        <v>0.5</v>
      </c>
      <c r="CH181" s="47">
        <v>0.5</v>
      </c>
      <c r="CI181" s="47">
        <v>0.5</v>
      </c>
      <c r="CJ181" s="47">
        <v>0.5</v>
      </c>
      <c r="CK181" s="47">
        <v>0.5</v>
      </c>
      <c r="CL181" s="47">
        <v>0.5</v>
      </c>
      <c r="CM181" s="47">
        <v>0.5</v>
      </c>
      <c r="CN181" s="47">
        <v>0.5</v>
      </c>
      <c r="CO181" s="47">
        <v>0.5</v>
      </c>
      <c r="CP181" s="47">
        <v>0.5</v>
      </c>
      <c r="CQ181" s="47">
        <v>0.5</v>
      </c>
      <c r="CR181" s="47">
        <v>0.5</v>
      </c>
      <c r="CS181" s="47">
        <v>0.5</v>
      </c>
      <c r="CT181" s="47">
        <v>0.5</v>
      </c>
      <c r="CU181" s="47">
        <v>0.5</v>
      </c>
      <c r="CV181" s="47">
        <v>0.5</v>
      </c>
      <c r="CW181" s="47">
        <v>0.5</v>
      </c>
      <c r="CX181" s="47">
        <v>0.5</v>
      </c>
      <c r="CY181" s="47">
        <v>0.5</v>
      </c>
      <c r="CZ181" s="47">
        <v>0.5</v>
      </c>
    </row>
    <row r="182" spans="1:104" x14ac:dyDescent="0.2">
      <c r="A182" s="50" t="s">
        <v>40</v>
      </c>
      <c r="B182" s="46">
        <f t="shared" si="32"/>
        <v>-78.600000000000009</v>
      </c>
      <c r="C182" s="46">
        <f t="shared" si="33"/>
        <v>-6.1</v>
      </c>
      <c r="D182" s="48">
        <f t="shared" si="34"/>
        <v>27.019472407960667</v>
      </c>
      <c r="E182" s="46"/>
      <c r="F182" s="47">
        <v>0.02</v>
      </c>
      <c r="G182" s="47">
        <v>0.03</v>
      </c>
      <c r="H182" s="47">
        <v>6.0999999999999992E-2</v>
      </c>
      <c r="I182" s="47">
        <v>8.1000000000000003E-2</v>
      </c>
      <c r="J182" s="47">
        <v>9.0999999999999998E-2</v>
      </c>
      <c r="K182" s="47">
        <v>0.14199999999999999</v>
      </c>
      <c r="L182" s="47">
        <v>0.153</v>
      </c>
      <c r="M182" s="47">
        <v>0.13200000000000001</v>
      </c>
      <c r="N182" s="47">
        <v>0.112</v>
      </c>
      <c r="O182" s="47">
        <v>0.12199999999999998</v>
      </c>
      <c r="P182" s="47">
        <v>0.16300000000000001</v>
      </c>
      <c r="Q182" s="47">
        <v>0.17299999999999999</v>
      </c>
      <c r="R182" s="47">
        <v>0.26500000000000001</v>
      </c>
      <c r="S182" s="47">
        <v>0.51</v>
      </c>
      <c r="T182" s="47">
        <v>0.85699999999999998</v>
      </c>
      <c r="U182" s="47">
        <v>0.93799999999999994</v>
      </c>
      <c r="V182" s="47">
        <v>0.90800000000000003</v>
      </c>
      <c r="W182" s="47">
        <v>0.80600000000000005</v>
      </c>
      <c r="X182" s="47">
        <v>0.72399999999999998</v>
      </c>
      <c r="Y182" s="47">
        <v>0.74399999999999999</v>
      </c>
      <c r="Z182" s="47">
        <v>0.89700000000000002</v>
      </c>
      <c r="AA182" s="47">
        <v>0.96899999999999997</v>
      </c>
      <c r="AB182" s="47">
        <v>0.98899999999999988</v>
      </c>
      <c r="AC182" s="47">
        <v>1</v>
      </c>
      <c r="AD182" s="47">
        <v>0.97899999999999987</v>
      </c>
      <c r="AE182" s="47">
        <v>0.95899999999999996</v>
      </c>
      <c r="AF182" s="47">
        <v>0.69299999999999995</v>
      </c>
      <c r="AG182" s="47">
        <v>0.65300000000000002</v>
      </c>
      <c r="AH182" s="47">
        <v>0.70399999999999996</v>
      </c>
      <c r="AI182" s="47">
        <v>0.77500000000000002</v>
      </c>
      <c r="AJ182" s="47">
        <v>0.78500000000000003</v>
      </c>
      <c r="AK182" s="47">
        <v>0.84599999999999997</v>
      </c>
      <c r="AL182" s="47">
        <v>0.877</v>
      </c>
      <c r="AM182" s="47">
        <v>0.88700000000000001</v>
      </c>
      <c r="AN182" s="47">
        <v>0.83599999999999997</v>
      </c>
      <c r="AO182" s="47">
        <v>0.82599999999999996</v>
      </c>
      <c r="AP182" s="47">
        <v>0.86699999999999999</v>
      </c>
      <c r="AQ182" s="47">
        <v>0.81599999999999995</v>
      </c>
      <c r="AR182" s="47">
        <v>0.68300000000000005</v>
      </c>
      <c r="AS182" s="47">
        <v>0.46899999999999997</v>
      </c>
      <c r="AT182" s="47">
        <v>0.30599999999999999</v>
      </c>
      <c r="AU182" s="47">
        <v>0.20399999999999999</v>
      </c>
      <c r="AV182" s="47">
        <v>0.193</v>
      </c>
      <c r="AW182" s="47">
        <v>0.23400000000000001</v>
      </c>
      <c r="AX182" s="47">
        <v>0.35699999999999998</v>
      </c>
      <c r="AY182" s="47">
        <v>0.38700000000000001</v>
      </c>
      <c r="AZ182" s="47">
        <v>0.36699999999999999</v>
      </c>
      <c r="BA182" s="47">
        <v>0.316</v>
      </c>
      <c r="BB182" s="47">
        <v>0.34599999999999997</v>
      </c>
      <c r="BC182" s="47">
        <v>0.41799999999999998</v>
      </c>
      <c r="BD182" s="47">
        <v>0.56100000000000005</v>
      </c>
      <c r="BE182" s="47">
        <v>0.67300000000000004</v>
      </c>
      <c r="BF182" s="47">
        <v>0.73399999999999999</v>
      </c>
      <c r="BG182" s="47">
        <v>0.79500000000000004</v>
      </c>
      <c r="BH182" s="47">
        <v>0.64200000000000002</v>
      </c>
      <c r="BI182" s="47">
        <v>0.5</v>
      </c>
      <c r="BJ182" s="47">
        <v>0.24399999999999997</v>
      </c>
      <c r="BK182" s="47">
        <v>0.214</v>
      </c>
      <c r="BL182" s="47">
        <v>0.224</v>
      </c>
      <c r="BM182" s="47">
        <v>0.27500000000000002</v>
      </c>
      <c r="BN182" s="47">
        <v>0.33600000000000002</v>
      </c>
      <c r="BO182" s="47">
        <v>0.28499999999999998</v>
      </c>
      <c r="BP182" s="47">
        <v>0.255</v>
      </c>
      <c r="BQ182" s="47">
        <v>0.29499999999999998</v>
      </c>
      <c r="BR182" s="47">
        <v>0.39700000000000002</v>
      </c>
      <c r="BS182" s="47">
        <v>0.48899999999999999</v>
      </c>
      <c r="BT182" s="47">
        <v>0.59099999999999997</v>
      </c>
      <c r="BU182" s="47">
        <v>0.755</v>
      </c>
      <c r="BV182" s="47">
        <v>0.92800000000000005</v>
      </c>
      <c r="BW182" s="47">
        <v>0.94799999999999995</v>
      </c>
      <c r="BX182" s="47">
        <v>0.91800000000000004</v>
      </c>
      <c r="BY182" s="47">
        <v>0.76500000000000001</v>
      </c>
      <c r="BZ182" s="47">
        <v>0.61199999999999999</v>
      </c>
      <c r="CA182" s="47">
        <v>0.60199999999999998</v>
      </c>
      <c r="CB182" s="47">
        <v>0.53</v>
      </c>
      <c r="CC182" s="47">
        <v>0.47899999999999998</v>
      </c>
      <c r="CD182" s="47">
        <v>0.44800000000000001</v>
      </c>
      <c r="CE182" s="47">
        <v>0.54</v>
      </c>
      <c r="CF182" s="47">
        <v>0.55100000000000005</v>
      </c>
      <c r="CG182" s="47">
        <v>0.438</v>
      </c>
      <c r="CH182" s="47">
        <v>0.40799999999999997</v>
      </c>
      <c r="CI182" s="47">
        <v>0.42799999999999999</v>
      </c>
      <c r="CJ182" s="47">
        <v>0.52</v>
      </c>
      <c r="CK182" s="47">
        <v>0.57099999999999995</v>
      </c>
      <c r="CL182" s="47">
        <v>0.622</v>
      </c>
      <c r="CM182" s="47">
        <v>0.63200000000000001</v>
      </c>
      <c r="CN182" s="47">
        <v>0.71399999999999997</v>
      </c>
      <c r="CO182" s="47">
        <v>0.66300000000000003</v>
      </c>
      <c r="CP182" s="47">
        <v>0.58099999999999996</v>
      </c>
      <c r="CQ182" s="47">
        <v>0.45900000000000002</v>
      </c>
      <c r="CR182" s="47">
        <v>0.377</v>
      </c>
      <c r="CS182" s="47">
        <v>0.32600000000000001</v>
      </c>
      <c r="CT182" s="47">
        <v>0.183</v>
      </c>
      <c r="CU182" s="47">
        <v>0.10199999999999999</v>
      </c>
      <c r="CV182" s="47">
        <v>7.0999999999999994E-2</v>
      </c>
      <c r="CW182" s="47">
        <v>5.0999999999999997E-2</v>
      </c>
      <c r="CX182" s="47">
        <v>0.04</v>
      </c>
      <c r="CY182" s="47">
        <v>0.01</v>
      </c>
      <c r="CZ182" s="47">
        <v>0</v>
      </c>
    </row>
    <row r="183" spans="1:104" x14ac:dyDescent="0.2">
      <c r="A183" s="50" t="s">
        <v>43</v>
      </c>
      <c r="B183" s="46">
        <f t="shared" si="32"/>
        <v>-47.900000000000006</v>
      </c>
      <c r="C183" s="46">
        <f t="shared" si="33"/>
        <v>-3.0000000000000004</v>
      </c>
      <c r="D183" s="48">
        <f t="shared" si="34"/>
        <v>26.708800047924296</v>
      </c>
      <c r="E183" s="46"/>
      <c r="F183" s="47">
        <v>1.0000000000000002E-2</v>
      </c>
      <c r="G183" s="47">
        <v>0</v>
      </c>
      <c r="H183" s="47">
        <v>2.0000000000000004E-2</v>
      </c>
      <c r="I183" s="47">
        <v>4.0000000000000008E-2</v>
      </c>
      <c r="J183" s="47">
        <v>7.0999999999999994E-2</v>
      </c>
      <c r="K183" s="47">
        <v>0.122</v>
      </c>
      <c r="L183" s="47">
        <v>0.17299999999999999</v>
      </c>
      <c r="M183" s="47">
        <v>0.16300000000000001</v>
      </c>
      <c r="N183" s="47">
        <v>0.13200000000000001</v>
      </c>
      <c r="O183" s="47">
        <v>0.14199999999999999</v>
      </c>
      <c r="P183" s="47">
        <v>9.1000000000000011E-2</v>
      </c>
      <c r="Q183" s="47">
        <v>5.1000000000000004E-2</v>
      </c>
      <c r="R183" s="47">
        <v>0.03</v>
      </c>
      <c r="S183" s="47">
        <v>6.0999999999999999E-2</v>
      </c>
      <c r="T183" s="47">
        <v>0.10200000000000001</v>
      </c>
      <c r="U183" s="47">
        <v>0.183</v>
      </c>
      <c r="V183" s="47">
        <v>0.29499999999999998</v>
      </c>
      <c r="W183" s="47">
        <v>0.48900000000000005</v>
      </c>
      <c r="X183" s="47">
        <v>0.63200000000000001</v>
      </c>
      <c r="Y183" s="47">
        <v>0.69299999999999995</v>
      </c>
      <c r="Z183" s="47">
        <v>0.78500000000000003</v>
      </c>
      <c r="AA183" s="47">
        <v>0.84599999999999997</v>
      </c>
      <c r="AB183" s="47">
        <v>0.83599999999999997</v>
      </c>
      <c r="AC183" s="47">
        <v>0.81600000000000006</v>
      </c>
      <c r="AD183" s="47">
        <v>0.89700000000000002</v>
      </c>
      <c r="AE183" s="47">
        <v>0.95899999999999996</v>
      </c>
      <c r="AF183" s="47">
        <v>1</v>
      </c>
      <c r="AG183" s="47">
        <v>0.98899999999999999</v>
      </c>
      <c r="AH183" s="47">
        <v>0.96899999999999997</v>
      </c>
      <c r="AI183" s="47">
        <v>0.93799999999999994</v>
      </c>
      <c r="AJ183" s="47">
        <v>0.91800000000000004</v>
      </c>
      <c r="AK183" s="47">
        <v>0.90800000000000003</v>
      </c>
      <c r="AL183" s="47">
        <v>0.86699999999999999</v>
      </c>
      <c r="AM183" s="47">
        <v>0.877</v>
      </c>
      <c r="AN183" s="47">
        <v>0.92800000000000005</v>
      </c>
      <c r="AO183" s="47">
        <v>0.97899999999999998</v>
      </c>
      <c r="AP183" s="47">
        <v>0.94800000000000006</v>
      </c>
      <c r="AQ183" s="47">
        <v>0.85699999999999998</v>
      </c>
      <c r="AR183" s="47">
        <v>0.79500000000000004</v>
      </c>
      <c r="AS183" s="47">
        <v>0.76500000000000001</v>
      </c>
      <c r="AT183" s="47">
        <v>0.72399999999999998</v>
      </c>
      <c r="AU183" s="47">
        <v>0.65300000000000002</v>
      </c>
      <c r="AV183" s="47">
        <v>0.60199999999999998</v>
      </c>
      <c r="AW183" s="47">
        <v>0.54</v>
      </c>
      <c r="AX183" s="47">
        <v>0.39700000000000002</v>
      </c>
      <c r="AY183" s="47">
        <v>0.255</v>
      </c>
      <c r="AZ183" s="47">
        <v>0.30599999999999999</v>
      </c>
      <c r="BA183" s="47">
        <v>0.40800000000000003</v>
      </c>
      <c r="BB183" s="47">
        <v>0.377</v>
      </c>
      <c r="BC183" s="47">
        <v>0.32600000000000001</v>
      </c>
      <c r="BD183" s="47">
        <v>0.316</v>
      </c>
      <c r="BE183" s="47">
        <v>0.28499999999999998</v>
      </c>
      <c r="BF183" s="47">
        <v>0.35699999999999998</v>
      </c>
      <c r="BG183" s="47">
        <v>0.41799999999999998</v>
      </c>
      <c r="BH183" s="47">
        <v>0.46899999999999997</v>
      </c>
      <c r="BI183" s="47">
        <v>0.45900000000000002</v>
      </c>
      <c r="BJ183" s="47">
        <v>0.5</v>
      </c>
      <c r="BK183" s="47">
        <v>0.42799999999999999</v>
      </c>
      <c r="BL183" s="47">
        <v>0.26500000000000001</v>
      </c>
      <c r="BM183" s="47">
        <v>0.19299999999999998</v>
      </c>
      <c r="BN183" s="47">
        <v>0.20400000000000001</v>
      </c>
      <c r="BO183" s="47">
        <v>0.27500000000000002</v>
      </c>
      <c r="BP183" s="47">
        <v>0.44800000000000001</v>
      </c>
      <c r="BQ183" s="47">
        <v>0.38700000000000001</v>
      </c>
      <c r="BR183" s="47">
        <v>0.224</v>
      </c>
      <c r="BS183" s="47">
        <v>0.112</v>
      </c>
      <c r="BT183" s="47">
        <v>8.1000000000000003E-2</v>
      </c>
      <c r="BU183" s="47">
        <v>0.153</v>
      </c>
      <c r="BV183" s="47">
        <v>0.34599999999999997</v>
      </c>
      <c r="BW183" s="47">
        <v>0.59099999999999997</v>
      </c>
      <c r="BX183" s="47">
        <v>0.66300000000000003</v>
      </c>
      <c r="BY183" s="47">
        <v>0.68300000000000005</v>
      </c>
      <c r="BZ183" s="47">
        <v>0.71399999999999997</v>
      </c>
      <c r="CA183" s="47">
        <v>0.73399999999999999</v>
      </c>
      <c r="CB183" s="47">
        <v>0.70399999999999996</v>
      </c>
      <c r="CC183" s="47">
        <v>0.74399999999999999</v>
      </c>
      <c r="CD183" s="47">
        <v>0.77500000000000002</v>
      </c>
      <c r="CE183" s="47">
        <v>0.82599999999999996</v>
      </c>
      <c r="CF183" s="47">
        <v>0.88700000000000001</v>
      </c>
      <c r="CG183" s="47">
        <v>0.80600000000000005</v>
      </c>
      <c r="CH183" s="47">
        <v>0.755</v>
      </c>
      <c r="CI183" s="47">
        <v>0.67300000000000004</v>
      </c>
      <c r="CJ183" s="47">
        <v>0.64200000000000002</v>
      </c>
      <c r="CK183" s="47">
        <v>0.61199999999999999</v>
      </c>
      <c r="CL183" s="47">
        <v>0.58100000000000007</v>
      </c>
      <c r="CM183" s="47">
        <v>0.55100000000000005</v>
      </c>
      <c r="CN183" s="47">
        <v>0.52</v>
      </c>
      <c r="CO183" s="47">
        <v>0.47899999999999998</v>
      </c>
      <c r="CP183" s="47">
        <v>0.438</v>
      </c>
      <c r="CQ183" s="47">
        <v>0.53</v>
      </c>
      <c r="CR183" s="47">
        <v>0.57099999999999995</v>
      </c>
      <c r="CS183" s="47">
        <v>0.622</v>
      </c>
      <c r="CT183" s="47">
        <v>0.56100000000000005</v>
      </c>
      <c r="CU183" s="47">
        <v>0.51</v>
      </c>
      <c r="CV183" s="47">
        <v>0.36699999999999999</v>
      </c>
      <c r="CW183" s="47">
        <v>0.24399999999999999</v>
      </c>
      <c r="CX183" s="47">
        <v>0.214</v>
      </c>
      <c r="CY183" s="47">
        <v>0.23400000000000001</v>
      </c>
      <c r="CZ183" s="47">
        <v>0.33600000000000002</v>
      </c>
    </row>
    <row r="184" spans="1:104" x14ac:dyDescent="0.2">
      <c r="A184" s="50" t="s">
        <v>46</v>
      </c>
      <c r="B184" s="46">
        <f t="shared" si="32"/>
        <v>-16.849999999999994</v>
      </c>
      <c r="C184" s="46">
        <f t="shared" si="33"/>
        <v>-32.65</v>
      </c>
      <c r="D184" s="48">
        <f t="shared" si="34"/>
        <v>25.852531042665433</v>
      </c>
      <c r="E184" s="46"/>
      <c r="F184" s="47">
        <v>0.224</v>
      </c>
      <c r="G184" s="47">
        <v>0.27500000000000002</v>
      </c>
      <c r="H184" s="47">
        <v>0.48399999999999999</v>
      </c>
      <c r="I184" s="47">
        <v>0.55049999999999999</v>
      </c>
      <c r="J184" s="47">
        <v>0.63200000000000012</v>
      </c>
      <c r="K184" s="47">
        <v>0.6885</v>
      </c>
      <c r="L184" s="47">
        <v>0.72399999999999998</v>
      </c>
      <c r="M184" s="47">
        <v>0.58599999999999997</v>
      </c>
      <c r="N184" s="47">
        <v>0.38200000000000001</v>
      </c>
      <c r="O184" s="47">
        <v>0.32100000000000001</v>
      </c>
      <c r="P184" s="47">
        <v>0.4840000000000001</v>
      </c>
      <c r="Q184" s="47">
        <v>0.69850000000000001</v>
      </c>
      <c r="R184" s="47">
        <v>0.79049999999999998</v>
      </c>
      <c r="S184" s="47">
        <v>0.80600000000000005</v>
      </c>
      <c r="T184" s="47">
        <v>0.71899999999999997</v>
      </c>
      <c r="U184" s="47">
        <v>0.56099999999999994</v>
      </c>
      <c r="V184" s="47">
        <v>0.39250000000000007</v>
      </c>
      <c r="W184" s="47">
        <v>0.39249999999999996</v>
      </c>
      <c r="X184" s="47">
        <v>0.55049999999999999</v>
      </c>
      <c r="Y184" s="47">
        <v>0.73950000000000005</v>
      </c>
      <c r="Z184" s="47">
        <v>0.82600000000000007</v>
      </c>
      <c r="AA184" s="47">
        <v>0.8869999999999999</v>
      </c>
      <c r="AB184" s="47">
        <v>0.88200000000000001</v>
      </c>
      <c r="AC184" s="47">
        <v>0.85149999999999992</v>
      </c>
      <c r="AD184" s="47">
        <v>0.84650000000000003</v>
      </c>
      <c r="AE184" s="47">
        <v>0.80049999999999999</v>
      </c>
      <c r="AF184" s="47">
        <v>0.87699999999999989</v>
      </c>
      <c r="AG184" s="47">
        <v>0.95850000000000002</v>
      </c>
      <c r="AH184" s="47">
        <v>1</v>
      </c>
      <c r="AI184" s="47">
        <v>0.97899999999999987</v>
      </c>
      <c r="AJ184" s="47">
        <v>0.90249999999999997</v>
      </c>
      <c r="AK184" s="47">
        <v>0.82099999999999995</v>
      </c>
      <c r="AL184" s="47">
        <v>0.74950000000000006</v>
      </c>
      <c r="AM184" s="47">
        <v>0.67800000000000005</v>
      </c>
      <c r="AN184" s="47">
        <v>0.61199999999999999</v>
      </c>
      <c r="AO184" s="47">
        <v>0.5605</v>
      </c>
      <c r="AP184" s="47">
        <v>0.48399999999999999</v>
      </c>
      <c r="AQ184" s="47">
        <v>0.33099999999999996</v>
      </c>
      <c r="AR184" s="47">
        <v>0.17800000000000002</v>
      </c>
      <c r="AS184" s="47">
        <v>0.17800000000000002</v>
      </c>
      <c r="AT184" s="47">
        <v>0.35149999999999998</v>
      </c>
      <c r="AU184" s="47">
        <v>0.53050000000000008</v>
      </c>
      <c r="AV184" s="47">
        <v>0.57599999999999996</v>
      </c>
      <c r="AW184" s="47">
        <v>0.30049999999999999</v>
      </c>
      <c r="AX184" s="47">
        <v>7.5999999999999998E-2</v>
      </c>
      <c r="AY184" s="47">
        <v>0</v>
      </c>
      <c r="AZ184" s="47">
        <v>0.01</v>
      </c>
      <c r="BA184" s="47">
        <v>7.6000000000000012E-2</v>
      </c>
      <c r="BB184" s="47">
        <v>0.122</v>
      </c>
      <c r="BC184" s="47">
        <v>0.1275</v>
      </c>
      <c r="BD184" s="47">
        <v>0.107</v>
      </c>
      <c r="BE184" s="47">
        <v>0.127</v>
      </c>
      <c r="BF184" s="47">
        <v>0.18300000000000002</v>
      </c>
      <c r="BG184" s="47">
        <v>0.316</v>
      </c>
      <c r="BH184" s="47">
        <v>0.36700000000000005</v>
      </c>
      <c r="BI184" s="47">
        <v>0.33100000000000002</v>
      </c>
      <c r="BJ184" s="47">
        <v>0.31600000000000006</v>
      </c>
      <c r="BK184" s="47">
        <v>0.31100000000000005</v>
      </c>
      <c r="BL184" s="47">
        <v>0.34149999999999997</v>
      </c>
      <c r="BM184" s="47">
        <v>0.41749999999999998</v>
      </c>
      <c r="BN184" s="47">
        <v>0.49950000000000006</v>
      </c>
      <c r="BO184" s="47">
        <v>0.57599999999999996</v>
      </c>
      <c r="BP184" s="47">
        <v>0.60650000000000004</v>
      </c>
      <c r="BQ184" s="47">
        <v>0.57650000000000001</v>
      </c>
      <c r="BR184" s="47">
        <v>0.40249999999999997</v>
      </c>
      <c r="BS184" s="47">
        <v>0.30049999999999999</v>
      </c>
      <c r="BT184" s="47">
        <v>0.32600000000000001</v>
      </c>
      <c r="BU184" s="47">
        <v>0.46349999999999997</v>
      </c>
      <c r="BV184" s="47">
        <v>0.6170000000000001</v>
      </c>
      <c r="BW184" s="47">
        <v>0.66299999999999992</v>
      </c>
      <c r="BX184" s="47">
        <v>0.69850000000000001</v>
      </c>
      <c r="BY184" s="47">
        <v>0.57599999999999996</v>
      </c>
      <c r="BZ184" s="47">
        <v>0.40250000000000008</v>
      </c>
      <c r="CA184" s="47">
        <v>0.2545</v>
      </c>
      <c r="CB184" s="47">
        <v>0.36149999999999999</v>
      </c>
      <c r="CC184" s="47">
        <v>0.65749999999999997</v>
      </c>
      <c r="CD184" s="47">
        <v>0.81550000000000011</v>
      </c>
      <c r="CE184" s="47">
        <v>0.87700000000000011</v>
      </c>
      <c r="CF184" s="47">
        <v>0.77499999999999991</v>
      </c>
      <c r="CG184" s="47">
        <v>0.64250000000000007</v>
      </c>
      <c r="CH184" s="47">
        <v>0.49949999999999994</v>
      </c>
      <c r="CI184" s="47">
        <v>0.49949999999999994</v>
      </c>
      <c r="CJ184" s="47">
        <v>0.46900000000000003</v>
      </c>
      <c r="CK184" s="47">
        <v>0.48950000000000005</v>
      </c>
      <c r="CL184" s="47">
        <v>0.64250000000000007</v>
      </c>
      <c r="CM184" s="47">
        <v>0.77</v>
      </c>
      <c r="CN184" s="47">
        <v>0.83099999999999996</v>
      </c>
      <c r="CO184" s="47">
        <v>0.70850000000000002</v>
      </c>
      <c r="CP184" s="47">
        <v>0.53</v>
      </c>
      <c r="CQ184" s="47">
        <v>0.38699999999999996</v>
      </c>
      <c r="CR184" s="47">
        <v>0.30049999999999999</v>
      </c>
      <c r="CS184" s="47">
        <v>0.19850000000000001</v>
      </c>
      <c r="CT184" s="47">
        <v>0.14199999999999999</v>
      </c>
      <c r="CU184" s="47">
        <v>0.13200000000000001</v>
      </c>
      <c r="CV184" s="47">
        <v>0.17850000000000002</v>
      </c>
      <c r="CW184" s="47">
        <v>0.30549999999999999</v>
      </c>
      <c r="CX184" s="47">
        <v>0.36200000000000004</v>
      </c>
      <c r="CY184" s="47">
        <v>0.3155</v>
      </c>
      <c r="CZ184" s="47">
        <v>0.20900000000000002</v>
      </c>
    </row>
    <row r="185" spans="1:104" x14ac:dyDescent="0.2">
      <c r="A185" s="50" t="s">
        <v>49</v>
      </c>
      <c r="B185" s="46">
        <f t="shared" si="32"/>
        <v>18.350000000000001</v>
      </c>
      <c r="C185" s="46">
        <f t="shared" si="33"/>
        <v>-2.0000000000000018</v>
      </c>
      <c r="D185" s="48">
        <f t="shared" si="34"/>
        <v>24.640306916683194</v>
      </c>
      <c r="E185" s="46"/>
      <c r="F185" s="47">
        <v>0.19350000000000001</v>
      </c>
      <c r="G185" s="47">
        <v>0.17299999999999999</v>
      </c>
      <c r="H185" s="47">
        <v>0.19300000000000003</v>
      </c>
      <c r="I185" s="47">
        <v>0.21350000000000002</v>
      </c>
      <c r="J185" s="47">
        <v>0.3155</v>
      </c>
      <c r="K185" s="47">
        <v>0.34650000000000003</v>
      </c>
      <c r="L185" s="47">
        <v>0.3105</v>
      </c>
      <c r="M185" s="47">
        <v>0.26000000000000006</v>
      </c>
      <c r="N185" s="47">
        <v>0.20900000000000002</v>
      </c>
      <c r="O185" s="47">
        <v>0.16300000000000001</v>
      </c>
      <c r="P185" s="47">
        <v>9.1500000000000012E-2</v>
      </c>
      <c r="Q185" s="47">
        <v>7.5999999999999998E-2</v>
      </c>
      <c r="R185" s="47">
        <v>0.10149999999999999</v>
      </c>
      <c r="S185" s="47">
        <v>9.1500000000000012E-2</v>
      </c>
      <c r="T185" s="47">
        <v>6.5499999999999989E-2</v>
      </c>
      <c r="U185" s="47">
        <v>4.0499999999999994E-2</v>
      </c>
      <c r="V185" s="47">
        <v>1.4999999999999999E-2</v>
      </c>
      <c r="W185" s="47">
        <v>0.01</v>
      </c>
      <c r="X185" s="47">
        <v>0.02</v>
      </c>
      <c r="Y185" s="47">
        <v>3.5499999999999997E-2</v>
      </c>
      <c r="Z185" s="47">
        <v>9.6499999999999989E-2</v>
      </c>
      <c r="AA185" s="47">
        <v>0.14749999999999999</v>
      </c>
      <c r="AB185" s="47">
        <v>0.28500000000000003</v>
      </c>
      <c r="AC185" s="47">
        <v>0.443</v>
      </c>
      <c r="AD185" s="47">
        <v>0.4995</v>
      </c>
      <c r="AE185" s="47">
        <v>0.48449999999999999</v>
      </c>
      <c r="AF185" s="47">
        <v>0.48400000000000004</v>
      </c>
      <c r="AG185" s="47">
        <v>0.45350000000000007</v>
      </c>
      <c r="AH185" s="47">
        <v>0.45349999999999996</v>
      </c>
      <c r="AI185" s="47">
        <v>0.50450000000000006</v>
      </c>
      <c r="AJ185" s="47">
        <v>0.52500000000000002</v>
      </c>
      <c r="AK185" s="47">
        <v>0.56100000000000005</v>
      </c>
      <c r="AL185" s="47">
        <v>0.59649999999999992</v>
      </c>
      <c r="AM185" s="47">
        <v>0.63750000000000007</v>
      </c>
      <c r="AN185" s="47">
        <v>0.73449999999999993</v>
      </c>
      <c r="AO185" s="47">
        <v>0.69350000000000001</v>
      </c>
      <c r="AP185" s="47">
        <v>0.75450000000000006</v>
      </c>
      <c r="AQ185" s="47">
        <v>0.67799999999999994</v>
      </c>
      <c r="AR185" s="47">
        <v>0.71400000000000008</v>
      </c>
      <c r="AS185" s="47">
        <v>0.66299999999999992</v>
      </c>
      <c r="AT185" s="47">
        <v>0.75500000000000012</v>
      </c>
      <c r="AU185" s="47">
        <v>0.74949999999999994</v>
      </c>
      <c r="AV185" s="47">
        <v>0.65250000000000008</v>
      </c>
      <c r="AW185" s="47">
        <v>0.622</v>
      </c>
      <c r="AX185" s="47">
        <v>0.53999999999999992</v>
      </c>
      <c r="AY185" s="47">
        <v>0.433</v>
      </c>
      <c r="AZ185" s="47">
        <v>0.27500000000000002</v>
      </c>
      <c r="BA185" s="47">
        <v>0.224</v>
      </c>
      <c r="BB185" s="47">
        <v>0.23899999999999999</v>
      </c>
      <c r="BC185" s="47">
        <v>0.38750000000000001</v>
      </c>
      <c r="BD185" s="47">
        <v>0.72400000000000009</v>
      </c>
      <c r="BE185" s="47">
        <v>0.80049999999999999</v>
      </c>
      <c r="BF185" s="47">
        <v>0.78</v>
      </c>
      <c r="BG185" s="47">
        <v>0.68799999999999994</v>
      </c>
      <c r="BH185" s="47">
        <v>0.52</v>
      </c>
      <c r="BI185" s="47">
        <v>0.48400000000000004</v>
      </c>
      <c r="BJ185" s="47">
        <v>0.55549999999999999</v>
      </c>
      <c r="BK185" s="47">
        <v>0.67299999999999993</v>
      </c>
      <c r="BL185" s="47">
        <v>0.66749999999999998</v>
      </c>
      <c r="BM185" s="47">
        <v>0.61699999999999999</v>
      </c>
      <c r="BN185" s="47">
        <v>0.53549999999999998</v>
      </c>
      <c r="BO185" s="47">
        <v>0.58650000000000002</v>
      </c>
      <c r="BP185" s="47">
        <v>0.64250000000000007</v>
      </c>
      <c r="BQ185" s="47">
        <v>0.64749999999999996</v>
      </c>
      <c r="BR185" s="47">
        <v>0.57100000000000006</v>
      </c>
      <c r="BS185" s="47">
        <v>0.47900000000000004</v>
      </c>
      <c r="BT185" s="47">
        <v>0.43350000000000005</v>
      </c>
      <c r="BU185" s="47">
        <v>0.54049999999999998</v>
      </c>
      <c r="BV185" s="47">
        <v>0.70350000000000001</v>
      </c>
      <c r="BW185" s="47">
        <v>0.75950000000000006</v>
      </c>
      <c r="BX185" s="47">
        <v>0.78</v>
      </c>
      <c r="BY185" s="47">
        <v>0.71899999999999997</v>
      </c>
      <c r="BZ185" s="47">
        <v>0.6369999999999999</v>
      </c>
      <c r="CA185" s="47">
        <v>0.59099999999999997</v>
      </c>
      <c r="CB185" s="47">
        <v>0.57100000000000006</v>
      </c>
      <c r="CC185" s="47">
        <v>0.36200000000000004</v>
      </c>
      <c r="CD185" s="47">
        <v>0.29049999999999998</v>
      </c>
      <c r="CE185" s="47">
        <v>0.40299999999999997</v>
      </c>
      <c r="CF185" s="47">
        <v>0.8005000000000001</v>
      </c>
      <c r="CG185" s="47">
        <v>0.90249999999999997</v>
      </c>
      <c r="CH185" s="47">
        <v>0.88700000000000001</v>
      </c>
      <c r="CI185" s="47">
        <v>0.76500000000000001</v>
      </c>
      <c r="CJ185" s="47">
        <v>0.64250000000000007</v>
      </c>
      <c r="CK185" s="47">
        <v>0.70350000000000001</v>
      </c>
      <c r="CL185" s="47">
        <v>0.79050000000000009</v>
      </c>
      <c r="CM185" s="47">
        <v>0.86199999999999999</v>
      </c>
      <c r="CN185" s="47">
        <v>0.88749999999999996</v>
      </c>
      <c r="CO185" s="47">
        <v>0.93299999999999994</v>
      </c>
      <c r="CP185" s="47">
        <v>0.96899999999999997</v>
      </c>
      <c r="CQ185" s="47">
        <v>0.96849999999999992</v>
      </c>
      <c r="CR185" s="47">
        <v>0.89749999999999996</v>
      </c>
      <c r="CS185" s="47">
        <v>0.74399999999999999</v>
      </c>
      <c r="CT185" s="47">
        <v>0.55549999999999999</v>
      </c>
      <c r="CU185" s="47">
        <v>0.40799999999999997</v>
      </c>
      <c r="CV185" s="47">
        <v>0.33600000000000002</v>
      </c>
      <c r="CW185" s="47">
        <v>0.36200000000000004</v>
      </c>
      <c r="CX185" s="47">
        <v>0.39749999999999996</v>
      </c>
      <c r="CY185" s="47">
        <v>0.37700000000000006</v>
      </c>
      <c r="CZ185" s="47">
        <v>0.28999999999999992</v>
      </c>
    </row>
    <row r="186" spans="1:104" x14ac:dyDescent="0.2">
      <c r="A186" s="50" t="s">
        <v>52</v>
      </c>
      <c r="B186" s="46">
        <f t="shared" si="32"/>
        <v>-35.699999999999996</v>
      </c>
      <c r="C186" s="46">
        <f t="shared" si="33"/>
        <v>-15.299999999999997</v>
      </c>
      <c r="D186" s="48">
        <f t="shared" si="34"/>
        <v>30.560054322534864</v>
      </c>
      <c r="E186" s="46"/>
      <c r="F186" s="47">
        <v>0.36700000000000005</v>
      </c>
      <c r="G186" s="47">
        <v>0.35699999999999998</v>
      </c>
      <c r="H186" s="47">
        <v>0.44800000000000001</v>
      </c>
      <c r="I186" s="47">
        <v>0.52</v>
      </c>
      <c r="J186" s="47">
        <v>0.55100000000000005</v>
      </c>
      <c r="K186" s="47">
        <v>0.58099999999999996</v>
      </c>
      <c r="L186" s="47">
        <v>0.622</v>
      </c>
      <c r="M186" s="47">
        <v>0.64200000000000002</v>
      </c>
      <c r="N186" s="47">
        <v>0.33600000000000002</v>
      </c>
      <c r="O186" s="47">
        <v>0.28499999999999998</v>
      </c>
      <c r="P186" s="47">
        <v>0.30599999999999999</v>
      </c>
      <c r="Q186" s="47">
        <v>0.438</v>
      </c>
      <c r="R186" s="47">
        <v>0.47899999999999998</v>
      </c>
      <c r="S186" s="47">
        <v>0.41799999999999998</v>
      </c>
      <c r="T186" s="47">
        <v>0.51</v>
      </c>
      <c r="U186" s="47">
        <v>0.54</v>
      </c>
      <c r="V186" s="47">
        <v>0.59099999999999997</v>
      </c>
      <c r="W186" s="47">
        <v>0.72399999999999998</v>
      </c>
      <c r="X186" s="47">
        <v>0.79500000000000004</v>
      </c>
      <c r="Y186" s="47">
        <v>0.81599999999999995</v>
      </c>
      <c r="Z186" s="47">
        <v>0.85699999999999998</v>
      </c>
      <c r="AA186" s="47">
        <v>0.877</v>
      </c>
      <c r="AB186" s="47">
        <v>0.86699999999999999</v>
      </c>
      <c r="AC186" s="47">
        <v>0.82599999999999996</v>
      </c>
      <c r="AD186" s="47">
        <v>0.83599999999999997</v>
      </c>
      <c r="AE186" s="47">
        <v>0.88700000000000001</v>
      </c>
      <c r="AF186" s="47">
        <v>0.89700000000000002</v>
      </c>
      <c r="AG186" s="47">
        <v>0.90800000000000003</v>
      </c>
      <c r="AH186" s="47">
        <v>0.94799999999999995</v>
      </c>
      <c r="AI186" s="47">
        <v>0.98899999999999999</v>
      </c>
      <c r="AJ186" s="47">
        <v>0.96899999999999997</v>
      </c>
      <c r="AK186" s="47">
        <v>0.92800000000000005</v>
      </c>
      <c r="AL186" s="47">
        <v>0.91800000000000004</v>
      </c>
      <c r="AM186" s="47">
        <v>0.93799999999999994</v>
      </c>
      <c r="AN186" s="47">
        <v>0.97899999999999998</v>
      </c>
      <c r="AO186" s="47">
        <v>1</v>
      </c>
      <c r="AP186" s="47">
        <v>0.95899999999999996</v>
      </c>
      <c r="AQ186" s="47">
        <v>0.84599999999999997</v>
      </c>
      <c r="AR186" s="47">
        <v>0.316</v>
      </c>
      <c r="AS186" s="47">
        <v>0.10199999999999999</v>
      </c>
      <c r="AT186" s="47">
        <v>6.0999999999999999E-2</v>
      </c>
      <c r="AU186" s="47">
        <v>0.02</v>
      </c>
      <c r="AV186" s="47">
        <v>0.01</v>
      </c>
      <c r="AW186" s="47">
        <v>0</v>
      </c>
      <c r="AX186" s="47">
        <v>5.0999999999999997E-2</v>
      </c>
      <c r="AY186" s="47">
        <v>8.1000000000000003E-2</v>
      </c>
      <c r="AZ186" s="47">
        <v>7.0999999999999994E-2</v>
      </c>
      <c r="BA186" s="47">
        <v>0.03</v>
      </c>
      <c r="BB186" s="47">
        <v>0.04</v>
      </c>
      <c r="BC186" s="47">
        <v>9.0999999999999998E-2</v>
      </c>
      <c r="BD186" s="47">
        <v>0.26500000000000001</v>
      </c>
      <c r="BE186" s="47">
        <v>0.60199999999999998</v>
      </c>
      <c r="BF186" s="47">
        <v>0.53</v>
      </c>
      <c r="BG186" s="47">
        <v>0.34599999999999997</v>
      </c>
      <c r="BH186" s="47">
        <v>0.193</v>
      </c>
      <c r="BI186" s="47">
        <v>0.29499999999999998</v>
      </c>
      <c r="BJ186" s="47">
        <v>0.27500000000000002</v>
      </c>
      <c r="BK186" s="47">
        <v>0.20399999999999999</v>
      </c>
      <c r="BL186" s="47">
        <v>0.14199999999999999</v>
      </c>
      <c r="BM186" s="47">
        <v>0.153</v>
      </c>
      <c r="BN186" s="47">
        <v>0.214</v>
      </c>
      <c r="BO186" s="47">
        <v>0.224</v>
      </c>
      <c r="BP186" s="47">
        <v>0.23400000000000001</v>
      </c>
      <c r="BQ186" s="47">
        <v>0.17299999999999999</v>
      </c>
      <c r="BR186" s="47">
        <v>0.255</v>
      </c>
      <c r="BS186" s="47">
        <v>0.57099999999999995</v>
      </c>
      <c r="BT186" s="47">
        <v>0.78500000000000003</v>
      </c>
      <c r="BU186" s="47">
        <v>0.80600000000000005</v>
      </c>
      <c r="BV186" s="47">
        <v>0.77500000000000002</v>
      </c>
      <c r="BW186" s="47">
        <v>0.76500000000000001</v>
      </c>
      <c r="BX186" s="47">
        <v>0.755</v>
      </c>
      <c r="BY186" s="47">
        <v>0.7340000000000001</v>
      </c>
      <c r="BZ186" s="47">
        <v>0.69299999999999995</v>
      </c>
      <c r="CA186" s="47">
        <v>0.74399999999999999</v>
      </c>
      <c r="CB186" s="47">
        <v>0.66300000000000003</v>
      </c>
      <c r="CC186" s="47">
        <v>0.70399999999999996</v>
      </c>
      <c r="CD186" s="47">
        <v>0.68300000000000005</v>
      </c>
      <c r="CE186" s="47">
        <v>0.61199999999999999</v>
      </c>
      <c r="CF186" s="47">
        <v>0.48899999999999999</v>
      </c>
      <c r="CG186" s="47">
        <v>0.377</v>
      </c>
      <c r="CH186" s="47">
        <v>0.38700000000000001</v>
      </c>
      <c r="CI186" s="47">
        <v>0.40799999999999997</v>
      </c>
      <c r="CJ186" s="47">
        <v>0.39700000000000002</v>
      </c>
      <c r="CK186" s="47">
        <v>0.46899999999999997</v>
      </c>
      <c r="CL186" s="47">
        <v>0.63200000000000001</v>
      </c>
      <c r="CM186" s="47">
        <v>0.65300000000000002</v>
      </c>
      <c r="CN186" s="47">
        <v>0.71399999999999997</v>
      </c>
      <c r="CO186" s="47">
        <v>0.67300000000000004</v>
      </c>
      <c r="CP186" s="47">
        <v>0.56100000000000005</v>
      </c>
      <c r="CQ186" s="47">
        <v>0.45900000000000002</v>
      </c>
      <c r="CR186" s="47">
        <v>0.42799999999999999</v>
      </c>
      <c r="CS186" s="47">
        <v>0.5</v>
      </c>
      <c r="CT186" s="47">
        <v>0.32600000000000001</v>
      </c>
      <c r="CU186" s="47">
        <v>0.183</v>
      </c>
      <c r="CV186" s="47">
        <v>0.122</v>
      </c>
      <c r="CW186" s="47">
        <v>0.13200000000000001</v>
      </c>
      <c r="CX186" s="47">
        <v>0.112</v>
      </c>
      <c r="CY186" s="47">
        <v>0.16300000000000001</v>
      </c>
      <c r="CZ186" s="47">
        <v>0.24399999999999999</v>
      </c>
    </row>
    <row r="187" spans="1:104" x14ac:dyDescent="0.2">
      <c r="A187" s="50" t="s">
        <v>55</v>
      </c>
      <c r="B187" s="46">
        <f t="shared" si="32"/>
        <v>-6.15</v>
      </c>
      <c r="C187" s="46">
        <f t="shared" si="33"/>
        <v>1.0000000000000009</v>
      </c>
      <c r="D187" s="48">
        <f t="shared" si="34"/>
        <v>28.284085470387371</v>
      </c>
      <c r="E187" s="46"/>
      <c r="F187" s="47">
        <v>0.3155</v>
      </c>
      <c r="G187" s="47">
        <v>0.27499999999999997</v>
      </c>
      <c r="H187" s="47">
        <v>0.29549999999999998</v>
      </c>
      <c r="I187" s="47">
        <v>0.30549999999999999</v>
      </c>
      <c r="J187" s="47">
        <v>0.33600000000000002</v>
      </c>
      <c r="K187" s="47">
        <v>0.34650000000000003</v>
      </c>
      <c r="L187" s="47">
        <v>0.438</v>
      </c>
      <c r="M187" s="47">
        <v>0.44850000000000001</v>
      </c>
      <c r="N187" s="47">
        <v>0.372</v>
      </c>
      <c r="O187" s="47">
        <v>0.17799999999999999</v>
      </c>
      <c r="P187" s="47">
        <v>0.12199999999999998</v>
      </c>
      <c r="Q187" s="47">
        <v>0.158</v>
      </c>
      <c r="R187" s="47">
        <v>0.34099999999999997</v>
      </c>
      <c r="S187" s="47">
        <v>0.438</v>
      </c>
      <c r="T187" s="47">
        <v>0.505</v>
      </c>
      <c r="U187" s="47">
        <v>0.54049999999999998</v>
      </c>
      <c r="V187" s="47">
        <v>0.47399999999999998</v>
      </c>
      <c r="W187" s="47">
        <v>0.377</v>
      </c>
      <c r="X187" s="47">
        <v>0.29549999999999998</v>
      </c>
      <c r="Y187" s="47">
        <v>0.29549999999999998</v>
      </c>
      <c r="Z187" s="47">
        <v>0.41250000000000003</v>
      </c>
      <c r="AA187" s="47">
        <v>0.53549999999999998</v>
      </c>
      <c r="AB187" s="47">
        <v>0.6984999999999999</v>
      </c>
      <c r="AC187" s="47">
        <v>0.78</v>
      </c>
      <c r="AD187" s="47">
        <v>0.80049999999999999</v>
      </c>
      <c r="AE187" s="47">
        <v>0.77499999999999991</v>
      </c>
      <c r="AF187" s="47">
        <v>0.755</v>
      </c>
      <c r="AG187" s="47">
        <v>0.79549999999999998</v>
      </c>
      <c r="AH187" s="47">
        <v>0.85649999999999993</v>
      </c>
      <c r="AI187" s="47">
        <v>0.93349999999999989</v>
      </c>
      <c r="AJ187" s="47">
        <v>0.96899999999999986</v>
      </c>
      <c r="AK187" s="47">
        <v>0.9840000000000001</v>
      </c>
      <c r="AL187" s="47">
        <v>0.96400000000000008</v>
      </c>
      <c r="AM187" s="47">
        <v>0.9840000000000001</v>
      </c>
      <c r="AN187" s="47">
        <v>0.9534999999999999</v>
      </c>
      <c r="AO187" s="47">
        <v>0.91749999999999998</v>
      </c>
      <c r="AP187" s="47">
        <v>0.83100000000000007</v>
      </c>
      <c r="AQ187" s="47">
        <v>0.73449999999999993</v>
      </c>
      <c r="AR187" s="47">
        <v>0.63200000000000001</v>
      </c>
      <c r="AS187" s="47">
        <v>0.59149999999999991</v>
      </c>
      <c r="AT187" s="47">
        <v>0.5655</v>
      </c>
      <c r="AU187" s="47">
        <v>0.46400000000000002</v>
      </c>
      <c r="AV187" s="47">
        <v>0.35149999999999998</v>
      </c>
      <c r="AW187" s="47">
        <v>0.27</v>
      </c>
      <c r="AX187" s="47">
        <v>0.219</v>
      </c>
      <c r="AY187" s="47">
        <v>0.14249999999999999</v>
      </c>
      <c r="AZ187" s="47">
        <v>0.10150000000000001</v>
      </c>
      <c r="BA187" s="47">
        <v>8.0999999999999989E-2</v>
      </c>
      <c r="BB187" s="47">
        <v>0.14249999999999999</v>
      </c>
      <c r="BC187" s="47">
        <v>0.22399999999999995</v>
      </c>
      <c r="BD187" s="47">
        <v>0.33099999999999996</v>
      </c>
      <c r="BE187" s="47">
        <v>0.30049999999999999</v>
      </c>
      <c r="BF187" s="47">
        <v>0.17799999999999999</v>
      </c>
      <c r="BG187" s="47">
        <v>0.10199999999999999</v>
      </c>
      <c r="BH187" s="47">
        <v>0.10199999999999999</v>
      </c>
      <c r="BI187" s="47">
        <v>0.158</v>
      </c>
      <c r="BJ187" s="47">
        <v>0.19849999999999998</v>
      </c>
      <c r="BK187" s="47">
        <v>0.24400000000000002</v>
      </c>
      <c r="BL187" s="47">
        <v>0.27499999999999997</v>
      </c>
      <c r="BM187" s="47">
        <v>0.33600000000000002</v>
      </c>
      <c r="BN187" s="47">
        <v>0.34650000000000003</v>
      </c>
      <c r="BO187" s="47">
        <v>0.34149999999999997</v>
      </c>
      <c r="BP187" s="47">
        <v>0.27499999999999997</v>
      </c>
      <c r="BQ187" s="47">
        <v>0.30049999999999999</v>
      </c>
      <c r="BR187" s="47">
        <v>0.438</v>
      </c>
      <c r="BS187" s="47">
        <v>0.60150000000000003</v>
      </c>
      <c r="BT187" s="47">
        <v>0.72399999999999998</v>
      </c>
      <c r="BU187" s="47">
        <v>0.74950000000000006</v>
      </c>
      <c r="BV187" s="47">
        <v>0.7599999999999999</v>
      </c>
      <c r="BW187" s="47">
        <v>0.77499999999999991</v>
      </c>
      <c r="BX187" s="47">
        <v>0.77500000000000002</v>
      </c>
      <c r="BY187" s="47">
        <v>0.71349999999999991</v>
      </c>
      <c r="BZ187" s="47">
        <v>0.64249999999999996</v>
      </c>
      <c r="CA187" s="47">
        <v>0.60149999999999992</v>
      </c>
      <c r="CB187" s="47">
        <v>0.58150000000000002</v>
      </c>
      <c r="CC187" s="47">
        <v>0.63249999999999995</v>
      </c>
      <c r="CD187" s="47">
        <v>0.66799999999999993</v>
      </c>
      <c r="CE187" s="47">
        <v>0.80049999999999999</v>
      </c>
      <c r="CF187" s="47">
        <v>0.85149999999999992</v>
      </c>
      <c r="CG187" s="47">
        <v>0.877</v>
      </c>
      <c r="CH187" s="47">
        <v>0.85650000000000015</v>
      </c>
      <c r="CI187" s="47">
        <v>0.80549999999999999</v>
      </c>
      <c r="CJ187" s="47">
        <v>0.77500000000000002</v>
      </c>
      <c r="CK187" s="47">
        <v>0.74950000000000006</v>
      </c>
      <c r="CL187" s="47">
        <v>0.78500000000000003</v>
      </c>
      <c r="CM187" s="47">
        <v>0.86199999999999999</v>
      </c>
      <c r="CN187" s="47">
        <v>0.9385</v>
      </c>
      <c r="CO187" s="47">
        <v>0.83099999999999985</v>
      </c>
      <c r="CP187" s="47">
        <v>0.73399999999999999</v>
      </c>
      <c r="CQ187" s="47">
        <v>0.55049999999999999</v>
      </c>
      <c r="CR187" s="47">
        <v>0.40750000000000003</v>
      </c>
      <c r="CS187" s="47">
        <v>0.23900000000000002</v>
      </c>
      <c r="CT187" s="47">
        <v>0.14749999999999999</v>
      </c>
      <c r="CU187" s="47">
        <v>9.1499999999999984E-2</v>
      </c>
      <c r="CV187" s="47">
        <v>7.5999999999999998E-2</v>
      </c>
      <c r="CW187" s="47">
        <v>0.11199999999999997</v>
      </c>
      <c r="CX187" s="47">
        <v>0.13249999999999998</v>
      </c>
      <c r="CY187" s="47">
        <v>0.16300000000000001</v>
      </c>
      <c r="CZ187" s="47">
        <v>0.19350000000000001</v>
      </c>
    </row>
    <row r="188" spans="1:104" x14ac:dyDescent="0.2">
      <c r="A188" s="50" t="s">
        <v>58</v>
      </c>
      <c r="B188" s="46">
        <f t="shared" si="32"/>
        <v>46.449999999999996</v>
      </c>
      <c r="C188" s="46">
        <f t="shared" si="33"/>
        <v>5.6499999999999941</v>
      </c>
      <c r="D188" s="48">
        <f t="shared" si="34"/>
        <v>27.664967996052802</v>
      </c>
      <c r="E188" s="46"/>
      <c r="F188" s="47">
        <v>0.55599999999999994</v>
      </c>
      <c r="G188" s="47">
        <v>0.50950000000000006</v>
      </c>
      <c r="H188" s="47">
        <v>0.48899999999999999</v>
      </c>
      <c r="I188" s="47">
        <v>0.4995</v>
      </c>
      <c r="J188" s="47">
        <v>0.55049999999999999</v>
      </c>
      <c r="K188" s="47">
        <v>0.57599999999999996</v>
      </c>
      <c r="L188" s="47">
        <v>0.4995</v>
      </c>
      <c r="M188" s="47">
        <v>0.39250000000000002</v>
      </c>
      <c r="N188" s="47">
        <v>0.214</v>
      </c>
      <c r="O188" s="47">
        <v>0.19350000000000001</v>
      </c>
      <c r="P188" s="47">
        <v>0.193</v>
      </c>
      <c r="Q188" s="47">
        <v>0.17799999999999999</v>
      </c>
      <c r="R188" s="47">
        <v>0.14249999999999999</v>
      </c>
      <c r="S188" s="47">
        <v>0.11649999999999999</v>
      </c>
      <c r="T188" s="47">
        <v>8.5999999999999993E-2</v>
      </c>
      <c r="U188" s="47">
        <v>7.5999999999999998E-2</v>
      </c>
      <c r="V188" s="47">
        <v>7.6499999999999999E-2</v>
      </c>
      <c r="W188" s="47">
        <v>9.1499999999999984E-2</v>
      </c>
      <c r="X188" s="47">
        <v>0.1525</v>
      </c>
      <c r="Y188" s="47">
        <v>0.32650000000000001</v>
      </c>
      <c r="Z188" s="47">
        <v>0.47899999999999998</v>
      </c>
      <c r="AA188" s="47">
        <v>0.64700000000000002</v>
      </c>
      <c r="AB188" s="47">
        <v>0.6885</v>
      </c>
      <c r="AC188" s="47">
        <v>0.73950000000000005</v>
      </c>
      <c r="AD188" s="47">
        <v>0.78049999999999997</v>
      </c>
      <c r="AE188" s="47">
        <v>0.82099999999999995</v>
      </c>
      <c r="AF188" s="47">
        <v>0.82599999999999996</v>
      </c>
      <c r="AG188" s="47">
        <v>0.84099999999999997</v>
      </c>
      <c r="AH188" s="47">
        <v>0.90249999999999997</v>
      </c>
      <c r="AI188" s="47">
        <v>0.92800000000000005</v>
      </c>
      <c r="AJ188" s="47">
        <v>0.91749999999999998</v>
      </c>
      <c r="AK188" s="47">
        <v>0.90249999999999997</v>
      </c>
      <c r="AL188" s="47">
        <v>0.9484999999999999</v>
      </c>
      <c r="AM188" s="47">
        <v>0.96849999999999992</v>
      </c>
      <c r="AN188" s="47">
        <v>0.95400000000000007</v>
      </c>
      <c r="AO188" s="47">
        <v>0.87200000000000011</v>
      </c>
      <c r="AP188" s="47">
        <v>0.81599999999999995</v>
      </c>
      <c r="AQ188" s="47">
        <v>0.67300000000000004</v>
      </c>
      <c r="AR188" s="47">
        <v>0.60699999999999987</v>
      </c>
      <c r="AS188" s="47">
        <v>0.48899999999999999</v>
      </c>
      <c r="AT188" s="47">
        <v>0.372</v>
      </c>
      <c r="AU188" s="47">
        <v>0.18350000000000002</v>
      </c>
      <c r="AV188" s="47">
        <v>0.10649999999999998</v>
      </c>
      <c r="AW188" s="47">
        <v>8.5999999999999993E-2</v>
      </c>
      <c r="AX188" s="47">
        <v>6.6000000000000003E-2</v>
      </c>
      <c r="AY188" s="47">
        <v>7.1000000000000008E-2</v>
      </c>
      <c r="AZ188" s="47">
        <v>9.6500000000000002E-2</v>
      </c>
      <c r="BA188" s="47">
        <v>0.14249999999999999</v>
      </c>
      <c r="BB188" s="47">
        <v>0.20849999999999999</v>
      </c>
      <c r="BC188" s="47">
        <v>0.28549999999999998</v>
      </c>
      <c r="BD188" s="47">
        <v>0.33100000000000002</v>
      </c>
      <c r="BE188" s="47">
        <v>0.30549999999999999</v>
      </c>
      <c r="BF188" s="47">
        <v>0.30049999999999999</v>
      </c>
      <c r="BG188" s="47">
        <v>0.31099999999999994</v>
      </c>
      <c r="BH188" s="47">
        <v>0.33600000000000002</v>
      </c>
      <c r="BI188" s="47">
        <v>0.32099999999999995</v>
      </c>
      <c r="BJ188" s="47">
        <v>0.38700000000000001</v>
      </c>
      <c r="BK188" s="47">
        <v>0.4385</v>
      </c>
      <c r="BL188" s="47">
        <v>0.49449999999999994</v>
      </c>
      <c r="BM188" s="47">
        <v>0.49449999999999994</v>
      </c>
      <c r="BN188" s="47">
        <v>0.49399999999999999</v>
      </c>
      <c r="BO188" s="47">
        <v>0.47400000000000003</v>
      </c>
      <c r="BP188" s="47">
        <v>0.45350000000000001</v>
      </c>
      <c r="BQ188" s="47">
        <v>0.48949999999999999</v>
      </c>
      <c r="BR188" s="47">
        <v>0.53049999999999997</v>
      </c>
      <c r="BS188" s="47">
        <v>0.55049999999999999</v>
      </c>
      <c r="BT188" s="47">
        <v>0.57599999999999996</v>
      </c>
      <c r="BU188" s="47">
        <v>0.59149999999999991</v>
      </c>
      <c r="BV188" s="47">
        <v>0.59149999999999991</v>
      </c>
      <c r="BW188" s="47">
        <v>0.55049999999999999</v>
      </c>
      <c r="BX188" s="47">
        <v>0.52</v>
      </c>
      <c r="BY188" s="47">
        <v>0.55549999999999999</v>
      </c>
      <c r="BZ188" s="47">
        <v>0.63700000000000001</v>
      </c>
      <c r="CA188" s="47">
        <v>0.65249999999999997</v>
      </c>
      <c r="CB188" s="47">
        <v>0.66299999999999992</v>
      </c>
      <c r="CC188" s="47">
        <v>0.69299999999999995</v>
      </c>
      <c r="CD188" s="47">
        <v>0.74399999999999999</v>
      </c>
      <c r="CE188" s="47">
        <v>0.77999999999999992</v>
      </c>
      <c r="CF188" s="47">
        <v>0.76500000000000001</v>
      </c>
      <c r="CG188" s="47">
        <v>0.76500000000000001</v>
      </c>
      <c r="CH188" s="47">
        <v>0.80049999999999999</v>
      </c>
      <c r="CI188" s="47">
        <v>0.84149999999999991</v>
      </c>
      <c r="CJ188" s="47">
        <v>0.88750000000000007</v>
      </c>
      <c r="CK188" s="47">
        <v>0.91799999999999993</v>
      </c>
      <c r="CL188" s="47">
        <v>0.89749999999999996</v>
      </c>
      <c r="CM188" s="47">
        <v>0.80049999999999999</v>
      </c>
      <c r="CN188" s="47">
        <v>0.74950000000000006</v>
      </c>
      <c r="CO188" s="47">
        <v>0.70850000000000002</v>
      </c>
      <c r="CP188" s="47">
        <v>0.63200000000000001</v>
      </c>
      <c r="CQ188" s="47">
        <v>0.5605</v>
      </c>
      <c r="CR188" s="47">
        <v>0.50449999999999995</v>
      </c>
      <c r="CS188" s="47">
        <v>0.45349999999999996</v>
      </c>
      <c r="CT188" s="47">
        <v>0.41299999999999998</v>
      </c>
      <c r="CU188" s="47">
        <v>0.33150000000000002</v>
      </c>
      <c r="CV188" s="47">
        <v>0.23400000000000001</v>
      </c>
      <c r="CW188" s="47">
        <v>0.14749999999999999</v>
      </c>
      <c r="CX188" s="47">
        <v>0.16300000000000001</v>
      </c>
      <c r="CY188" s="47">
        <v>0.16300000000000001</v>
      </c>
      <c r="CZ188" s="47">
        <v>9.1499999999999998E-2</v>
      </c>
    </row>
    <row r="189" spans="1:104" x14ac:dyDescent="0.2">
      <c r="A189" s="50" t="s">
        <v>61</v>
      </c>
      <c r="B189" s="46">
        <f t="shared" si="32"/>
        <v>23.599999999999998</v>
      </c>
      <c r="C189" s="46">
        <f t="shared" si="33"/>
        <v>-13.700000000000001</v>
      </c>
      <c r="D189" s="48">
        <f t="shared" si="34"/>
        <v>20.427263118499166</v>
      </c>
      <c r="E189" s="46"/>
      <c r="F189" s="47">
        <v>0.29399999999999998</v>
      </c>
      <c r="G189" s="47">
        <v>0.35199999999999998</v>
      </c>
      <c r="H189" s="47">
        <v>0.47</v>
      </c>
      <c r="I189" s="47">
        <v>0.43099999999999999</v>
      </c>
      <c r="J189" s="47">
        <v>0.372</v>
      </c>
      <c r="K189" s="47">
        <v>0.23499999999999999</v>
      </c>
      <c r="L189" s="47">
        <v>0.27400000000000002</v>
      </c>
      <c r="M189" s="47">
        <v>0.254</v>
      </c>
      <c r="N189" s="47">
        <v>0.215</v>
      </c>
      <c r="O189" s="47">
        <v>9.8000000000000004E-2</v>
      </c>
      <c r="P189" s="47">
        <v>0</v>
      </c>
      <c r="Q189" s="47">
        <v>3.9E-2</v>
      </c>
      <c r="R189" s="47">
        <v>0.11700000000000001</v>
      </c>
      <c r="S189" s="47">
        <v>0.13700000000000001</v>
      </c>
      <c r="T189" s="47">
        <v>0.156</v>
      </c>
      <c r="U189" s="47">
        <v>0.17599999999999999</v>
      </c>
      <c r="V189" s="47">
        <v>1.9E-2</v>
      </c>
      <c r="W189" s="47">
        <v>5.8000000000000003E-2</v>
      </c>
      <c r="X189" s="47">
        <v>7.8E-2</v>
      </c>
      <c r="Y189" s="47">
        <v>0.19600000000000001</v>
      </c>
      <c r="Z189" s="47">
        <v>0.45</v>
      </c>
      <c r="AA189" s="47">
        <v>0.66600000000000004</v>
      </c>
      <c r="AB189" s="47">
        <v>0.86199999999999999</v>
      </c>
      <c r="AC189" s="47">
        <v>0.82299999999999995</v>
      </c>
      <c r="AD189" s="47">
        <v>0.627</v>
      </c>
      <c r="AE189" s="47">
        <v>0.68600000000000005</v>
      </c>
      <c r="AF189" s="47">
        <v>0.70499999999999996</v>
      </c>
      <c r="AG189" s="47">
        <v>0.76400000000000001</v>
      </c>
      <c r="AH189" s="47">
        <v>0.94099999999999995</v>
      </c>
      <c r="AI189" s="47">
        <v>1</v>
      </c>
      <c r="AJ189" s="47">
        <v>0.98</v>
      </c>
      <c r="AK189" s="47">
        <v>0.88200000000000001</v>
      </c>
      <c r="AL189" s="47">
        <v>0.49</v>
      </c>
      <c r="AM189" s="47">
        <v>0.33300000000000002</v>
      </c>
      <c r="AN189" s="47">
        <v>0.52900000000000003</v>
      </c>
      <c r="AO189" s="47">
        <v>0.92100000000000004</v>
      </c>
      <c r="AP189" s="47">
        <v>0.96</v>
      </c>
      <c r="AQ189" s="47">
        <v>0.90100000000000002</v>
      </c>
      <c r="AR189" s="47">
        <v>0.56799999999999995</v>
      </c>
      <c r="AS189" s="47">
        <v>0.39200000000000002</v>
      </c>
      <c r="AT189" s="47">
        <v>0.50900000000000001</v>
      </c>
      <c r="AU189" s="47">
        <v>0.54900000000000004</v>
      </c>
      <c r="AV189" s="47">
        <v>0.64700000000000002</v>
      </c>
      <c r="AW189" s="47">
        <v>0.60699999999999998</v>
      </c>
      <c r="AX189" s="47">
        <v>0.745</v>
      </c>
      <c r="AY189" s="47">
        <v>0.78400000000000003</v>
      </c>
      <c r="AZ189" s="47">
        <v>0.72499999999999998</v>
      </c>
      <c r="BA189" s="47">
        <v>0.41099999999999998</v>
      </c>
      <c r="BB189" s="47">
        <v>0.313</v>
      </c>
      <c r="BC189" s="47">
        <v>0.58799999999999997</v>
      </c>
      <c r="BD189" s="47">
        <v>0.80300000000000005</v>
      </c>
      <c r="BE189" s="47">
        <v>0.84299999999999997</v>
      </c>
      <c r="BF189" s="47">
        <v>0.5</v>
      </c>
      <c r="BG189" s="47">
        <v>0.5</v>
      </c>
      <c r="BH189" s="47">
        <v>0.5</v>
      </c>
      <c r="BI189" s="47">
        <v>0.5</v>
      </c>
      <c r="BJ189" s="47">
        <v>0.5</v>
      </c>
      <c r="BK189" s="47">
        <v>0.5</v>
      </c>
      <c r="BL189" s="47">
        <v>0.5</v>
      </c>
      <c r="BM189" s="47">
        <v>0.5</v>
      </c>
      <c r="BN189" s="47">
        <v>0.5</v>
      </c>
      <c r="BO189" s="47">
        <v>0.5</v>
      </c>
      <c r="BP189" s="47">
        <v>0.5</v>
      </c>
      <c r="BQ189" s="47">
        <v>0.5</v>
      </c>
      <c r="BR189" s="47">
        <v>0.5</v>
      </c>
      <c r="BS189" s="47">
        <v>0.5</v>
      </c>
      <c r="BT189" s="47">
        <v>0.5</v>
      </c>
      <c r="BU189" s="47">
        <v>0.5</v>
      </c>
      <c r="BV189" s="47">
        <v>0.5</v>
      </c>
      <c r="BW189" s="47">
        <v>0.5</v>
      </c>
      <c r="BX189" s="47">
        <v>0.5</v>
      </c>
      <c r="BY189" s="47">
        <v>0.5</v>
      </c>
      <c r="BZ189" s="47">
        <v>0.5</v>
      </c>
      <c r="CA189" s="47">
        <v>0.5</v>
      </c>
      <c r="CB189" s="47">
        <v>0.5</v>
      </c>
      <c r="CC189" s="47">
        <v>0.5</v>
      </c>
      <c r="CD189" s="47">
        <v>0.5</v>
      </c>
      <c r="CE189" s="47">
        <v>0.5</v>
      </c>
      <c r="CF189" s="47">
        <v>0.5</v>
      </c>
      <c r="CG189" s="47">
        <v>0.5</v>
      </c>
      <c r="CH189" s="47">
        <v>0.5</v>
      </c>
      <c r="CI189" s="47">
        <v>0.5</v>
      </c>
      <c r="CJ189" s="47">
        <v>0.5</v>
      </c>
      <c r="CK189" s="47">
        <v>0.5</v>
      </c>
      <c r="CL189" s="47">
        <v>0.5</v>
      </c>
      <c r="CM189" s="47">
        <v>0.5</v>
      </c>
      <c r="CN189" s="47">
        <v>0.5</v>
      </c>
      <c r="CO189" s="47">
        <v>0.5</v>
      </c>
      <c r="CP189" s="47">
        <v>0.5</v>
      </c>
      <c r="CQ189" s="47">
        <v>0.5</v>
      </c>
      <c r="CR189" s="47">
        <v>0.5</v>
      </c>
      <c r="CS189" s="47">
        <v>0.5</v>
      </c>
      <c r="CT189" s="47">
        <v>0.5</v>
      </c>
      <c r="CU189" s="47">
        <v>0.5</v>
      </c>
      <c r="CV189" s="47">
        <v>0.5</v>
      </c>
      <c r="CW189" s="47">
        <v>0.5</v>
      </c>
      <c r="CX189" s="47">
        <v>0.5</v>
      </c>
      <c r="CY189" s="47">
        <v>0.5</v>
      </c>
      <c r="CZ189" s="47">
        <v>0.5</v>
      </c>
    </row>
    <row r="190" spans="1:104" x14ac:dyDescent="0.2">
      <c r="A190" s="50" t="s">
        <v>64</v>
      </c>
      <c r="B190" s="46">
        <f t="shared" si="32"/>
        <v>-25.5</v>
      </c>
      <c r="C190" s="46">
        <f t="shared" si="33"/>
        <v>-3.0000000000000027</v>
      </c>
      <c r="D190" s="48">
        <f t="shared" si="34"/>
        <v>30.520758732127089</v>
      </c>
      <c r="E190" s="46"/>
      <c r="F190" s="47">
        <v>0.5</v>
      </c>
      <c r="G190" s="47">
        <v>0.45900000000000007</v>
      </c>
      <c r="H190" s="47">
        <v>0.55100000000000005</v>
      </c>
      <c r="I190" s="47">
        <v>0.53</v>
      </c>
      <c r="J190" s="47">
        <v>0.438</v>
      </c>
      <c r="K190" s="47">
        <v>0.39700000000000002</v>
      </c>
      <c r="L190" s="47">
        <v>0.42799999999999999</v>
      </c>
      <c r="M190" s="47">
        <v>0.54</v>
      </c>
      <c r="N190" s="47">
        <v>0.30599999999999999</v>
      </c>
      <c r="O190" s="47">
        <v>0.24399999999999999</v>
      </c>
      <c r="P190" s="47">
        <v>0.214</v>
      </c>
      <c r="Q190" s="47">
        <v>0.316</v>
      </c>
      <c r="R190" s="47">
        <v>0.52</v>
      </c>
      <c r="S190" s="47">
        <v>0.65300000000000002</v>
      </c>
      <c r="T190" s="47">
        <v>0.73399999999999999</v>
      </c>
      <c r="U190" s="47">
        <v>0.80600000000000005</v>
      </c>
      <c r="V190" s="47">
        <v>0.76500000000000001</v>
      </c>
      <c r="W190" s="47">
        <v>0.755</v>
      </c>
      <c r="X190" s="47">
        <v>0.79500000000000004</v>
      </c>
      <c r="Y190" s="47">
        <v>0.85699999999999998</v>
      </c>
      <c r="Z190" s="47">
        <v>0.86699999999999999</v>
      </c>
      <c r="AA190" s="47">
        <v>0.84599999999999997</v>
      </c>
      <c r="AB190" s="47">
        <v>0.877</v>
      </c>
      <c r="AC190" s="47">
        <v>0.89700000000000002</v>
      </c>
      <c r="AD190" s="47">
        <v>0.81599999999999995</v>
      </c>
      <c r="AE190" s="47">
        <v>0.82599999999999996</v>
      </c>
      <c r="AF190" s="47">
        <v>0.8869999999999999</v>
      </c>
      <c r="AG190" s="47">
        <v>0.90800000000000003</v>
      </c>
      <c r="AH190" s="47">
        <v>0.97899999999999998</v>
      </c>
      <c r="AI190" s="47">
        <v>0.9890000000000001</v>
      </c>
      <c r="AJ190" s="47">
        <v>1</v>
      </c>
      <c r="AK190" s="47">
        <v>0.95900000000000007</v>
      </c>
      <c r="AL190" s="47">
        <v>0.94799999999999995</v>
      </c>
      <c r="AM190" s="47">
        <v>0.93799999999999994</v>
      </c>
      <c r="AN190" s="47">
        <v>0.92800000000000005</v>
      </c>
      <c r="AO190" s="47">
        <v>0.96899999999999997</v>
      </c>
      <c r="AP190" s="47">
        <v>0.91800000000000015</v>
      </c>
      <c r="AQ190" s="47">
        <v>0.77500000000000002</v>
      </c>
      <c r="AR190" s="47">
        <v>0.23400000000000001</v>
      </c>
      <c r="AS190" s="47">
        <v>8.1000000000000003E-2</v>
      </c>
      <c r="AT190" s="47">
        <v>5.0999999999999997E-2</v>
      </c>
      <c r="AU190" s="47">
        <v>0.02</v>
      </c>
      <c r="AV190" s="47">
        <v>0</v>
      </c>
      <c r="AW190" s="47">
        <v>0.01</v>
      </c>
      <c r="AX190" s="47">
        <v>3.0000000000000002E-2</v>
      </c>
      <c r="AY190" s="47">
        <v>6.0999999999999999E-2</v>
      </c>
      <c r="AZ190" s="47">
        <v>7.0999999999999994E-2</v>
      </c>
      <c r="BA190" s="47">
        <v>0.04</v>
      </c>
      <c r="BB190" s="47">
        <v>9.0999999999999998E-2</v>
      </c>
      <c r="BC190" s="47">
        <v>0.17299999999999999</v>
      </c>
      <c r="BD190" s="47">
        <v>0.57099999999999995</v>
      </c>
      <c r="BE190" s="47">
        <v>0.63200000000000001</v>
      </c>
      <c r="BF190" s="47">
        <v>0.35699999999999998</v>
      </c>
      <c r="BG190" s="47">
        <v>0.26500000000000001</v>
      </c>
      <c r="BH190" s="47">
        <v>0.11200000000000002</v>
      </c>
      <c r="BI190" s="47">
        <v>0.183</v>
      </c>
      <c r="BJ190" s="47">
        <v>0.14199999999999999</v>
      </c>
      <c r="BK190" s="47">
        <v>0.13200000000000001</v>
      </c>
      <c r="BL190" s="47">
        <v>0.16300000000000001</v>
      </c>
      <c r="BM190" s="47">
        <v>0.22400000000000003</v>
      </c>
      <c r="BN190" s="47">
        <v>0.29499999999999998</v>
      </c>
      <c r="BO190" s="47">
        <v>0.28499999999999998</v>
      </c>
      <c r="BP190" s="47">
        <v>0.20399999999999999</v>
      </c>
      <c r="BQ190" s="47">
        <v>0.193</v>
      </c>
      <c r="BR190" s="47">
        <v>0.58099999999999996</v>
      </c>
      <c r="BS190" s="47">
        <v>0.72399999999999998</v>
      </c>
      <c r="BT190" s="47">
        <v>0.83599999999999997</v>
      </c>
      <c r="BU190" s="47">
        <v>0.78500000000000003</v>
      </c>
      <c r="BV190" s="47">
        <v>0.74399999999999999</v>
      </c>
      <c r="BW190" s="47">
        <v>0.71399999999999997</v>
      </c>
      <c r="BX190" s="47">
        <v>0.68300000000000005</v>
      </c>
      <c r="BY190" s="47">
        <v>0.60199999999999998</v>
      </c>
      <c r="BZ190" s="47">
        <v>0.47899999999999993</v>
      </c>
      <c r="CA190" s="47">
        <v>0.33600000000000002</v>
      </c>
      <c r="CB190" s="47">
        <v>0.38700000000000001</v>
      </c>
      <c r="CC190" s="47">
        <v>0.46899999999999997</v>
      </c>
      <c r="CD190" s="47">
        <v>0.51</v>
      </c>
      <c r="CE190" s="47">
        <v>0.44800000000000006</v>
      </c>
      <c r="CF190" s="47">
        <v>0.41799999999999998</v>
      </c>
      <c r="CG190" s="47">
        <v>0.56100000000000005</v>
      </c>
      <c r="CH190" s="47">
        <v>0.59099999999999997</v>
      </c>
      <c r="CI190" s="47">
        <v>0.622</v>
      </c>
      <c r="CJ190" s="47">
        <v>0.61199999999999999</v>
      </c>
      <c r="CK190" s="47">
        <v>0.64200000000000002</v>
      </c>
      <c r="CL190" s="47">
        <v>0.67300000000000004</v>
      </c>
      <c r="CM190" s="47">
        <v>0.70399999999999996</v>
      </c>
      <c r="CN190" s="47">
        <v>0.69299999999999995</v>
      </c>
      <c r="CO190" s="47">
        <v>0.66300000000000003</v>
      </c>
      <c r="CP190" s="47">
        <v>0.48899999999999999</v>
      </c>
      <c r="CQ190" s="47">
        <v>0.377</v>
      </c>
      <c r="CR190" s="47">
        <v>0.40799999999999997</v>
      </c>
      <c r="CS190" s="47">
        <v>0.32600000000000001</v>
      </c>
      <c r="CT190" s="47">
        <v>0.27500000000000002</v>
      </c>
      <c r="CU190" s="47">
        <v>0.122</v>
      </c>
      <c r="CV190" s="47">
        <v>0.10199999999999999</v>
      </c>
      <c r="CW190" s="47">
        <v>0.153</v>
      </c>
      <c r="CX190" s="47">
        <v>0.255</v>
      </c>
      <c r="CY190" s="47">
        <v>0.34599999999999997</v>
      </c>
      <c r="CZ190" s="47">
        <v>0.36699999999999999</v>
      </c>
    </row>
    <row r="191" spans="1:104" x14ac:dyDescent="0.2">
      <c r="A191" s="50" t="s">
        <v>67</v>
      </c>
      <c r="B191" s="46">
        <f t="shared" si="32"/>
        <v>-0.55000000000000049</v>
      </c>
      <c r="C191" s="46">
        <f t="shared" si="33"/>
        <v>2.1499999999999964</v>
      </c>
      <c r="D191" s="48">
        <f t="shared" si="34"/>
        <v>17.875570330943489</v>
      </c>
      <c r="E191" s="46"/>
      <c r="F191" s="47">
        <v>0.42599999999999999</v>
      </c>
      <c r="G191" s="47">
        <v>0.41550000000000004</v>
      </c>
      <c r="H191" s="47">
        <v>0.38400000000000001</v>
      </c>
      <c r="I191" s="47">
        <v>0.40450000000000003</v>
      </c>
      <c r="J191" s="47">
        <v>0.44500000000000001</v>
      </c>
      <c r="K191" s="47">
        <v>0.48099999999999998</v>
      </c>
      <c r="L191" s="47">
        <v>0.48049999999999998</v>
      </c>
      <c r="M191" s="47">
        <v>0.50600000000000001</v>
      </c>
      <c r="N191" s="47">
        <v>0.29599999999999999</v>
      </c>
      <c r="O191" s="47">
        <v>0.14749999999999999</v>
      </c>
      <c r="P191" s="47">
        <v>9.6500000000000002E-2</v>
      </c>
      <c r="Q191" s="47">
        <v>0.107</v>
      </c>
      <c r="R191" s="47">
        <v>0.17800000000000002</v>
      </c>
      <c r="S191" s="47">
        <v>0.2555</v>
      </c>
      <c r="T191" s="47">
        <v>0.373</v>
      </c>
      <c r="U191" s="47">
        <v>0.39949999999999997</v>
      </c>
      <c r="V191" s="47">
        <v>0.41000000000000003</v>
      </c>
      <c r="W191" s="47">
        <v>0.43149999999999999</v>
      </c>
      <c r="X191" s="47">
        <v>0.40600000000000003</v>
      </c>
      <c r="Y191" s="47">
        <v>0.42700000000000005</v>
      </c>
      <c r="Z191" s="47">
        <v>0.38650000000000001</v>
      </c>
      <c r="AA191" s="47">
        <v>0.39600000000000002</v>
      </c>
      <c r="AB191" s="47">
        <v>0.39650000000000002</v>
      </c>
      <c r="AC191" s="47">
        <v>0.46300000000000008</v>
      </c>
      <c r="AD191" s="47">
        <v>0.45300000000000001</v>
      </c>
      <c r="AE191" s="47">
        <v>0.45299999999999996</v>
      </c>
      <c r="AF191" s="47">
        <v>0.43750000000000006</v>
      </c>
      <c r="AG191" s="47">
        <v>0.56000000000000005</v>
      </c>
      <c r="AH191" s="47">
        <v>0.70799999999999996</v>
      </c>
      <c r="AI191" s="47">
        <v>0.74400000000000011</v>
      </c>
      <c r="AJ191" s="47">
        <v>0.72350000000000003</v>
      </c>
      <c r="AK191" s="47">
        <v>0.70850000000000002</v>
      </c>
      <c r="AL191" s="47">
        <v>0.72850000000000004</v>
      </c>
      <c r="AM191" s="47">
        <v>0.67649999999999999</v>
      </c>
      <c r="AN191" s="47">
        <v>0.70750000000000002</v>
      </c>
      <c r="AO191" s="47">
        <v>0.71249999999999991</v>
      </c>
      <c r="AP191" s="47">
        <v>0.75800000000000001</v>
      </c>
      <c r="AQ191" s="47">
        <v>0.64549999999999996</v>
      </c>
      <c r="AR191" s="47">
        <v>0.65100000000000002</v>
      </c>
      <c r="AS191" s="47">
        <v>0.56900000000000006</v>
      </c>
      <c r="AT191" s="47">
        <v>0.56900000000000006</v>
      </c>
      <c r="AU191" s="47">
        <v>0.52799999999999991</v>
      </c>
      <c r="AV191" s="47">
        <v>0.45050000000000001</v>
      </c>
      <c r="AW191" s="47">
        <v>0.43500000000000005</v>
      </c>
      <c r="AX191" s="47">
        <v>0.43499999999999994</v>
      </c>
      <c r="AY191" s="47">
        <v>0.47650000000000003</v>
      </c>
      <c r="AZ191" s="47">
        <v>0.47149999999999997</v>
      </c>
      <c r="BA191" s="47">
        <v>0.36399999999999999</v>
      </c>
      <c r="BB191" s="47">
        <v>0.29199999999999998</v>
      </c>
      <c r="BC191" s="47">
        <v>0.2505</v>
      </c>
      <c r="BD191" s="47">
        <v>0.25050000000000006</v>
      </c>
      <c r="BE191" s="47">
        <v>0.32200000000000001</v>
      </c>
      <c r="BF191" s="47">
        <v>0.40400000000000003</v>
      </c>
      <c r="BG191" s="47">
        <v>0.44450000000000001</v>
      </c>
      <c r="BH191" s="47">
        <v>0.43449999999999994</v>
      </c>
      <c r="BI191" s="47">
        <v>0.40300000000000002</v>
      </c>
      <c r="BJ191" s="47">
        <v>0.41850000000000004</v>
      </c>
      <c r="BK191" s="47">
        <v>0.42349999999999993</v>
      </c>
      <c r="BL191" s="47">
        <v>0.39750000000000002</v>
      </c>
      <c r="BM191" s="47">
        <v>0.39249999999999996</v>
      </c>
      <c r="BN191" s="47">
        <v>0.42350000000000004</v>
      </c>
      <c r="BO191" s="47">
        <v>0.45899999999999991</v>
      </c>
      <c r="BP191" s="47">
        <v>0.46950000000000003</v>
      </c>
      <c r="BQ191" s="47">
        <v>0.47000000000000003</v>
      </c>
      <c r="BR191" s="47">
        <v>0.40350000000000003</v>
      </c>
      <c r="BS191" s="47">
        <v>0.50100000000000011</v>
      </c>
      <c r="BT191" s="47">
        <v>0.49549999999999994</v>
      </c>
      <c r="BU191" s="47">
        <v>0.49500000000000005</v>
      </c>
      <c r="BV191" s="47">
        <v>0.505</v>
      </c>
      <c r="BW191" s="47">
        <v>0.55149999999999999</v>
      </c>
      <c r="BX191" s="47">
        <v>0.62849999999999995</v>
      </c>
      <c r="BY191" s="47">
        <v>0.65949999999999998</v>
      </c>
      <c r="BZ191" s="47">
        <v>0.71599999999999997</v>
      </c>
      <c r="CA191" s="47">
        <v>0.64449999999999996</v>
      </c>
      <c r="CB191" s="47">
        <v>0.629</v>
      </c>
      <c r="CC191" s="47">
        <v>0.63949999999999996</v>
      </c>
      <c r="CD191" s="47">
        <v>0.7370000000000001</v>
      </c>
      <c r="CE191" s="47">
        <v>0.76800000000000002</v>
      </c>
      <c r="CF191" s="47">
        <v>0.81900000000000006</v>
      </c>
      <c r="CG191" s="47">
        <v>0.90200000000000002</v>
      </c>
      <c r="CH191" s="47">
        <v>0.92799999999999994</v>
      </c>
      <c r="CI191" s="47">
        <v>0.94299999999999995</v>
      </c>
      <c r="CJ191" s="47">
        <v>0.94350000000000001</v>
      </c>
      <c r="CK191" s="47">
        <v>0.92299999999999982</v>
      </c>
      <c r="CL191" s="47">
        <v>0.7599999999999999</v>
      </c>
      <c r="CM191" s="47">
        <v>0.61150000000000004</v>
      </c>
      <c r="CN191" s="47">
        <v>0.58099999999999996</v>
      </c>
      <c r="CO191" s="47">
        <v>0.56000000000000005</v>
      </c>
      <c r="CP191" s="47">
        <v>0.52400000000000002</v>
      </c>
      <c r="CQ191" s="47">
        <v>0.49350000000000005</v>
      </c>
      <c r="CR191" s="47">
        <v>0.44699999999999995</v>
      </c>
      <c r="CS191" s="47">
        <v>0.39100000000000001</v>
      </c>
      <c r="CT191" s="47">
        <v>0.38550000000000001</v>
      </c>
      <c r="CU191" s="47">
        <v>0.34449999999999997</v>
      </c>
      <c r="CV191" s="47">
        <v>0.29799999999999999</v>
      </c>
      <c r="CW191" s="47">
        <v>0.31850000000000001</v>
      </c>
      <c r="CX191" s="47">
        <v>0.3135</v>
      </c>
      <c r="CY191" s="47">
        <v>0.33400000000000002</v>
      </c>
      <c r="CZ191" s="47">
        <v>0.29549999999999998</v>
      </c>
    </row>
    <row r="192" spans="1:104" x14ac:dyDescent="0.2">
      <c r="A192" s="50" t="s">
        <v>70</v>
      </c>
      <c r="B192" s="46">
        <f t="shared" si="32"/>
        <v>-30.15</v>
      </c>
      <c r="C192" s="46">
        <f t="shared" si="33"/>
        <v>-9.7500000000000036</v>
      </c>
      <c r="D192" s="48">
        <f t="shared" si="34"/>
        <v>27.962058487815856</v>
      </c>
      <c r="E192" s="46"/>
      <c r="F192" s="47">
        <v>0.38200000000000001</v>
      </c>
      <c r="G192" s="47">
        <v>0.40250000000000002</v>
      </c>
      <c r="H192" s="47">
        <v>0.35650000000000004</v>
      </c>
      <c r="I192" s="47">
        <v>0.47950000000000004</v>
      </c>
      <c r="J192" s="47">
        <v>0.51500000000000001</v>
      </c>
      <c r="K192" s="47">
        <v>0.57100000000000006</v>
      </c>
      <c r="L192" s="47">
        <v>0.48400000000000004</v>
      </c>
      <c r="M192" s="47">
        <v>0.30049999999999999</v>
      </c>
      <c r="N192" s="47">
        <v>0.19850000000000001</v>
      </c>
      <c r="O192" s="47">
        <v>0.20349999999999999</v>
      </c>
      <c r="P192" s="47">
        <v>0.2545</v>
      </c>
      <c r="Q192" s="47">
        <v>0.29050000000000004</v>
      </c>
      <c r="R192" s="47">
        <v>0.30550000000000005</v>
      </c>
      <c r="S192" s="47">
        <v>0.35650000000000004</v>
      </c>
      <c r="T192" s="47">
        <v>0.53550000000000009</v>
      </c>
      <c r="U192" s="47">
        <v>0.61699999999999999</v>
      </c>
      <c r="V192" s="47">
        <v>0.67300000000000004</v>
      </c>
      <c r="W192" s="47">
        <v>0.6835</v>
      </c>
      <c r="X192" s="47">
        <v>0.69350000000000001</v>
      </c>
      <c r="Y192" s="47">
        <v>0.69850000000000001</v>
      </c>
      <c r="Z192" s="47">
        <v>0.69350000000000001</v>
      </c>
      <c r="AA192" s="47">
        <v>0.73899999999999999</v>
      </c>
      <c r="AB192" s="47">
        <v>0.75449999999999995</v>
      </c>
      <c r="AC192" s="47">
        <v>0.80549999999999999</v>
      </c>
      <c r="AD192" s="47">
        <v>0.86199999999999988</v>
      </c>
      <c r="AE192" s="47">
        <v>0.86649999999999994</v>
      </c>
      <c r="AF192" s="47">
        <v>0.88249999999999995</v>
      </c>
      <c r="AG192" s="47">
        <v>0.85650000000000004</v>
      </c>
      <c r="AH192" s="47">
        <v>0.79500000000000004</v>
      </c>
      <c r="AI192" s="47">
        <v>0.67300000000000004</v>
      </c>
      <c r="AJ192" s="47">
        <v>0.58100000000000007</v>
      </c>
      <c r="AK192" s="47">
        <v>0.51500000000000001</v>
      </c>
      <c r="AL192" s="47">
        <v>0.50449999999999995</v>
      </c>
      <c r="AM192" s="47">
        <v>0.50949999999999995</v>
      </c>
      <c r="AN192" s="47">
        <v>0.372</v>
      </c>
      <c r="AO192" s="47">
        <v>0.214</v>
      </c>
      <c r="AP192" s="47">
        <v>0.17299999999999999</v>
      </c>
      <c r="AQ192" s="47">
        <v>0.13250000000000001</v>
      </c>
      <c r="AR192" s="47">
        <v>0.127</v>
      </c>
      <c r="AS192" s="47">
        <v>0.11199999999999999</v>
      </c>
      <c r="AT192" s="47">
        <v>0.11699999999999999</v>
      </c>
      <c r="AU192" s="47">
        <v>0.14749999999999999</v>
      </c>
      <c r="AV192" s="47">
        <v>0.20849999999999999</v>
      </c>
      <c r="AW192" s="47">
        <v>0.316</v>
      </c>
      <c r="AX192" s="47">
        <v>0.28500000000000003</v>
      </c>
      <c r="AY192" s="47">
        <v>0.2445</v>
      </c>
      <c r="AZ192" s="47">
        <v>0.17300000000000001</v>
      </c>
      <c r="BA192" s="47">
        <v>0.13750000000000001</v>
      </c>
      <c r="BB192" s="47">
        <v>0.127</v>
      </c>
      <c r="BC192" s="47">
        <v>0.16800000000000001</v>
      </c>
      <c r="BD192" s="47">
        <v>0.25950000000000001</v>
      </c>
      <c r="BE192" s="47">
        <v>0.49449999999999994</v>
      </c>
      <c r="BF192" s="47">
        <v>0.64200000000000002</v>
      </c>
      <c r="BG192" s="47">
        <v>0.67300000000000004</v>
      </c>
      <c r="BH192" s="47">
        <v>0.44850000000000001</v>
      </c>
      <c r="BI192" s="47">
        <v>0.30549999999999994</v>
      </c>
      <c r="BJ192" s="47">
        <v>0.32599999999999996</v>
      </c>
      <c r="BK192" s="47">
        <v>0.45850000000000002</v>
      </c>
      <c r="BL192" s="47">
        <v>0.72899999999999998</v>
      </c>
      <c r="BM192" s="47">
        <v>0.7649999999999999</v>
      </c>
      <c r="BN192" s="47">
        <v>0.79549999999999998</v>
      </c>
      <c r="BO192" s="47">
        <v>0.80600000000000005</v>
      </c>
      <c r="BP192" s="47">
        <v>0.80549999999999999</v>
      </c>
      <c r="BQ192" s="47">
        <v>0.76999999999999991</v>
      </c>
      <c r="BR192" s="47">
        <v>0.63700000000000001</v>
      </c>
      <c r="BS192" s="47">
        <v>0.54549999999999998</v>
      </c>
      <c r="BT192" s="47">
        <v>0.74949999999999994</v>
      </c>
      <c r="BU192" s="47">
        <v>0.86199999999999988</v>
      </c>
      <c r="BV192" s="47">
        <v>0.96349999999999991</v>
      </c>
      <c r="BW192" s="47">
        <v>0.98449999999999993</v>
      </c>
      <c r="BX192" s="47">
        <v>0.98399999999999987</v>
      </c>
      <c r="BY192" s="47">
        <v>0.98449999999999993</v>
      </c>
      <c r="BZ192" s="47">
        <v>0.96849999999999992</v>
      </c>
      <c r="CA192" s="47">
        <v>0.92800000000000005</v>
      </c>
      <c r="CB192" s="47">
        <v>0.83099999999999996</v>
      </c>
      <c r="CC192" s="47">
        <v>0.72899999999999998</v>
      </c>
      <c r="CD192" s="47">
        <v>0.78</v>
      </c>
      <c r="CE192" s="47">
        <v>0.8819999999999999</v>
      </c>
      <c r="CF192" s="47">
        <v>0.87699999999999989</v>
      </c>
      <c r="CG192" s="47">
        <v>0.81599999999999995</v>
      </c>
      <c r="CH192" s="47">
        <v>0.71399999999999997</v>
      </c>
      <c r="CI192" s="47">
        <v>0.63200000000000001</v>
      </c>
      <c r="CJ192" s="47">
        <v>0.50949999999999995</v>
      </c>
      <c r="CK192" s="47">
        <v>0.37699999999999995</v>
      </c>
      <c r="CL192" s="47">
        <v>0.22399999999999998</v>
      </c>
      <c r="CM192" s="47">
        <v>0.214</v>
      </c>
      <c r="CN192" s="47">
        <v>0.17799999999999999</v>
      </c>
      <c r="CO192" s="47">
        <v>0.14749999999999999</v>
      </c>
      <c r="CP192" s="47">
        <v>0.20349999999999999</v>
      </c>
      <c r="CQ192" s="47">
        <v>0.27</v>
      </c>
      <c r="CR192" s="47">
        <v>0.28549999999999998</v>
      </c>
      <c r="CS192" s="47">
        <v>0.22399999999999998</v>
      </c>
      <c r="CT192" s="47">
        <v>0.20349999999999999</v>
      </c>
      <c r="CU192" s="47">
        <v>0.17299999999999999</v>
      </c>
      <c r="CV192" s="47">
        <v>0.1885</v>
      </c>
      <c r="CW192" s="47">
        <v>0.214</v>
      </c>
      <c r="CX192" s="47">
        <v>0.2495</v>
      </c>
      <c r="CY192" s="47">
        <v>0.22900000000000001</v>
      </c>
      <c r="CZ192" s="47">
        <v>0.26500000000000001</v>
      </c>
    </row>
    <row r="193" spans="1:104" x14ac:dyDescent="0.2">
      <c r="A193" s="50" t="s">
        <v>73</v>
      </c>
      <c r="B193" s="46">
        <f t="shared" si="32"/>
        <v>10.200000000000003</v>
      </c>
      <c r="C193" s="46">
        <f t="shared" si="33"/>
        <v>-12.749999999999995</v>
      </c>
      <c r="D193" s="48">
        <f t="shared" si="34"/>
        <v>27.712228756915628</v>
      </c>
      <c r="E193" s="46"/>
      <c r="F193" s="47">
        <v>0.41300000000000003</v>
      </c>
      <c r="G193" s="47">
        <v>0.42799999999999999</v>
      </c>
      <c r="H193" s="47">
        <v>0.48949999999999999</v>
      </c>
      <c r="I193" s="47">
        <v>0.54049999999999998</v>
      </c>
      <c r="J193" s="47">
        <v>0.5455000000000001</v>
      </c>
      <c r="K193" s="47">
        <v>0.53549999999999998</v>
      </c>
      <c r="L193" s="47">
        <v>0.53549999999999998</v>
      </c>
      <c r="M193" s="47">
        <v>0.53499999999999992</v>
      </c>
      <c r="N193" s="47">
        <v>0.47899999999999998</v>
      </c>
      <c r="O193" s="47">
        <v>0.41749999999999998</v>
      </c>
      <c r="P193" s="47">
        <v>0.32599999999999996</v>
      </c>
      <c r="Q193" s="47">
        <v>0.26450000000000001</v>
      </c>
      <c r="R193" s="47">
        <v>0.22900000000000001</v>
      </c>
      <c r="S193" s="47">
        <v>0.24450000000000002</v>
      </c>
      <c r="T193" s="47">
        <v>0.25950000000000001</v>
      </c>
      <c r="U193" s="47">
        <v>0.214</v>
      </c>
      <c r="V193" s="47">
        <v>0.22900000000000001</v>
      </c>
      <c r="W193" s="47">
        <v>0.311</v>
      </c>
      <c r="X193" s="47">
        <v>0.34149999999999997</v>
      </c>
      <c r="Y193" s="47">
        <v>0.30050000000000004</v>
      </c>
      <c r="Z193" s="47">
        <v>0.36649999999999999</v>
      </c>
      <c r="AA193" s="47">
        <v>0.41799999999999998</v>
      </c>
      <c r="AB193" s="47">
        <v>0.46900000000000003</v>
      </c>
      <c r="AC193" s="47">
        <v>0.46400000000000002</v>
      </c>
      <c r="AD193" s="47">
        <v>0.51</v>
      </c>
      <c r="AE193" s="47">
        <v>0.50949999999999995</v>
      </c>
      <c r="AF193" s="47">
        <v>0.47399999999999998</v>
      </c>
      <c r="AG193" s="47">
        <v>0.45350000000000001</v>
      </c>
      <c r="AH193" s="47">
        <v>0.43350000000000005</v>
      </c>
      <c r="AI193" s="47">
        <v>0.48950000000000005</v>
      </c>
      <c r="AJ193" s="47">
        <v>0.53500000000000003</v>
      </c>
      <c r="AK193" s="47">
        <v>0.66800000000000004</v>
      </c>
      <c r="AL193" s="47">
        <v>0.68299999999999994</v>
      </c>
      <c r="AM193" s="47">
        <v>0.68299999999999994</v>
      </c>
      <c r="AN193" s="47">
        <v>0.59150000000000003</v>
      </c>
      <c r="AO193" s="47">
        <v>0.66800000000000004</v>
      </c>
      <c r="AP193" s="47">
        <v>0.8155</v>
      </c>
      <c r="AQ193" s="47">
        <v>0.84150000000000003</v>
      </c>
      <c r="AR193" s="47">
        <v>0.83150000000000002</v>
      </c>
      <c r="AS193" s="47">
        <v>0.76450000000000007</v>
      </c>
      <c r="AT193" s="47">
        <v>0.87700000000000011</v>
      </c>
      <c r="AU193" s="47">
        <v>0.84149999999999991</v>
      </c>
      <c r="AV193" s="47">
        <v>0.76450000000000007</v>
      </c>
      <c r="AW193" s="47">
        <v>0.372</v>
      </c>
      <c r="AX193" s="47">
        <v>0.15250000000000002</v>
      </c>
      <c r="AY193" s="47">
        <v>6.0999999999999999E-2</v>
      </c>
      <c r="AZ193" s="47">
        <v>4.0500000000000001E-2</v>
      </c>
      <c r="BA193" s="47">
        <v>2.5499999999999998E-2</v>
      </c>
      <c r="BB193" s="47">
        <v>4.0500000000000001E-2</v>
      </c>
      <c r="BC193" s="47">
        <v>8.1000000000000003E-2</v>
      </c>
      <c r="BD193" s="47">
        <v>8.6000000000000007E-2</v>
      </c>
      <c r="BE193" s="47">
        <v>0.1275</v>
      </c>
      <c r="BF193" s="47">
        <v>0.16799999999999998</v>
      </c>
      <c r="BG193" s="47">
        <v>0.1575</v>
      </c>
      <c r="BH193" s="47">
        <v>0.16750000000000001</v>
      </c>
      <c r="BI193" s="47">
        <v>0.19850000000000001</v>
      </c>
      <c r="BJ193" s="47">
        <v>0.19850000000000001</v>
      </c>
      <c r="BK193" s="47">
        <v>0.24399999999999999</v>
      </c>
      <c r="BL193" s="47">
        <v>0.34149999999999997</v>
      </c>
      <c r="BM193" s="47">
        <v>0.44350000000000001</v>
      </c>
      <c r="BN193" s="47">
        <v>0.44850000000000001</v>
      </c>
      <c r="BO193" s="47">
        <v>0.35700000000000004</v>
      </c>
      <c r="BP193" s="47">
        <v>0.32100000000000001</v>
      </c>
      <c r="BQ193" s="47">
        <v>0.377</v>
      </c>
      <c r="BR193" s="47">
        <v>0.40250000000000002</v>
      </c>
      <c r="BS193" s="47">
        <v>0.43300000000000011</v>
      </c>
      <c r="BT193" s="47">
        <v>0.50449999999999995</v>
      </c>
      <c r="BU193" s="47">
        <v>0.65749999999999997</v>
      </c>
      <c r="BV193" s="47">
        <v>0.75449999999999995</v>
      </c>
      <c r="BW193" s="47">
        <v>0.80049999999999999</v>
      </c>
      <c r="BX193" s="47">
        <v>0.79549999999999998</v>
      </c>
      <c r="BY193" s="47">
        <v>0.74950000000000006</v>
      </c>
      <c r="BZ193" s="47">
        <v>0.80549999999999988</v>
      </c>
      <c r="CA193" s="47">
        <v>0.85149999999999992</v>
      </c>
      <c r="CB193" s="47">
        <v>0.872</v>
      </c>
      <c r="CC193" s="47">
        <v>0.83599999999999997</v>
      </c>
      <c r="CD193" s="47">
        <v>0.80549999999999999</v>
      </c>
      <c r="CE193" s="47">
        <v>0.85699999999999998</v>
      </c>
      <c r="CF193" s="47">
        <v>0.93299999999999994</v>
      </c>
      <c r="CG193" s="47">
        <v>0.9534999999999999</v>
      </c>
      <c r="CH193" s="47">
        <v>0.85649999999999993</v>
      </c>
      <c r="CI193" s="47">
        <v>0.75449999999999995</v>
      </c>
      <c r="CJ193" s="47">
        <v>0.79049999999999998</v>
      </c>
      <c r="CK193" s="47">
        <v>0.91249999999999998</v>
      </c>
      <c r="CL193" s="47">
        <v>0.92300000000000004</v>
      </c>
      <c r="CM193" s="47">
        <v>0.91299999999999992</v>
      </c>
      <c r="CN193" s="47">
        <v>0.83599999999999997</v>
      </c>
      <c r="CO193" s="47">
        <v>0.79549999999999998</v>
      </c>
      <c r="CP193" s="47">
        <v>0.86699999999999988</v>
      </c>
      <c r="CQ193" s="47">
        <v>0.80600000000000005</v>
      </c>
      <c r="CR193" s="47">
        <v>0.69350000000000001</v>
      </c>
      <c r="CS193" s="47">
        <v>0.42849999999999999</v>
      </c>
      <c r="CT193" s="47">
        <v>0.32600000000000001</v>
      </c>
      <c r="CU193" s="47">
        <v>0.3155</v>
      </c>
      <c r="CV193" s="47">
        <v>0.29549999999999998</v>
      </c>
      <c r="CW193" s="47">
        <v>0.24950000000000003</v>
      </c>
      <c r="CX193" s="47">
        <v>0.19350000000000001</v>
      </c>
      <c r="CY193" s="47">
        <v>0.15249999999999997</v>
      </c>
      <c r="CZ193" s="47">
        <v>0.13200000000000001</v>
      </c>
    </row>
    <row r="194" spans="1:104" x14ac:dyDescent="0.2">
      <c r="A194" s="50" t="s">
        <v>76</v>
      </c>
      <c r="B194" s="46">
        <f t="shared" si="32"/>
        <v>-19.500000000000004</v>
      </c>
      <c r="C194" s="46">
        <f t="shared" si="33"/>
        <v>19.5</v>
      </c>
      <c r="D194" s="48">
        <f t="shared" si="34"/>
        <v>14.437503532967961</v>
      </c>
      <c r="E194" s="46"/>
      <c r="F194" s="47">
        <v>0.219</v>
      </c>
      <c r="G194" s="47">
        <v>0.19500000000000001</v>
      </c>
      <c r="H194" s="47">
        <v>7.2999999999999995E-2</v>
      </c>
      <c r="I194" s="47">
        <v>2.4E-2</v>
      </c>
      <c r="J194" s="47">
        <v>0</v>
      </c>
      <c r="K194" s="47">
        <v>0.121</v>
      </c>
      <c r="L194" s="47">
        <v>9.7000000000000003E-2</v>
      </c>
      <c r="M194" s="47">
        <v>0.14599999999999999</v>
      </c>
      <c r="N194" s="47">
        <v>4.8000000000000001E-2</v>
      </c>
      <c r="O194" s="47">
        <v>0.17</v>
      </c>
      <c r="P194" s="47">
        <v>0.24300000000000002</v>
      </c>
      <c r="Q194" s="47">
        <v>0.26800000000000002</v>
      </c>
      <c r="R194" s="47">
        <v>0.29199999999999998</v>
      </c>
      <c r="S194" s="47">
        <v>0.317</v>
      </c>
      <c r="T194" s="47">
        <v>0.34100000000000003</v>
      </c>
      <c r="U194" s="47">
        <v>0.36499999999999999</v>
      </c>
      <c r="V194" s="47">
        <v>0.39</v>
      </c>
      <c r="W194" s="47">
        <v>0.41400000000000003</v>
      </c>
      <c r="X194" s="47">
        <v>0.68200000000000005</v>
      </c>
      <c r="Y194" s="47">
        <v>0.75600000000000001</v>
      </c>
      <c r="Z194" s="47">
        <v>0.78</v>
      </c>
      <c r="AA194" s="47">
        <v>0.80400000000000005</v>
      </c>
      <c r="AB194" s="47">
        <v>0.85300000000000009</v>
      </c>
      <c r="AC194" s="47">
        <v>0.87800000000000011</v>
      </c>
      <c r="AD194" s="47">
        <v>0.92600000000000005</v>
      </c>
      <c r="AE194" s="47">
        <v>0.95099999999999996</v>
      </c>
      <c r="AF194" s="47">
        <v>1</v>
      </c>
      <c r="AG194" s="47">
        <v>0.97499999999999998</v>
      </c>
      <c r="AH194" s="47">
        <v>0.90200000000000014</v>
      </c>
      <c r="AI194" s="47">
        <v>0.82899999999999985</v>
      </c>
      <c r="AJ194" s="47">
        <v>0.73099999999999998</v>
      </c>
      <c r="AK194" s="47">
        <v>0.56000000000000005</v>
      </c>
      <c r="AL194" s="47">
        <v>0.48699999999999999</v>
      </c>
      <c r="AM194" s="47">
        <v>0.46300000000000002</v>
      </c>
      <c r="AN194" s="47">
        <v>0.43900000000000006</v>
      </c>
      <c r="AO194" s="47">
        <v>0.51200000000000001</v>
      </c>
      <c r="AP194" s="47">
        <v>0.53600000000000003</v>
      </c>
      <c r="AQ194" s="47">
        <v>0.58499999999999996</v>
      </c>
      <c r="AR194" s="47">
        <v>0.60899999999999999</v>
      </c>
      <c r="AS194" s="47">
        <v>0.63400000000000001</v>
      </c>
      <c r="AT194" s="47">
        <v>0.65800000000000003</v>
      </c>
      <c r="AU194" s="47">
        <v>0.70699999999999996</v>
      </c>
      <c r="AV194" s="47">
        <v>0.5</v>
      </c>
      <c r="AW194" s="47">
        <v>0.5</v>
      </c>
      <c r="AX194" s="47">
        <v>0.5</v>
      </c>
      <c r="AY194" s="47">
        <v>0.5</v>
      </c>
      <c r="AZ194" s="47">
        <v>0.5</v>
      </c>
      <c r="BA194" s="47">
        <v>0.5</v>
      </c>
      <c r="BB194" s="47">
        <v>0.5</v>
      </c>
      <c r="BC194" s="47">
        <v>0.5</v>
      </c>
      <c r="BD194" s="47">
        <v>0.5</v>
      </c>
      <c r="BE194" s="47">
        <v>0.5</v>
      </c>
      <c r="BF194" s="47">
        <v>0.5</v>
      </c>
      <c r="BG194" s="47">
        <v>0.5</v>
      </c>
      <c r="BH194" s="47">
        <v>0.5</v>
      </c>
      <c r="BI194" s="47">
        <v>0.5</v>
      </c>
      <c r="BJ194" s="47">
        <v>0.5</v>
      </c>
      <c r="BK194" s="47">
        <v>0.5</v>
      </c>
      <c r="BL194" s="47">
        <v>0.5</v>
      </c>
      <c r="BM194" s="47">
        <v>0.5</v>
      </c>
      <c r="BN194" s="47">
        <v>0.5</v>
      </c>
      <c r="BO194" s="47">
        <v>0.5</v>
      </c>
      <c r="BP194" s="47">
        <v>0.5</v>
      </c>
      <c r="BQ194" s="47">
        <v>0.5</v>
      </c>
      <c r="BR194" s="47">
        <v>0.5</v>
      </c>
      <c r="BS194" s="47">
        <v>0.5</v>
      </c>
      <c r="BT194" s="47">
        <v>0.5</v>
      </c>
      <c r="BU194" s="47">
        <v>0.5</v>
      </c>
      <c r="BV194" s="47">
        <v>0.5</v>
      </c>
      <c r="BW194" s="47">
        <v>0.5</v>
      </c>
      <c r="BX194" s="47">
        <v>0.5</v>
      </c>
      <c r="BY194" s="47">
        <v>0.5</v>
      </c>
      <c r="BZ194" s="47">
        <v>0.5</v>
      </c>
      <c r="CA194" s="47">
        <v>0.5</v>
      </c>
      <c r="CB194" s="47">
        <v>0.5</v>
      </c>
      <c r="CC194" s="47">
        <v>0.5</v>
      </c>
      <c r="CD194" s="47">
        <v>0.5</v>
      </c>
      <c r="CE194" s="47">
        <v>0.5</v>
      </c>
      <c r="CF194" s="47">
        <v>0.5</v>
      </c>
      <c r="CG194" s="47">
        <v>0.5</v>
      </c>
      <c r="CH194" s="47">
        <v>0.5</v>
      </c>
      <c r="CI194" s="47">
        <v>0.5</v>
      </c>
      <c r="CJ194" s="47">
        <v>0.5</v>
      </c>
      <c r="CK194" s="47">
        <v>0.5</v>
      </c>
      <c r="CL194" s="47">
        <v>0.5</v>
      </c>
      <c r="CM194" s="47">
        <v>0.5</v>
      </c>
      <c r="CN194" s="47">
        <v>0.5</v>
      </c>
      <c r="CO194" s="47">
        <v>0.5</v>
      </c>
      <c r="CP194" s="47">
        <v>0.5</v>
      </c>
      <c r="CQ194" s="47">
        <v>0.5</v>
      </c>
      <c r="CR194" s="47">
        <v>0.5</v>
      </c>
      <c r="CS194" s="47">
        <v>0.5</v>
      </c>
      <c r="CT194" s="47">
        <v>0.5</v>
      </c>
      <c r="CU194" s="47">
        <v>0.5</v>
      </c>
      <c r="CV194" s="47">
        <v>0.5</v>
      </c>
      <c r="CW194" s="47">
        <v>0.5</v>
      </c>
      <c r="CX194" s="47">
        <v>0.5</v>
      </c>
      <c r="CY194" s="47">
        <v>0.5</v>
      </c>
      <c r="CZ194" s="47">
        <v>0.5</v>
      </c>
    </row>
    <row r="195" spans="1:104" x14ac:dyDescent="0.2">
      <c r="A195" s="50" t="s">
        <v>79</v>
      </c>
      <c r="B195" s="46">
        <f t="shared" si="32"/>
        <v>-15.849999999999998</v>
      </c>
      <c r="C195" s="46">
        <f t="shared" si="33"/>
        <v>16.150000000000002</v>
      </c>
      <c r="D195" s="48">
        <f t="shared" si="34"/>
        <v>21.604485437044772</v>
      </c>
      <c r="E195" s="46"/>
      <c r="F195" s="47">
        <v>0.31900000000000001</v>
      </c>
      <c r="G195" s="47">
        <v>0.29099999999999998</v>
      </c>
      <c r="H195" s="47">
        <v>0.22950000000000001</v>
      </c>
      <c r="I195" s="47">
        <v>0.15749999999999997</v>
      </c>
      <c r="J195" s="47">
        <v>0.14500000000000002</v>
      </c>
      <c r="K195" s="47">
        <v>0.16</v>
      </c>
      <c r="L195" s="47">
        <v>0.13250000000000001</v>
      </c>
      <c r="M195" s="47">
        <v>8.6499999999999994E-2</v>
      </c>
      <c r="N195" s="47">
        <v>7.9000000000000001E-2</v>
      </c>
      <c r="O195" s="47">
        <v>9.4E-2</v>
      </c>
      <c r="P195" s="47">
        <v>9.6500000000000002E-2</v>
      </c>
      <c r="Q195" s="47">
        <v>9.9500000000000005E-2</v>
      </c>
      <c r="R195" s="47">
        <v>9.1999999999999998E-2</v>
      </c>
      <c r="S195" s="47">
        <v>0.1125</v>
      </c>
      <c r="T195" s="47">
        <v>0.14050000000000001</v>
      </c>
      <c r="U195" s="47">
        <v>0.18899999999999997</v>
      </c>
      <c r="V195" s="47">
        <v>0.25</v>
      </c>
      <c r="W195" s="47">
        <v>0.47749999999999998</v>
      </c>
      <c r="X195" s="47">
        <v>0.58550000000000002</v>
      </c>
      <c r="Y195" s="47">
        <v>0.65900000000000003</v>
      </c>
      <c r="Z195" s="47">
        <v>0.69000000000000006</v>
      </c>
      <c r="AA195" s="47">
        <v>0.73350000000000004</v>
      </c>
      <c r="AB195" s="47">
        <v>0.75950000000000006</v>
      </c>
      <c r="AC195" s="47">
        <v>0.89449999999999996</v>
      </c>
      <c r="AD195" s="47">
        <v>0.95849999999999991</v>
      </c>
      <c r="AE195" s="47">
        <v>0.96150000000000002</v>
      </c>
      <c r="AF195" s="47">
        <v>0.94050000000000011</v>
      </c>
      <c r="AG195" s="47">
        <v>0.97650000000000003</v>
      </c>
      <c r="AH195" s="47">
        <v>0.95900000000000007</v>
      </c>
      <c r="AI195" s="47">
        <v>0.94850000000000001</v>
      </c>
      <c r="AJ195" s="47">
        <v>0.91199999999999981</v>
      </c>
      <c r="AK195" s="47">
        <v>0.85099999999999998</v>
      </c>
      <c r="AL195" s="47">
        <v>0.78249999999999997</v>
      </c>
      <c r="AM195" s="47">
        <v>0.73399999999999999</v>
      </c>
      <c r="AN195" s="47">
        <v>0.76149999999999995</v>
      </c>
      <c r="AO195" s="47">
        <v>0.77200000000000002</v>
      </c>
      <c r="AP195" s="47">
        <v>0.70050000000000001</v>
      </c>
      <c r="AQ195" s="47">
        <v>0.61099999999999999</v>
      </c>
      <c r="AR195" s="47">
        <v>0.55249999999999999</v>
      </c>
      <c r="AS195" s="47">
        <v>0.60050000000000003</v>
      </c>
      <c r="AT195" s="47">
        <v>0.60599999999999998</v>
      </c>
      <c r="AU195" s="47">
        <v>0.44749999999999995</v>
      </c>
      <c r="AV195" s="47">
        <v>0.26850000000000002</v>
      </c>
      <c r="AW195" s="47">
        <v>0.32750000000000001</v>
      </c>
      <c r="AX195" s="47">
        <v>0.41099999999999992</v>
      </c>
      <c r="AY195" s="47">
        <v>0.42150000000000004</v>
      </c>
      <c r="AZ195" s="47">
        <v>0.36</v>
      </c>
      <c r="BA195" s="47">
        <v>0.34949999999999998</v>
      </c>
      <c r="BB195" s="47">
        <v>0.309</v>
      </c>
      <c r="BC195" s="47">
        <v>0.35800000000000004</v>
      </c>
      <c r="BD195" s="47">
        <v>0.26849999999999996</v>
      </c>
      <c r="BE195" s="47">
        <v>0.215</v>
      </c>
      <c r="BF195" s="47">
        <v>0.21749999999999997</v>
      </c>
      <c r="BG195" s="47">
        <v>0.34300000000000003</v>
      </c>
      <c r="BH195" s="47">
        <v>0.38150000000000001</v>
      </c>
      <c r="BI195" s="47">
        <v>0.35800000000000004</v>
      </c>
      <c r="BJ195" s="47">
        <v>0.22450000000000001</v>
      </c>
      <c r="BK195" s="47">
        <v>0.29149999999999998</v>
      </c>
      <c r="BL195" s="47">
        <v>0.39150000000000001</v>
      </c>
      <c r="BM195" s="47">
        <v>0.41450000000000004</v>
      </c>
      <c r="BN195" s="47">
        <v>0.3785</v>
      </c>
      <c r="BO195" s="47">
        <v>0.46449999999999997</v>
      </c>
      <c r="BP195" s="47">
        <v>0.57199999999999995</v>
      </c>
      <c r="BQ195" s="47">
        <v>0.69199999999999995</v>
      </c>
      <c r="BR195" s="47">
        <v>0.73299999999999998</v>
      </c>
      <c r="BS195" s="47">
        <v>0.71499999999999997</v>
      </c>
      <c r="BT195" s="47">
        <v>0.64249999999999996</v>
      </c>
      <c r="BU195" s="47">
        <v>0.61699999999999999</v>
      </c>
      <c r="BV195" s="47">
        <v>0.62749999999999995</v>
      </c>
      <c r="BW195" s="47">
        <v>0.65300000000000014</v>
      </c>
      <c r="BX195" s="47">
        <v>0.67849999999999988</v>
      </c>
      <c r="BY195" s="47">
        <v>0.70400000000000007</v>
      </c>
      <c r="BZ195" s="47">
        <v>0.72949999999999993</v>
      </c>
      <c r="CA195" s="47">
        <v>0.71899999999999997</v>
      </c>
      <c r="CB195" s="47">
        <v>0.6835</v>
      </c>
      <c r="CC195" s="47">
        <v>0.63250000000000006</v>
      </c>
      <c r="CD195" s="47">
        <v>0.63750000000000007</v>
      </c>
      <c r="CE195" s="47">
        <v>0.65800000000000003</v>
      </c>
      <c r="CF195" s="47">
        <v>0.66300000000000003</v>
      </c>
      <c r="CG195" s="47">
        <v>0.64749999999999996</v>
      </c>
      <c r="CH195" s="47">
        <v>0.61199999999999999</v>
      </c>
      <c r="CI195" s="47">
        <v>0.57650000000000001</v>
      </c>
      <c r="CJ195" s="47">
        <v>0.56599999999999995</v>
      </c>
      <c r="CK195" s="47">
        <v>0.55100000000000005</v>
      </c>
      <c r="CL195" s="47">
        <v>0.54049999999999998</v>
      </c>
      <c r="CM195" s="47">
        <v>0.53050000000000008</v>
      </c>
      <c r="CN195" s="47">
        <v>0.52</v>
      </c>
      <c r="CO195" s="47">
        <v>0.505</v>
      </c>
      <c r="CP195" s="47">
        <v>0.46399999999999997</v>
      </c>
      <c r="CQ195" s="47">
        <v>0.45900000000000002</v>
      </c>
      <c r="CR195" s="47">
        <v>0.45400000000000007</v>
      </c>
      <c r="CS195" s="47">
        <v>0.41299999999999998</v>
      </c>
      <c r="CT195" s="47">
        <v>0.40300000000000002</v>
      </c>
      <c r="CU195" s="47">
        <v>0.39749999999999996</v>
      </c>
      <c r="CV195" s="47">
        <v>0.42299999999999999</v>
      </c>
      <c r="CW195" s="47">
        <v>0.44850000000000007</v>
      </c>
      <c r="CX195" s="47">
        <v>0.4385</v>
      </c>
      <c r="CY195" s="47">
        <v>0.40800000000000003</v>
      </c>
      <c r="CZ195" s="47">
        <v>0.44350000000000001</v>
      </c>
    </row>
    <row r="196" spans="1:104" x14ac:dyDescent="0.2">
      <c r="A196" s="50" t="s">
        <v>82</v>
      </c>
      <c r="B196" s="46">
        <f t="shared" si="32"/>
        <v>-21.950000000000003</v>
      </c>
      <c r="C196" s="46">
        <f t="shared" si="33"/>
        <v>-12.75</v>
      </c>
      <c r="D196" s="48">
        <f t="shared" si="34"/>
        <v>19.108550020456658</v>
      </c>
      <c r="E196" s="46"/>
      <c r="F196" s="47">
        <v>0.2545</v>
      </c>
      <c r="G196" s="47">
        <v>0.23899999999999999</v>
      </c>
      <c r="H196" s="47">
        <v>0.32600000000000001</v>
      </c>
      <c r="I196" s="47">
        <v>0.38200000000000001</v>
      </c>
      <c r="J196" s="47">
        <v>0.316</v>
      </c>
      <c r="K196" s="47">
        <v>0.219</v>
      </c>
      <c r="L196" s="47">
        <v>0.153</v>
      </c>
      <c r="M196" s="47">
        <v>0.15749999999999997</v>
      </c>
      <c r="N196" s="47">
        <v>0.13749999999999998</v>
      </c>
      <c r="O196" s="47">
        <v>0.14249999999999999</v>
      </c>
      <c r="P196" s="47">
        <v>0.17300000000000001</v>
      </c>
      <c r="Q196" s="47">
        <v>0.19849999999999998</v>
      </c>
      <c r="R196" s="47">
        <v>0.1835</v>
      </c>
      <c r="S196" s="47">
        <v>0.20849999999999999</v>
      </c>
      <c r="T196" s="47">
        <v>0.2495</v>
      </c>
      <c r="U196" s="47">
        <v>0.36150000000000004</v>
      </c>
      <c r="V196" s="47">
        <v>0.35650000000000004</v>
      </c>
      <c r="W196" s="47">
        <v>0.47400000000000003</v>
      </c>
      <c r="X196" s="47">
        <v>0.63249999999999995</v>
      </c>
      <c r="Y196" s="47">
        <v>0.66799999999999993</v>
      </c>
      <c r="Z196" s="47">
        <v>0.60699999999999998</v>
      </c>
      <c r="AA196" s="47">
        <v>0.54</v>
      </c>
      <c r="AB196" s="47">
        <v>0.70850000000000002</v>
      </c>
      <c r="AC196" s="47">
        <v>0.57050000000000001</v>
      </c>
      <c r="AD196" s="47">
        <v>0.47399999999999998</v>
      </c>
      <c r="AE196" s="47">
        <v>0.52</v>
      </c>
      <c r="AF196" s="47">
        <v>0.54549999999999998</v>
      </c>
      <c r="AG196" s="47">
        <v>0.69850000000000001</v>
      </c>
      <c r="AH196" s="47">
        <v>0.64750000000000008</v>
      </c>
      <c r="AI196" s="47">
        <v>0.68299999999999994</v>
      </c>
      <c r="AJ196" s="47">
        <v>0.627</v>
      </c>
      <c r="AK196" s="47">
        <v>0.63249999999999995</v>
      </c>
      <c r="AL196" s="47">
        <v>0.58099999999999996</v>
      </c>
      <c r="AM196" s="47">
        <v>0.61650000000000005</v>
      </c>
      <c r="AN196" s="47">
        <v>0.57599999999999996</v>
      </c>
      <c r="AO196" s="47">
        <v>0.52500000000000002</v>
      </c>
      <c r="AP196" s="47">
        <v>0.443</v>
      </c>
      <c r="AQ196" s="47">
        <v>0.2545</v>
      </c>
      <c r="AR196" s="47">
        <v>0.214</v>
      </c>
      <c r="AS196" s="47">
        <v>0.32600000000000001</v>
      </c>
      <c r="AT196" s="47">
        <v>0.38250000000000001</v>
      </c>
      <c r="AU196" s="47">
        <v>0.36149999999999999</v>
      </c>
      <c r="AV196" s="47">
        <v>0.36150000000000004</v>
      </c>
      <c r="AW196" s="47">
        <v>0.32600000000000001</v>
      </c>
      <c r="AX196" s="47">
        <v>0.32099999999999995</v>
      </c>
      <c r="AY196" s="47">
        <v>0.36149999999999993</v>
      </c>
      <c r="AZ196" s="47">
        <v>0.36699999999999999</v>
      </c>
      <c r="BA196" s="47">
        <v>0.35199999999999998</v>
      </c>
      <c r="BB196" s="47">
        <v>0.23449999999999999</v>
      </c>
      <c r="BC196" s="47">
        <v>0.22400000000000003</v>
      </c>
      <c r="BD196" s="47">
        <v>0.21349999999999997</v>
      </c>
      <c r="BE196" s="47">
        <v>0.27500000000000002</v>
      </c>
      <c r="BF196" s="47">
        <v>0.29549999999999998</v>
      </c>
      <c r="BG196" s="47">
        <v>0.35700000000000004</v>
      </c>
      <c r="BH196" s="47">
        <v>0.40749999999999997</v>
      </c>
      <c r="BI196" s="47">
        <v>0.52500000000000002</v>
      </c>
      <c r="BJ196" s="47">
        <v>0.58649999999999991</v>
      </c>
      <c r="BK196" s="47">
        <v>0.66249999999999998</v>
      </c>
      <c r="BL196" s="47">
        <v>0.755</v>
      </c>
      <c r="BM196" s="47">
        <v>0.78500000000000003</v>
      </c>
      <c r="BN196" s="47">
        <v>0.80549999999999999</v>
      </c>
      <c r="BO196" s="47">
        <v>0.74449999999999994</v>
      </c>
      <c r="BP196" s="47">
        <v>0.68299999999999994</v>
      </c>
      <c r="BQ196" s="47">
        <v>0.77999999999999992</v>
      </c>
      <c r="BR196" s="47">
        <v>0.76000000000000012</v>
      </c>
      <c r="BS196" s="47">
        <v>0.78500000000000003</v>
      </c>
      <c r="BT196" s="47">
        <v>0.95899999999999996</v>
      </c>
      <c r="BU196" s="47">
        <v>0.96349999999999991</v>
      </c>
      <c r="BV196" s="47">
        <v>0.90799999999999992</v>
      </c>
      <c r="BW196" s="47">
        <v>0.75449999999999995</v>
      </c>
      <c r="BX196" s="47">
        <v>0.73450000000000004</v>
      </c>
      <c r="BY196" s="47">
        <v>0.73399999999999999</v>
      </c>
      <c r="BZ196" s="47">
        <v>0.72950000000000004</v>
      </c>
      <c r="CA196" s="47">
        <v>0.6984999999999999</v>
      </c>
      <c r="CB196" s="47">
        <v>0.71900000000000008</v>
      </c>
      <c r="CC196" s="47">
        <v>0.69850000000000001</v>
      </c>
      <c r="CD196" s="47">
        <v>0.69350000000000001</v>
      </c>
      <c r="CE196" s="47">
        <v>0.71900000000000008</v>
      </c>
      <c r="CF196" s="47">
        <v>0.73949999999999994</v>
      </c>
      <c r="CG196" s="47">
        <v>0.75950000000000006</v>
      </c>
      <c r="CH196" s="47">
        <v>0.67300000000000004</v>
      </c>
      <c r="CI196" s="47">
        <v>0.57100000000000006</v>
      </c>
      <c r="CJ196" s="47">
        <v>0.37200000000000005</v>
      </c>
      <c r="CK196" s="47">
        <v>0.39250000000000002</v>
      </c>
      <c r="CL196" s="47">
        <v>0.52500000000000002</v>
      </c>
      <c r="CM196" s="47">
        <v>0.68299999999999994</v>
      </c>
      <c r="CN196" s="47">
        <v>0.67300000000000004</v>
      </c>
      <c r="CO196" s="47">
        <v>0.63249999999999995</v>
      </c>
      <c r="CP196" s="47">
        <v>0.52</v>
      </c>
      <c r="CQ196" s="47">
        <v>0.45850000000000002</v>
      </c>
      <c r="CR196" s="47">
        <v>0.42799999999999999</v>
      </c>
      <c r="CS196" s="47">
        <v>0.39250000000000002</v>
      </c>
      <c r="CT196" s="47">
        <v>0.38750000000000001</v>
      </c>
      <c r="CU196" s="47">
        <v>0.35149999999999998</v>
      </c>
      <c r="CV196" s="47">
        <v>0.45850000000000007</v>
      </c>
      <c r="CW196" s="47">
        <v>0.46899999999999997</v>
      </c>
      <c r="CX196" s="47">
        <v>0.4995</v>
      </c>
      <c r="CY196" s="47">
        <v>0.43299999999999994</v>
      </c>
      <c r="CZ196" s="47">
        <v>0.38700000000000001</v>
      </c>
    </row>
    <row r="197" spans="1:104" x14ac:dyDescent="0.2">
      <c r="A197" s="50" t="s">
        <v>85</v>
      </c>
      <c r="B197" s="46">
        <f t="shared" si="32"/>
        <v>-25.349999999999994</v>
      </c>
      <c r="C197" s="46">
        <f t="shared" si="33"/>
        <v>7.7500000000000124</v>
      </c>
      <c r="D197" s="48">
        <f t="shared" si="34"/>
        <v>20.928867615740035</v>
      </c>
      <c r="E197" s="46"/>
      <c r="F197" s="47">
        <v>0.61150000000000004</v>
      </c>
      <c r="G197" s="47">
        <v>0.61699999999999999</v>
      </c>
      <c r="H197" s="47">
        <v>0.6835</v>
      </c>
      <c r="I197" s="47">
        <v>0.53399999999999992</v>
      </c>
      <c r="J197" s="47">
        <v>0.623</v>
      </c>
      <c r="K197" s="47">
        <v>0.66499999999999992</v>
      </c>
      <c r="L197" s="47">
        <v>0.74299999999999999</v>
      </c>
      <c r="M197" s="47">
        <v>0.753</v>
      </c>
      <c r="N197" s="47">
        <v>0.7579999999999999</v>
      </c>
      <c r="O197" s="47">
        <v>0.76300000000000001</v>
      </c>
      <c r="P197" s="47">
        <v>0.80500000000000005</v>
      </c>
      <c r="Q197" s="47">
        <v>0.82099999999999995</v>
      </c>
      <c r="R197" s="47">
        <v>0.85199999999999998</v>
      </c>
      <c r="S197" s="47">
        <v>0.84750000000000003</v>
      </c>
      <c r="T197" s="47">
        <v>0.86900000000000011</v>
      </c>
      <c r="U197" s="47">
        <v>0.85350000000000004</v>
      </c>
      <c r="V197" s="47">
        <v>0.87499999999999989</v>
      </c>
      <c r="W197" s="47">
        <v>0.86499999999999999</v>
      </c>
      <c r="X197" s="47">
        <v>0.86549999999999994</v>
      </c>
      <c r="Y197" s="47">
        <v>0.871</v>
      </c>
      <c r="Z197" s="47">
        <v>0.876</v>
      </c>
      <c r="AA197" s="47">
        <v>0.84099999999999997</v>
      </c>
      <c r="AB197" s="47">
        <v>0.74449999999999994</v>
      </c>
      <c r="AC197" s="47">
        <v>0.70350000000000001</v>
      </c>
      <c r="AD197" s="47">
        <v>0.63149999999999995</v>
      </c>
      <c r="AE197" s="47">
        <v>0.65700000000000003</v>
      </c>
      <c r="AF197" s="47">
        <v>0.66700000000000004</v>
      </c>
      <c r="AG197" s="47">
        <v>0.5645</v>
      </c>
      <c r="AH197" s="47">
        <v>0.45200000000000001</v>
      </c>
      <c r="AI197" s="47">
        <v>0.43149999999999994</v>
      </c>
      <c r="AJ197" s="47">
        <v>0.42599999999999999</v>
      </c>
      <c r="AK197" s="47">
        <v>0.40949999999999998</v>
      </c>
      <c r="AL197" s="47">
        <v>0.39800000000000002</v>
      </c>
      <c r="AM197" s="47">
        <v>0.40750000000000003</v>
      </c>
      <c r="AN197" s="47">
        <v>0.29299999999999998</v>
      </c>
      <c r="AO197" s="47">
        <v>0.29749999999999999</v>
      </c>
      <c r="AP197" s="47">
        <v>0.20150000000000001</v>
      </c>
      <c r="AQ197" s="47">
        <v>0.2165</v>
      </c>
      <c r="AR197" s="47">
        <v>0.2515</v>
      </c>
      <c r="AS197" s="47">
        <v>0.28700000000000003</v>
      </c>
      <c r="AT197" s="47">
        <v>0.22049999999999997</v>
      </c>
      <c r="AU197" s="47">
        <v>0.189</v>
      </c>
      <c r="AV197" s="47">
        <v>0.15300000000000002</v>
      </c>
      <c r="AW197" s="47">
        <v>0.1885</v>
      </c>
      <c r="AX197" s="47">
        <v>0.26599999999999996</v>
      </c>
      <c r="AY197" s="47">
        <v>0.30199999999999999</v>
      </c>
      <c r="AZ197" s="47">
        <v>0.33800000000000002</v>
      </c>
      <c r="BA197" s="47">
        <v>0.33350000000000002</v>
      </c>
      <c r="BB197" s="47">
        <v>0.34900000000000003</v>
      </c>
      <c r="BC197" s="47">
        <v>0.3755</v>
      </c>
      <c r="BD197" s="47">
        <v>0.39100000000000001</v>
      </c>
      <c r="BE197" s="47">
        <v>0.41149999999999998</v>
      </c>
      <c r="BF197" s="47">
        <v>0.45849999999999996</v>
      </c>
      <c r="BG197" s="47">
        <v>0.52149999999999996</v>
      </c>
      <c r="BH197" s="47">
        <v>0.5</v>
      </c>
      <c r="BI197" s="47">
        <v>0.52599999999999991</v>
      </c>
      <c r="BJ197" s="47">
        <v>0.5475000000000001</v>
      </c>
      <c r="BK197" s="47">
        <v>0.53649999999999998</v>
      </c>
      <c r="BL197" s="47">
        <v>0.53049999999999997</v>
      </c>
      <c r="BM197" s="47">
        <v>0.61699999999999999</v>
      </c>
      <c r="BN197" s="47">
        <v>0.62750000000000006</v>
      </c>
      <c r="BO197" s="47">
        <v>0.53500000000000003</v>
      </c>
      <c r="BP197" s="47">
        <v>0.49850000000000005</v>
      </c>
      <c r="BQ197" s="47">
        <v>0.47299999999999998</v>
      </c>
      <c r="BR197" s="47">
        <v>0.42700000000000005</v>
      </c>
      <c r="BS197" s="47">
        <v>0.41299999999999998</v>
      </c>
      <c r="BT197" s="47">
        <v>0.37700000000000006</v>
      </c>
      <c r="BU197" s="47">
        <v>0.309</v>
      </c>
      <c r="BV197" s="47">
        <v>0.29249999999999998</v>
      </c>
      <c r="BW197" s="47">
        <v>0.2555</v>
      </c>
      <c r="BX197" s="47">
        <v>0.22899999999999998</v>
      </c>
      <c r="BY197" s="47">
        <v>0.16800000000000001</v>
      </c>
      <c r="BZ197" s="47">
        <v>0.16850000000000001</v>
      </c>
      <c r="CA197" s="47">
        <v>0.19500000000000001</v>
      </c>
      <c r="CB197" s="47">
        <v>0.2475</v>
      </c>
      <c r="CC197" s="47">
        <v>0.26899999999999996</v>
      </c>
      <c r="CD197" s="47">
        <v>0.29649999999999999</v>
      </c>
      <c r="CE197" s="47">
        <v>0.31250000000000006</v>
      </c>
      <c r="CF197" s="47">
        <v>0.30299999999999999</v>
      </c>
      <c r="CG197" s="47">
        <v>0.36099999999999999</v>
      </c>
      <c r="CH197" s="47">
        <v>0.41300000000000003</v>
      </c>
      <c r="CI197" s="47">
        <v>0.47000000000000003</v>
      </c>
      <c r="CJ197" s="47">
        <v>0.53249999999999997</v>
      </c>
      <c r="CK197" s="47">
        <v>0.53300000000000003</v>
      </c>
      <c r="CL197" s="47">
        <v>0.48700000000000004</v>
      </c>
      <c r="CM197" s="47">
        <v>0.39849999999999997</v>
      </c>
      <c r="CN197" s="47">
        <v>0.35650000000000004</v>
      </c>
      <c r="CO197" s="47">
        <v>0.32</v>
      </c>
      <c r="CP197" s="47">
        <v>0.30399999999999999</v>
      </c>
      <c r="CQ197" s="47">
        <v>0.30350000000000005</v>
      </c>
      <c r="CR197" s="47">
        <v>0.39</v>
      </c>
      <c r="CS197" s="47">
        <v>0.49199999999999999</v>
      </c>
      <c r="CT197" s="47">
        <v>0.5635</v>
      </c>
      <c r="CU197" s="47">
        <v>0.62150000000000005</v>
      </c>
      <c r="CV197" s="47">
        <v>0.66800000000000004</v>
      </c>
      <c r="CW197" s="47">
        <v>0.70399999999999996</v>
      </c>
      <c r="CX197" s="47">
        <v>0.75600000000000001</v>
      </c>
      <c r="CY197" s="47">
        <v>0.77650000000000008</v>
      </c>
      <c r="CZ197" s="47">
        <v>0.78700000000000003</v>
      </c>
    </row>
    <row r="198" spans="1:104" x14ac:dyDescent="0.2">
      <c r="A198" s="50" t="s">
        <v>88</v>
      </c>
      <c r="B198" s="46">
        <f t="shared" si="32"/>
        <v>7.6000000000000014</v>
      </c>
      <c r="C198" s="46">
        <f t="shared" si="33"/>
        <v>-7.15</v>
      </c>
      <c r="D198" s="48">
        <f t="shared" si="34"/>
        <v>26.155050724404617</v>
      </c>
      <c r="E198" s="46"/>
      <c r="F198" s="47">
        <v>0.188</v>
      </c>
      <c r="G198" s="47">
        <v>0.188</v>
      </c>
      <c r="H198" s="47">
        <v>0.19349999999999998</v>
      </c>
      <c r="I198" s="47">
        <v>0.25950000000000001</v>
      </c>
      <c r="J198" s="47">
        <v>0.27999999999999997</v>
      </c>
      <c r="K198" s="47">
        <v>0.29550000000000004</v>
      </c>
      <c r="L198" s="47">
        <v>0.33650000000000002</v>
      </c>
      <c r="M198" s="47">
        <v>0.33650000000000002</v>
      </c>
      <c r="N198" s="47">
        <v>0.30050000000000004</v>
      </c>
      <c r="O198" s="47">
        <v>0.1525</v>
      </c>
      <c r="P198" s="47">
        <v>0.127</v>
      </c>
      <c r="Q198" s="47">
        <v>0.14249999999999999</v>
      </c>
      <c r="R198" s="47">
        <v>0.3155</v>
      </c>
      <c r="S198" s="47">
        <v>0.39250000000000002</v>
      </c>
      <c r="T198" s="47">
        <v>0.40249999999999997</v>
      </c>
      <c r="U198" s="47">
        <v>0.32649999999999996</v>
      </c>
      <c r="V198" s="47">
        <v>0.23900000000000002</v>
      </c>
      <c r="W198" s="47">
        <v>0.11199999999999999</v>
      </c>
      <c r="X198" s="47">
        <v>8.1500000000000003E-2</v>
      </c>
      <c r="Y198" s="47">
        <v>5.0999999999999997E-2</v>
      </c>
      <c r="Z198" s="47">
        <v>0.02</v>
      </c>
      <c r="AA198" s="47">
        <v>3.0499999999999999E-2</v>
      </c>
      <c r="AB198" s="47">
        <v>6.0999999999999992E-2</v>
      </c>
      <c r="AC198" s="47">
        <v>0.17799999999999999</v>
      </c>
      <c r="AD198" s="47">
        <v>0.43850000000000006</v>
      </c>
      <c r="AE198" s="47">
        <v>0.72900000000000009</v>
      </c>
      <c r="AF198" s="47">
        <v>0.83099999999999996</v>
      </c>
      <c r="AG198" s="47">
        <v>0.89700000000000002</v>
      </c>
      <c r="AH198" s="47">
        <v>0.92799999999999994</v>
      </c>
      <c r="AI198" s="47">
        <v>0.95350000000000001</v>
      </c>
      <c r="AJ198" s="47">
        <v>0.97399999999999987</v>
      </c>
      <c r="AK198" s="47">
        <v>0.99449999999999994</v>
      </c>
      <c r="AL198" s="47">
        <v>0.99449999999999994</v>
      </c>
      <c r="AM198" s="47">
        <v>0.97399999999999987</v>
      </c>
      <c r="AN198" s="47">
        <v>0.95350000000000001</v>
      </c>
      <c r="AO198" s="47">
        <v>0.93300000000000005</v>
      </c>
      <c r="AP198" s="47">
        <v>0.92300000000000004</v>
      </c>
      <c r="AQ198" s="47">
        <v>0.90800000000000003</v>
      </c>
      <c r="AR198" s="47">
        <v>0.88700000000000001</v>
      </c>
      <c r="AS198" s="47">
        <v>0.877</v>
      </c>
      <c r="AT198" s="47">
        <v>0.84150000000000003</v>
      </c>
      <c r="AU198" s="47">
        <v>0.75950000000000006</v>
      </c>
      <c r="AV198" s="47">
        <v>0.50949999999999995</v>
      </c>
      <c r="AW198" s="47">
        <v>0.41749999999999998</v>
      </c>
      <c r="AX198" s="47">
        <v>0.42300000000000004</v>
      </c>
      <c r="AY198" s="47">
        <v>0.46400000000000002</v>
      </c>
      <c r="AZ198" s="47">
        <v>0.50449999999999995</v>
      </c>
      <c r="BA198" s="47">
        <v>0.45399999999999996</v>
      </c>
      <c r="BB198" s="47">
        <v>0.433</v>
      </c>
      <c r="BC198" s="47">
        <v>0.37199999999999994</v>
      </c>
      <c r="BD198" s="47">
        <v>0.40749999999999997</v>
      </c>
      <c r="BE198" s="47">
        <v>0.36199999999999999</v>
      </c>
      <c r="BF198" s="47">
        <v>0.36149999999999999</v>
      </c>
      <c r="BG198" s="47">
        <v>0.34649999999999997</v>
      </c>
      <c r="BH198" s="47">
        <v>0.32050000000000001</v>
      </c>
      <c r="BI198" s="47">
        <v>0.27</v>
      </c>
      <c r="BJ198" s="47">
        <v>0.2495</v>
      </c>
      <c r="BK198" s="47">
        <v>0.25950000000000001</v>
      </c>
      <c r="BL198" s="47">
        <v>0.33100000000000002</v>
      </c>
      <c r="BM198" s="47">
        <v>0.36149999999999999</v>
      </c>
      <c r="BN198" s="47">
        <v>0.42249999999999999</v>
      </c>
      <c r="BO198" s="47">
        <v>0.45900000000000002</v>
      </c>
      <c r="BP198" s="47">
        <v>0.51999999999999991</v>
      </c>
      <c r="BQ198" s="47">
        <v>0.51500000000000001</v>
      </c>
      <c r="BR198" s="47">
        <v>0.48950000000000005</v>
      </c>
      <c r="BS198" s="47">
        <v>0.438</v>
      </c>
      <c r="BT198" s="47">
        <v>0.51500000000000001</v>
      </c>
      <c r="BU198" s="47">
        <v>0.51</v>
      </c>
      <c r="BV198" s="47">
        <v>0.505</v>
      </c>
      <c r="BW198" s="47">
        <v>0.5455000000000001</v>
      </c>
      <c r="BX198" s="47">
        <v>0.56599999999999995</v>
      </c>
      <c r="BY198" s="47">
        <v>0.64749999999999996</v>
      </c>
      <c r="BZ198" s="47">
        <v>0.69850000000000001</v>
      </c>
      <c r="CA198" s="47">
        <v>0.71900000000000008</v>
      </c>
      <c r="CB198" s="47">
        <v>0.72899999999999998</v>
      </c>
      <c r="CC198" s="47">
        <v>0.8105</v>
      </c>
      <c r="CD198" s="47">
        <v>0.85149999999999992</v>
      </c>
      <c r="CE198" s="47">
        <v>0.86199999999999999</v>
      </c>
      <c r="CF198" s="47">
        <v>0.83099999999999996</v>
      </c>
      <c r="CG198" s="47">
        <v>0.70350000000000001</v>
      </c>
      <c r="CH198" s="47">
        <v>0.622</v>
      </c>
      <c r="CI198" s="47">
        <v>0.65250000000000008</v>
      </c>
      <c r="CJ198" s="47">
        <v>0.77500000000000002</v>
      </c>
      <c r="CK198" s="47">
        <v>0.81549999999999989</v>
      </c>
      <c r="CL198" s="47">
        <v>0.78549999999999998</v>
      </c>
      <c r="CM198" s="47">
        <v>0.73949999999999994</v>
      </c>
      <c r="CN198" s="47">
        <v>0.65749999999999997</v>
      </c>
      <c r="CO198" s="47">
        <v>0.48399999999999999</v>
      </c>
      <c r="CP198" s="47">
        <v>0.35649999999999998</v>
      </c>
      <c r="CQ198" s="47">
        <v>0.27</v>
      </c>
      <c r="CR198" s="47">
        <v>0.35699999999999998</v>
      </c>
      <c r="CS198" s="47">
        <v>0.40749999999999997</v>
      </c>
      <c r="CT198" s="47">
        <v>0.38749999999999996</v>
      </c>
      <c r="CU198" s="47">
        <v>0.34650000000000003</v>
      </c>
      <c r="CV198" s="47">
        <v>0.32600000000000001</v>
      </c>
      <c r="CW198" s="47">
        <v>0.23949999999999999</v>
      </c>
      <c r="CX198" s="47">
        <v>0.35150000000000003</v>
      </c>
      <c r="CY198" s="47">
        <v>0.41800000000000004</v>
      </c>
      <c r="CZ198" s="47">
        <v>0.46399999999999997</v>
      </c>
    </row>
    <row r="199" spans="1:104" x14ac:dyDescent="0.2">
      <c r="A199" s="50" t="s">
        <v>91</v>
      </c>
      <c r="B199" s="46">
        <f t="shared" si="32"/>
        <v>-17.849999999999998</v>
      </c>
      <c r="C199" s="46">
        <f t="shared" si="33"/>
        <v>-20.349999999999994</v>
      </c>
      <c r="D199" s="48">
        <f t="shared" si="34"/>
        <v>24.817660667188974</v>
      </c>
      <c r="E199" s="46"/>
      <c r="F199" s="47">
        <v>0.28549999999999998</v>
      </c>
      <c r="G199" s="47">
        <v>0.30099999999999999</v>
      </c>
      <c r="H199" s="47">
        <v>0.50450000000000006</v>
      </c>
      <c r="I199" s="47">
        <v>0.48899999999999993</v>
      </c>
      <c r="J199" s="47">
        <v>0.39749999999999996</v>
      </c>
      <c r="K199" s="47">
        <v>0.32600000000000001</v>
      </c>
      <c r="L199" s="47">
        <v>0.30549999999999999</v>
      </c>
      <c r="M199" s="47">
        <v>0.34149999999999997</v>
      </c>
      <c r="N199" s="47">
        <v>0.35149999999999998</v>
      </c>
      <c r="O199" s="47">
        <v>0.35149999999999998</v>
      </c>
      <c r="P199" s="47">
        <v>0.3105</v>
      </c>
      <c r="Q199" s="47">
        <v>0.23399999999999999</v>
      </c>
      <c r="R199" s="47">
        <v>0.2545</v>
      </c>
      <c r="S199" s="47">
        <v>0.28000000000000003</v>
      </c>
      <c r="T199" s="47">
        <v>0.42799999999999999</v>
      </c>
      <c r="U199" s="47">
        <v>0.4945</v>
      </c>
      <c r="V199" s="47">
        <v>0.505</v>
      </c>
      <c r="W199" s="47">
        <v>0.46399999999999997</v>
      </c>
      <c r="X199" s="47">
        <v>0.372</v>
      </c>
      <c r="Y199" s="47">
        <v>0.22899999999999998</v>
      </c>
      <c r="Z199" s="47">
        <v>0.20350000000000001</v>
      </c>
      <c r="AA199" s="47">
        <v>0.29550000000000004</v>
      </c>
      <c r="AB199" s="47">
        <v>0.37700000000000006</v>
      </c>
      <c r="AC199" s="47">
        <v>0.4945</v>
      </c>
      <c r="AD199" s="47">
        <v>0.38250000000000001</v>
      </c>
      <c r="AE199" s="47">
        <v>0.52500000000000002</v>
      </c>
      <c r="AF199" s="47">
        <v>0.63749999999999996</v>
      </c>
      <c r="AG199" s="47">
        <v>0.71900000000000008</v>
      </c>
      <c r="AH199" s="47">
        <v>0.78</v>
      </c>
      <c r="AI199" s="47">
        <v>0.86150000000000004</v>
      </c>
      <c r="AJ199" s="47">
        <v>0.83650000000000002</v>
      </c>
      <c r="AK199" s="47">
        <v>0.80599999999999994</v>
      </c>
      <c r="AL199" s="47">
        <v>0.71900000000000008</v>
      </c>
      <c r="AM199" s="47">
        <v>0.60150000000000003</v>
      </c>
      <c r="AN199" s="47">
        <v>0.55049999999999999</v>
      </c>
      <c r="AO199" s="47">
        <v>0.65249999999999997</v>
      </c>
      <c r="AP199" s="47">
        <v>0.72900000000000009</v>
      </c>
      <c r="AQ199" s="47">
        <v>0.68799999999999994</v>
      </c>
      <c r="AR199" s="47">
        <v>0.60649999999999993</v>
      </c>
      <c r="AS199" s="47">
        <v>0.49950000000000006</v>
      </c>
      <c r="AT199" s="47">
        <v>0.47400000000000003</v>
      </c>
      <c r="AU199" s="47">
        <v>0.34650000000000003</v>
      </c>
      <c r="AV199" s="47">
        <v>0.214</v>
      </c>
      <c r="AW199" s="47">
        <v>0.219</v>
      </c>
      <c r="AX199" s="47">
        <v>0.32600000000000001</v>
      </c>
      <c r="AY199" s="47">
        <v>0.372</v>
      </c>
      <c r="AZ199" s="47">
        <v>0.28049999999999997</v>
      </c>
      <c r="BA199" s="47">
        <v>0.13250000000000001</v>
      </c>
      <c r="BB199" s="47">
        <v>4.0500000000000001E-2</v>
      </c>
      <c r="BC199" s="47">
        <v>5.6000000000000001E-2</v>
      </c>
      <c r="BD199" s="47">
        <v>0.14750000000000002</v>
      </c>
      <c r="BE199" s="47">
        <v>0.183</v>
      </c>
      <c r="BF199" s="47">
        <v>0.14199999999999999</v>
      </c>
      <c r="BG199" s="47">
        <v>0.2185</v>
      </c>
      <c r="BH199" s="47">
        <v>0.29050000000000004</v>
      </c>
      <c r="BI199" s="47">
        <v>0.316</v>
      </c>
      <c r="BJ199" s="47">
        <v>0.33649999999999997</v>
      </c>
      <c r="BK199" s="47">
        <v>0.36699999999999999</v>
      </c>
      <c r="BL199" s="47">
        <v>0.50949999999999995</v>
      </c>
      <c r="BM199" s="47">
        <v>0.58599999999999997</v>
      </c>
      <c r="BN199" s="47">
        <v>0.65800000000000003</v>
      </c>
      <c r="BO199" s="47">
        <v>0.55049999999999999</v>
      </c>
      <c r="BP199" s="47">
        <v>0.49950000000000006</v>
      </c>
      <c r="BQ199" s="47">
        <v>0.47399999999999998</v>
      </c>
      <c r="BR199" s="47">
        <v>0.55600000000000005</v>
      </c>
      <c r="BS199" s="47">
        <v>0.70850000000000002</v>
      </c>
      <c r="BT199" s="47">
        <v>0.82650000000000001</v>
      </c>
      <c r="BU199" s="47">
        <v>0.84150000000000003</v>
      </c>
      <c r="BV199" s="47">
        <v>0.83100000000000007</v>
      </c>
      <c r="BW199" s="47">
        <v>0.84099999999999997</v>
      </c>
      <c r="BX199" s="47">
        <v>0.81599999999999984</v>
      </c>
      <c r="BY199" s="47">
        <v>0.86199999999999999</v>
      </c>
      <c r="BZ199" s="47">
        <v>0.77</v>
      </c>
      <c r="CA199" s="47">
        <v>0.70850000000000002</v>
      </c>
      <c r="CB199" s="47">
        <v>0.61650000000000005</v>
      </c>
      <c r="CC199" s="47">
        <v>0.6885</v>
      </c>
      <c r="CD199" s="47">
        <v>0.88700000000000001</v>
      </c>
      <c r="CE199" s="47">
        <v>0.92799999999999994</v>
      </c>
      <c r="CF199" s="47">
        <v>0.877</v>
      </c>
      <c r="CG199" s="47">
        <v>0.80549999999999988</v>
      </c>
      <c r="CH199" s="47">
        <v>0.74399999999999999</v>
      </c>
      <c r="CI199" s="47">
        <v>0.72899999999999998</v>
      </c>
      <c r="CJ199" s="47">
        <v>0.59650000000000003</v>
      </c>
      <c r="CK199" s="47">
        <v>0.52999999999999992</v>
      </c>
      <c r="CL199" s="47">
        <v>0.7955000000000001</v>
      </c>
      <c r="CM199" s="47">
        <v>0.90749999999999997</v>
      </c>
      <c r="CN199" s="47">
        <v>0.98449999999999993</v>
      </c>
      <c r="CO199" s="47">
        <v>0.88700000000000001</v>
      </c>
      <c r="CP199" s="47">
        <v>0.76</v>
      </c>
      <c r="CQ199" s="47">
        <v>0.56050000000000011</v>
      </c>
      <c r="CR199" s="47">
        <v>0.47900000000000004</v>
      </c>
      <c r="CS199" s="47">
        <v>0.49950000000000006</v>
      </c>
      <c r="CT199" s="47">
        <v>0.42299999999999993</v>
      </c>
      <c r="CU199" s="47">
        <v>0.22900000000000001</v>
      </c>
      <c r="CV199" s="47">
        <v>0.11699999999999999</v>
      </c>
      <c r="CW199" s="47">
        <v>0.1575</v>
      </c>
      <c r="CX199" s="47">
        <v>0.20350000000000001</v>
      </c>
      <c r="CY199" s="47">
        <v>0.183</v>
      </c>
      <c r="CZ199" s="47">
        <v>0.17299999999999999</v>
      </c>
    </row>
    <row r="200" spans="1:104" x14ac:dyDescent="0.2">
      <c r="A200" s="50" t="s">
        <v>93</v>
      </c>
      <c r="B200" s="46">
        <f t="shared" si="32"/>
        <v>47.9</v>
      </c>
      <c r="C200" s="46">
        <f t="shared" si="33"/>
        <v>-6.199999999999994</v>
      </c>
      <c r="D200" s="48">
        <f t="shared" si="34"/>
        <v>30.045506120159281</v>
      </c>
      <c r="E200" s="46"/>
      <c r="F200" s="47">
        <v>0.64200000000000002</v>
      </c>
      <c r="G200" s="47">
        <v>0.67300000000000004</v>
      </c>
      <c r="H200" s="47">
        <v>0.72399999999999998</v>
      </c>
      <c r="I200" s="47">
        <v>0.70399999999999996</v>
      </c>
      <c r="J200" s="47">
        <v>0.69300000000000006</v>
      </c>
      <c r="K200" s="47">
        <v>0.66300000000000003</v>
      </c>
      <c r="L200" s="47">
        <v>0.74399999999999999</v>
      </c>
      <c r="M200" s="47">
        <v>0.77500000000000002</v>
      </c>
      <c r="N200" s="47">
        <v>0.71400000000000008</v>
      </c>
      <c r="O200" s="47">
        <v>0.45900000000000007</v>
      </c>
      <c r="P200" s="47">
        <v>0.26500000000000001</v>
      </c>
      <c r="Q200" s="47">
        <v>0.214</v>
      </c>
      <c r="R200" s="47">
        <v>0.193</v>
      </c>
      <c r="S200" s="47">
        <v>0.24399999999999999</v>
      </c>
      <c r="T200" s="47">
        <v>0.316</v>
      </c>
      <c r="U200" s="47">
        <v>0.33599999999999997</v>
      </c>
      <c r="V200" s="47">
        <v>0.29499999999999998</v>
      </c>
      <c r="W200" s="47">
        <v>0.16300000000000001</v>
      </c>
      <c r="X200" s="47">
        <v>0.02</v>
      </c>
      <c r="Y200" s="47">
        <v>0</v>
      </c>
      <c r="Z200" s="47">
        <v>0.01</v>
      </c>
      <c r="AA200" s="47">
        <v>5.0999999999999997E-2</v>
      </c>
      <c r="AB200" s="47">
        <v>0.28499999999999998</v>
      </c>
      <c r="AC200" s="47">
        <v>0.40799999999999997</v>
      </c>
      <c r="AD200" s="47">
        <v>0.34599999999999997</v>
      </c>
      <c r="AE200" s="47">
        <v>0.47899999999999998</v>
      </c>
      <c r="AF200" s="47">
        <v>0.44800000000000001</v>
      </c>
      <c r="AG200" s="47">
        <v>0.60199999999999998</v>
      </c>
      <c r="AH200" s="47">
        <v>0.78500000000000003</v>
      </c>
      <c r="AI200" s="47">
        <v>0.90800000000000003</v>
      </c>
      <c r="AJ200" s="47">
        <v>0.94799999999999995</v>
      </c>
      <c r="AK200" s="47">
        <v>1</v>
      </c>
      <c r="AL200" s="47">
        <v>0.97899999999999998</v>
      </c>
      <c r="AM200" s="47">
        <v>0.95899999999999996</v>
      </c>
      <c r="AN200" s="47">
        <v>0.93799999999999983</v>
      </c>
      <c r="AO200" s="47">
        <v>0.96899999999999997</v>
      </c>
      <c r="AP200" s="47">
        <v>0.98899999999999999</v>
      </c>
      <c r="AQ200" s="47">
        <v>0.92800000000000005</v>
      </c>
      <c r="AR200" s="47">
        <v>0.91800000000000015</v>
      </c>
      <c r="AS200" s="47">
        <v>0.86699999999999999</v>
      </c>
      <c r="AT200" s="47">
        <v>0.81599999999999995</v>
      </c>
      <c r="AU200" s="47">
        <v>0.61199999999999999</v>
      </c>
      <c r="AV200" s="47">
        <v>0.377</v>
      </c>
      <c r="AW200" s="47">
        <v>0.36699999999999999</v>
      </c>
      <c r="AX200" s="47">
        <v>0.438</v>
      </c>
      <c r="AY200" s="47">
        <v>0.42799999999999999</v>
      </c>
      <c r="AZ200" s="47">
        <v>0.30599999999999999</v>
      </c>
      <c r="BA200" s="47">
        <v>0.112</v>
      </c>
      <c r="BB200" s="47">
        <v>9.1000000000000011E-2</v>
      </c>
      <c r="BC200" s="47">
        <v>0.183</v>
      </c>
      <c r="BD200" s="47">
        <v>0.27500000000000002</v>
      </c>
      <c r="BE200" s="47">
        <v>0.224</v>
      </c>
      <c r="BF200" s="47">
        <v>0.153</v>
      </c>
      <c r="BG200" s="47">
        <v>0.122</v>
      </c>
      <c r="BH200" s="47">
        <v>0.10199999999999999</v>
      </c>
      <c r="BI200" s="47">
        <v>0.14199999999999999</v>
      </c>
      <c r="BJ200" s="47">
        <v>0.17299999999999999</v>
      </c>
      <c r="BK200" s="47">
        <v>0.20399999999999999</v>
      </c>
      <c r="BL200" s="47">
        <v>0.255</v>
      </c>
      <c r="BM200" s="47">
        <v>0.32600000000000001</v>
      </c>
      <c r="BN200" s="47">
        <v>0.38700000000000007</v>
      </c>
      <c r="BO200" s="47">
        <v>0.39700000000000002</v>
      </c>
      <c r="BP200" s="47">
        <v>0.41799999999999998</v>
      </c>
      <c r="BQ200" s="47">
        <v>0.46899999999999992</v>
      </c>
      <c r="BR200" s="47">
        <v>0.56100000000000005</v>
      </c>
      <c r="BS200" s="47">
        <v>0.622</v>
      </c>
      <c r="BT200" s="47">
        <v>0.63200000000000001</v>
      </c>
      <c r="BU200" s="47">
        <v>0.51</v>
      </c>
      <c r="BV200" s="47">
        <v>0.52</v>
      </c>
      <c r="BW200" s="47">
        <v>0.57099999999999995</v>
      </c>
      <c r="BX200" s="47">
        <v>0.65300000000000002</v>
      </c>
      <c r="BY200" s="47">
        <v>0.59099999999999997</v>
      </c>
      <c r="BZ200" s="47">
        <v>0.53</v>
      </c>
      <c r="CA200" s="47">
        <v>0.5</v>
      </c>
      <c r="CB200" s="47">
        <v>0.48899999999999999</v>
      </c>
      <c r="CC200" s="47">
        <v>0.54</v>
      </c>
      <c r="CD200" s="47">
        <v>0.55100000000000005</v>
      </c>
      <c r="CE200" s="47">
        <v>0.68300000000000016</v>
      </c>
      <c r="CF200" s="47">
        <v>0.76500000000000001</v>
      </c>
      <c r="CG200" s="47">
        <v>0.84599999999999997</v>
      </c>
      <c r="CH200" s="47">
        <v>0.83599999999999997</v>
      </c>
      <c r="CI200" s="47">
        <v>0.80600000000000005</v>
      </c>
      <c r="CJ200" s="47">
        <v>0.73399999999999999</v>
      </c>
      <c r="CK200" s="47">
        <v>0.755</v>
      </c>
      <c r="CL200" s="47">
        <v>0.82599999999999985</v>
      </c>
      <c r="CM200" s="47">
        <v>0.877</v>
      </c>
      <c r="CN200" s="47">
        <v>0.88700000000000001</v>
      </c>
      <c r="CO200" s="47">
        <v>0.89700000000000002</v>
      </c>
      <c r="CP200" s="47">
        <v>0.85699999999999998</v>
      </c>
      <c r="CQ200" s="47">
        <v>0.79500000000000015</v>
      </c>
      <c r="CR200" s="47">
        <v>0.58099999999999996</v>
      </c>
      <c r="CS200" s="47">
        <v>0.35700000000000004</v>
      </c>
      <c r="CT200" s="47">
        <v>0.23400000000000001</v>
      </c>
      <c r="CU200" s="47">
        <v>0.13200000000000001</v>
      </c>
      <c r="CV200" s="47">
        <v>7.0999999999999994E-2</v>
      </c>
      <c r="CW200" s="47">
        <v>8.1000000000000003E-2</v>
      </c>
      <c r="CX200" s="47">
        <v>6.0999999999999999E-2</v>
      </c>
      <c r="CY200" s="47">
        <v>0.04</v>
      </c>
      <c r="CZ200" s="47">
        <v>0.03</v>
      </c>
    </row>
    <row r="201" spans="1:104" x14ac:dyDescent="0.2">
      <c r="A201" s="50" t="s">
        <v>95</v>
      </c>
      <c r="B201" s="46">
        <f t="shared" si="32"/>
        <v>41.374999999999993</v>
      </c>
      <c r="C201" s="46">
        <f t="shared" si="33"/>
        <v>3.1000000000000028</v>
      </c>
      <c r="D201" s="48">
        <f t="shared" si="34"/>
        <v>26.870345141217218</v>
      </c>
      <c r="E201" s="46"/>
      <c r="F201" s="47">
        <v>0.54074999999999995</v>
      </c>
      <c r="G201" s="47">
        <v>0.53749999999999998</v>
      </c>
      <c r="H201" s="47">
        <v>0.51524999999999999</v>
      </c>
      <c r="I201" s="47">
        <v>0.50974999999999993</v>
      </c>
      <c r="J201" s="47">
        <v>0.48174999999999996</v>
      </c>
      <c r="K201" s="47">
        <v>0.41774999999999995</v>
      </c>
      <c r="L201" s="47">
        <v>0.40225</v>
      </c>
      <c r="M201" s="47">
        <v>0.34375</v>
      </c>
      <c r="N201" s="47">
        <v>0.34349999999999997</v>
      </c>
      <c r="O201" s="47">
        <v>0.26249999999999996</v>
      </c>
      <c r="P201" s="47">
        <v>0.19849999999999998</v>
      </c>
      <c r="Q201" s="47">
        <v>0.16499999999999998</v>
      </c>
      <c r="R201" s="47">
        <v>0.17074999999999999</v>
      </c>
      <c r="S201" s="47">
        <v>0.23124999999999998</v>
      </c>
      <c r="T201" s="47">
        <v>0.28250000000000003</v>
      </c>
      <c r="U201" s="47">
        <v>0.28275</v>
      </c>
      <c r="V201" s="47">
        <v>0.21375</v>
      </c>
      <c r="W201" s="47">
        <v>0.127</v>
      </c>
      <c r="X201" s="47">
        <v>8.3499999999999991E-2</v>
      </c>
      <c r="Y201" s="47">
        <v>0.10150000000000001</v>
      </c>
      <c r="Z201" s="47">
        <v>0.19875000000000001</v>
      </c>
      <c r="AA201" s="47">
        <v>0.27775</v>
      </c>
      <c r="AB201" s="47">
        <v>0.30349999999999999</v>
      </c>
      <c r="AC201" s="47">
        <v>0.35675000000000001</v>
      </c>
      <c r="AD201" s="47">
        <v>0.34125</v>
      </c>
      <c r="AE201" s="47">
        <v>0.34649999999999997</v>
      </c>
      <c r="AF201" s="47">
        <v>0.35675000000000001</v>
      </c>
      <c r="AG201" s="47">
        <v>0.54025000000000001</v>
      </c>
      <c r="AH201" s="47">
        <v>0.66300000000000003</v>
      </c>
      <c r="AI201" s="47">
        <v>0.82100000000000006</v>
      </c>
      <c r="AJ201" s="47">
        <v>0.81299999999999994</v>
      </c>
      <c r="AK201" s="47">
        <v>0.7287499999999999</v>
      </c>
      <c r="AL201" s="47">
        <v>0.78549999999999986</v>
      </c>
      <c r="AM201" s="47">
        <v>0.89474999999999982</v>
      </c>
      <c r="AN201" s="47">
        <v>0.88949999999999996</v>
      </c>
      <c r="AO201" s="47">
        <v>0.80099999999999993</v>
      </c>
      <c r="AP201" s="47">
        <v>0.7267499999999999</v>
      </c>
      <c r="AQ201" s="47">
        <v>0.72899999999999998</v>
      </c>
      <c r="AR201" s="47">
        <v>0.79299999999999993</v>
      </c>
      <c r="AS201" s="47">
        <v>0.81049999999999989</v>
      </c>
      <c r="AT201" s="47">
        <v>0.72924999999999995</v>
      </c>
      <c r="AU201" s="47">
        <v>0.50700000000000001</v>
      </c>
      <c r="AV201" s="47">
        <v>0.44074999999999992</v>
      </c>
      <c r="AW201" s="47">
        <v>0.35174999999999995</v>
      </c>
      <c r="AX201" s="47">
        <v>0.38774999999999998</v>
      </c>
      <c r="AY201" s="47">
        <v>0.33849999999999997</v>
      </c>
      <c r="AZ201" s="47">
        <v>0.30774999999999997</v>
      </c>
      <c r="BA201" s="47">
        <v>0.28250000000000003</v>
      </c>
      <c r="BB201" s="47">
        <v>0.25674999999999992</v>
      </c>
      <c r="BC201" s="47">
        <v>0.25224999999999997</v>
      </c>
      <c r="BD201" s="47">
        <v>0.26474999999999999</v>
      </c>
      <c r="BE201" s="47">
        <v>0.31349999999999995</v>
      </c>
      <c r="BF201" s="47">
        <v>0.316</v>
      </c>
      <c r="BG201" s="47">
        <v>0.33875</v>
      </c>
      <c r="BH201" s="47">
        <v>0.29824999999999996</v>
      </c>
      <c r="BI201" s="47">
        <v>0.219</v>
      </c>
      <c r="BJ201" s="47">
        <v>0.12175</v>
      </c>
      <c r="BK201" s="47">
        <v>4.8250000000000001E-2</v>
      </c>
      <c r="BL201" s="47">
        <v>5.3249999999999999E-2</v>
      </c>
      <c r="BM201" s="47">
        <v>9.9249999999999991E-2</v>
      </c>
      <c r="BN201" s="47">
        <v>0.13474999999999998</v>
      </c>
      <c r="BO201" s="47">
        <v>0.14500000000000002</v>
      </c>
      <c r="BP201" s="47">
        <v>0.14749999999999999</v>
      </c>
      <c r="BQ201" s="47">
        <v>0.16275000000000001</v>
      </c>
      <c r="BR201" s="47">
        <v>0.22675000000000001</v>
      </c>
      <c r="BS201" s="47">
        <v>0.33600000000000002</v>
      </c>
      <c r="BT201" s="47">
        <v>0.436</v>
      </c>
      <c r="BU201" s="47">
        <v>0.61450000000000005</v>
      </c>
      <c r="BV201" s="47">
        <v>0.66525000000000001</v>
      </c>
      <c r="BW201" s="47">
        <v>0.7287499999999999</v>
      </c>
      <c r="BX201" s="47">
        <v>0.76724999999999999</v>
      </c>
      <c r="BY201" s="47">
        <v>0.7649999999999999</v>
      </c>
      <c r="BZ201" s="47">
        <v>0.73924999999999996</v>
      </c>
      <c r="CA201" s="47">
        <v>0.75949999999999995</v>
      </c>
      <c r="CB201" s="47">
        <v>0.7779999999999998</v>
      </c>
      <c r="CC201" s="47">
        <v>0.7952499999999999</v>
      </c>
      <c r="CD201" s="47">
        <v>0.83100000000000007</v>
      </c>
      <c r="CE201" s="47">
        <v>0.84150000000000003</v>
      </c>
      <c r="CF201" s="47">
        <v>0.87424999999999997</v>
      </c>
      <c r="CG201" s="47">
        <v>0.85899999999999999</v>
      </c>
      <c r="CH201" s="47">
        <v>0.82325000000000004</v>
      </c>
      <c r="CI201" s="47">
        <v>0.77024999999999988</v>
      </c>
      <c r="CJ201" s="47">
        <v>0.76449999999999996</v>
      </c>
      <c r="CK201" s="47">
        <v>0.79275000000000007</v>
      </c>
      <c r="CL201" s="47">
        <v>0.83624999999999983</v>
      </c>
      <c r="CM201" s="47">
        <v>0.86449999999999994</v>
      </c>
      <c r="CN201" s="47">
        <v>0.90275000000000005</v>
      </c>
      <c r="CO201" s="47">
        <v>0.89200000000000002</v>
      </c>
      <c r="CP201" s="47">
        <v>0.84425000000000006</v>
      </c>
      <c r="CQ201" s="47">
        <v>0.77</v>
      </c>
      <c r="CR201" s="47">
        <v>0.68099999999999994</v>
      </c>
      <c r="CS201" s="47">
        <v>0.65500000000000003</v>
      </c>
      <c r="CT201" s="47">
        <v>0.64774999999999994</v>
      </c>
      <c r="CU201" s="47">
        <v>0.58849999999999991</v>
      </c>
      <c r="CV201" s="47">
        <v>0.54274999999999995</v>
      </c>
      <c r="CW201" s="47">
        <v>0.55574999999999997</v>
      </c>
      <c r="CX201" s="47">
        <v>0.57600000000000007</v>
      </c>
      <c r="CY201" s="47">
        <v>0.54525000000000001</v>
      </c>
      <c r="CZ201" s="47">
        <v>0.47675000000000001</v>
      </c>
    </row>
    <row r="202" spans="1:104" x14ac:dyDescent="0.2">
      <c r="A202" s="50" t="s">
        <v>97</v>
      </c>
      <c r="B202" s="46">
        <f t="shared" si="32"/>
        <v>19.400000000000006</v>
      </c>
      <c r="C202" s="46">
        <f t="shared" si="33"/>
        <v>-2.0000000000000018</v>
      </c>
      <c r="D202" s="48">
        <f t="shared" si="34"/>
        <v>31.083720739153271</v>
      </c>
      <c r="E202" s="46"/>
      <c r="F202" s="47">
        <v>0.60199999999999998</v>
      </c>
      <c r="G202" s="47">
        <v>0.61199999999999999</v>
      </c>
      <c r="H202" s="47">
        <v>0.63200000000000001</v>
      </c>
      <c r="I202" s="47">
        <v>0.622</v>
      </c>
      <c r="J202" s="47">
        <v>0.59099999999999997</v>
      </c>
      <c r="K202" s="47">
        <v>0.57099999999999995</v>
      </c>
      <c r="L202" s="47">
        <v>0.55100000000000005</v>
      </c>
      <c r="M202" s="47">
        <v>0.54</v>
      </c>
      <c r="N202" s="47">
        <v>0.52</v>
      </c>
      <c r="O202" s="47">
        <v>0.47899999999999998</v>
      </c>
      <c r="P202" s="47">
        <v>0.41799999999999998</v>
      </c>
      <c r="Q202" s="47">
        <v>0.38700000000000001</v>
      </c>
      <c r="R202" s="47">
        <v>0.36699999999999999</v>
      </c>
      <c r="S202" s="47">
        <v>0.316</v>
      </c>
      <c r="T202" s="47">
        <v>0.32600000000000001</v>
      </c>
      <c r="U202" s="47">
        <v>0.377</v>
      </c>
      <c r="V202" s="47">
        <v>0.39700000000000002</v>
      </c>
      <c r="W202" s="47">
        <v>0.40799999999999992</v>
      </c>
      <c r="X202" s="47">
        <v>0.45900000000000002</v>
      </c>
      <c r="Y202" s="47">
        <v>0.42799999999999999</v>
      </c>
      <c r="Z202" s="47">
        <v>0.438</v>
      </c>
      <c r="AA202" s="47">
        <v>0.438</v>
      </c>
      <c r="AB202" s="47">
        <v>0.48899999999999999</v>
      </c>
      <c r="AC202" s="47">
        <v>0.53</v>
      </c>
      <c r="AD202" s="47">
        <v>0.64200000000000002</v>
      </c>
      <c r="AE202" s="47">
        <v>0.66300000000000003</v>
      </c>
      <c r="AF202" s="47">
        <v>0.69299999999999995</v>
      </c>
      <c r="AG202" s="47">
        <v>0.72399999999999998</v>
      </c>
      <c r="AH202" s="47">
        <v>0.79500000000000004</v>
      </c>
      <c r="AI202" s="47">
        <v>0.85699999999999998</v>
      </c>
      <c r="AJ202" s="47">
        <v>0.92799999999999994</v>
      </c>
      <c r="AK202" s="47">
        <v>0.90800000000000014</v>
      </c>
      <c r="AL202" s="47">
        <v>0.88700000000000012</v>
      </c>
      <c r="AM202" s="47">
        <v>0.86699999999999999</v>
      </c>
      <c r="AN202" s="47">
        <v>0.83599999999999997</v>
      </c>
      <c r="AO202" s="47">
        <v>0.81599999999999984</v>
      </c>
      <c r="AP202" s="47">
        <v>0.77500000000000002</v>
      </c>
      <c r="AQ202" s="47">
        <v>0.755</v>
      </c>
      <c r="AR202" s="47">
        <v>0.5</v>
      </c>
      <c r="AS202" s="47">
        <v>0.214</v>
      </c>
      <c r="AT202" s="47">
        <v>9.0999999999999998E-2</v>
      </c>
      <c r="AU202" s="47">
        <v>8.1000000000000003E-2</v>
      </c>
      <c r="AV202" s="47">
        <v>0.02</v>
      </c>
      <c r="AW202" s="47">
        <v>0.04</v>
      </c>
      <c r="AX202" s="47">
        <v>5.099999999999999E-2</v>
      </c>
      <c r="AY202" s="47">
        <v>6.0999999999999999E-2</v>
      </c>
      <c r="AZ202" s="47">
        <v>2.9999999999999995E-2</v>
      </c>
      <c r="BA202" s="47">
        <v>0.01</v>
      </c>
      <c r="BB202" s="47">
        <v>0</v>
      </c>
      <c r="BC202" s="47">
        <v>7.0999999999999994E-2</v>
      </c>
      <c r="BD202" s="47">
        <v>0.10199999999999998</v>
      </c>
      <c r="BE202" s="47">
        <v>0.27500000000000002</v>
      </c>
      <c r="BF202" s="47">
        <v>0.22400000000000003</v>
      </c>
      <c r="BG202" s="47">
        <v>0.193</v>
      </c>
      <c r="BH202" s="47">
        <v>0.11200000000000002</v>
      </c>
      <c r="BI202" s="47">
        <v>0.11200000000000002</v>
      </c>
      <c r="BJ202" s="47">
        <v>0.20399999999999996</v>
      </c>
      <c r="BK202" s="47">
        <v>0.23400000000000001</v>
      </c>
      <c r="BL202" s="47">
        <v>0.26500000000000001</v>
      </c>
      <c r="BM202" s="47">
        <v>0.29499999999999998</v>
      </c>
      <c r="BN202" s="47">
        <v>0.30599999999999999</v>
      </c>
      <c r="BO202" s="47">
        <v>0.33600000000000002</v>
      </c>
      <c r="BP202" s="47">
        <v>0.33600000000000002</v>
      </c>
      <c r="BQ202" s="47">
        <v>0.33600000000000002</v>
      </c>
      <c r="BR202" s="47">
        <v>0.51</v>
      </c>
      <c r="BS202" s="47">
        <v>0.58099999999999996</v>
      </c>
      <c r="BT202" s="47">
        <v>0.68300000000000005</v>
      </c>
      <c r="BU202" s="47">
        <v>0.74399999999999999</v>
      </c>
      <c r="BV202" s="47">
        <v>0.78500000000000014</v>
      </c>
      <c r="BW202" s="47">
        <v>0.82599999999999996</v>
      </c>
      <c r="BX202" s="47">
        <v>0.91800000000000004</v>
      </c>
      <c r="BY202" s="47">
        <v>0.98899999999999988</v>
      </c>
      <c r="BZ202" s="47">
        <v>0.98899999999999988</v>
      </c>
      <c r="CA202" s="47">
        <v>0.95899999999999996</v>
      </c>
      <c r="CB202" s="47">
        <v>0.95899999999999996</v>
      </c>
      <c r="CC202" s="47">
        <v>0.95899999999999996</v>
      </c>
      <c r="CD202" s="47">
        <v>0.94800000000000006</v>
      </c>
      <c r="CE202" s="47">
        <v>0.93799999999999994</v>
      </c>
      <c r="CF202" s="47">
        <v>0.89700000000000002</v>
      </c>
      <c r="CG202" s="47">
        <v>0.877</v>
      </c>
      <c r="CH202" s="47">
        <v>0.84600000000000009</v>
      </c>
      <c r="CI202" s="47">
        <v>0.80600000000000005</v>
      </c>
      <c r="CJ202" s="47">
        <v>0.76500000000000001</v>
      </c>
      <c r="CK202" s="47">
        <v>0.70399999999999996</v>
      </c>
      <c r="CL202" s="47">
        <v>0.70399999999999996</v>
      </c>
      <c r="CM202" s="47">
        <v>0.73399999999999999</v>
      </c>
      <c r="CN202" s="47">
        <v>0.67300000000000004</v>
      </c>
      <c r="CO202" s="47">
        <v>0.65300000000000002</v>
      </c>
      <c r="CP202" s="47">
        <v>0.56100000000000005</v>
      </c>
      <c r="CQ202" s="47">
        <v>0.46899999999999997</v>
      </c>
      <c r="CR202" s="47">
        <v>0.28499999999999998</v>
      </c>
      <c r="CS202" s="47">
        <v>0.24399999999999999</v>
      </c>
      <c r="CT202" s="47">
        <v>0.11200000000000002</v>
      </c>
      <c r="CU202" s="47">
        <v>0.11200000000000002</v>
      </c>
      <c r="CV202" s="47">
        <v>0.11200000000000002</v>
      </c>
      <c r="CW202" s="47">
        <v>0.11200000000000002</v>
      </c>
      <c r="CX202" s="47">
        <v>0.11200000000000002</v>
      </c>
      <c r="CY202" s="47">
        <v>0.11200000000000002</v>
      </c>
      <c r="CZ202" s="47">
        <v>0.24399999999999999</v>
      </c>
    </row>
    <row r="203" spans="1:104" x14ac:dyDescent="0.2">
      <c r="A203" s="50" t="s">
        <v>99</v>
      </c>
      <c r="B203" s="46">
        <f t="shared" si="32"/>
        <v>-1.0000000000000009</v>
      </c>
      <c r="C203" s="46">
        <f t="shared" si="33"/>
        <v>2.0000000000000018</v>
      </c>
      <c r="D203" s="48">
        <f t="shared" si="34"/>
        <v>30.258375915050873</v>
      </c>
      <c r="E203" s="46"/>
      <c r="F203" s="47">
        <v>0.53</v>
      </c>
      <c r="G203" s="47">
        <v>0.46899999999999997</v>
      </c>
      <c r="H203" s="47">
        <v>0.52</v>
      </c>
      <c r="I203" s="47">
        <v>0.51</v>
      </c>
      <c r="J203" s="47">
        <v>0.42799999999999999</v>
      </c>
      <c r="K203" s="47">
        <v>0.48899999999999999</v>
      </c>
      <c r="L203" s="47">
        <v>0.45900000000000002</v>
      </c>
      <c r="M203" s="47">
        <v>0.38700000000000001</v>
      </c>
      <c r="N203" s="47">
        <v>0.183</v>
      </c>
      <c r="O203" s="47">
        <v>0.14199999999999999</v>
      </c>
      <c r="P203" s="47">
        <v>0.193</v>
      </c>
      <c r="Q203" s="47">
        <v>0.32600000000000001</v>
      </c>
      <c r="R203" s="47">
        <v>0.30599999999999999</v>
      </c>
      <c r="S203" s="47">
        <v>0.33600000000000002</v>
      </c>
      <c r="T203" s="47">
        <v>0.39700000000000002</v>
      </c>
      <c r="U203" s="47">
        <v>0.438</v>
      </c>
      <c r="V203" s="47">
        <v>0.44800000000000006</v>
      </c>
      <c r="W203" s="47">
        <v>0.54</v>
      </c>
      <c r="X203" s="47">
        <v>0.57099999999999995</v>
      </c>
      <c r="Y203" s="47">
        <v>0.63200000000000001</v>
      </c>
      <c r="Z203" s="47">
        <v>0.72399999999999998</v>
      </c>
      <c r="AA203" s="47">
        <v>0.83599999999999997</v>
      </c>
      <c r="AB203" s="47">
        <v>0.86699999999999999</v>
      </c>
      <c r="AC203" s="47">
        <v>0.85699999999999998</v>
      </c>
      <c r="AD203" s="47">
        <v>0.71399999999999997</v>
      </c>
      <c r="AE203" s="47">
        <v>0.74399999999999999</v>
      </c>
      <c r="AF203" s="47">
        <v>0.78500000000000014</v>
      </c>
      <c r="AG203" s="47">
        <v>0.91800000000000004</v>
      </c>
      <c r="AH203" s="47">
        <v>0.95899999999999996</v>
      </c>
      <c r="AI203" s="47">
        <v>0.98899999999999988</v>
      </c>
      <c r="AJ203" s="47">
        <v>0.97899999999999998</v>
      </c>
      <c r="AK203" s="47">
        <v>0.96900000000000008</v>
      </c>
      <c r="AL203" s="47">
        <v>0.94800000000000006</v>
      </c>
      <c r="AM203" s="47">
        <v>0.90800000000000014</v>
      </c>
      <c r="AN203" s="47">
        <v>0.88700000000000012</v>
      </c>
      <c r="AO203" s="47">
        <v>0.89700000000000002</v>
      </c>
      <c r="AP203" s="47">
        <v>0.81599999999999984</v>
      </c>
      <c r="AQ203" s="47">
        <v>0.55100000000000005</v>
      </c>
      <c r="AR203" s="47">
        <v>0.24399999999999999</v>
      </c>
      <c r="AS203" s="47">
        <v>0.153</v>
      </c>
      <c r="AT203" s="47">
        <v>0.13200000000000001</v>
      </c>
      <c r="AU203" s="47">
        <v>0.10199999999999998</v>
      </c>
      <c r="AV203" s="47">
        <v>8.1000000000000003E-2</v>
      </c>
      <c r="AW203" s="47">
        <v>5.099999999999999E-2</v>
      </c>
      <c r="AX203" s="47">
        <v>2.9999999999999995E-2</v>
      </c>
      <c r="AY203" s="47">
        <v>0.04</v>
      </c>
      <c r="AZ203" s="47">
        <v>0.01</v>
      </c>
      <c r="BA203" s="47">
        <v>0</v>
      </c>
      <c r="BB203" s="47">
        <v>0.02</v>
      </c>
      <c r="BC203" s="47">
        <v>9.0999999999999998E-2</v>
      </c>
      <c r="BD203" s="47">
        <v>0.17299999999999999</v>
      </c>
      <c r="BE203" s="47">
        <v>0.16300000000000001</v>
      </c>
      <c r="BF203" s="47">
        <v>0.122</v>
      </c>
      <c r="BG203" s="47">
        <v>7.0999999999999994E-2</v>
      </c>
      <c r="BH203" s="47">
        <v>6.0999999999999999E-2</v>
      </c>
      <c r="BI203" s="47">
        <v>0.11200000000000002</v>
      </c>
      <c r="BJ203" s="47">
        <v>0.20399999999999996</v>
      </c>
      <c r="BK203" s="47">
        <v>0.27500000000000002</v>
      </c>
      <c r="BL203" s="47">
        <v>0.29499999999999998</v>
      </c>
      <c r="BM203" s="47">
        <v>0.316</v>
      </c>
      <c r="BN203" s="47">
        <v>0.35699999999999998</v>
      </c>
      <c r="BO203" s="47">
        <v>0.36699999999999999</v>
      </c>
      <c r="BP203" s="47">
        <v>0.377</v>
      </c>
      <c r="BQ203" s="47">
        <v>0.40799999999999992</v>
      </c>
      <c r="BR203" s="47">
        <v>0.60199999999999998</v>
      </c>
      <c r="BS203" s="47">
        <v>0.69299999999999995</v>
      </c>
      <c r="BT203" s="47">
        <v>0.877</v>
      </c>
      <c r="BU203" s="47">
        <v>0.84600000000000009</v>
      </c>
      <c r="BV203" s="47">
        <v>0.755</v>
      </c>
      <c r="BW203" s="47">
        <v>0.67300000000000004</v>
      </c>
      <c r="BX203" s="47">
        <v>0.73399999999999999</v>
      </c>
      <c r="BY203" s="47">
        <v>0.70399999999999996</v>
      </c>
      <c r="BZ203" s="47">
        <v>0.622</v>
      </c>
      <c r="CA203" s="47">
        <v>0.56100000000000005</v>
      </c>
      <c r="CB203" s="47">
        <v>0.5</v>
      </c>
      <c r="CC203" s="47">
        <v>0.59099999999999997</v>
      </c>
      <c r="CD203" s="47">
        <v>0.66300000000000003</v>
      </c>
      <c r="CE203" s="47">
        <v>0.77500000000000002</v>
      </c>
      <c r="CF203" s="47">
        <v>0.79500000000000004</v>
      </c>
      <c r="CG203" s="47">
        <v>0.76500000000000001</v>
      </c>
      <c r="CH203" s="47">
        <v>0.68300000000000005</v>
      </c>
      <c r="CI203" s="47">
        <v>0.65300000000000002</v>
      </c>
      <c r="CJ203" s="47">
        <v>0.61199999999999999</v>
      </c>
      <c r="CK203" s="47">
        <v>0.64200000000000002</v>
      </c>
      <c r="CL203" s="47">
        <v>0.82599999999999996</v>
      </c>
      <c r="CM203" s="47">
        <v>0.93799999999999994</v>
      </c>
      <c r="CN203" s="47">
        <v>1</v>
      </c>
      <c r="CO203" s="47">
        <v>0.92799999999999994</v>
      </c>
      <c r="CP203" s="47">
        <v>0.80600000000000005</v>
      </c>
      <c r="CQ203" s="47">
        <v>0.58099999999999996</v>
      </c>
      <c r="CR203" s="47">
        <v>0.47899999999999998</v>
      </c>
      <c r="CS203" s="47">
        <v>0.41799999999999998</v>
      </c>
      <c r="CT203" s="47">
        <v>0.34599999999999997</v>
      </c>
      <c r="CU203" s="47">
        <v>0.28499999999999998</v>
      </c>
      <c r="CV203" s="47">
        <v>0.22400000000000003</v>
      </c>
      <c r="CW203" s="47">
        <v>0.26500000000000001</v>
      </c>
      <c r="CX203" s="47">
        <v>0.23400000000000001</v>
      </c>
      <c r="CY203" s="47">
        <v>0.255</v>
      </c>
      <c r="CZ203" s="47">
        <v>0.214</v>
      </c>
    </row>
    <row r="204" spans="1:104" x14ac:dyDescent="0.2">
      <c r="A204" s="50" t="s">
        <v>101</v>
      </c>
      <c r="B204" s="46">
        <f t="shared" si="32"/>
        <v>66.3</v>
      </c>
      <c r="C204" s="46">
        <f t="shared" si="33"/>
        <v>21.400000000000009</v>
      </c>
      <c r="D204" s="48">
        <f t="shared" si="34"/>
        <v>30.310291327048962</v>
      </c>
      <c r="E204" s="46"/>
      <c r="F204" s="47">
        <v>0.78500000000000003</v>
      </c>
      <c r="G204" s="47">
        <v>0.70399999999999996</v>
      </c>
      <c r="H204" s="47">
        <v>0.61199999999999999</v>
      </c>
      <c r="I204" s="47">
        <v>0.57099999999999995</v>
      </c>
      <c r="J204" s="47">
        <v>0.71399999999999997</v>
      </c>
      <c r="K204" s="47">
        <v>0.72399999999999998</v>
      </c>
      <c r="L204" s="47">
        <v>0.69299999999999995</v>
      </c>
      <c r="M204" s="47">
        <v>0.55100000000000005</v>
      </c>
      <c r="N204" s="47">
        <v>0.45900000000000002</v>
      </c>
      <c r="O204" s="47">
        <v>0.39700000000000002</v>
      </c>
      <c r="P204" s="47">
        <v>0.32600000000000001</v>
      </c>
      <c r="Q204" s="47">
        <v>0.24399999999999999</v>
      </c>
      <c r="R204" s="47">
        <v>0.26500000000000001</v>
      </c>
      <c r="S204" s="47">
        <v>0.30599999999999999</v>
      </c>
      <c r="T204" s="47">
        <v>0.316</v>
      </c>
      <c r="U204" s="47">
        <v>0.28499999999999998</v>
      </c>
      <c r="V204" s="47">
        <v>0.112</v>
      </c>
      <c r="W204" s="47">
        <v>0.122</v>
      </c>
      <c r="X204" s="47">
        <v>0.193</v>
      </c>
      <c r="Y204" s="47">
        <v>0.35699999999999998</v>
      </c>
      <c r="Z204" s="47">
        <v>0.42799999999999999</v>
      </c>
      <c r="AA204" s="47">
        <v>0.47900000000000004</v>
      </c>
      <c r="AB204" s="47">
        <v>0.46899999999999997</v>
      </c>
      <c r="AC204" s="47">
        <v>0.44800000000000001</v>
      </c>
      <c r="AD204" s="47">
        <v>0.36699999999999999</v>
      </c>
      <c r="AE204" s="47">
        <v>0.38700000000000001</v>
      </c>
      <c r="AF204" s="47">
        <v>0.40799999999999997</v>
      </c>
      <c r="AG204" s="47">
        <v>0.5</v>
      </c>
      <c r="AH204" s="47">
        <v>0.48899999999999999</v>
      </c>
      <c r="AI204" s="47">
        <v>0.53</v>
      </c>
      <c r="AJ204" s="47">
        <v>0.60199999999999998</v>
      </c>
      <c r="AK204" s="47">
        <v>0.755</v>
      </c>
      <c r="AL204" s="47">
        <v>0.82599999999999996</v>
      </c>
      <c r="AM204" s="47">
        <v>0.88700000000000001</v>
      </c>
      <c r="AN204" s="47">
        <v>0.90800000000000014</v>
      </c>
      <c r="AO204" s="47">
        <v>0.93799999999999994</v>
      </c>
      <c r="AP204" s="47">
        <v>0.94799999999999984</v>
      </c>
      <c r="AQ204" s="47">
        <v>0.91800000000000004</v>
      </c>
      <c r="AR204" s="47">
        <v>0.85699999999999998</v>
      </c>
      <c r="AS204" s="47">
        <v>0.79500000000000004</v>
      </c>
      <c r="AT204" s="47">
        <v>0.86699999999999999</v>
      </c>
      <c r="AU204" s="47">
        <v>0.87700000000000011</v>
      </c>
      <c r="AV204" s="47">
        <v>0.83599999999999997</v>
      </c>
      <c r="AW204" s="47">
        <v>0.68300000000000005</v>
      </c>
      <c r="AX204" s="47">
        <v>0.54</v>
      </c>
      <c r="AY204" s="47">
        <v>0.34599999999999997</v>
      </c>
      <c r="AZ204" s="47">
        <v>0.20399999999999999</v>
      </c>
      <c r="BA204" s="47">
        <v>0.183</v>
      </c>
      <c r="BB204" s="47">
        <v>0.23399999999999999</v>
      </c>
      <c r="BC204" s="47">
        <v>0.41799999999999998</v>
      </c>
      <c r="BD204" s="47">
        <v>0.622</v>
      </c>
      <c r="BE204" s="47">
        <v>0.76500000000000001</v>
      </c>
      <c r="BF204" s="47">
        <v>0.74399999999999999</v>
      </c>
      <c r="BG204" s="47">
        <v>0.65300000000000002</v>
      </c>
      <c r="BH204" s="47">
        <v>0.59099999999999997</v>
      </c>
      <c r="BI204" s="47">
        <v>0.56100000000000005</v>
      </c>
      <c r="BJ204" s="47">
        <v>0.64200000000000002</v>
      </c>
      <c r="BK204" s="47">
        <v>0.66300000000000003</v>
      </c>
      <c r="BL204" s="47">
        <v>0.63200000000000001</v>
      </c>
      <c r="BM204" s="47">
        <v>0.58099999999999996</v>
      </c>
      <c r="BN204" s="47">
        <v>0.52</v>
      </c>
      <c r="BO204" s="47">
        <v>0.43800000000000006</v>
      </c>
      <c r="BP204" s="47">
        <v>0.377</v>
      </c>
      <c r="BQ204" s="47">
        <v>0.255</v>
      </c>
      <c r="BR204" s="47">
        <v>0.224</v>
      </c>
      <c r="BS204" s="47">
        <v>0.29499999999999998</v>
      </c>
      <c r="BT204" s="47">
        <v>0.214</v>
      </c>
      <c r="BU204" s="47">
        <v>0.13200000000000001</v>
      </c>
      <c r="BV204" s="47">
        <v>5.0999999999999997E-2</v>
      </c>
      <c r="BW204" s="47">
        <v>0.10199999999999999</v>
      </c>
      <c r="BX204" s="47">
        <v>7.0999999999999994E-2</v>
      </c>
      <c r="BY204" s="47">
        <v>6.0999999999999999E-2</v>
      </c>
      <c r="BZ204" s="47">
        <v>3.0000000000000002E-2</v>
      </c>
      <c r="CA204" s="47">
        <v>0</v>
      </c>
      <c r="CB204" s="47">
        <v>0.01</v>
      </c>
      <c r="CC204" s="47">
        <v>0.02</v>
      </c>
      <c r="CD204" s="47">
        <v>8.1000000000000003E-2</v>
      </c>
      <c r="CE204" s="47">
        <v>0.27500000000000002</v>
      </c>
      <c r="CF204" s="47">
        <v>0.67300000000000004</v>
      </c>
      <c r="CG204" s="47">
        <v>0.77500000000000002</v>
      </c>
      <c r="CH204" s="47">
        <v>0.84599999999999997</v>
      </c>
      <c r="CI204" s="47">
        <v>0.80600000000000005</v>
      </c>
      <c r="CJ204" s="47">
        <v>0.81599999999999995</v>
      </c>
      <c r="CK204" s="47">
        <v>0.89700000000000002</v>
      </c>
      <c r="CL204" s="47">
        <v>0.95900000000000007</v>
      </c>
      <c r="CM204" s="47">
        <v>0.97899999999999987</v>
      </c>
      <c r="CN204" s="47">
        <v>1</v>
      </c>
      <c r="CO204" s="47">
        <v>0.9890000000000001</v>
      </c>
      <c r="CP204" s="47">
        <v>0.96899999999999997</v>
      </c>
      <c r="CQ204" s="47">
        <v>0.92800000000000005</v>
      </c>
      <c r="CR204" s="47">
        <v>0.73399999999999999</v>
      </c>
      <c r="CS204" s="47">
        <v>0.51</v>
      </c>
      <c r="CT204" s="47">
        <v>0.33600000000000002</v>
      </c>
      <c r="CU204" s="47">
        <v>0.14199999999999999</v>
      </c>
      <c r="CV204" s="47">
        <v>0.17299999999999999</v>
      </c>
      <c r="CW204" s="47">
        <v>0.153</v>
      </c>
      <c r="CX204" s="47">
        <v>0.16300000000000001</v>
      </c>
      <c r="CY204" s="47">
        <v>9.0999999999999998E-2</v>
      </c>
      <c r="CZ204" s="47">
        <v>0.04</v>
      </c>
    </row>
    <row r="205" spans="1:104" x14ac:dyDescent="0.2">
      <c r="A205" s="50" t="s">
        <v>103</v>
      </c>
      <c r="B205" s="46">
        <f t="shared" si="32"/>
        <v>14.3</v>
      </c>
      <c r="C205" s="46">
        <f t="shared" si="33"/>
        <v>-9.1999999999999975</v>
      </c>
      <c r="D205" s="48">
        <f t="shared" si="34"/>
        <v>26.980534740939177</v>
      </c>
      <c r="E205" s="46"/>
      <c r="F205" s="47">
        <v>0.81600000000000006</v>
      </c>
      <c r="G205" s="47">
        <v>0.87700000000000011</v>
      </c>
      <c r="H205" s="47">
        <v>0.86699999999999999</v>
      </c>
      <c r="I205" s="47">
        <v>0.90800000000000003</v>
      </c>
      <c r="J205" s="47">
        <v>0.91800000000000004</v>
      </c>
      <c r="K205" s="47">
        <v>0.97899999999999998</v>
      </c>
      <c r="L205" s="47">
        <v>1</v>
      </c>
      <c r="M205" s="47">
        <v>0.93799999999999994</v>
      </c>
      <c r="N205" s="47">
        <v>0.85699999999999998</v>
      </c>
      <c r="O205" s="47">
        <v>0.77500000000000002</v>
      </c>
      <c r="P205" s="47">
        <v>0.94800000000000006</v>
      </c>
      <c r="Q205" s="47">
        <v>0.96899999999999986</v>
      </c>
      <c r="R205" s="47">
        <v>0.95900000000000007</v>
      </c>
      <c r="S205" s="47">
        <v>0.92800000000000005</v>
      </c>
      <c r="T205" s="47">
        <v>0.83599999999999997</v>
      </c>
      <c r="U205" s="47">
        <v>0.84599999999999997</v>
      </c>
      <c r="V205" s="47">
        <v>0.68300000000000005</v>
      </c>
      <c r="W205" s="47">
        <v>0.67300000000000004</v>
      </c>
      <c r="X205" s="47">
        <v>0.63200000000000001</v>
      </c>
      <c r="Y205" s="47">
        <v>0.65300000000000002</v>
      </c>
      <c r="Z205" s="47">
        <v>0.64200000000000002</v>
      </c>
      <c r="AA205" s="47">
        <v>0.71399999999999997</v>
      </c>
      <c r="AB205" s="47">
        <v>0.75499999999999989</v>
      </c>
      <c r="AC205" s="47">
        <v>0.88700000000000001</v>
      </c>
      <c r="AD205" s="47">
        <v>0.78500000000000003</v>
      </c>
      <c r="AE205" s="47">
        <v>0.70399999999999996</v>
      </c>
      <c r="AF205" s="47">
        <v>0.66300000000000003</v>
      </c>
      <c r="AG205" s="47">
        <v>0.74399999999999999</v>
      </c>
      <c r="AH205" s="47">
        <v>0.82599999999999985</v>
      </c>
      <c r="AI205" s="47">
        <v>0.79499999999999993</v>
      </c>
      <c r="AJ205" s="47">
        <v>0.73399999999999999</v>
      </c>
      <c r="AK205" s="47">
        <v>0.69299999999999995</v>
      </c>
      <c r="AL205" s="47">
        <v>0.72399999999999998</v>
      </c>
      <c r="AM205" s="47">
        <v>0.76500000000000001</v>
      </c>
      <c r="AN205" s="47">
        <v>0.80600000000000016</v>
      </c>
      <c r="AO205" s="47">
        <v>0.89700000000000002</v>
      </c>
      <c r="AP205" s="47">
        <v>0.98899999999999999</v>
      </c>
      <c r="AQ205" s="47">
        <v>0.622</v>
      </c>
      <c r="AR205" s="47">
        <v>0.61199999999999999</v>
      </c>
      <c r="AS205" s="47">
        <v>0.224</v>
      </c>
      <c r="AT205" s="47">
        <v>0.32600000000000001</v>
      </c>
      <c r="AU205" s="47">
        <v>0.38700000000000007</v>
      </c>
      <c r="AV205" s="47">
        <v>0.40800000000000003</v>
      </c>
      <c r="AW205" s="47">
        <v>0.44800000000000001</v>
      </c>
      <c r="AX205" s="47">
        <v>0.42799999999999999</v>
      </c>
      <c r="AY205" s="47">
        <v>0.45900000000000002</v>
      </c>
      <c r="AZ205" s="47">
        <v>0.46899999999999997</v>
      </c>
      <c r="BA205" s="47">
        <v>0.5</v>
      </c>
      <c r="BB205" s="47">
        <v>0.47899999999999993</v>
      </c>
      <c r="BC205" s="47">
        <v>0.438</v>
      </c>
      <c r="BD205" s="47">
        <v>0.39700000000000002</v>
      </c>
      <c r="BE205" s="47">
        <v>0.377</v>
      </c>
      <c r="BF205" s="47">
        <v>0.36699999999999999</v>
      </c>
      <c r="BG205" s="47">
        <v>0.35699999999999998</v>
      </c>
      <c r="BH205" s="47">
        <v>0.33600000000000002</v>
      </c>
      <c r="BI205" s="47">
        <v>0.316</v>
      </c>
      <c r="BJ205" s="47">
        <v>0.23400000000000001</v>
      </c>
      <c r="BK205" s="47">
        <v>0.193</v>
      </c>
      <c r="BL205" s="47">
        <v>0.13200000000000001</v>
      </c>
      <c r="BM205" s="47">
        <v>0.16300000000000001</v>
      </c>
      <c r="BN205" s="47">
        <v>0.153</v>
      </c>
      <c r="BO205" s="47">
        <v>0.17299999999999999</v>
      </c>
      <c r="BP205" s="47">
        <v>8.1000000000000003E-2</v>
      </c>
      <c r="BQ205" s="47">
        <v>0.183</v>
      </c>
      <c r="BR205" s="47">
        <v>0.02</v>
      </c>
      <c r="BS205" s="47">
        <v>0.01</v>
      </c>
      <c r="BT205" s="47">
        <v>0</v>
      </c>
      <c r="BU205" s="47">
        <v>0.03</v>
      </c>
      <c r="BV205" s="47">
        <v>0.14199999999999999</v>
      </c>
      <c r="BW205" s="47">
        <v>0.112</v>
      </c>
      <c r="BX205" s="47">
        <v>7.0999999999999994E-2</v>
      </c>
      <c r="BY205" s="47">
        <v>0.04</v>
      </c>
      <c r="BZ205" s="47">
        <v>0.10200000000000001</v>
      </c>
      <c r="CA205" s="47">
        <v>0.112</v>
      </c>
      <c r="CB205" s="47">
        <v>0.20400000000000001</v>
      </c>
      <c r="CC205" s="47">
        <v>5.1000000000000004E-2</v>
      </c>
      <c r="CD205" s="47">
        <v>9.0999999999999998E-2</v>
      </c>
      <c r="CE205" s="47">
        <v>6.0999999999999992E-2</v>
      </c>
      <c r="CF205" s="47">
        <v>0.214</v>
      </c>
      <c r="CG205" s="47">
        <v>0.24399999999999997</v>
      </c>
      <c r="CH205" s="47">
        <v>0.27500000000000002</v>
      </c>
      <c r="CI205" s="47">
        <v>0.29499999999999998</v>
      </c>
      <c r="CJ205" s="47">
        <v>0.26500000000000001</v>
      </c>
      <c r="CK205" s="47">
        <v>0.34599999999999997</v>
      </c>
      <c r="CL205" s="47">
        <v>0.255</v>
      </c>
      <c r="CM205" s="47">
        <v>0.28499999999999998</v>
      </c>
      <c r="CN205" s="47">
        <v>0.30599999999999999</v>
      </c>
      <c r="CO205" s="47">
        <v>0.41799999999999998</v>
      </c>
      <c r="CP205" s="47">
        <v>0.48899999999999999</v>
      </c>
      <c r="CQ205" s="47">
        <v>0.51</v>
      </c>
      <c r="CR205" s="47">
        <v>0.52</v>
      </c>
      <c r="CS205" s="47">
        <v>0.55100000000000005</v>
      </c>
      <c r="CT205" s="47">
        <v>0.56100000000000005</v>
      </c>
      <c r="CU205" s="47">
        <v>0.52</v>
      </c>
      <c r="CV205" s="47">
        <v>0.54</v>
      </c>
      <c r="CW205" s="47">
        <v>0.57099999999999995</v>
      </c>
      <c r="CX205" s="47">
        <v>0.58099999999999996</v>
      </c>
      <c r="CY205" s="47">
        <v>0.60199999999999998</v>
      </c>
      <c r="CZ205" s="47">
        <v>0.59099999999999997</v>
      </c>
    </row>
    <row r="206" spans="1:104" x14ac:dyDescent="0.2">
      <c r="A206" s="50" t="s">
        <v>105</v>
      </c>
      <c r="B206" s="46">
        <f t="shared" si="32"/>
        <v>-18.500000000000007</v>
      </c>
      <c r="C206" s="46">
        <f t="shared" si="33"/>
        <v>-11.112499999999995</v>
      </c>
      <c r="D206" s="48">
        <f t="shared" si="34"/>
        <v>27.376853839366127</v>
      </c>
      <c r="E206" s="46"/>
      <c r="F206" s="47">
        <v>0.13700000000000001</v>
      </c>
      <c r="G206" s="47">
        <v>0.109375</v>
      </c>
      <c r="H206" s="47">
        <v>0.18562500000000001</v>
      </c>
      <c r="I206" s="47">
        <v>0.24812499999999996</v>
      </c>
      <c r="J206" s="47">
        <v>0.39099999999999996</v>
      </c>
      <c r="K206" s="47">
        <v>0.43312500000000009</v>
      </c>
      <c r="L206" s="47">
        <v>0.53</v>
      </c>
      <c r="M206" s="47">
        <v>0.543875</v>
      </c>
      <c r="N206" s="47">
        <v>0.45075000000000004</v>
      </c>
      <c r="O206" s="47">
        <v>0.19337500000000002</v>
      </c>
      <c r="P206" s="47">
        <v>6.25E-2</v>
      </c>
      <c r="Q206" s="47">
        <v>0.1135</v>
      </c>
      <c r="R206" s="47">
        <v>0.358875</v>
      </c>
      <c r="S206" s="47">
        <v>0.49162500000000003</v>
      </c>
      <c r="T206" s="47">
        <v>0.55337499999999995</v>
      </c>
      <c r="U206" s="47">
        <v>0.57262500000000005</v>
      </c>
      <c r="V206" s="47">
        <v>0.42675000000000002</v>
      </c>
      <c r="W206" s="47">
        <v>0.32200000000000006</v>
      </c>
      <c r="X206" s="47">
        <v>0.24224999999999999</v>
      </c>
      <c r="Y206" s="47">
        <v>0.26237499999999997</v>
      </c>
      <c r="Z206" s="47">
        <v>0.37024999999999997</v>
      </c>
      <c r="AA206" s="47">
        <v>0.60812500000000003</v>
      </c>
      <c r="AB206" s="47">
        <v>0.83899999999999986</v>
      </c>
      <c r="AC206" s="47">
        <v>0.93437499999999996</v>
      </c>
      <c r="AD206" s="47">
        <v>0.91437500000000005</v>
      </c>
      <c r="AE206" s="47">
        <v>0.8411249999999999</v>
      </c>
      <c r="AF206" s="47">
        <v>0.863375</v>
      </c>
      <c r="AG206" s="47">
        <v>0.90525</v>
      </c>
      <c r="AH206" s="47">
        <v>0.89975000000000005</v>
      </c>
      <c r="AI206" s="47">
        <v>0.91174999999999995</v>
      </c>
      <c r="AJ206" s="47">
        <v>0.94224999999999992</v>
      </c>
      <c r="AK206" s="47">
        <v>0.97512499999999991</v>
      </c>
      <c r="AL206" s="47">
        <v>0.99612500000000004</v>
      </c>
      <c r="AM206" s="47">
        <v>0.98899999999999988</v>
      </c>
      <c r="AN206" s="47">
        <v>0.94425000000000003</v>
      </c>
      <c r="AO206" s="47">
        <v>0.88049999999999995</v>
      </c>
      <c r="AP206" s="47">
        <v>0.78500000000000003</v>
      </c>
      <c r="AQ206" s="47">
        <v>0.69887499999999991</v>
      </c>
      <c r="AR206" s="47">
        <v>0.60287499999999994</v>
      </c>
      <c r="AS206" s="47">
        <v>0.547875</v>
      </c>
      <c r="AT206" s="47">
        <v>0.51712500000000006</v>
      </c>
      <c r="AU206" s="47">
        <v>0.43987500000000002</v>
      </c>
      <c r="AV206" s="47">
        <v>0.39137499999999992</v>
      </c>
      <c r="AW206" s="47">
        <v>0.30575000000000002</v>
      </c>
      <c r="AX206" s="47">
        <v>0.27250000000000002</v>
      </c>
      <c r="AY206" s="47">
        <v>0.229125</v>
      </c>
      <c r="AZ206" s="47">
        <v>0.17825000000000002</v>
      </c>
      <c r="BA206" s="47">
        <v>0.170125</v>
      </c>
      <c r="BB206" s="47">
        <v>0.23825000000000002</v>
      </c>
      <c r="BC206" s="47">
        <v>0.263125</v>
      </c>
      <c r="BD206" s="47">
        <v>0.29649999999999999</v>
      </c>
      <c r="BE206" s="47">
        <v>0.2455</v>
      </c>
      <c r="BF206" s="47">
        <v>0.18699999999999997</v>
      </c>
      <c r="BG206" s="47">
        <v>0.177125</v>
      </c>
      <c r="BH206" s="47">
        <v>0.22687499999999999</v>
      </c>
      <c r="BI206" s="47">
        <v>0.32124999999999998</v>
      </c>
      <c r="BJ206" s="47">
        <v>0.38099999999999995</v>
      </c>
      <c r="BK206" s="47">
        <v>0.41112500000000007</v>
      </c>
      <c r="BL206" s="47">
        <v>0.47737500000000005</v>
      </c>
      <c r="BM206" s="47">
        <v>0.56062499999999993</v>
      </c>
      <c r="BN206" s="47">
        <v>0.52925</v>
      </c>
      <c r="BO206" s="47">
        <v>0.49200000000000005</v>
      </c>
      <c r="BP206" s="47">
        <v>0.43199999999999994</v>
      </c>
      <c r="BQ206" s="47">
        <v>0.53275000000000006</v>
      </c>
      <c r="BR206" s="47">
        <v>0.61012499999999992</v>
      </c>
      <c r="BS206" s="47">
        <v>0.66625000000000012</v>
      </c>
      <c r="BT206" s="47">
        <v>0.7503749999999999</v>
      </c>
      <c r="BU206" s="47">
        <v>0.76224999999999998</v>
      </c>
      <c r="BV206" s="47">
        <v>0.74587499999999995</v>
      </c>
      <c r="BW206" s="47">
        <v>0.72250000000000003</v>
      </c>
      <c r="BX206" s="47">
        <v>0.72275</v>
      </c>
      <c r="BY206" s="47">
        <v>0.68162500000000004</v>
      </c>
      <c r="BZ206" s="47">
        <v>0.66025</v>
      </c>
      <c r="CA206" s="47">
        <v>0.61799999999999999</v>
      </c>
      <c r="CB206" s="47">
        <v>0.609375</v>
      </c>
      <c r="CC206" s="47">
        <v>0.58787500000000004</v>
      </c>
      <c r="CD206" s="47">
        <v>0.62612500000000004</v>
      </c>
      <c r="CE206" s="47">
        <v>0.73762499999999998</v>
      </c>
      <c r="CF206" s="47">
        <v>0.76575000000000004</v>
      </c>
      <c r="CG206" s="47">
        <v>0.79137499999999994</v>
      </c>
      <c r="CH206" s="47">
        <v>0.77262500000000001</v>
      </c>
      <c r="CI206" s="47">
        <v>0.74049999999999994</v>
      </c>
      <c r="CJ206" s="47">
        <v>0.68225000000000002</v>
      </c>
      <c r="CK206" s="47">
        <v>0.59662500000000007</v>
      </c>
      <c r="CL206" s="47">
        <v>0.61799999999999999</v>
      </c>
      <c r="CM206" s="47">
        <v>0.72937500000000011</v>
      </c>
      <c r="CN206" s="47">
        <v>0.79412499999999997</v>
      </c>
      <c r="CO206" s="47">
        <v>0.64762500000000001</v>
      </c>
      <c r="CP206" s="47">
        <v>0.50974999999999993</v>
      </c>
      <c r="CQ206" s="47">
        <v>0.31612499999999993</v>
      </c>
      <c r="CR206" s="47">
        <v>0.170125</v>
      </c>
      <c r="CS206" s="47">
        <v>2.6249999999999999E-2</v>
      </c>
      <c r="CT206" s="47">
        <v>1.9999999999999997E-2</v>
      </c>
      <c r="CU206" s="47">
        <v>1.3750000000000002E-2</v>
      </c>
      <c r="CV206" s="47">
        <v>4.1375000000000002E-2</v>
      </c>
      <c r="CW206" s="47">
        <v>0.10062499999999998</v>
      </c>
      <c r="CX206" s="47">
        <v>0.109375</v>
      </c>
      <c r="CY206" s="47">
        <v>6.9749999999999993E-2</v>
      </c>
      <c r="CZ206" s="47">
        <v>7.85E-2</v>
      </c>
    </row>
    <row r="207" spans="1:104" x14ac:dyDescent="0.2">
      <c r="A207" s="50" t="s">
        <v>107</v>
      </c>
      <c r="B207" s="46">
        <f t="shared" si="32"/>
        <v>-30.050000000000004</v>
      </c>
      <c r="C207" s="46">
        <f t="shared" si="33"/>
        <v>-33.150000000000006</v>
      </c>
      <c r="D207" s="48">
        <f t="shared" si="34"/>
        <v>25.862073841401322</v>
      </c>
      <c r="E207" s="46"/>
      <c r="F207" s="47">
        <v>0.316</v>
      </c>
      <c r="G207" s="47">
        <v>0.33099999999999996</v>
      </c>
      <c r="H207" s="47">
        <v>0.57099999999999995</v>
      </c>
      <c r="I207" s="47">
        <v>0.64750000000000008</v>
      </c>
      <c r="J207" s="47">
        <v>0.68300000000000005</v>
      </c>
      <c r="K207" s="47">
        <v>0.61699999999999999</v>
      </c>
      <c r="L207" s="47">
        <v>0.58649999999999991</v>
      </c>
      <c r="M207" s="47">
        <v>0.28999999999999998</v>
      </c>
      <c r="N207" s="47">
        <v>6.0999999999999992E-2</v>
      </c>
      <c r="O207" s="47">
        <v>0</v>
      </c>
      <c r="P207" s="47">
        <v>9.9999999999999985E-3</v>
      </c>
      <c r="Q207" s="47">
        <v>3.5499999999999997E-2</v>
      </c>
      <c r="R207" s="47">
        <v>0.39750000000000002</v>
      </c>
      <c r="S207" s="47">
        <v>0.72899999999999998</v>
      </c>
      <c r="T207" s="47">
        <v>0.84149999999999991</v>
      </c>
      <c r="U207" s="47">
        <v>0.83099999999999996</v>
      </c>
      <c r="V207" s="47">
        <v>0.75950000000000006</v>
      </c>
      <c r="W207" s="47">
        <v>0.61650000000000005</v>
      </c>
      <c r="X207" s="47">
        <v>0.50950000000000006</v>
      </c>
      <c r="Y207" s="47">
        <v>0.58650000000000002</v>
      </c>
      <c r="Z207" s="47">
        <v>0.80549999999999999</v>
      </c>
      <c r="AA207" s="47">
        <v>0.93850000000000011</v>
      </c>
      <c r="AB207" s="47">
        <v>0.94799999999999995</v>
      </c>
      <c r="AC207" s="47">
        <v>0.88700000000000012</v>
      </c>
      <c r="AD207" s="47">
        <v>0.83149999999999991</v>
      </c>
      <c r="AE207" s="47">
        <v>0.74450000000000005</v>
      </c>
      <c r="AF207" s="47">
        <v>0.66249999999999998</v>
      </c>
      <c r="AG207" s="47">
        <v>0.78500000000000003</v>
      </c>
      <c r="AH207" s="47">
        <v>0.85650000000000004</v>
      </c>
      <c r="AI207" s="47">
        <v>0.90800000000000003</v>
      </c>
      <c r="AJ207" s="47">
        <v>0.94850000000000001</v>
      </c>
      <c r="AK207" s="47">
        <v>0.96899999999999997</v>
      </c>
      <c r="AL207" s="47">
        <v>0.94850000000000001</v>
      </c>
      <c r="AM207" s="47">
        <v>0.91799999999999993</v>
      </c>
      <c r="AN207" s="47">
        <v>0.87699999999999989</v>
      </c>
      <c r="AO207" s="47">
        <v>0.81049999999999989</v>
      </c>
      <c r="AP207" s="47">
        <v>0.75449999999999995</v>
      </c>
      <c r="AQ207" s="47">
        <v>0.7084999999999998</v>
      </c>
      <c r="AR207" s="47">
        <v>0.65749999999999997</v>
      </c>
      <c r="AS207" s="47">
        <v>0.622</v>
      </c>
      <c r="AT207" s="47">
        <v>0.57099999999999995</v>
      </c>
      <c r="AU207" s="47">
        <v>0.4995</v>
      </c>
      <c r="AV207" s="47">
        <v>0.38249999999999995</v>
      </c>
      <c r="AW207" s="47">
        <v>0.372</v>
      </c>
      <c r="AX207" s="47">
        <v>0.39200000000000002</v>
      </c>
      <c r="AY207" s="47">
        <v>0.40749999999999997</v>
      </c>
      <c r="AZ207" s="47">
        <v>0.35650000000000004</v>
      </c>
      <c r="BA207" s="47">
        <v>0.39749999999999991</v>
      </c>
      <c r="BB207" s="47">
        <v>0.46899999999999997</v>
      </c>
      <c r="BC207" s="47">
        <v>0.38200000000000001</v>
      </c>
      <c r="BD207" s="47">
        <v>0.316</v>
      </c>
      <c r="BE207" s="47">
        <v>0.24950000000000003</v>
      </c>
      <c r="BF207" s="47">
        <v>0.23400000000000001</v>
      </c>
      <c r="BG207" s="47">
        <v>0.24950000000000003</v>
      </c>
      <c r="BH207" s="47">
        <v>0.29049999999999998</v>
      </c>
      <c r="BI207" s="47">
        <v>0.36199999999999999</v>
      </c>
      <c r="BJ207" s="47">
        <v>0.35650000000000004</v>
      </c>
      <c r="BK207" s="47">
        <v>0.34650000000000003</v>
      </c>
      <c r="BL207" s="47">
        <v>0.26500000000000001</v>
      </c>
      <c r="BM207" s="47">
        <v>0.19850000000000001</v>
      </c>
      <c r="BN207" s="47">
        <v>0.17799999999999999</v>
      </c>
      <c r="BO207" s="47">
        <v>0.219</v>
      </c>
      <c r="BP207" s="47">
        <v>0.30549999999999999</v>
      </c>
      <c r="BQ207" s="47">
        <v>0.36700000000000005</v>
      </c>
      <c r="BR207" s="47">
        <v>0.44850000000000007</v>
      </c>
      <c r="BS207" s="47">
        <v>0.53549999999999998</v>
      </c>
      <c r="BT207" s="47">
        <v>0.53999999999999992</v>
      </c>
      <c r="BU207" s="47">
        <v>0.54</v>
      </c>
      <c r="BV207" s="47">
        <v>0.55549999999999999</v>
      </c>
      <c r="BW207" s="47">
        <v>0.56599999999999995</v>
      </c>
      <c r="BX207" s="47">
        <v>0.72399999999999998</v>
      </c>
      <c r="BY207" s="47">
        <v>0.78050000000000008</v>
      </c>
      <c r="BZ207" s="47">
        <v>0.82099999999999995</v>
      </c>
      <c r="CA207" s="47">
        <v>0.7649999999999999</v>
      </c>
      <c r="CB207" s="47">
        <v>0.71899999999999997</v>
      </c>
      <c r="CC207" s="47">
        <v>0.74949999999999983</v>
      </c>
      <c r="CD207" s="47">
        <v>0.73950000000000005</v>
      </c>
      <c r="CE207" s="47">
        <v>0.63200000000000001</v>
      </c>
      <c r="CF207" s="47">
        <v>0.49449999999999994</v>
      </c>
      <c r="CG207" s="47">
        <v>0.438</v>
      </c>
      <c r="CH207" s="47">
        <v>0.4335</v>
      </c>
      <c r="CI207" s="47">
        <v>0.37200000000000005</v>
      </c>
      <c r="CJ207" s="47">
        <v>0.34150000000000003</v>
      </c>
      <c r="CK207" s="47">
        <v>0.29499999999999998</v>
      </c>
      <c r="CL207" s="47">
        <v>0.33599999999999997</v>
      </c>
      <c r="CM207" s="47">
        <v>0.46899999999999997</v>
      </c>
      <c r="CN207" s="47">
        <v>0.622</v>
      </c>
      <c r="CO207" s="47">
        <v>0.42300000000000004</v>
      </c>
      <c r="CP207" s="47">
        <v>0.1525</v>
      </c>
      <c r="CQ207" s="47">
        <v>0.03</v>
      </c>
      <c r="CR207" s="47">
        <v>0.03</v>
      </c>
      <c r="CS207" s="47">
        <v>5.0499999999999996E-2</v>
      </c>
      <c r="CT207" s="47">
        <v>6.6000000000000003E-2</v>
      </c>
      <c r="CU207" s="47">
        <v>9.1499999999999998E-2</v>
      </c>
      <c r="CV207" s="47">
        <v>0.10650000000000001</v>
      </c>
      <c r="CW207" s="47">
        <v>0.158</v>
      </c>
      <c r="CX207" s="47">
        <v>0.24450000000000002</v>
      </c>
      <c r="CY207" s="47">
        <v>0.49449999999999994</v>
      </c>
      <c r="CZ207" s="47">
        <v>0.52</v>
      </c>
    </row>
    <row r="208" spans="1:104" x14ac:dyDescent="0.2">
      <c r="A208" s="50" t="s">
        <v>109</v>
      </c>
      <c r="B208" s="46">
        <f t="shared" si="32"/>
        <v>-43.35</v>
      </c>
      <c r="C208" s="46">
        <f t="shared" si="33"/>
        <v>4.1000000000000005</v>
      </c>
      <c r="D208" s="48">
        <f t="shared" si="34"/>
        <v>23.383037686457119</v>
      </c>
      <c r="E208" s="46"/>
      <c r="F208" s="47">
        <v>8.6500000000000007E-2</v>
      </c>
      <c r="G208" s="47">
        <v>6.6000000000000003E-2</v>
      </c>
      <c r="H208" s="47">
        <v>5.5500000000000001E-2</v>
      </c>
      <c r="I208" s="47">
        <v>4.5500000000000006E-2</v>
      </c>
      <c r="J208" s="47">
        <v>5.5499999999999994E-2</v>
      </c>
      <c r="K208" s="47">
        <v>5.0999999999999997E-2</v>
      </c>
      <c r="L208" s="47">
        <v>0.11149999999999999</v>
      </c>
      <c r="M208" s="47">
        <v>0.1575</v>
      </c>
      <c r="N208" s="47">
        <v>0.1525</v>
      </c>
      <c r="O208" s="47">
        <v>3.0499999999999999E-2</v>
      </c>
      <c r="P208" s="47">
        <v>5.6000000000000001E-2</v>
      </c>
      <c r="Q208" s="47">
        <v>0.2135</v>
      </c>
      <c r="R208" s="47">
        <v>0.42299999999999993</v>
      </c>
      <c r="S208" s="47">
        <v>0.44849999999999995</v>
      </c>
      <c r="T208" s="47">
        <v>0.47399999999999998</v>
      </c>
      <c r="U208" s="47">
        <v>0.48900000000000005</v>
      </c>
      <c r="V208" s="47">
        <v>0.505</v>
      </c>
      <c r="W208" s="47">
        <v>0.52</v>
      </c>
      <c r="X208" s="47">
        <v>0.64200000000000002</v>
      </c>
      <c r="Y208" s="47">
        <v>0.75950000000000006</v>
      </c>
      <c r="Z208" s="47">
        <v>0.81599999999999995</v>
      </c>
      <c r="AA208" s="47">
        <v>0.86649999999999994</v>
      </c>
      <c r="AB208" s="47">
        <v>0.89249999999999996</v>
      </c>
      <c r="AC208" s="47">
        <v>0.87700000000000011</v>
      </c>
      <c r="AD208" s="47">
        <v>0.90800000000000003</v>
      </c>
      <c r="AE208" s="47">
        <v>0.93300000000000005</v>
      </c>
      <c r="AF208" s="47">
        <v>0.96400000000000008</v>
      </c>
      <c r="AG208" s="47">
        <v>0.97899999999999998</v>
      </c>
      <c r="AH208" s="47">
        <v>0.99450000000000005</v>
      </c>
      <c r="AI208" s="47">
        <v>0.99450000000000005</v>
      </c>
      <c r="AJ208" s="47">
        <v>0.92800000000000016</v>
      </c>
      <c r="AK208" s="47">
        <v>0.89699999999999991</v>
      </c>
      <c r="AL208" s="47">
        <v>0.87200000000000011</v>
      </c>
      <c r="AM208" s="47">
        <v>0.86199999999999999</v>
      </c>
      <c r="AN208" s="47">
        <v>0.84600000000000009</v>
      </c>
      <c r="AO208" s="47">
        <v>0.83100000000000007</v>
      </c>
      <c r="AP208" s="47">
        <v>0.78050000000000008</v>
      </c>
      <c r="AQ208" s="47">
        <v>0.73399999999999999</v>
      </c>
      <c r="AR208" s="47">
        <v>0.71400000000000008</v>
      </c>
      <c r="AS208" s="47">
        <v>0.68799999999999994</v>
      </c>
      <c r="AT208" s="47">
        <v>0.60149999999999992</v>
      </c>
      <c r="AU208" s="47">
        <v>0.54050000000000009</v>
      </c>
      <c r="AV208" s="47">
        <v>0.47399999999999998</v>
      </c>
      <c r="AW208" s="47">
        <v>0.40250000000000002</v>
      </c>
      <c r="AX208" s="47">
        <v>0.35149999999999998</v>
      </c>
      <c r="AY208" s="47">
        <v>0.30050000000000004</v>
      </c>
      <c r="AZ208" s="47">
        <v>0.29050000000000004</v>
      </c>
      <c r="BA208" s="47">
        <v>0.2545</v>
      </c>
      <c r="BB208" s="47">
        <v>0.219</v>
      </c>
      <c r="BC208" s="47">
        <v>0.1885</v>
      </c>
      <c r="BD208" s="47">
        <v>0.13200000000000001</v>
      </c>
      <c r="BE208" s="47">
        <v>0.13200000000000001</v>
      </c>
      <c r="BF208" s="47">
        <v>0.1525</v>
      </c>
      <c r="BG208" s="47">
        <v>0.20349999999999999</v>
      </c>
      <c r="BH208" s="47">
        <v>0.27500000000000002</v>
      </c>
      <c r="BI208" s="47">
        <v>0.372</v>
      </c>
      <c r="BJ208" s="47">
        <v>0.40250000000000002</v>
      </c>
      <c r="BK208" s="47">
        <v>0.377</v>
      </c>
      <c r="BL208" s="47">
        <v>0.3715</v>
      </c>
      <c r="BM208" s="47">
        <v>0.42300000000000004</v>
      </c>
      <c r="BN208" s="47">
        <v>0.48949999999999999</v>
      </c>
      <c r="BO208" s="47">
        <v>0.50450000000000006</v>
      </c>
      <c r="BP208" s="47">
        <v>0.50450000000000006</v>
      </c>
      <c r="BQ208" s="47">
        <v>0.47949999999999998</v>
      </c>
      <c r="BR208" s="47">
        <v>0.53</v>
      </c>
      <c r="BS208" s="47">
        <v>0.58650000000000002</v>
      </c>
      <c r="BT208" s="47">
        <v>0.64750000000000008</v>
      </c>
      <c r="BU208" s="47">
        <v>0.66799999999999993</v>
      </c>
      <c r="BV208" s="47">
        <v>0.69349999999999989</v>
      </c>
      <c r="BW208" s="47">
        <v>0.65800000000000003</v>
      </c>
      <c r="BX208" s="47">
        <v>0.52</v>
      </c>
      <c r="BY208" s="47">
        <v>0.41800000000000004</v>
      </c>
      <c r="BZ208" s="47">
        <v>0.38700000000000001</v>
      </c>
      <c r="CA208" s="47">
        <v>0.45899999999999996</v>
      </c>
      <c r="CB208" s="47">
        <v>0.55549999999999999</v>
      </c>
      <c r="CC208" s="47">
        <v>0.64749999999999996</v>
      </c>
      <c r="CD208" s="47">
        <v>0.73449999999999993</v>
      </c>
      <c r="CE208" s="47">
        <v>0.78050000000000008</v>
      </c>
      <c r="CF208" s="47">
        <v>0.75950000000000006</v>
      </c>
      <c r="CG208" s="47">
        <v>0.60149999999999992</v>
      </c>
      <c r="CH208" s="47">
        <v>0.45850000000000002</v>
      </c>
      <c r="CI208" s="47">
        <v>0.45899999999999996</v>
      </c>
      <c r="CJ208" s="47">
        <v>0.47399999999999998</v>
      </c>
      <c r="CK208" s="47">
        <v>0.5605</v>
      </c>
      <c r="CL208" s="47">
        <v>0.63700000000000001</v>
      </c>
      <c r="CM208" s="47">
        <v>0.70350000000000001</v>
      </c>
      <c r="CN208" s="47">
        <v>0.77</v>
      </c>
      <c r="CO208" s="47">
        <v>0.71899999999999997</v>
      </c>
      <c r="CP208" s="47">
        <v>0.622</v>
      </c>
      <c r="CQ208" s="47">
        <v>0.53</v>
      </c>
      <c r="CR208" s="47">
        <v>0.48949999999999999</v>
      </c>
      <c r="CS208" s="47">
        <v>0.438</v>
      </c>
      <c r="CT208" s="47">
        <v>0.38249999999999995</v>
      </c>
      <c r="CU208" s="47">
        <v>0.32599999999999996</v>
      </c>
      <c r="CV208" s="47">
        <v>0.2545</v>
      </c>
      <c r="CW208" s="47">
        <v>0.20849999999999999</v>
      </c>
      <c r="CX208" s="47">
        <v>0.1885</v>
      </c>
      <c r="CY208" s="47">
        <v>0.19850000000000001</v>
      </c>
      <c r="CZ208" s="47">
        <v>0.224</v>
      </c>
    </row>
    <row r="209" spans="1:104" x14ac:dyDescent="0.2">
      <c r="A209" s="50" t="s">
        <v>111</v>
      </c>
      <c r="B209" s="46">
        <f t="shared" si="32"/>
        <v>-50</v>
      </c>
      <c r="C209" s="46">
        <f t="shared" si="33"/>
        <v>-6.1000000000000005</v>
      </c>
      <c r="D209" s="48">
        <f t="shared" si="34"/>
        <v>26.166033357253383</v>
      </c>
      <c r="E209" s="46"/>
      <c r="F209" s="47">
        <v>5.0999999999999997E-2</v>
      </c>
      <c r="G209" s="47">
        <v>6.0999999999999999E-2</v>
      </c>
      <c r="H209" s="47">
        <v>9.1000000000000011E-2</v>
      </c>
      <c r="I209" s="47">
        <v>0.112</v>
      </c>
      <c r="J209" s="47">
        <v>0.122</v>
      </c>
      <c r="K209" s="47">
        <v>0.10199999999999999</v>
      </c>
      <c r="L209" s="47">
        <v>7.0999999999999994E-2</v>
      </c>
      <c r="M209" s="47">
        <v>0.03</v>
      </c>
      <c r="N209" s="47">
        <v>9.9999999999999985E-3</v>
      </c>
      <c r="O209" s="47">
        <v>0</v>
      </c>
      <c r="P209" s="47">
        <v>1.9999999999999997E-2</v>
      </c>
      <c r="Q209" s="47">
        <v>3.9999999999999994E-2</v>
      </c>
      <c r="R209" s="47">
        <v>8.1000000000000003E-2</v>
      </c>
      <c r="S209" s="47">
        <v>0.16300000000000001</v>
      </c>
      <c r="T209" s="47">
        <v>0.316</v>
      </c>
      <c r="U209" s="47">
        <v>0.34599999999999997</v>
      </c>
      <c r="V209" s="47">
        <v>0.44800000000000001</v>
      </c>
      <c r="W209" s="47">
        <v>0.55100000000000005</v>
      </c>
      <c r="X209" s="47">
        <v>0.75499999999999989</v>
      </c>
      <c r="Y209" s="47">
        <v>0.81599999999999995</v>
      </c>
      <c r="Z209" s="47">
        <v>0.85699999999999998</v>
      </c>
      <c r="AA209" s="47">
        <v>0.87700000000000011</v>
      </c>
      <c r="AB209" s="47">
        <v>0.92800000000000016</v>
      </c>
      <c r="AC209" s="47">
        <v>0.97899999999999998</v>
      </c>
      <c r="AD209" s="47">
        <v>1</v>
      </c>
      <c r="AE209" s="47">
        <v>0.95899999999999996</v>
      </c>
      <c r="AF209" s="47">
        <v>0.94799999999999995</v>
      </c>
      <c r="AG209" s="47">
        <v>0.91800000000000004</v>
      </c>
      <c r="AH209" s="47">
        <v>0.89699999999999991</v>
      </c>
      <c r="AI209" s="47">
        <v>0.90800000000000003</v>
      </c>
      <c r="AJ209" s="47">
        <v>0.93799999999999994</v>
      </c>
      <c r="AK209" s="47">
        <v>0.98899999999999999</v>
      </c>
      <c r="AL209" s="47">
        <v>0.96899999999999997</v>
      </c>
      <c r="AM209" s="47">
        <v>0.88700000000000012</v>
      </c>
      <c r="AN209" s="47">
        <v>0.86699999999999999</v>
      </c>
      <c r="AO209" s="47">
        <v>0.84599999999999986</v>
      </c>
      <c r="AP209" s="47">
        <v>0.79500000000000004</v>
      </c>
      <c r="AQ209" s="47">
        <v>0.7649999999999999</v>
      </c>
      <c r="AR209" s="47">
        <v>0.46899999999999997</v>
      </c>
      <c r="AS209" s="47">
        <v>0.41800000000000004</v>
      </c>
      <c r="AT209" s="47">
        <v>0.33600000000000002</v>
      </c>
      <c r="AU209" s="47">
        <v>0.26500000000000001</v>
      </c>
      <c r="AV209" s="47">
        <v>0.183</v>
      </c>
      <c r="AW209" s="47">
        <v>0.153</v>
      </c>
      <c r="AX209" s="47">
        <v>0.14199999999999999</v>
      </c>
      <c r="AY209" s="47">
        <v>0.13200000000000001</v>
      </c>
      <c r="AZ209" s="47">
        <v>0.17299999999999999</v>
      </c>
      <c r="BA209" s="47">
        <v>0.19299999999999998</v>
      </c>
      <c r="BB209" s="47">
        <v>0.255</v>
      </c>
      <c r="BC209" s="47">
        <v>0.24399999999999999</v>
      </c>
      <c r="BD209" s="47">
        <v>0.20399999999999999</v>
      </c>
      <c r="BE209" s="47">
        <v>0.20399999999999999</v>
      </c>
      <c r="BF209" s="47">
        <v>0.27500000000000002</v>
      </c>
      <c r="BG209" s="47">
        <v>0.29499999999999998</v>
      </c>
      <c r="BH209" s="47">
        <v>0.35699999999999993</v>
      </c>
      <c r="BI209" s="47">
        <v>0.39700000000000002</v>
      </c>
      <c r="BJ209" s="47">
        <v>0.52</v>
      </c>
      <c r="BK209" s="47">
        <v>0.622</v>
      </c>
      <c r="BL209" s="47">
        <v>0.68300000000000005</v>
      </c>
      <c r="BM209" s="47">
        <v>0.66300000000000003</v>
      </c>
      <c r="BN209" s="47">
        <v>0.65300000000000002</v>
      </c>
      <c r="BO209" s="47">
        <v>0.70399999999999985</v>
      </c>
      <c r="BP209" s="47">
        <v>0.74399999999999999</v>
      </c>
      <c r="BQ209" s="47">
        <v>0.77500000000000002</v>
      </c>
      <c r="BR209" s="47">
        <v>0.80599999999999994</v>
      </c>
      <c r="BS209" s="47">
        <v>0.83600000000000008</v>
      </c>
      <c r="BT209" s="47">
        <v>0.82600000000000007</v>
      </c>
      <c r="BU209" s="47">
        <v>0.78500000000000003</v>
      </c>
      <c r="BV209" s="47">
        <v>0.73399999999999999</v>
      </c>
      <c r="BW209" s="47">
        <v>0.61199999999999999</v>
      </c>
      <c r="BX209" s="47">
        <v>0.58099999999999996</v>
      </c>
      <c r="BY209" s="47">
        <v>0.64200000000000002</v>
      </c>
      <c r="BZ209" s="47">
        <v>0.69299999999999995</v>
      </c>
      <c r="CA209" s="47">
        <v>0.72399999999999998</v>
      </c>
      <c r="CB209" s="47">
        <v>0.71399999999999986</v>
      </c>
      <c r="CC209" s="47">
        <v>0.67300000000000004</v>
      </c>
      <c r="CD209" s="47">
        <v>0.63200000000000001</v>
      </c>
      <c r="CE209" s="47">
        <v>0.59099999999999997</v>
      </c>
      <c r="CF209" s="47">
        <v>0.56100000000000005</v>
      </c>
      <c r="CG209" s="47">
        <v>0.53</v>
      </c>
      <c r="CH209" s="47">
        <v>0.48900000000000005</v>
      </c>
      <c r="CI209" s="47">
        <v>0.438</v>
      </c>
      <c r="CJ209" s="47">
        <v>0.42799999999999994</v>
      </c>
      <c r="CK209" s="47">
        <v>0.40799999999999997</v>
      </c>
      <c r="CL209" s="47">
        <v>0.38700000000000001</v>
      </c>
      <c r="CM209" s="47">
        <v>0.377</v>
      </c>
      <c r="CN209" s="47">
        <v>0.36699999999999999</v>
      </c>
      <c r="CO209" s="47">
        <v>0.30599999999999999</v>
      </c>
      <c r="CP209" s="47">
        <v>0.28499999999999998</v>
      </c>
      <c r="CQ209" s="47">
        <v>0.23400000000000001</v>
      </c>
      <c r="CR209" s="47">
        <v>0.224</v>
      </c>
      <c r="CS209" s="47">
        <v>0.32600000000000001</v>
      </c>
      <c r="CT209" s="47">
        <v>0.45900000000000002</v>
      </c>
      <c r="CU209" s="47">
        <v>0.57099999999999995</v>
      </c>
      <c r="CV209" s="47">
        <v>0.60199999999999998</v>
      </c>
      <c r="CW209" s="47">
        <v>0.54</v>
      </c>
      <c r="CX209" s="47">
        <v>0.5</v>
      </c>
      <c r="CY209" s="47">
        <v>0.47899999999999998</v>
      </c>
      <c r="CZ209" s="47">
        <v>0.51</v>
      </c>
    </row>
    <row r="210" spans="1:104" x14ac:dyDescent="0.2">
      <c r="A210" s="50" t="s">
        <v>113</v>
      </c>
      <c r="B210" s="46">
        <f t="shared" si="32"/>
        <v>-48.000000000000007</v>
      </c>
      <c r="C210" s="46">
        <f t="shared" si="33"/>
        <v>-9.1999999999999993</v>
      </c>
      <c r="D210" s="48">
        <f t="shared" si="34"/>
        <v>27.983743436041834</v>
      </c>
      <c r="E210" s="46"/>
      <c r="F210" s="47">
        <v>0.19299999999999998</v>
      </c>
      <c r="G210" s="47">
        <v>0.20399999999999999</v>
      </c>
      <c r="H210" s="47">
        <v>0.224</v>
      </c>
      <c r="I210" s="47">
        <v>0.28499999999999998</v>
      </c>
      <c r="J210" s="47">
        <v>0.27500000000000002</v>
      </c>
      <c r="K210" s="47">
        <v>0.21399999999999997</v>
      </c>
      <c r="L210" s="47">
        <v>0.16300000000000001</v>
      </c>
      <c r="M210" s="47">
        <v>0.10199999999999999</v>
      </c>
      <c r="N210" s="47">
        <v>9.9999999999999985E-3</v>
      </c>
      <c r="O210" s="47">
        <v>0</v>
      </c>
      <c r="P210" s="47">
        <v>6.0999999999999999E-2</v>
      </c>
      <c r="Q210" s="47">
        <v>0.13200000000000001</v>
      </c>
      <c r="R210" s="47">
        <v>0.34599999999999997</v>
      </c>
      <c r="S210" s="47">
        <v>0.53</v>
      </c>
      <c r="T210" s="47">
        <v>0.65300000000000002</v>
      </c>
      <c r="U210" s="47">
        <v>0.64200000000000002</v>
      </c>
      <c r="V210" s="47">
        <v>0.63200000000000001</v>
      </c>
      <c r="W210" s="47">
        <v>0.67300000000000004</v>
      </c>
      <c r="X210" s="47">
        <v>0.78500000000000003</v>
      </c>
      <c r="Y210" s="47">
        <v>0.84599999999999986</v>
      </c>
      <c r="Z210" s="47">
        <v>0.86699999999999999</v>
      </c>
      <c r="AA210" s="47">
        <v>0.91800000000000004</v>
      </c>
      <c r="AB210" s="47">
        <v>0.97899999999999998</v>
      </c>
      <c r="AC210" s="47">
        <v>0.98899999999999999</v>
      </c>
      <c r="AD210" s="47">
        <v>0.92800000000000016</v>
      </c>
      <c r="AE210" s="47">
        <v>0.89699999999999991</v>
      </c>
      <c r="AF210" s="47">
        <v>0.88700000000000012</v>
      </c>
      <c r="AG210" s="47">
        <v>0.90800000000000003</v>
      </c>
      <c r="AH210" s="47">
        <v>0.93799999999999994</v>
      </c>
      <c r="AI210" s="47">
        <v>0.95899999999999996</v>
      </c>
      <c r="AJ210" s="47">
        <v>0.96899999999999997</v>
      </c>
      <c r="AK210" s="47">
        <v>1</v>
      </c>
      <c r="AL210" s="47">
        <v>0.94799999999999995</v>
      </c>
      <c r="AM210" s="47">
        <v>0.87700000000000011</v>
      </c>
      <c r="AN210" s="47">
        <v>0.85699999999999998</v>
      </c>
      <c r="AO210" s="47">
        <v>0.79500000000000004</v>
      </c>
      <c r="AP210" s="47">
        <v>0.73399999999999999</v>
      </c>
      <c r="AQ210" s="47">
        <v>0.66300000000000003</v>
      </c>
      <c r="AR210" s="47">
        <v>0.622</v>
      </c>
      <c r="AS210" s="47">
        <v>0.58099999999999996</v>
      </c>
      <c r="AT210" s="47">
        <v>0.48900000000000005</v>
      </c>
      <c r="AU210" s="47">
        <v>0.41800000000000004</v>
      </c>
      <c r="AV210" s="47">
        <v>0.377</v>
      </c>
      <c r="AW210" s="47">
        <v>0.35699999999999993</v>
      </c>
      <c r="AX210" s="47">
        <v>0.26500000000000001</v>
      </c>
      <c r="AY210" s="47">
        <v>0.23400000000000001</v>
      </c>
      <c r="AZ210" s="47">
        <v>0.24399999999999999</v>
      </c>
      <c r="BA210" s="47">
        <v>0.36699999999999999</v>
      </c>
      <c r="BB210" s="47">
        <v>0.39700000000000002</v>
      </c>
      <c r="BC210" s="47">
        <v>0.38700000000000001</v>
      </c>
      <c r="BD210" s="47">
        <v>0.33600000000000002</v>
      </c>
      <c r="BE210" s="47">
        <v>0.255</v>
      </c>
      <c r="BF210" s="47">
        <v>0.32600000000000001</v>
      </c>
      <c r="BG210" s="47">
        <v>0.40799999999999997</v>
      </c>
      <c r="BH210" s="47">
        <v>0.44800000000000001</v>
      </c>
      <c r="BI210" s="47">
        <v>0.45900000000000002</v>
      </c>
      <c r="BJ210" s="47">
        <v>0.47899999999999998</v>
      </c>
      <c r="BK210" s="47">
        <v>0.51</v>
      </c>
      <c r="BL210" s="47">
        <v>0.54</v>
      </c>
      <c r="BM210" s="47">
        <v>0.5</v>
      </c>
      <c r="BN210" s="47">
        <v>0.46899999999999997</v>
      </c>
      <c r="BO210" s="47">
        <v>0.438</v>
      </c>
      <c r="BP210" s="47">
        <v>0.55100000000000005</v>
      </c>
      <c r="BQ210" s="47">
        <v>0.69299999999999995</v>
      </c>
      <c r="BR210" s="47">
        <v>0.83600000000000008</v>
      </c>
      <c r="BS210" s="47">
        <v>0.82600000000000007</v>
      </c>
      <c r="BT210" s="47">
        <v>0.80599999999999994</v>
      </c>
      <c r="BU210" s="47">
        <v>0.77500000000000002</v>
      </c>
      <c r="BV210" s="47">
        <v>0.74399999999999999</v>
      </c>
      <c r="BW210" s="47">
        <v>0.70399999999999985</v>
      </c>
      <c r="BX210" s="47">
        <v>0.68300000000000005</v>
      </c>
      <c r="BY210" s="47">
        <v>0.72399999999999998</v>
      </c>
      <c r="BZ210" s="47">
        <v>0.75499999999999989</v>
      </c>
      <c r="CA210" s="47">
        <v>0.81599999999999995</v>
      </c>
      <c r="CB210" s="47">
        <v>0.7649999999999999</v>
      </c>
      <c r="CC210" s="47">
        <v>0.71399999999999986</v>
      </c>
      <c r="CD210" s="47">
        <v>0.61199999999999999</v>
      </c>
      <c r="CE210" s="47">
        <v>0.59099999999999997</v>
      </c>
      <c r="CF210" s="47">
        <v>0.56100000000000005</v>
      </c>
      <c r="CG210" s="47">
        <v>0.56100000000000005</v>
      </c>
      <c r="CH210" s="47">
        <v>0.60199999999999998</v>
      </c>
      <c r="CI210" s="47">
        <v>0.52</v>
      </c>
      <c r="CJ210" s="47">
        <v>0.42799999999999994</v>
      </c>
      <c r="CK210" s="47">
        <v>0.30599999999999999</v>
      </c>
      <c r="CL210" s="47">
        <v>0.30599999999999999</v>
      </c>
      <c r="CM210" s="47">
        <v>0.17299999999999999</v>
      </c>
      <c r="CN210" s="47">
        <v>0.122</v>
      </c>
      <c r="CO210" s="47">
        <v>8.1000000000000003E-2</v>
      </c>
      <c r="CP210" s="47">
        <v>7.0999999999999994E-2</v>
      </c>
      <c r="CQ210" s="47">
        <v>5.0999999999999997E-2</v>
      </c>
      <c r="CR210" s="47">
        <v>1.9999999999999997E-2</v>
      </c>
      <c r="CS210" s="47">
        <v>1.9999999999999997E-2</v>
      </c>
      <c r="CT210" s="47">
        <v>3.9999999999999994E-2</v>
      </c>
      <c r="CU210" s="47">
        <v>9.1000000000000011E-2</v>
      </c>
      <c r="CV210" s="47">
        <v>0.112</v>
      </c>
      <c r="CW210" s="47">
        <v>0.14199999999999999</v>
      </c>
      <c r="CX210" s="47">
        <v>0.14199999999999999</v>
      </c>
      <c r="CY210" s="47">
        <v>0.183</v>
      </c>
      <c r="CZ210" s="47">
        <v>0.29499999999999998</v>
      </c>
    </row>
    <row r="211" spans="1:104" x14ac:dyDescent="0.2">
      <c r="A211" s="50" t="s">
        <v>115</v>
      </c>
      <c r="B211" s="46">
        <f t="shared" si="32"/>
        <v>45.674999999999997</v>
      </c>
      <c r="C211" s="46">
        <f t="shared" si="33"/>
        <v>-2.6000000000000023</v>
      </c>
      <c r="D211" s="48">
        <f t="shared" si="34"/>
        <v>25.984701847695639</v>
      </c>
      <c r="E211" s="46"/>
      <c r="F211" s="47">
        <v>0.76724999999999999</v>
      </c>
      <c r="G211" s="47">
        <v>0.76724999999999999</v>
      </c>
      <c r="H211" s="47">
        <v>0.75224999999999997</v>
      </c>
      <c r="I211" s="47">
        <v>0.79325000000000001</v>
      </c>
      <c r="J211" s="47">
        <v>0.76724999999999999</v>
      </c>
      <c r="K211" s="47">
        <v>0.70874999999999999</v>
      </c>
      <c r="L211" s="47">
        <v>0.55574999999999997</v>
      </c>
      <c r="M211" s="47">
        <v>0.45074999999999998</v>
      </c>
      <c r="N211" s="47">
        <v>0.37674999999999997</v>
      </c>
      <c r="O211" s="47">
        <v>0.17574999999999996</v>
      </c>
      <c r="P211" s="47">
        <v>0.183</v>
      </c>
      <c r="Q211" s="47">
        <v>0.24225000000000002</v>
      </c>
      <c r="R211" s="47">
        <v>0.36399999999999999</v>
      </c>
      <c r="S211" s="47">
        <v>0.44874999999999993</v>
      </c>
      <c r="T211" s="47">
        <v>0.32074999999999998</v>
      </c>
      <c r="U211" s="47">
        <v>0.21149999999999997</v>
      </c>
      <c r="V211" s="47">
        <v>0.28799999999999998</v>
      </c>
      <c r="W211" s="47">
        <v>0.3105</v>
      </c>
      <c r="X211" s="47">
        <v>0.42824999999999996</v>
      </c>
      <c r="Y211" s="47">
        <v>0.38450000000000001</v>
      </c>
      <c r="Z211" s="47">
        <v>0.36449999999999999</v>
      </c>
      <c r="AA211" s="47">
        <v>0.48924999999999996</v>
      </c>
      <c r="AB211" s="47">
        <v>0.58349999999999991</v>
      </c>
      <c r="AC211" s="47">
        <v>0.67274999999999996</v>
      </c>
      <c r="AD211" s="47">
        <v>0.61424999999999996</v>
      </c>
      <c r="AE211" s="47">
        <v>0.59150000000000003</v>
      </c>
      <c r="AF211" s="47">
        <v>0.60699999999999998</v>
      </c>
      <c r="AG211" s="47">
        <v>0.52975000000000005</v>
      </c>
      <c r="AH211" s="47">
        <v>0.58125000000000004</v>
      </c>
      <c r="AI211" s="47">
        <v>0.69049999999999989</v>
      </c>
      <c r="AJ211" s="47">
        <v>0.79049999999999987</v>
      </c>
      <c r="AK211" s="47">
        <v>0.82324999999999993</v>
      </c>
      <c r="AL211" s="47">
        <v>0.87475000000000003</v>
      </c>
      <c r="AM211" s="47">
        <v>0.90999999999999992</v>
      </c>
      <c r="AN211" s="47">
        <v>0.94599999999999995</v>
      </c>
      <c r="AO211" s="47">
        <v>0.97124999999999995</v>
      </c>
      <c r="AP211" s="47">
        <v>0.96350000000000013</v>
      </c>
      <c r="AQ211" s="47">
        <v>0.99224999999999997</v>
      </c>
      <c r="AR211" s="47">
        <v>0.94350000000000001</v>
      </c>
      <c r="AS211" s="47">
        <v>0.96099999999999997</v>
      </c>
      <c r="AT211" s="47">
        <v>0.94324999999999992</v>
      </c>
      <c r="AU211" s="47">
        <v>0.84925000000000006</v>
      </c>
      <c r="AV211" s="47">
        <v>0.67325000000000002</v>
      </c>
      <c r="AW211" s="47">
        <v>0.65525</v>
      </c>
      <c r="AX211" s="47">
        <v>0.57650000000000001</v>
      </c>
      <c r="AY211" s="47">
        <v>0.49699999999999994</v>
      </c>
      <c r="AZ211" s="47">
        <v>0.46874999999999994</v>
      </c>
      <c r="BA211" s="47">
        <v>0.26250000000000001</v>
      </c>
      <c r="BB211" s="47">
        <v>0.26225000000000004</v>
      </c>
      <c r="BC211" s="47">
        <v>0.11675000000000001</v>
      </c>
      <c r="BD211" s="47">
        <v>0.44574999999999998</v>
      </c>
      <c r="BE211" s="47">
        <v>0.38250000000000001</v>
      </c>
      <c r="BF211" s="47">
        <v>0.36899999999999994</v>
      </c>
      <c r="BG211" s="47">
        <v>0.313</v>
      </c>
      <c r="BH211" s="47">
        <v>0.23675000000000002</v>
      </c>
      <c r="BI211" s="47">
        <v>0.23649999999999999</v>
      </c>
      <c r="BJ211" s="47">
        <v>0.31824999999999992</v>
      </c>
      <c r="BK211" s="47">
        <v>0.28775000000000001</v>
      </c>
      <c r="BL211" s="47">
        <v>0.14775000000000002</v>
      </c>
      <c r="BM211" s="47">
        <v>0.11149999999999999</v>
      </c>
      <c r="BN211" s="47">
        <v>0.13224999999999998</v>
      </c>
      <c r="BO211" s="47">
        <v>0.31349999999999995</v>
      </c>
      <c r="BP211" s="47">
        <v>5.5999999999999994E-2</v>
      </c>
      <c r="BQ211" s="47">
        <v>5.0500000000000003E-2</v>
      </c>
      <c r="BR211" s="47">
        <v>8.1249999999999989E-2</v>
      </c>
      <c r="BS211" s="47">
        <v>9.1749999999999998E-2</v>
      </c>
      <c r="BT211" s="47">
        <v>8.3750000000000005E-2</v>
      </c>
      <c r="BU211" s="47">
        <v>7.5749999999999998E-2</v>
      </c>
      <c r="BV211" s="47">
        <v>7.8750000000000001E-2</v>
      </c>
      <c r="BW211" s="47">
        <v>0.18325</v>
      </c>
      <c r="BX211" s="47">
        <v>0.23400000000000001</v>
      </c>
      <c r="BY211" s="47">
        <v>0.28549999999999998</v>
      </c>
      <c r="BZ211" s="47">
        <v>0.29550000000000004</v>
      </c>
      <c r="CA211" s="47">
        <v>0.316</v>
      </c>
      <c r="CB211" s="47">
        <v>0.38474999999999998</v>
      </c>
      <c r="CC211" s="47">
        <v>0.46925</v>
      </c>
      <c r="CD211" s="47">
        <v>0.44375000000000003</v>
      </c>
      <c r="CE211" s="47">
        <v>0.50175000000000003</v>
      </c>
      <c r="CF211" s="47">
        <v>0.55049999999999999</v>
      </c>
      <c r="CG211" s="47">
        <v>0.62449999999999994</v>
      </c>
      <c r="CH211" s="47">
        <v>0.6702499999999999</v>
      </c>
      <c r="CI211" s="47">
        <v>0.72949999999999993</v>
      </c>
      <c r="CJ211" s="47">
        <v>0.74174999999999991</v>
      </c>
      <c r="CK211" s="47">
        <v>0.72375</v>
      </c>
      <c r="CL211" s="47">
        <v>0.67325000000000002</v>
      </c>
      <c r="CM211" s="47">
        <v>0.62699999999999989</v>
      </c>
      <c r="CN211" s="47">
        <v>0.74199999999999999</v>
      </c>
      <c r="CO211" s="47">
        <v>0.7955000000000001</v>
      </c>
      <c r="CP211" s="47">
        <v>0.75674999999999992</v>
      </c>
      <c r="CQ211" s="47">
        <v>0.80825000000000002</v>
      </c>
      <c r="CR211" s="47">
        <v>0.77725000000000011</v>
      </c>
      <c r="CS211" s="47">
        <v>0.71875</v>
      </c>
      <c r="CT211" s="47">
        <v>0.56324999999999992</v>
      </c>
      <c r="CU211" s="47">
        <v>0.45624999999999999</v>
      </c>
      <c r="CV211" s="47">
        <v>0.41749999999999998</v>
      </c>
      <c r="CW211" s="47">
        <v>0.44574999999999998</v>
      </c>
      <c r="CX211" s="47">
        <v>0.46149999999999997</v>
      </c>
      <c r="CY211" s="47">
        <v>0.4945</v>
      </c>
      <c r="CZ211" s="47">
        <v>0.22375</v>
      </c>
    </row>
    <row r="212" spans="1:104" x14ac:dyDescent="0.2">
      <c r="A212" s="50" t="s">
        <v>117</v>
      </c>
      <c r="B212" s="46">
        <f t="shared" si="32"/>
        <v>-15.816666666666679</v>
      </c>
      <c r="C212" s="46">
        <f t="shared" si="33"/>
        <v>-5.8833333333333346</v>
      </c>
      <c r="D212" s="48">
        <f t="shared" si="34"/>
        <v>17.926191257779845</v>
      </c>
      <c r="E212" s="46"/>
      <c r="F212" s="47">
        <v>0.26499999999999996</v>
      </c>
      <c r="G212" s="47">
        <v>0.26499999999999996</v>
      </c>
      <c r="H212" s="47">
        <v>0.39449999999999996</v>
      </c>
      <c r="I212" s="47">
        <v>0.32383333333333331</v>
      </c>
      <c r="J212" s="47">
        <v>0.245</v>
      </c>
      <c r="K212" s="47">
        <v>0.14116666666666661</v>
      </c>
      <c r="L212" s="47">
        <v>0.15149999999999988</v>
      </c>
      <c r="M212" s="47">
        <v>0.15999999999999992</v>
      </c>
      <c r="N212" s="47">
        <v>0.14699999999999991</v>
      </c>
      <c r="O212" s="47">
        <v>0.22466666666666668</v>
      </c>
      <c r="P212" s="47">
        <v>0.39099999999999996</v>
      </c>
      <c r="Q212" s="47">
        <v>0.49616666666666664</v>
      </c>
      <c r="R212" s="47">
        <v>0.41299999999999981</v>
      </c>
      <c r="S212" s="47">
        <v>0.32983333333333315</v>
      </c>
      <c r="T212" s="47">
        <v>0.21433333333333324</v>
      </c>
      <c r="U212" s="47">
        <v>0.27533333333333337</v>
      </c>
      <c r="V212" s="47">
        <v>0.37350000000000005</v>
      </c>
      <c r="W212" s="47">
        <v>0.42316666666666675</v>
      </c>
      <c r="X212" s="47">
        <v>0.45266666666666666</v>
      </c>
      <c r="Y212" s="47">
        <v>0.3838333333333333</v>
      </c>
      <c r="Z212" s="47">
        <v>0.40800000000000003</v>
      </c>
      <c r="AA212" s="47">
        <v>0.29933333333333328</v>
      </c>
      <c r="AB212" s="47">
        <v>0.18600000000000005</v>
      </c>
      <c r="AC212" s="47">
        <v>0.25650000000000012</v>
      </c>
      <c r="AD212" s="47">
        <v>0.40183333333333338</v>
      </c>
      <c r="AE212" s="47">
        <v>0.53233333333333321</v>
      </c>
      <c r="AF212" s="47">
        <v>0.51616666666666666</v>
      </c>
      <c r="AG212" s="47">
        <v>0.48800000000000004</v>
      </c>
      <c r="AH212" s="47">
        <v>0.41350000000000009</v>
      </c>
      <c r="AI212" s="47">
        <v>0.43800000000000011</v>
      </c>
      <c r="AJ212" s="47">
        <v>0.52200000000000013</v>
      </c>
      <c r="AK212" s="47">
        <v>0.65866666666666684</v>
      </c>
      <c r="AL212" s="47">
        <v>0.65966666666666685</v>
      </c>
      <c r="AM212" s="47">
        <v>0.69816666666666694</v>
      </c>
      <c r="AN212" s="47">
        <v>0.77983333333333338</v>
      </c>
      <c r="AO212" s="47">
        <v>0.90833333333333355</v>
      </c>
      <c r="AP212" s="47">
        <v>0.9484999999999999</v>
      </c>
      <c r="AQ212" s="47">
        <v>0.99116666666666675</v>
      </c>
      <c r="AR212" s="47">
        <v>0.80783333333333329</v>
      </c>
      <c r="AS212" s="47">
        <v>0.75016666666666654</v>
      </c>
      <c r="AT212" s="47">
        <v>0.70766666666666678</v>
      </c>
      <c r="AU212" s="47">
        <v>0.71666666666666679</v>
      </c>
      <c r="AV212" s="47">
        <v>0.72183333333333355</v>
      </c>
      <c r="AW212" s="47">
        <v>0.68566666666666676</v>
      </c>
      <c r="AX212" s="47">
        <v>0.63650000000000007</v>
      </c>
      <c r="AY212" s="47">
        <v>0.68333333333333335</v>
      </c>
      <c r="AZ212" s="47">
        <v>0.70466666666666666</v>
      </c>
      <c r="BA212" s="47">
        <v>0.52400000000000002</v>
      </c>
      <c r="BB212" s="47">
        <v>0.38750000000000018</v>
      </c>
      <c r="BC212" s="47">
        <v>0.29966666666666686</v>
      </c>
      <c r="BD212" s="47">
        <v>0.30666666666666681</v>
      </c>
      <c r="BE212" s="47">
        <v>0.38883333333333336</v>
      </c>
      <c r="BF212" s="47">
        <v>0.44549999999999995</v>
      </c>
      <c r="BG212" s="47">
        <v>0.40949999999999998</v>
      </c>
      <c r="BH212" s="47">
        <v>0.30649999999999988</v>
      </c>
      <c r="BI212" s="47">
        <v>0.28049999999999986</v>
      </c>
      <c r="BJ212" s="47">
        <v>0.28599999999999987</v>
      </c>
      <c r="BK212" s="47">
        <v>0.34249999999999992</v>
      </c>
      <c r="BL212" s="47">
        <v>0.33749999999999986</v>
      </c>
      <c r="BM212" s="47">
        <v>0.31699999999999984</v>
      </c>
      <c r="BN212" s="47">
        <v>0.31149999999999989</v>
      </c>
      <c r="BO212" s="47">
        <v>0.2754999999999998</v>
      </c>
      <c r="BP212" s="47">
        <v>0.29599999999999982</v>
      </c>
      <c r="BQ212" s="47">
        <v>0.33199999999999991</v>
      </c>
      <c r="BR212" s="47">
        <v>0.35799999999999987</v>
      </c>
      <c r="BS212" s="47">
        <v>0.35299999999999987</v>
      </c>
      <c r="BT212" s="47">
        <v>0.39399999999999991</v>
      </c>
      <c r="BU212" s="47">
        <v>0.42499999999999993</v>
      </c>
      <c r="BV212" s="47">
        <v>0.45100000000000001</v>
      </c>
      <c r="BW212" s="47">
        <v>0.48699999999999999</v>
      </c>
      <c r="BX212" s="47">
        <v>0.5485000000000001</v>
      </c>
      <c r="BY212" s="47">
        <v>0.60550000000000015</v>
      </c>
      <c r="BZ212" s="47">
        <v>0.60050000000000014</v>
      </c>
      <c r="CA212" s="47">
        <v>0.58500000000000008</v>
      </c>
      <c r="CB212" s="47">
        <v>0.69300000000000028</v>
      </c>
      <c r="CC212" s="47">
        <v>0.65700000000000025</v>
      </c>
      <c r="CD212" s="47">
        <v>0.68250000000000033</v>
      </c>
      <c r="CE212" s="47">
        <v>0.72400000000000031</v>
      </c>
      <c r="CF212" s="47">
        <v>0.73450000000000037</v>
      </c>
      <c r="CG212" s="47">
        <v>0.75000000000000033</v>
      </c>
      <c r="CH212" s="47">
        <v>0.72900000000000031</v>
      </c>
      <c r="CI212" s="47">
        <v>0.71350000000000036</v>
      </c>
      <c r="CJ212" s="47">
        <v>0.67750000000000021</v>
      </c>
      <c r="CK212" s="47">
        <v>0.70350000000000035</v>
      </c>
      <c r="CL212" s="47">
        <v>0.71900000000000031</v>
      </c>
      <c r="CM212" s="47">
        <v>0.73950000000000038</v>
      </c>
      <c r="CN212" s="47">
        <v>0.6465000000000003</v>
      </c>
      <c r="CO212" s="47">
        <v>0.66200000000000025</v>
      </c>
      <c r="CP212" s="47">
        <v>0.61550000000000016</v>
      </c>
      <c r="CQ212" s="47">
        <v>0.5950000000000002</v>
      </c>
      <c r="CR212" s="47">
        <v>0.61050000000000015</v>
      </c>
      <c r="CS212" s="47">
        <v>0.64150000000000029</v>
      </c>
      <c r="CT212" s="47">
        <v>0.68800000000000028</v>
      </c>
      <c r="CU212" s="47">
        <v>0.62100000000000011</v>
      </c>
      <c r="CV212" s="47">
        <v>0.56400000000000017</v>
      </c>
      <c r="CW212" s="47">
        <v>0.49700000000000005</v>
      </c>
      <c r="CX212" s="47">
        <v>0.50750000000000006</v>
      </c>
      <c r="CY212" s="47">
        <v>0.52800000000000002</v>
      </c>
      <c r="CZ212" s="47">
        <v>0.5</v>
      </c>
    </row>
    <row r="213" spans="1:104" x14ac:dyDescent="0.2">
      <c r="A213" s="50" t="s">
        <v>323</v>
      </c>
      <c r="B213" s="46">
        <f t="shared" si="32"/>
        <v>-58.20000000000001</v>
      </c>
      <c r="C213" s="46">
        <f t="shared" si="33"/>
        <v>13.199999999999998</v>
      </c>
      <c r="D213" s="48">
        <f t="shared" si="34"/>
        <v>29.882789775081886</v>
      </c>
      <c r="E213" s="46"/>
      <c r="F213" s="47">
        <v>0.29499999999999998</v>
      </c>
      <c r="G213" s="47">
        <v>0.17299999999999999</v>
      </c>
      <c r="H213" s="47">
        <v>0.153</v>
      </c>
      <c r="I213" s="47">
        <v>0.16300000000000001</v>
      </c>
      <c r="J213" s="47">
        <v>0.27500000000000002</v>
      </c>
      <c r="K213" s="47">
        <v>0.57099999999999995</v>
      </c>
      <c r="L213" s="47">
        <v>0.64200000000000002</v>
      </c>
      <c r="M213" s="47">
        <v>0.67300000000000004</v>
      </c>
      <c r="N213" s="47">
        <v>0.66300000000000003</v>
      </c>
      <c r="O213" s="47">
        <v>0.65300000000000002</v>
      </c>
      <c r="P213" s="47">
        <v>0.68300000000000005</v>
      </c>
      <c r="Q213" s="47">
        <v>0.72399999999999998</v>
      </c>
      <c r="R213" s="47">
        <v>0.77500000000000002</v>
      </c>
      <c r="S213" s="47">
        <v>0.73399999999999999</v>
      </c>
      <c r="T213" s="47">
        <v>0.69299999999999995</v>
      </c>
      <c r="U213" s="47">
        <v>0.71399999999999997</v>
      </c>
      <c r="V213" s="47">
        <v>0.79500000000000004</v>
      </c>
      <c r="W213" s="47">
        <v>0.877</v>
      </c>
      <c r="X213" s="47">
        <v>0.90800000000000003</v>
      </c>
      <c r="Y213" s="47">
        <v>0.92800000000000005</v>
      </c>
      <c r="Z213" s="47">
        <v>0.95900000000000007</v>
      </c>
      <c r="AA213" s="47">
        <v>0.9890000000000001</v>
      </c>
      <c r="AB213" s="47">
        <v>1</v>
      </c>
      <c r="AC213" s="47">
        <v>0.96899999999999997</v>
      </c>
      <c r="AD213" s="47">
        <v>0.91800000000000004</v>
      </c>
      <c r="AE213" s="47">
        <v>0.85699999999999998</v>
      </c>
      <c r="AF213" s="47">
        <v>0.82599999999999996</v>
      </c>
      <c r="AG213" s="47">
        <v>0.88700000000000001</v>
      </c>
      <c r="AH213" s="47">
        <v>0.93799999999999994</v>
      </c>
      <c r="AI213" s="47">
        <v>0.97899999999999998</v>
      </c>
      <c r="AJ213" s="47">
        <v>0.94799999999999995</v>
      </c>
      <c r="AK213" s="47">
        <v>0.89700000000000002</v>
      </c>
      <c r="AL213" s="47">
        <v>0.81599999999999995</v>
      </c>
      <c r="AM213" s="47">
        <v>0.83599999999999997</v>
      </c>
      <c r="AN213" s="47">
        <v>0.84599999999999997</v>
      </c>
      <c r="AO213" s="47">
        <v>0.86699999999999999</v>
      </c>
      <c r="AP213" s="47">
        <v>0.80600000000000005</v>
      </c>
      <c r="AQ213" s="47">
        <v>0.78500000000000003</v>
      </c>
      <c r="AR213" s="47">
        <v>0.755</v>
      </c>
      <c r="AS213" s="47">
        <v>0.76500000000000001</v>
      </c>
      <c r="AT213" s="47">
        <v>0.74399999999999999</v>
      </c>
      <c r="AU213" s="47">
        <v>0.70399999999999996</v>
      </c>
      <c r="AV213" s="47">
        <v>0.40799999999999997</v>
      </c>
      <c r="AW213" s="47">
        <v>0.03</v>
      </c>
      <c r="AX213" s="47">
        <v>0.01</v>
      </c>
      <c r="AY213" s="47">
        <v>0</v>
      </c>
      <c r="AZ213" s="47">
        <v>0.02</v>
      </c>
      <c r="BA213" s="47">
        <v>6.0999999999999999E-2</v>
      </c>
      <c r="BB213" s="47">
        <v>0.30599999999999999</v>
      </c>
      <c r="BC213" s="47">
        <v>0.56100000000000005</v>
      </c>
      <c r="BD213" s="47">
        <v>0.58099999999999996</v>
      </c>
      <c r="BE213" s="47">
        <v>0.59099999999999997</v>
      </c>
      <c r="BF213" s="47">
        <v>0.61199999999999999</v>
      </c>
      <c r="BG213" s="47">
        <v>0.55100000000000005</v>
      </c>
      <c r="BH213" s="47">
        <v>0.41799999999999998</v>
      </c>
      <c r="BI213" s="47">
        <v>0.33600000000000002</v>
      </c>
      <c r="BJ213" s="47">
        <v>0.36699999999999999</v>
      </c>
      <c r="BK213" s="47">
        <v>0.45900000000000002</v>
      </c>
      <c r="BL213" s="47">
        <v>0.52</v>
      </c>
      <c r="BM213" s="47">
        <v>0.53</v>
      </c>
      <c r="BN213" s="47">
        <v>0.5</v>
      </c>
      <c r="BO213" s="47">
        <v>0.54</v>
      </c>
      <c r="BP213" s="47">
        <v>0.60199999999999998</v>
      </c>
      <c r="BQ213" s="47">
        <v>0.63200000000000001</v>
      </c>
      <c r="BR213" s="47">
        <v>0.622</v>
      </c>
      <c r="BS213" s="47">
        <v>0.51</v>
      </c>
      <c r="BT213" s="47">
        <v>0.438</v>
      </c>
      <c r="BU213" s="47">
        <v>0.38700000000000001</v>
      </c>
      <c r="BV213" s="47">
        <v>0.32600000000000001</v>
      </c>
      <c r="BW213" s="47">
        <v>0.255</v>
      </c>
      <c r="BX213" s="47">
        <v>0.20399999999999999</v>
      </c>
      <c r="BY213" s="47">
        <v>0.183</v>
      </c>
      <c r="BZ213" s="47">
        <v>0.183</v>
      </c>
      <c r="CA213" s="47">
        <v>0.24399999999999999</v>
      </c>
      <c r="CB213" s="47">
        <v>0.316</v>
      </c>
      <c r="CC213" s="47">
        <v>0.39700000000000002</v>
      </c>
      <c r="CD213" s="47">
        <v>0.42799999999999999</v>
      </c>
      <c r="CE213" s="47">
        <v>0.34599999999999997</v>
      </c>
      <c r="CF213" s="47">
        <v>0.26500000000000001</v>
      </c>
      <c r="CG213" s="47">
        <v>0.214</v>
      </c>
      <c r="CH213" s="47">
        <v>0.224</v>
      </c>
      <c r="CI213" s="47">
        <v>0.28499999999999998</v>
      </c>
      <c r="CJ213" s="47">
        <v>0.35699999999999998</v>
      </c>
      <c r="CK213" s="47">
        <v>0.46899999999999997</v>
      </c>
      <c r="CL213" s="47">
        <v>0.48899999999999993</v>
      </c>
      <c r="CM213" s="47">
        <v>0.47899999999999998</v>
      </c>
      <c r="CN213" s="47">
        <v>0.44800000000000001</v>
      </c>
      <c r="CO213" s="47">
        <v>0.377</v>
      </c>
      <c r="CP213" s="47">
        <v>0.23400000000000001</v>
      </c>
      <c r="CQ213" s="47">
        <v>0.14199999999999999</v>
      </c>
      <c r="CR213" s="47">
        <v>8.1000000000000003E-2</v>
      </c>
      <c r="CS213" s="47">
        <v>0.04</v>
      </c>
      <c r="CT213" s="47">
        <v>0.04</v>
      </c>
      <c r="CU213" s="47">
        <v>7.0999999999999994E-2</v>
      </c>
      <c r="CV213" s="47">
        <v>0.112</v>
      </c>
      <c r="CW213" s="47">
        <v>0.13200000000000001</v>
      </c>
      <c r="CX213" s="47">
        <v>0.10199999999999999</v>
      </c>
      <c r="CY213" s="47">
        <v>9.0999999999999998E-2</v>
      </c>
      <c r="CZ213" s="47">
        <v>0.122</v>
      </c>
    </row>
    <row r="214" spans="1:104" x14ac:dyDescent="0.2">
      <c r="A214" s="50" t="s">
        <v>324</v>
      </c>
      <c r="B214" s="46">
        <f t="shared" si="32"/>
        <v>-10.250000000000004</v>
      </c>
      <c r="C214" s="46">
        <f t="shared" si="33"/>
        <v>-21.400000000000002</v>
      </c>
      <c r="D214" s="48">
        <f t="shared" si="34"/>
        <v>18.730734032718559</v>
      </c>
      <c r="E214" s="46"/>
      <c r="F214" s="47">
        <v>0.22749999999999998</v>
      </c>
      <c r="G214" s="47">
        <v>0.22749999999999998</v>
      </c>
      <c r="H214" s="47">
        <v>0.36</v>
      </c>
      <c r="I214" s="47">
        <v>0.4415</v>
      </c>
      <c r="J214" s="47">
        <v>0.36350000000000005</v>
      </c>
      <c r="K214" s="47">
        <v>0.38550000000000001</v>
      </c>
      <c r="L214" s="47">
        <v>0.22950000000000001</v>
      </c>
      <c r="M214" s="47">
        <v>0.22749999999999998</v>
      </c>
      <c r="N214" s="47">
        <v>0.16099999999999998</v>
      </c>
      <c r="O214" s="47">
        <v>0.26450000000000001</v>
      </c>
      <c r="P214" s="47">
        <v>0.45599999999999996</v>
      </c>
      <c r="Q214" s="47">
        <v>0.65149999999999997</v>
      </c>
      <c r="R214" s="47">
        <v>0.63700000000000001</v>
      </c>
      <c r="S214" s="47">
        <v>0.57450000000000001</v>
      </c>
      <c r="T214" s="47">
        <v>0.46899999999999997</v>
      </c>
      <c r="U214" s="47">
        <v>0.28250000000000003</v>
      </c>
      <c r="V214" s="47">
        <v>0.28449999999999998</v>
      </c>
      <c r="W214" s="47">
        <v>0.33</v>
      </c>
      <c r="X214" s="47">
        <v>0.438</v>
      </c>
      <c r="Y214" s="47">
        <v>0.745</v>
      </c>
      <c r="Z214" s="47">
        <v>0.82299999999999995</v>
      </c>
      <c r="AA214" s="47">
        <v>0.94200000000000017</v>
      </c>
      <c r="AB214" s="47">
        <v>0.88049999999999995</v>
      </c>
      <c r="AC214" s="47">
        <v>0.87650000000000006</v>
      </c>
      <c r="AD214" s="47">
        <v>0.93800000000000006</v>
      </c>
      <c r="AE214" s="47">
        <v>1</v>
      </c>
      <c r="AF214" s="47">
        <v>0.95600000000000007</v>
      </c>
      <c r="AG214" s="47">
        <v>0.77100000000000002</v>
      </c>
      <c r="AH214" s="47">
        <v>0.59600000000000009</v>
      </c>
      <c r="AI214" s="47">
        <v>0.45649999999999996</v>
      </c>
      <c r="AJ214" s="47">
        <v>0.66149999999999998</v>
      </c>
      <c r="AK214" s="47">
        <v>0.59199999999999997</v>
      </c>
      <c r="AL214" s="47">
        <v>0.67349999999999999</v>
      </c>
      <c r="AM214" s="47">
        <v>0.53800000000000003</v>
      </c>
      <c r="AN214" s="47">
        <v>0.48</v>
      </c>
      <c r="AO214" s="47">
        <v>0.31850000000000001</v>
      </c>
      <c r="AP214" s="47">
        <v>0.53750000000000009</v>
      </c>
      <c r="AQ214" s="47">
        <v>0.57950000000000002</v>
      </c>
      <c r="AR214" s="47">
        <v>0.63700000000000001</v>
      </c>
      <c r="AS214" s="47">
        <v>0.55549999999999999</v>
      </c>
      <c r="AT214" s="47">
        <v>0.53300000000000003</v>
      </c>
      <c r="AU214" s="47">
        <v>0.45949999999999996</v>
      </c>
      <c r="AV214" s="47">
        <v>0.29399999999999998</v>
      </c>
      <c r="AW214" s="47">
        <v>0.22049999999999997</v>
      </c>
      <c r="AX214" s="47">
        <v>0.16650000000000001</v>
      </c>
      <c r="AY214" s="47">
        <v>0.12100000000000001</v>
      </c>
      <c r="AZ214" s="47">
        <v>0.15499999999999997</v>
      </c>
      <c r="BA214" s="47">
        <v>0.14899999999999999</v>
      </c>
      <c r="BB214" s="47">
        <v>0.153</v>
      </c>
      <c r="BC214" s="47">
        <v>7.9000000000000001E-2</v>
      </c>
      <c r="BD214" s="47">
        <v>8.3000000000000004E-2</v>
      </c>
      <c r="BE214" s="47">
        <v>0.33699999999999997</v>
      </c>
      <c r="BF214" s="47">
        <v>0.39250000000000002</v>
      </c>
      <c r="BG214" s="47">
        <v>0.50350000000000006</v>
      </c>
      <c r="BH214" s="47">
        <v>0.61499999999999999</v>
      </c>
      <c r="BI214" s="47">
        <v>0.63850000000000007</v>
      </c>
      <c r="BJ214" s="47">
        <v>0.67849999999999999</v>
      </c>
      <c r="BK214" s="47">
        <v>0.69399999999999995</v>
      </c>
      <c r="BL214" s="47">
        <v>0.74199999999999988</v>
      </c>
      <c r="BM214" s="47">
        <v>0.73399999999999999</v>
      </c>
      <c r="BN214" s="47">
        <v>0.71</v>
      </c>
      <c r="BO214" s="47">
        <v>0.66249999999999998</v>
      </c>
      <c r="BP214" s="47">
        <v>0.63049999999999995</v>
      </c>
      <c r="BQ214" s="47">
        <v>0.64649999999999996</v>
      </c>
      <c r="BR214" s="47">
        <v>0.5</v>
      </c>
      <c r="BS214" s="47">
        <v>0.5</v>
      </c>
      <c r="BT214" s="47">
        <v>0.5</v>
      </c>
      <c r="BU214" s="47">
        <v>0.5</v>
      </c>
      <c r="BV214" s="47">
        <v>0.5</v>
      </c>
      <c r="BW214" s="47">
        <v>0.5</v>
      </c>
      <c r="BX214" s="47">
        <v>0.5</v>
      </c>
      <c r="BY214" s="47">
        <v>0.5</v>
      </c>
      <c r="BZ214" s="47">
        <v>0.5</v>
      </c>
      <c r="CA214" s="47">
        <v>0.5</v>
      </c>
      <c r="CB214" s="47">
        <v>0.5</v>
      </c>
      <c r="CC214" s="47">
        <v>0.5</v>
      </c>
      <c r="CD214" s="47">
        <v>0.5</v>
      </c>
      <c r="CE214" s="47">
        <v>0.5</v>
      </c>
      <c r="CF214" s="47">
        <v>0.5</v>
      </c>
      <c r="CG214" s="47">
        <v>0.5</v>
      </c>
      <c r="CH214" s="47">
        <v>0.5</v>
      </c>
      <c r="CI214" s="47">
        <v>0.5</v>
      </c>
      <c r="CJ214" s="47">
        <v>0.5</v>
      </c>
      <c r="CK214" s="47">
        <v>0.5</v>
      </c>
      <c r="CL214" s="47">
        <v>0.5</v>
      </c>
      <c r="CM214" s="47">
        <v>0.5</v>
      </c>
      <c r="CN214" s="47">
        <v>0.5</v>
      </c>
      <c r="CO214" s="47">
        <v>0.5</v>
      </c>
      <c r="CP214" s="47">
        <v>0.5</v>
      </c>
      <c r="CQ214" s="47">
        <v>0.5</v>
      </c>
      <c r="CR214" s="47">
        <v>0.5</v>
      </c>
      <c r="CS214" s="47">
        <v>0.5</v>
      </c>
      <c r="CT214" s="47">
        <v>0.5</v>
      </c>
      <c r="CU214" s="47">
        <v>0.5</v>
      </c>
      <c r="CV214" s="47">
        <v>0.5</v>
      </c>
      <c r="CW214" s="47">
        <v>0.5</v>
      </c>
      <c r="CX214" s="47">
        <v>0.5</v>
      </c>
      <c r="CY214" s="47">
        <v>0.5</v>
      </c>
      <c r="CZ214" s="47">
        <v>0.5</v>
      </c>
    </row>
    <row r="215" spans="1:104" x14ac:dyDescent="0.2">
      <c r="A215" s="50" t="s">
        <v>325</v>
      </c>
      <c r="B215" s="46">
        <f t="shared" si="32"/>
        <v>-89.3</v>
      </c>
      <c r="C215" s="46">
        <f t="shared" si="33"/>
        <v>-4</v>
      </c>
      <c r="D215" s="48">
        <f t="shared" si="34"/>
        <v>22.551940249993045</v>
      </c>
      <c r="E215" s="46"/>
      <c r="F215" s="47">
        <v>0</v>
      </c>
      <c r="G215" s="47">
        <v>0</v>
      </c>
      <c r="H215" s="47">
        <v>2.5999999999999999E-2</v>
      </c>
      <c r="I215" s="47">
        <v>0.04</v>
      </c>
      <c r="J215" s="47">
        <v>5.2999999999999999E-2</v>
      </c>
      <c r="K215" s="47">
        <v>6.6000000000000003E-2</v>
      </c>
      <c r="L215" s="47">
        <v>0.08</v>
      </c>
      <c r="M215" s="47">
        <v>9.2999999999999999E-2</v>
      </c>
      <c r="N215" s="47">
        <v>0.13300000000000001</v>
      </c>
      <c r="O215" s="47">
        <v>0.48</v>
      </c>
      <c r="P215" s="47">
        <v>0.78600000000000003</v>
      </c>
      <c r="Q215" s="47">
        <v>0.94599999999999995</v>
      </c>
      <c r="R215" s="47">
        <v>0.9860000000000001</v>
      </c>
      <c r="S215" s="47">
        <v>1</v>
      </c>
      <c r="T215" s="47">
        <v>0.97299999999999998</v>
      </c>
      <c r="U215" s="47">
        <v>0.86599999999999999</v>
      </c>
      <c r="V215" s="47">
        <v>0.84</v>
      </c>
      <c r="W215" s="47">
        <v>0.89300000000000002</v>
      </c>
      <c r="X215" s="47">
        <v>0.88</v>
      </c>
      <c r="Y215" s="47">
        <v>0.92</v>
      </c>
      <c r="Z215" s="47">
        <v>0.85299999999999998</v>
      </c>
      <c r="AA215" s="47">
        <v>0.81299999999999994</v>
      </c>
      <c r="AB215" s="47">
        <v>0.73299999999999998</v>
      </c>
      <c r="AC215" s="47">
        <v>0.70599999999999996</v>
      </c>
      <c r="AD215" s="47">
        <v>0.45300000000000001</v>
      </c>
      <c r="AE215" s="47">
        <v>0.38600000000000001</v>
      </c>
      <c r="AF215" s="47">
        <v>0.36</v>
      </c>
      <c r="AG215" s="47">
        <v>0.46600000000000003</v>
      </c>
      <c r="AH215" s="47">
        <v>0.44</v>
      </c>
      <c r="AI215" s="47">
        <v>0.42599999999999999</v>
      </c>
      <c r="AJ215" s="47">
        <v>0.626</v>
      </c>
      <c r="AK215" s="47">
        <v>0.57299999999999995</v>
      </c>
      <c r="AL215" s="47">
        <v>0.64</v>
      </c>
      <c r="AM215" s="47">
        <v>0.58599999999999997</v>
      </c>
      <c r="AN215" s="47">
        <v>0.68</v>
      </c>
      <c r="AO215" s="47">
        <v>0.54600000000000004</v>
      </c>
      <c r="AP215" s="47">
        <v>0.93300000000000005</v>
      </c>
      <c r="AQ215" s="47">
        <v>0.90600000000000003</v>
      </c>
      <c r="AR215" s="47">
        <v>0.96</v>
      </c>
      <c r="AS215" s="47">
        <v>0.72</v>
      </c>
      <c r="AT215" s="47">
        <v>0.746</v>
      </c>
      <c r="AU215" s="47">
        <v>0.69299999999999995</v>
      </c>
      <c r="AV215" s="47">
        <v>0.49300000000000005</v>
      </c>
      <c r="AW215" s="47">
        <v>0.41299999999999998</v>
      </c>
      <c r="AX215" s="47">
        <v>0.30599999999999999</v>
      </c>
      <c r="AY215" s="47">
        <v>0.2</v>
      </c>
      <c r="AZ215" s="47">
        <v>0.14599999999999999</v>
      </c>
      <c r="BA215" s="47">
        <v>0.12</v>
      </c>
      <c r="BB215" s="47">
        <v>0.106</v>
      </c>
      <c r="BC215" s="47">
        <v>0.16</v>
      </c>
      <c r="BD215" s="47">
        <v>0.17299999999999999</v>
      </c>
      <c r="BE215" s="47">
        <v>0.373</v>
      </c>
      <c r="BF215" s="47">
        <v>0.50600000000000001</v>
      </c>
      <c r="BG215" s="47">
        <v>0.6</v>
      </c>
      <c r="BH215" s="47">
        <v>0.61299999999999999</v>
      </c>
      <c r="BI215" s="47">
        <v>0.52</v>
      </c>
      <c r="BJ215" s="47">
        <v>0.53300000000000003</v>
      </c>
      <c r="BK215" s="47">
        <v>0.66600000000000004</v>
      </c>
      <c r="BL215" s="47">
        <v>0.76</v>
      </c>
      <c r="BM215" s="47">
        <v>0.82599999999999996</v>
      </c>
      <c r="BN215" s="47">
        <v>0.8</v>
      </c>
      <c r="BO215" s="47">
        <v>0.77300000000000002</v>
      </c>
      <c r="BP215" s="47">
        <v>0.65300000000000002</v>
      </c>
      <c r="BQ215" s="47">
        <v>0.56000000000000005</v>
      </c>
      <c r="BR215" s="47">
        <v>0.33300000000000002</v>
      </c>
      <c r="BS215" s="47">
        <v>0.253</v>
      </c>
      <c r="BT215" s="47">
        <v>0.26600000000000001</v>
      </c>
      <c r="BU215" s="47">
        <v>0.22600000000000001</v>
      </c>
      <c r="BV215" s="47">
        <v>0.21299999999999999</v>
      </c>
      <c r="BW215" s="47">
        <v>0.24</v>
      </c>
      <c r="BX215" s="47">
        <v>0.32</v>
      </c>
      <c r="BY215" s="47">
        <v>0.28000000000000003</v>
      </c>
      <c r="BZ215" s="47">
        <v>0.4</v>
      </c>
      <c r="CA215" s="47">
        <v>0.29299999999999998</v>
      </c>
      <c r="CB215" s="47">
        <v>0.34599999999999997</v>
      </c>
      <c r="CC215" s="47">
        <v>0.186</v>
      </c>
      <c r="CD215" s="47">
        <v>0.5</v>
      </c>
      <c r="CE215" s="47">
        <v>0.5</v>
      </c>
      <c r="CF215" s="47">
        <v>0.5</v>
      </c>
      <c r="CG215" s="47">
        <v>0.5</v>
      </c>
      <c r="CH215" s="47">
        <v>0.5</v>
      </c>
      <c r="CI215" s="47">
        <v>0.5</v>
      </c>
      <c r="CJ215" s="47">
        <v>0.5</v>
      </c>
      <c r="CK215" s="47">
        <v>0.5</v>
      </c>
      <c r="CL215" s="47">
        <v>0.5</v>
      </c>
      <c r="CM215" s="47">
        <v>0.5</v>
      </c>
      <c r="CN215" s="47">
        <v>0.5</v>
      </c>
      <c r="CO215" s="47">
        <v>0.5</v>
      </c>
      <c r="CP215" s="47">
        <v>0.5</v>
      </c>
      <c r="CQ215" s="47">
        <v>0.5</v>
      </c>
      <c r="CR215" s="47">
        <v>0.5</v>
      </c>
      <c r="CS215" s="47">
        <v>0.5</v>
      </c>
      <c r="CT215" s="47">
        <v>0.5</v>
      </c>
      <c r="CU215" s="47">
        <v>0.5</v>
      </c>
      <c r="CV215" s="47">
        <v>0.5</v>
      </c>
      <c r="CW215" s="47">
        <v>0.5</v>
      </c>
      <c r="CX215" s="47">
        <v>0.5</v>
      </c>
      <c r="CY215" s="47">
        <v>0.5</v>
      </c>
      <c r="CZ215" s="47">
        <v>0.5</v>
      </c>
    </row>
    <row r="216" spans="1:104" x14ac:dyDescent="0.2">
      <c r="A216" s="50" t="s">
        <v>119</v>
      </c>
      <c r="B216" s="46">
        <f t="shared" si="32"/>
        <v>-30.599999999999998</v>
      </c>
      <c r="C216" s="46">
        <f t="shared" si="33"/>
        <v>18.399999999999995</v>
      </c>
      <c r="D216" s="48">
        <f t="shared" si="34"/>
        <v>28.475414195138775</v>
      </c>
      <c r="E216" s="46"/>
      <c r="F216" s="47">
        <v>0.41799999999999998</v>
      </c>
      <c r="G216" s="47">
        <v>0.39700000000000002</v>
      </c>
      <c r="H216" s="47">
        <v>0.33600000000000002</v>
      </c>
      <c r="I216" s="47">
        <v>0.23400000000000004</v>
      </c>
      <c r="J216" s="47">
        <v>0.153</v>
      </c>
      <c r="K216" s="47">
        <v>6.0999999999999999E-2</v>
      </c>
      <c r="L216" s="47">
        <v>0.02</v>
      </c>
      <c r="M216" s="47">
        <v>0.04</v>
      </c>
      <c r="N216" s="47">
        <v>0.10199999999999999</v>
      </c>
      <c r="O216" s="47">
        <v>0.193</v>
      </c>
      <c r="P216" s="47">
        <v>0.29499999999999998</v>
      </c>
      <c r="Q216" s="47">
        <v>0.377</v>
      </c>
      <c r="R216" s="47">
        <v>0.36699999999999994</v>
      </c>
      <c r="S216" s="47">
        <v>0.316</v>
      </c>
      <c r="T216" s="47">
        <v>0.255</v>
      </c>
      <c r="U216" s="47">
        <v>0.38700000000000007</v>
      </c>
      <c r="V216" s="47">
        <v>0.54</v>
      </c>
      <c r="W216" s="47">
        <v>0.72399999999999998</v>
      </c>
      <c r="X216" s="47">
        <v>0.79500000000000004</v>
      </c>
      <c r="Y216" s="47">
        <v>0.83599999999999997</v>
      </c>
      <c r="Z216" s="47">
        <v>0.73399999999999987</v>
      </c>
      <c r="AA216" s="47">
        <v>0.53</v>
      </c>
      <c r="AB216" s="47">
        <v>0.42799999999999999</v>
      </c>
      <c r="AC216" s="47">
        <v>0.5</v>
      </c>
      <c r="AD216" s="47">
        <v>0.76500000000000001</v>
      </c>
      <c r="AE216" s="47">
        <v>0.96900000000000008</v>
      </c>
      <c r="AF216" s="47">
        <v>0.98899999999999999</v>
      </c>
      <c r="AG216" s="47">
        <v>1</v>
      </c>
      <c r="AH216" s="47">
        <v>0.97899999999999998</v>
      </c>
      <c r="AI216" s="47">
        <v>0.95899999999999996</v>
      </c>
      <c r="AJ216" s="47">
        <v>0.88700000000000001</v>
      </c>
      <c r="AK216" s="47">
        <v>0.80600000000000016</v>
      </c>
      <c r="AL216" s="47">
        <v>0.78499999999999992</v>
      </c>
      <c r="AM216" s="47">
        <v>0.85699999999999998</v>
      </c>
      <c r="AN216" s="47">
        <v>0.87700000000000011</v>
      </c>
      <c r="AO216" s="47">
        <v>0.82600000000000007</v>
      </c>
      <c r="AP216" s="47">
        <v>0.61199999999999999</v>
      </c>
      <c r="AQ216" s="47">
        <v>0.46899999999999997</v>
      </c>
      <c r="AR216" s="47">
        <v>0.34599999999999997</v>
      </c>
      <c r="AS216" s="47">
        <v>0.30599999999999999</v>
      </c>
      <c r="AT216" s="47">
        <v>0.24399999999999999</v>
      </c>
      <c r="AU216" s="47">
        <v>0.32600000000000001</v>
      </c>
      <c r="AV216" s="47">
        <v>0.44799999999999995</v>
      </c>
      <c r="AW216" s="47">
        <v>0.55100000000000005</v>
      </c>
      <c r="AX216" s="47">
        <v>0.65300000000000002</v>
      </c>
      <c r="AY216" s="47">
        <v>0.63200000000000001</v>
      </c>
      <c r="AZ216" s="47">
        <v>0.60199999999999998</v>
      </c>
      <c r="BA216" s="47">
        <v>0.47900000000000004</v>
      </c>
      <c r="BB216" s="47">
        <v>0.45900000000000002</v>
      </c>
      <c r="BC216" s="47">
        <v>0.40799999999999997</v>
      </c>
      <c r="BD216" s="47">
        <v>0.438</v>
      </c>
      <c r="BE216" s="47">
        <v>0.27500000000000002</v>
      </c>
      <c r="BF216" s="47">
        <v>0.214</v>
      </c>
      <c r="BG216" s="47">
        <v>0.13200000000000001</v>
      </c>
      <c r="BH216" s="47">
        <v>0.122</v>
      </c>
      <c r="BI216" s="47">
        <v>7.0999999999999994E-2</v>
      </c>
      <c r="BJ216" s="47">
        <v>0.03</v>
      </c>
      <c r="BK216" s="47">
        <v>0</v>
      </c>
      <c r="BL216" s="47">
        <v>0.01</v>
      </c>
      <c r="BM216" s="47">
        <v>5.0999999999999997E-2</v>
      </c>
      <c r="BN216" s="47">
        <v>8.1000000000000003E-2</v>
      </c>
      <c r="BO216" s="47">
        <v>0.183</v>
      </c>
      <c r="BP216" s="47">
        <v>0.28499999999999998</v>
      </c>
      <c r="BQ216" s="47">
        <v>0.51</v>
      </c>
      <c r="BR216" s="47">
        <v>0.66300000000000003</v>
      </c>
      <c r="BS216" s="47">
        <v>0.77500000000000002</v>
      </c>
      <c r="BT216" s="47">
        <v>0.68300000000000005</v>
      </c>
      <c r="BU216" s="47">
        <v>0.58099999999999996</v>
      </c>
      <c r="BV216" s="47">
        <v>0.52</v>
      </c>
      <c r="BW216" s="47">
        <v>0.59099999999999997</v>
      </c>
      <c r="BX216" s="47">
        <v>0.69299999999999995</v>
      </c>
      <c r="BY216" s="47">
        <v>0.75500000000000012</v>
      </c>
      <c r="BZ216" s="47">
        <v>0.74399999999999999</v>
      </c>
      <c r="CA216" s="47">
        <v>0.70399999999999996</v>
      </c>
      <c r="CB216" s="47">
        <v>0.64200000000000002</v>
      </c>
      <c r="CC216" s="47">
        <v>0.622</v>
      </c>
      <c r="CD216" s="47">
        <v>0.57099999999999995</v>
      </c>
      <c r="CE216" s="47">
        <v>0.56100000000000005</v>
      </c>
      <c r="CF216" s="47">
        <v>0.71399999999999997</v>
      </c>
      <c r="CG216" s="47">
        <v>0.84599999999999997</v>
      </c>
      <c r="CH216" s="47">
        <v>0.94799999999999984</v>
      </c>
      <c r="CI216" s="47">
        <v>0.93799999999999994</v>
      </c>
      <c r="CJ216" s="47">
        <v>0.89700000000000002</v>
      </c>
      <c r="CK216" s="47">
        <v>0.86699999999999999</v>
      </c>
      <c r="CL216" s="47">
        <v>0.90800000000000003</v>
      </c>
      <c r="CM216" s="47">
        <v>0.92800000000000016</v>
      </c>
      <c r="CN216" s="47">
        <v>0.91800000000000004</v>
      </c>
      <c r="CO216" s="47">
        <v>0.81599999999999995</v>
      </c>
      <c r="CP216" s="47">
        <v>0.67300000000000004</v>
      </c>
      <c r="CQ216" s="47">
        <v>0.48899999999999999</v>
      </c>
      <c r="CR216" s="47">
        <v>0.35699999999999998</v>
      </c>
      <c r="CS216" s="47">
        <v>0.26500000000000001</v>
      </c>
      <c r="CT216" s="47">
        <v>0.22399999999999998</v>
      </c>
      <c r="CU216" s="47">
        <v>0.20399999999999999</v>
      </c>
      <c r="CV216" s="47">
        <v>0.16300000000000001</v>
      </c>
      <c r="CW216" s="47">
        <v>0.11199999999999999</v>
      </c>
      <c r="CX216" s="47">
        <v>9.0999999999999998E-2</v>
      </c>
      <c r="CY216" s="47">
        <v>0.14199999999999999</v>
      </c>
      <c r="CZ216" s="47">
        <v>0.17299999999999999</v>
      </c>
    </row>
    <row r="217" spans="1:104" x14ac:dyDescent="0.2">
      <c r="A217" s="50" t="s">
        <v>121</v>
      </c>
      <c r="B217" s="46">
        <f t="shared" si="32"/>
        <v>-56.15</v>
      </c>
      <c r="C217" s="46">
        <f t="shared" si="33"/>
        <v>-12.799999999999997</v>
      </c>
      <c r="D217" s="48">
        <f t="shared" si="34"/>
        <v>27.406177668185734</v>
      </c>
      <c r="E217" s="46"/>
      <c r="F217" s="47">
        <v>0.1575</v>
      </c>
      <c r="G217" s="47">
        <v>0.13200000000000003</v>
      </c>
      <c r="H217" s="47">
        <v>0.29000000000000004</v>
      </c>
      <c r="I217" s="47">
        <v>0.28549999999999998</v>
      </c>
      <c r="J217" s="47">
        <v>0.23899999999999996</v>
      </c>
      <c r="K217" s="47">
        <v>0.14749999999999999</v>
      </c>
      <c r="L217" s="47">
        <v>9.6500000000000002E-2</v>
      </c>
      <c r="M217" s="47">
        <v>0.153</v>
      </c>
      <c r="N217" s="47">
        <v>0.14199999999999999</v>
      </c>
      <c r="O217" s="47">
        <v>0.20899999999999999</v>
      </c>
      <c r="P217" s="47">
        <v>0.27999999999999997</v>
      </c>
      <c r="Q217" s="47">
        <v>0.35649999999999998</v>
      </c>
      <c r="R217" s="47">
        <v>0.46399999999999997</v>
      </c>
      <c r="S217" s="47">
        <v>0.5</v>
      </c>
      <c r="T217" s="47">
        <v>0.53</v>
      </c>
      <c r="U217" s="47">
        <v>0.5605</v>
      </c>
      <c r="V217" s="47">
        <v>0.68800000000000006</v>
      </c>
      <c r="W217" s="47">
        <v>0.71899999999999997</v>
      </c>
      <c r="X217" s="47">
        <v>0.81600000000000006</v>
      </c>
      <c r="Y217" s="47">
        <v>0.81100000000000005</v>
      </c>
      <c r="Z217" s="47">
        <v>0.84099999999999997</v>
      </c>
      <c r="AA217" s="47">
        <v>0.85649999999999993</v>
      </c>
      <c r="AB217" s="47">
        <v>0.76</v>
      </c>
      <c r="AC217" s="47">
        <v>0.68300000000000005</v>
      </c>
      <c r="AD217" s="47">
        <v>0.64749999999999996</v>
      </c>
      <c r="AE217" s="47">
        <v>0.70400000000000007</v>
      </c>
      <c r="AF217" s="47">
        <v>0.72899999999999998</v>
      </c>
      <c r="AG217" s="47">
        <v>0.71899999999999997</v>
      </c>
      <c r="AH217" s="47">
        <v>0.69350000000000001</v>
      </c>
      <c r="AI217" s="47">
        <v>0.72399999999999998</v>
      </c>
      <c r="AJ217" s="47">
        <v>0.70350000000000001</v>
      </c>
      <c r="AK217" s="47">
        <v>0.66249999999999998</v>
      </c>
      <c r="AL217" s="47">
        <v>0.64249999999999996</v>
      </c>
      <c r="AM217" s="47">
        <v>0.59650000000000003</v>
      </c>
      <c r="AN217" s="47">
        <v>0.6120000000000001</v>
      </c>
      <c r="AO217" s="47">
        <v>0.6070000000000001</v>
      </c>
      <c r="AP217" s="47">
        <v>0.55049999999999999</v>
      </c>
      <c r="AQ217" s="47">
        <v>0.51</v>
      </c>
      <c r="AR217" s="47">
        <v>0.46400000000000008</v>
      </c>
      <c r="AS217" s="47">
        <v>0.48899999999999999</v>
      </c>
      <c r="AT217" s="47">
        <v>0.443</v>
      </c>
      <c r="AU217" s="47">
        <v>0.40250000000000002</v>
      </c>
      <c r="AV217" s="47">
        <v>0.34649999999999997</v>
      </c>
      <c r="AW217" s="47">
        <v>0.32600000000000001</v>
      </c>
      <c r="AX217" s="47">
        <v>0.3105</v>
      </c>
      <c r="AY217" s="47">
        <v>0.27499999999999997</v>
      </c>
      <c r="AZ217" s="47">
        <v>0.219</v>
      </c>
      <c r="BA217" s="47">
        <v>0.1525</v>
      </c>
      <c r="BB217" s="47">
        <v>0.17299999999999999</v>
      </c>
      <c r="BC217" s="47">
        <v>9.1499999999999998E-2</v>
      </c>
      <c r="BD217" s="47">
        <v>5.0499999999999996E-2</v>
      </c>
      <c r="BE217" s="47">
        <v>0.01</v>
      </c>
      <c r="BF217" s="47">
        <v>0.01</v>
      </c>
      <c r="BG217" s="47">
        <v>5.0499999999999996E-2</v>
      </c>
      <c r="BH217" s="47">
        <v>5.5999999999999994E-2</v>
      </c>
      <c r="BI217" s="47">
        <v>5.5499999999999994E-2</v>
      </c>
      <c r="BJ217" s="47">
        <v>7.0999999999999994E-2</v>
      </c>
      <c r="BK217" s="47">
        <v>0.11699999999999999</v>
      </c>
      <c r="BL217" s="47">
        <v>0.17300000000000001</v>
      </c>
      <c r="BM217" s="47">
        <v>0.23449999999999999</v>
      </c>
      <c r="BN217" s="47">
        <v>0.26450000000000001</v>
      </c>
      <c r="BO217" s="47">
        <v>0.34649999999999997</v>
      </c>
      <c r="BP217" s="47">
        <v>0.38699999999999996</v>
      </c>
      <c r="BQ217" s="47">
        <v>0.45849999999999996</v>
      </c>
      <c r="BR217" s="47">
        <v>0.57099999999999995</v>
      </c>
      <c r="BS217" s="47">
        <v>0.49949999999999994</v>
      </c>
      <c r="BT217" s="47">
        <v>0.5605</v>
      </c>
      <c r="BU217" s="47">
        <v>0.63200000000000001</v>
      </c>
      <c r="BV217" s="47">
        <v>0.68350000000000011</v>
      </c>
      <c r="BW217" s="47">
        <v>0.75500000000000012</v>
      </c>
      <c r="BX217" s="47">
        <v>0.83100000000000007</v>
      </c>
      <c r="BY217" s="47">
        <v>0.85649999999999993</v>
      </c>
      <c r="BZ217" s="47">
        <v>0.83100000000000007</v>
      </c>
      <c r="CA217" s="47">
        <v>0.88249999999999995</v>
      </c>
      <c r="CB217" s="47">
        <v>0.88700000000000001</v>
      </c>
      <c r="CC217" s="47">
        <v>0.91249999999999998</v>
      </c>
      <c r="CD217" s="47">
        <v>0.92799999999999994</v>
      </c>
      <c r="CE217" s="47">
        <v>0.98899999999999999</v>
      </c>
      <c r="CF217" s="47">
        <v>1</v>
      </c>
      <c r="CG217" s="47">
        <v>0.97899999999999998</v>
      </c>
      <c r="CH217" s="47">
        <v>0.96900000000000008</v>
      </c>
      <c r="CI217" s="47">
        <v>0.93300000000000016</v>
      </c>
      <c r="CJ217" s="47">
        <v>0.78</v>
      </c>
      <c r="CK217" s="47">
        <v>0.78499999999999992</v>
      </c>
      <c r="CL217" s="47">
        <v>0.78549999999999998</v>
      </c>
      <c r="CM217" s="47">
        <v>0.91249999999999998</v>
      </c>
      <c r="CN217" s="47">
        <v>0.86699999999999999</v>
      </c>
      <c r="CO217" s="47">
        <v>0.75950000000000006</v>
      </c>
      <c r="CP217" s="47">
        <v>0.65249999999999997</v>
      </c>
      <c r="CQ217" s="47">
        <v>0.30049999999999999</v>
      </c>
      <c r="CR217" s="47">
        <v>0.18349999999999997</v>
      </c>
      <c r="CS217" s="47">
        <v>0.23900000000000002</v>
      </c>
      <c r="CT217" s="47">
        <v>0.316</v>
      </c>
      <c r="CU217" s="47">
        <v>0.42299999999999999</v>
      </c>
      <c r="CV217" s="47">
        <v>0.40750000000000003</v>
      </c>
      <c r="CW217" s="47">
        <v>0.44850000000000001</v>
      </c>
      <c r="CX217" s="47">
        <v>0.40800000000000003</v>
      </c>
      <c r="CY217" s="47">
        <v>0.36199999999999999</v>
      </c>
      <c r="CZ217" s="47">
        <v>0.32599999999999996</v>
      </c>
    </row>
    <row r="218" spans="1:104" x14ac:dyDescent="0.2">
      <c r="A218" s="50" t="s">
        <v>123</v>
      </c>
      <c r="B218" s="46">
        <f t="shared" si="32"/>
        <v>79.600000000000009</v>
      </c>
      <c r="C218" s="46">
        <f t="shared" si="33"/>
        <v>25.500000000000011</v>
      </c>
      <c r="D218" s="48">
        <f t="shared" si="34"/>
        <v>28.760693820547129</v>
      </c>
      <c r="E218" s="46"/>
      <c r="F218" s="47">
        <v>0.87700000000000011</v>
      </c>
      <c r="G218" s="47">
        <v>0.87700000000000011</v>
      </c>
      <c r="H218" s="47">
        <v>0.75500000000000012</v>
      </c>
      <c r="I218" s="47">
        <v>0.622</v>
      </c>
      <c r="J218" s="47">
        <v>0.67300000000000004</v>
      </c>
      <c r="K218" s="47">
        <v>0.44799999999999995</v>
      </c>
      <c r="L218" s="47">
        <v>0.27500000000000002</v>
      </c>
      <c r="M218" s="47">
        <v>0.122</v>
      </c>
      <c r="N218" s="47">
        <v>0.11199999999999999</v>
      </c>
      <c r="O218" s="47">
        <v>7.0999999999999994E-2</v>
      </c>
      <c r="P218" s="47">
        <v>5.0999999999999997E-2</v>
      </c>
      <c r="Q218" s="47">
        <v>0.02</v>
      </c>
      <c r="R218" s="47">
        <v>0.03</v>
      </c>
      <c r="S218" s="47">
        <v>0</v>
      </c>
      <c r="T218" s="47">
        <v>0.01</v>
      </c>
      <c r="U218" s="47">
        <v>0.04</v>
      </c>
      <c r="V218" s="47">
        <v>6.0999999999999999E-2</v>
      </c>
      <c r="W218" s="47">
        <v>8.1000000000000003E-2</v>
      </c>
      <c r="X218" s="47">
        <v>9.0999999999999998E-2</v>
      </c>
      <c r="Y218" s="47">
        <v>0.10199999999999999</v>
      </c>
      <c r="Z218" s="47">
        <v>0.13200000000000001</v>
      </c>
      <c r="AA218" s="47">
        <v>0.26500000000000001</v>
      </c>
      <c r="AB218" s="47">
        <v>0.61199999999999999</v>
      </c>
      <c r="AC218" s="47">
        <v>0.73399999999999987</v>
      </c>
      <c r="AD218" s="47">
        <v>0.79500000000000004</v>
      </c>
      <c r="AE218" s="47">
        <v>0.78499999999999992</v>
      </c>
      <c r="AF218" s="47">
        <v>0.80600000000000016</v>
      </c>
      <c r="AG218" s="47">
        <v>0.81599999999999995</v>
      </c>
      <c r="AH218" s="47">
        <v>0.83599999999999997</v>
      </c>
      <c r="AI218" s="47">
        <v>0.82600000000000007</v>
      </c>
      <c r="AJ218" s="47">
        <v>0.85699999999999998</v>
      </c>
      <c r="AK218" s="47">
        <v>0.91800000000000004</v>
      </c>
      <c r="AL218" s="47">
        <v>0.94799999999999984</v>
      </c>
      <c r="AM218" s="47">
        <v>0.98899999999999999</v>
      </c>
      <c r="AN218" s="47">
        <v>1</v>
      </c>
      <c r="AO218" s="47">
        <v>0.97899999999999998</v>
      </c>
      <c r="AP218" s="47">
        <v>0.95899999999999996</v>
      </c>
      <c r="AQ218" s="47">
        <v>0.96900000000000008</v>
      </c>
      <c r="AR218" s="47">
        <v>0.93799999999999994</v>
      </c>
      <c r="AS218" s="47">
        <v>0.92800000000000016</v>
      </c>
      <c r="AT218" s="47">
        <v>0.89700000000000002</v>
      </c>
      <c r="AU218" s="47">
        <v>0.90800000000000003</v>
      </c>
      <c r="AV218" s="47">
        <v>0.86699999999999999</v>
      </c>
      <c r="AW218" s="47">
        <v>0.84599999999999997</v>
      </c>
      <c r="AX218" s="47">
        <v>0.72399999999999998</v>
      </c>
      <c r="AY218" s="47">
        <v>0.65300000000000002</v>
      </c>
      <c r="AZ218" s="47">
        <v>0.56100000000000005</v>
      </c>
      <c r="BA218" s="47">
        <v>0.52</v>
      </c>
      <c r="BB218" s="47">
        <v>0.64200000000000002</v>
      </c>
      <c r="BC218" s="47">
        <v>0.69299999999999995</v>
      </c>
      <c r="BD218" s="47">
        <v>0.66300000000000003</v>
      </c>
      <c r="BE218" s="47">
        <v>0.58099999999999996</v>
      </c>
      <c r="BF218" s="47">
        <v>0.60199999999999998</v>
      </c>
      <c r="BG218" s="47">
        <v>0.53</v>
      </c>
      <c r="BH218" s="47">
        <v>0.47900000000000004</v>
      </c>
      <c r="BI218" s="47">
        <v>0.377</v>
      </c>
      <c r="BJ218" s="47">
        <v>0.33600000000000002</v>
      </c>
      <c r="BK218" s="47">
        <v>0.32600000000000001</v>
      </c>
      <c r="BL218" s="47">
        <v>0.40799999999999997</v>
      </c>
      <c r="BM218" s="47">
        <v>0.48899999999999999</v>
      </c>
      <c r="BN218" s="47">
        <v>0.57099999999999995</v>
      </c>
      <c r="BO218" s="47">
        <v>0.5</v>
      </c>
      <c r="BP218" s="47">
        <v>0.51</v>
      </c>
      <c r="BQ218" s="47">
        <v>0.35699999999999998</v>
      </c>
      <c r="BR218" s="47">
        <v>0.34599999999999997</v>
      </c>
      <c r="BS218" s="47">
        <v>0.29499999999999998</v>
      </c>
      <c r="BT218" s="47">
        <v>0.36699999999999994</v>
      </c>
      <c r="BU218" s="47">
        <v>0.45900000000000002</v>
      </c>
      <c r="BV218" s="47">
        <v>0.39700000000000002</v>
      </c>
      <c r="BW218" s="47">
        <v>0.438</v>
      </c>
      <c r="BX218" s="47">
        <v>0.42799999999999999</v>
      </c>
      <c r="BY218" s="47">
        <v>0.38700000000000007</v>
      </c>
      <c r="BZ218" s="47">
        <v>0.23400000000000004</v>
      </c>
      <c r="CA218" s="47">
        <v>0.214</v>
      </c>
      <c r="CB218" s="47">
        <v>0.183</v>
      </c>
      <c r="CC218" s="47">
        <v>0.255</v>
      </c>
      <c r="CD218" s="47">
        <v>0.24399999999999999</v>
      </c>
      <c r="CE218" s="47">
        <v>0.22399999999999998</v>
      </c>
      <c r="CF218" s="47">
        <v>0.20399999999999999</v>
      </c>
      <c r="CG218" s="47">
        <v>0.17299999999999999</v>
      </c>
      <c r="CH218" s="47">
        <v>0.193</v>
      </c>
      <c r="CI218" s="47">
        <v>0.16300000000000001</v>
      </c>
      <c r="CJ218" s="47">
        <v>0.14199999999999999</v>
      </c>
      <c r="CK218" s="47">
        <v>0.153</v>
      </c>
      <c r="CL218" s="47">
        <v>0.30599999999999999</v>
      </c>
      <c r="CM218" s="47">
        <v>0.316</v>
      </c>
      <c r="CN218" s="47">
        <v>0.41799999999999998</v>
      </c>
      <c r="CO218" s="47">
        <v>0.28499999999999998</v>
      </c>
      <c r="CP218" s="47">
        <v>0.46899999999999997</v>
      </c>
      <c r="CQ218" s="47">
        <v>0.59099999999999997</v>
      </c>
      <c r="CR218" s="47">
        <v>0.68300000000000005</v>
      </c>
      <c r="CS218" s="47">
        <v>0.71399999999999997</v>
      </c>
      <c r="CT218" s="47">
        <v>0.74399999999999999</v>
      </c>
      <c r="CU218" s="47">
        <v>0.76500000000000001</v>
      </c>
      <c r="CV218" s="47">
        <v>0.77500000000000002</v>
      </c>
      <c r="CW218" s="47">
        <v>0.70399999999999996</v>
      </c>
      <c r="CX218" s="47">
        <v>0.63200000000000001</v>
      </c>
      <c r="CY218" s="47">
        <v>0.55100000000000005</v>
      </c>
      <c r="CZ218" s="47">
        <v>0.54</v>
      </c>
    </row>
    <row r="219" spans="1:104" x14ac:dyDescent="0.2">
      <c r="A219" s="50" t="s">
        <v>125</v>
      </c>
      <c r="B219" s="46">
        <f t="shared" si="32"/>
        <v>50.6</v>
      </c>
      <c r="C219" s="46">
        <f t="shared" si="33"/>
        <v>5.6249999999999911</v>
      </c>
      <c r="D219" s="48">
        <f t="shared" si="34"/>
        <v>19.443345894102727</v>
      </c>
      <c r="E219" s="46"/>
      <c r="F219" s="47">
        <v>0.69099999999999995</v>
      </c>
      <c r="G219" s="47">
        <v>0.70099999999999996</v>
      </c>
      <c r="H219" s="47">
        <v>0.65024999999999999</v>
      </c>
      <c r="I219" s="47">
        <v>0.63475000000000004</v>
      </c>
      <c r="J219" s="47">
        <v>0.56199999999999994</v>
      </c>
      <c r="K219" s="47">
        <v>0.47875000000000001</v>
      </c>
      <c r="L219" s="47">
        <v>0.41399999999999998</v>
      </c>
      <c r="M219" s="47">
        <v>0.34025000000000005</v>
      </c>
      <c r="N219" s="47">
        <v>0.30475000000000002</v>
      </c>
      <c r="O219" s="47">
        <v>0.20749999999999999</v>
      </c>
      <c r="P219" s="47">
        <v>0.17100000000000001</v>
      </c>
      <c r="Q219" s="47">
        <v>0.14549999999999999</v>
      </c>
      <c r="R219" s="47">
        <v>0.16549999999999998</v>
      </c>
      <c r="S219" s="47">
        <v>0.161</v>
      </c>
      <c r="T219" s="47">
        <v>0.13274999999999998</v>
      </c>
      <c r="U219" s="47">
        <v>0.13574999999999998</v>
      </c>
      <c r="V219" s="47">
        <v>0.17</v>
      </c>
      <c r="W219" s="47">
        <v>0.185</v>
      </c>
      <c r="X219" s="47">
        <v>0.24774999999999994</v>
      </c>
      <c r="Y219" s="47">
        <v>0.22775000000000001</v>
      </c>
      <c r="Z219" s="47">
        <v>0.24349999999999999</v>
      </c>
      <c r="AA219" s="47">
        <v>0.246</v>
      </c>
      <c r="AB219" s="47">
        <v>0.25574999999999998</v>
      </c>
      <c r="AC219" s="47">
        <v>0.27550000000000002</v>
      </c>
      <c r="AD219" s="47">
        <v>0.30975000000000003</v>
      </c>
      <c r="AE219" s="47">
        <v>0.34225</v>
      </c>
      <c r="AF219" s="47">
        <v>0.36975000000000002</v>
      </c>
      <c r="AG219" s="47">
        <v>0.4227499999999999</v>
      </c>
      <c r="AH219" s="47">
        <v>0.50700000000000001</v>
      </c>
      <c r="AI219" s="47">
        <v>0.497</v>
      </c>
      <c r="AJ219" s="47">
        <v>0.50225000000000009</v>
      </c>
      <c r="AK219" s="47">
        <v>0.59200000000000008</v>
      </c>
      <c r="AL219" s="47">
        <v>0.66475000000000006</v>
      </c>
      <c r="AM219" s="47">
        <v>0.74274999999999991</v>
      </c>
      <c r="AN219" s="47">
        <v>0.80174999999999996</v>
      </c>
      <c r="AO219" s="47">
        <v>0.79874999999999996</v>
      </c>
      <c r="AP219" s="47">
        <v>0.74500000000000011</v>
      </c>
      <c r="AQ219" s="47">
        <v>0.69599999999999995</v>
      </c>
      <c r="AR219" s="47">
        <v>0.65775000000000006</v>
      </c>
      <c r="AS219" s="47">
        <v>0.61399999999999999</v>
      </c>
      <c r="AT219" s="47">
        <v>0.5442499999999999</v>
      </c>
      <c r="AU219" s="47">
        <v>0.53325</v>
      </c>
      <c r="AV219" s="47">
        <v>0.42500000000000004</v>
      </c>
      <c r="AW219" s="47">
        <v>0.41900000000000004</v>
      </c>
      <c r="AX219" s="47">
        <v>0.39924999999999999</v>
      </c>
      <c r="AY219" s="47">
        <v>0.42824999999999996</v>
      </c>
      <c r="AZ219" s="47">
        <v>0.49549999999999994</v>
      </c>
      <c r="BA219" s="47">
        <v>0.57399999999999995</v>
      </c>
      <c r="BB219" s="47">
        <v>0.68500000000000005</v>
      </c>
      <c r="BC219" s="47">
        <v>0.72599999999999987</v>
      </c>
      <c r="BD219" s="47">
        <v>0.69274999999999998</v>
      </c>
      <c r="BE219" s="47">
        <v>0.61624999999999996</v>
      </c>
      <c r="BF219" s="47">
        <v>0.55625000000000002</v>
      </c>
      <c r="BG219" s="47">
        <v>0.53649999999999998</v>
      </c>
      <c r="BH219" s="47">
        <v>0.51</v>
      </c>
      <c r="BI219" s="47">
        <v>0.45300000000000001</v>
      </c>
      <c r="BJ219" s="47">
        <v>0.36575000000000002</v>
      </c>
      <c r="BK219" s="47">
        <v>0.33574999999999999</v>
      </c>
      <c r="BL219" s="47">
        <v>0.32624999999999998</v>
      </c>
      <c r="BM219" s="47">
        <v>0.33500000000000002</v>
      </c>
      <c r="BN219" s="47">
        <v>0.31900000000000001</v>
      </c>
      <c r="BO219" s="47">
        <v>0.32499999999999996</v>
      </c>
      <c r="BP219" s="47">
        <v>0.311</v>
      </c>
      <c r="BQ219" s="47">
        <v>0.32400000000000001</v>
      </c>
      <c r="BR219" s="47">
        <v>0.38974999999999999</v>
      </c>
      <c r="BS219" s="47">
        <v>0.49424999999999997</v>
      </c>
      <c r="BT219" s="47">
        <v>0.64450000000000007</v>
      </c>
      <c r="BU219" s="47">
        <v>0.71299999999999997</v>
      </c>
      <c r="BV219" s="47">
        <v>0.7609999999999999</v>
      </c>
      <c r="BW219" s="47">
        <v>0.74725000000000008</v>
      </c>
      <c r="BX219" s="47">
        <v>0.7337499999999999</v>
      </c>
      <c r="BY219" s="47">
        <v>0.69524999999999992</v>
      </c>
      <c r="BZ219" s="47">
        <v>0.63124999999999998</v>
      </c>
      <c r="CA219" s="47">
        <v>0.57325000000000004</v>
      </c>
      <c r="CB219" s="47">
        <v>0.58875</v>
      </c>
      <c r="CC219" s="47">
        <v>0.66274999999999995</v>
      </c>
      <c r="CD219" s="47">
        <v>0.68499999999999994</v>
      </c>
      <c r="CE219" s="47">
        <v>0.72199999999999998</v>
      </c>
      <c r="CF219" s="47">
        <v>0.70799999999999996</v>
      </c>
      <c r="CG219" s="47">
        <v>0.73350000000000004</v>
      </c>
      <c r="CH219" s="47">
        <v>0.751</v>
      </c>
      <c r="CI219" s="47">
        <v>0.78525000000000011</v>
      </c>
      <c r="CJ219" s="47">
        <v>0.79100000000000004</v>
      </c>
      <c r="CK219" s="47">
        <v>0.77075000000000005</v>
      </c>
      <c r="CL219" s="47">
        <v>0.75475000000000003</v>
      </c>
      <c r="CM219" s="47">
        <v>0.72750000000000004</v>
      </c>
      <c r="CN219" s="47">
        <v>0.73424999999999996</v>
      </c>
      <c r="CO219" s="47">
        <v>0.71349999999999991</v>
      </c>
      <c r="CP219" s="47">
        <v>0.58374999999999999</v>
      </c>
      <c r="CQ219" s="47">
        <v>0.54825000000000002</v>
      </c>
      <c r="CR219" s="47">
        <v>0.53275000000000006</v>
      </c>
      <c r="CS219" s="47">
        <v>0.48699999999999999</v>
      </c>
      <c r="CT219" s="47">
        <v>0.44850000000000001</v>
      </c>
      <c r="CU219" s="47">
        <v>0.39225000000000004</v>
      </c>
      <c r="CV219" s="47">
        <v>0.36449999999999999</v>
      </c>
      <c r="CW219" s="47">
        <v>0.32600000000000001</v>
      </c>
      <c r="CX219" s="47">
        <v>0.32100000000000001</v>
      </c>
      <c r="CY219" s="47">
        <v>0.33374999999999999</v>
      </c>
      <c r="CZ219" s="47">
        <v>0.34650000000000003</v>
      </c>
    </row>
    <row r="220" spans="1:104" x14ac:dyDescent="0.2">
      <c r="A220" s="50" t="s">
        <v>127</v>
      </c>
      <c r="B220" s="46">
        <f t="shared" si="32"/>
        <v>-42.800000000000004</v>
      </c>
      <c r="C220" s="46">
        <f t="shared" si="33"/>
        <v>35.699999999999996</v>
      </c>
      <c r="D220" s="48">
        <f t="shared" si="34"/>
        <v>28.041195137542502</v>
      </c>
      <c r="E220" s="46"/>
      <c r="F220" s="47">
        <v>0.46899999999999997</v>
      </c>
      <c r="G220" s="47">
        <v>0.46899999999999997</v>
      </c>
      <c r="H220" s="47">
        <v>0.22399999999999998</v>
      </c>
      <c r="I220" s="47">
        <v>0.11199999999999999</v>
      </c>
      <c r="J220" s="47">
        <v>0.193</v>
      </c>
      <c r="K220" s="47">
        <v>0.153</v>
      </c>
      <c r="L220" s="47">
        <v>0.13200000000000001</v>
      </c>
      <c r="M220" s="47">
        <v>7.0999999999999994E-2</v>
      </c>
      <c r="N220" s="47">
        <v>5.0999999999999997E-2</v>
      </c>
      <c r="O220" s="47">
        <v>9.0999999999999998E-2</v>
      </c>
      <c r="P220" s="47">
        <v>0.02</v>
      </c>
      <c r="Q220" s="47">
        <v>0</v>
      </c>
      <c r="R220" s="47">
        <v>8.1000000000000003E-2</v>
      </c>
      <c r="S220" s="47">
        <v>0.16300000000000001</v>
      </c>
      <c r="T220" s="47">
        <v>0.39700000000000002</v>
      </c>
      <c r="U220" s="47">
        <v>0.64200000000000002</v>
      </c>
      <c r="V220" s="47">
        <v>0.84599999999999997</v>
      </c>
      <c r="W220" s="47">
        <v>0.89700000000000002</v>
      </c>
      <c r="X220" s="47">
        <v>0.94799999999999984</v>
      </c>
      <c r="Y220" s="47">
        <v>0.92800000000000016</v>
      </c>
      <c r="Z220" s="47">
        <v>0.88700000000000001</v>
      </c>
      <c r="AA220" s="47">
        <v>0.93799999999999994</v>
      </c>
      <c r="AB220" s="47">
        <v>0.96900000000000008</v>
      </c>
      <c r="AC220" s="47">
        <v>1</v>
      </c>
      <c r="AD220" s="47">
        <v>0.95899999999999996</v>
      </c>
      <c r="AE220" s="47">
        <v>0.90800000000000003</v>
      </c>
      <c r="AF220" s="47">
        <v>0.91800000000000004</v>
      </c>
      <c r="AG220" s="47">
        <v>0.86699999999999999</v>
      </c>
      <c r="AH220" s="47">
        <v>0.76500000000000001</v>
      </c>
      <c r="AI220" s="47">
        <v>0.70399999999999996</v>
      </c>
      <c r="AJ220" s="47">
        <v>0.67300000000000004</v>
      </c>
      <c r="AK220" s="47">
        <v>0.71399999999999997</v>
      </c>
      <c r="AL220" s="47">
        <v>0.73399999999999987</v>
      </c>
      <c r="AM220" s="47">
        <v>0.75500000000000012</v>
      </c>
      <c r="AN220" s="47">
        <v>0.72399999999999998</v>
      </c>
      <c r="AO220" s="47">
        <v>0.66300000000000003</v>
      </c>
      <c r="AP220" s="47">
        <v>0.55100000000000005</v>
      </c>
      <c r="AQ220" s="47">
        <v>0.61199999999999999</v>
      </c>
      <c r="AR220" s="47">
        <v>0.60199999999999998</v>
      </c>
      <c r="AS220" s="47">
        <v>0.622</v>
      </c>
      <c r="AT220" s="47">
        <v>0.52</v>
      </c>
      <c r="AU220" s="47">
        <v>0.59099999999999997</v>
      </c>
      <c r="AV220" s="47">
        <v>0.56100000000000005</v>
      </c>
      <c r="AW220" s="47">
        <v>0.68300000000000005</v>
      </c>
      <c r="AX220" s="47">
        <v>0.74399999999999999</v>
      </c>
      <c r="AY220" s="47">
        <v>0.78499999999999992</v>
      </c>
      <c r="AZ220" s="47">
        <v>0.82600000000000007</v>
      </c>
      <c r="BA220" s="47">
        <v>0.85699999999999998</v>
      </c>
      <c r="BB220" s="47">
        <v>0.98899999999999999</v>
      </c>
      <c r="BC220" s="47">
        <v>0.97899999999999998</v>
      </c>
      <c r="BD220" s="47">
        <v>0.87700000000000011</v>
      </c>
      <c r="BE220" s="47">
        <v>0.58099999999999996</v>
      </c>
      <c r="BF220" s="47">
        <v>0.48899999999999999</v>
      </c>
      <c r="BG220" s="47">
        <v>0.34599999999999997</v>
      </c>
      <c r="BH220" s="47">
        <v>0.35699999999999998</v>
      </c>
      <c r="BI220" s="47">
        <v>0.38700000000000007</v>
      </c>
      <c r="BJ220" s="47">
        <v>0.44799999999999995</v>
      </c>
      <c r="BK220" s="47">
        <v>0.27500000000000002</v>
      </c>
      <c r="BL220" s="47">
        <v>0.183</v>
      </c>
      <c r="BM220" s="47">
        <v>0.04</v>
      </c>
      <c r="BN220" s="47">
        <v>0.01</v>
      </c>
      <c r="BO220" s="47">
        <v>6.0999999999999999E-2</v>
      </c>
      <c r="BP220" s="47">
        <v>0.14199999999999999</v>
      </c>
      <c r="BQ220" s="47">
        <v>0.20399999999999999</v>
      </c>
      <c r="BR220" s="47">
        <v>0.26500000000000001</v>
      </c>
      <c r="BS220" s="47">
        <v>0.316</v>
      </c>
      <c r="BT220" s="47">
        <v>0.32600000000000001</v>
      </c>
      <c r="BU220" s="47">
        <v>0.40799999999999997</v>
      </c>
      <c r="BV220" s="47">
        <v>0.255</v>
      </c>
      <c r="BW220" s="47">
        <v>0.377</v>
      </c>
      <c r="BX220" s="47">
        <v>0.54</v>
      </c>
      <c r="BY220" s="47">
        <v>0.77500000000000002</v>
      </c>
      <c r="BZ220" s="47">
        <v>0.63200000000000001</v>
      </c>
      <c r="CA220" s="47">
        <v>0.42799999999999999</v>
      </c>
      <c r="CB220" s="47">
        <v>0.36699999999999994</v>
      </c>
      <c r="CC220" s="47">
        <v>0.45900000000000002</v>
      </c>
      <c r="CD220" s="47">
        <v>0.438</v>
      </c>
      <c r="CE220" s="47">
        <v>0.29499999999999998</v>
      </c>
      <c r="CF220" s="47">
        <v>0.28499999999999998</v>
      </c>
      <c r="CG220" s="47">
        <v>0.214</v>
      </c>
      <c r="CH220" s="47">
        <v>0.23400000000000004</v>
      </c>
      <c r="CI220" s="47">
        <v>0.24399999999999999</v>
      </c>
      <c r="CJ220" s="47">
        <v>0.33600000000000002</v>
      </c>
      <c r="CK220" s="47">
        <v>0.5</v>
      </c>
      <c r="CL220" s="47">
        <v>0.53</v>
      </c>
      <c r="CM220" s="47">
        <v>0.51</v>
      </c>
      <c r="CN220" s="47">
        <v>0.65300000000000002</v>
      </c>
      <c r="CO220" s="47">
        <v>0.79500000000000004</v>
      </c>
      <c r="CP220" s="47">
        <v>0.81599999999999995</v>
      </c>
      <c r="CQ220" s="47">
        <v>0.83599999999999997</v>
      </c>
      <c r="CR220" s="47">
        <v>0.80600000000000016</v>
      </c>
      <c r="CS220" s="47">
        <v>0.69299999999999995</v>
      </c>
      <c r="CT220" s="47">
        <v>0.57099999999999995</v>
      </c>
      <c r="CU220" s="47">
        <v>0.41799999999999998</v>
      </c>
      <c r="CV220" s="47">
        <v>0.30599999999999999</v>
      </c>
      <c r="CW220" s="47">
        <v>0.17299999999999999</v>
      </c>
      <c r="CX220" s="47">
        <v>0.122</v>
      </c>
      <c r="CY220" s="47">
        <v>0.10199999999999999</v>
      </c>
      <c r="CZ220" s="47">
        <v>0.03</v>
      </c>
    </row>
    <row r="221" spans="1:104" x14ac:dyDescent="0.2">
      <c r="A221" s="50" t="s">
        <v>129</v>
      </c>
      <c r="B221" s="46">
        <f t="shared" si="32"/>
        <v>31.599999999999994</v>
      </c>
      <c r="C221" s="46">
        <f t="shared" si="33"/>
        <v>32.599999999999994</v>
      </c>
      <c r="D221" s="48">
        <f t="shared" si="34"/>
        <v>29.236662831321848</v>
      </c>
      <c r="E221" s="46"/>
      <c r="F221" s="47">
        <v>0.59099999999999997</v>
      </c>
      <c r="G221" s="47">
        <v>0.59099999999999997</v>
      </c>
      <c r="H221" s="47">
        <v>0.47900000000000004</v>
      </c>
      <c r="I221" s="47">
        <v>0.26500000000000001</v>
      </c>
      <c r="J221" s="47">
        <v>0.23400000000000004</v>
      </c>
      <c r="K221" s="47">
        <v>0.22399999999999998</v>
      </c>
      <c r="L221" s="47">
        <v>0.214</v>
      </c>
      <c r="M221" s="47">
        <v>0.183</v>
      </c>
      <c r="N221" s="47">
        <v>0.153</v>
      </c>
      <c r="O221" s="47">
        <v>0.13200000000000001</v>
      </c>
      <c r="P221" s="47">
        <v>8.1000000000000003E-2</v>
      </c>
      <c r="Q221" s="47">
        <v>9.0999999999999998E-2</v>
      </c>
      <c r="R221" s="47">
        <v>0.122</v>
      </c>
      <c r="S221" s="47">
        <v>0.14199999999999999</v>
      </c>
      <c r="T221" s="47">
        <v>0.16300000000000001</v>
      </c>
      <c r="U221" s="47">
        <v>0.193</v>
      </c>
      <c r="V221" s="47">
        <v>0.24399999999999999</v>
      </c>
      <c r="W221" s="47">
        <v>0.27500000000000002</v>
      </c>
      <c r="X221" s="47">
        <v>0.28499999999999998</v>
      </c>
      <c r="Y221" s="47">
        <v>0.34599999999999997</v>
      </c>
      <c r="Z221" s="47">
        <v>0.622</v>
      </c>
      <c r="AA221" s="47">
        <v>0.80600000000000016</v>
      </c>
      <c r="AB221" s="47">
        <v>0.86699999999999999</v>
      </c>
      <c r="AC221" s="47">
        <v>0.85699999999999998</v>
      </c>
      <c r="AD221" s="47">
        <v>0.83599999999999997</v>
      </c>
      <c r="AE221" s="47">
        <v>0.81599999999999995</v>
      </c>
      <c r="AF221" s="47">
        <v>0.84599999999999997</v>
      </c>
      <c r="AG221" s="47">
        <v>0.89700000000000002</v>
      </c>
      <c r="AH221" s="47">
        <v>0.94799999999999984</v>
      </c>
      <c r="AI221" s="47">
        <v>0.98899999999999999</v>
      </c>
      <c r="AJ221" s="47">
        <v>1</v>
      </c>
      <c r="AK221" s="47">
        <v>0.96900000000000008</v>
      </c>
      <c r="AL221" s="47">
        <v>0.93799999999999994</v>
      </c>
      <c r="AM221" s="47">
        <v>0.90800000000000003</v>
      </c>
      <c r="AN221" s="47">
        <v>0.88700000000000001</v>
      </c>
      <c r="AO221" s="47">
        <v>0.82600000000000007</v>
      </c>
      <c r="AP221" s="47">
        <v>0.76500000000000001</v>
      </c>
      <c r="AQ221" s="47">
        <v>0.77500000000000002</v>
      </c>
      <c r="AR221" s="47">
        <v>0.72399999999999998</v>
      </c>
      <c r="AS221" s="47">
        <v>0.69299999999999995</v>
      </c>
      <c r="AT221" s="47">
        <v>0.5</v>
      </c>
      <c r="AU221" s="47">
        <v>0.40799999999999997</v>
      </c>
      <c r="AV221" s="47">
        <v>0.377</v>
      </c>
      <c r="AW221" s="47">
        <v>0.41799999999999998</v>
      </c>
      <c r="AX221" s="47">
        <v>0.54</v>
      </c>
      <c r="AY221" s="47">
        <v>0.68300000000000005</v>
      </c>
      <c r="AZ221" s="47">
        <v>0.87700000000000011</v>
      </c>
      <c r="BA221" s="47">
        <v>0.91800000000000004</v>
      </c>
      <c r="BB221" s="47">
        <v>0.97899999999999998</v>
      </c>
      <c r="BC221" s="47">
        <v>0.95899999999999996</v>
      </c>
      <c r="BD221" s="47">
        <v>0.92800000000000016</v>
      </c>
      <c r="BE221" s="47">
        <v>0.38700000000000007</v>
      </c>
      <c r="BF221" s="47">
        <v>0.20399999999999999</v>
      </c>
      <c r="BG221" s="47">
        <v>0.01</v>
      </c>
      <c r="BH221" s="47">
        <v>0.02</v>
      </c>
      <c r="BI221" s="47">
        <v>7.0999999999999994E-2</v>
      </c>
      <c r="BJ221" s="47">
        <v>0.11199999999999999</v>
      </c>
      <c r="BK221" s="47">
        <v>0.10199999999999999</v>
      </c>
      <c r="BL221" s="47">
        <v>6.0999999999999999E-2</v>
      </c>
      <c r="BM221" s="47">
        <v>0.03</v>
      </c>
      <c r="BN221" s="47">
        <v>5.0999999999999997E-2</v>
      </c>
      <c r="BO221" s="47">
        <v>0.04</v>
      </c>
      <c r="BP221" s="47">
        <v>0</v>
      </c>
      <c r="BQ221" s="47">
        <v>0.17299999999999999</v>
      </c>
      <c r="BR221" s="47">
        <v>0.255</v>
      </c>
      <c r="BS221" s="47">
        <v>0.66300000000000003</v>
      </c>
      <c r="BT221" s="47">
        <v>0.75500000000000012</v>
      </c>
      <c r="BU221" s="47">
        <v>0.79500000000000004</v>
      </c>
      <c r="BV221" s="47">
        <v>0.71399999999999997</v>
      </c>
      <c r="BW221" s="47">
        <v>0.67300000000000004</v>
      </c>
      <c r="BX221" s="47">
        <v>0.63200000000000001</v>
      </c>
      <c r="BY221" s="47">
        <v>0.57099999999999995</v>
      </c>
      <c r="BZ221" s="47">
        <v>0.39700000000000002</v>
      </c>
      <c r="CA221" s="47">
        <v>0.32600000000000001</v>
      </c>
      <c r="CB221" s="47">
        <v>0.35699999999999998</v>
      </c>
      <c r="CC221" s="47">
        <v>0.53</v>
      </c>
      <c r="CD221" s="47">
        <v>0.56100000000000005</v>
      </c>
      <c r="CE221" s="47">
        <v>0.52</v>
      </c>
      <c r="CF221" s="47">
        <v>0.48899999999999999</v>
      </c>
      <c r="CG221" s="47">
        <v>0.42799999999999999</v>
      </c>
      <c r="CH221" s="47">
        <v>0.45900000000000002</v>
      </c>
      <c r="CI221" s="47">
        <v>0.46899999999999997</v>
      </c>
      <c r="CJ221" s="47">
        <v>0.438</v>
      </c>
      <c r="CK221" s="47">
        <v>0.36699999999999994</v>
      </c>
      <c r="CL221" s="47">
        <v>0.51</v>
      </c>
      <c r="CM221" s="47">
        <v>0.55100000000000005</v>
      </c>
      <c r="CN221" s="47">
        <v>0.70399999999999996</v>
      </c>
      <c r="CO221" s="47">
        <v>0.61199999999999999</v>
      </c>
      <c r="CP221" s="47">
        <v>0.65300000000000002</v>
      </c>
      <c r="CQ221" s="47">
        <v>0.64200000000000002</v>
      </c>
      <c r="CR221" s="47">
        <v>0.74399999999999999</v>
      </c>
      <c r="CS221" s="47">
        <v>0.78499999999999992</v>
      </c>
      <c r="CT221" s="47">
        <v>0.73399999999999987</v>
      </c>
      <c r="CU221" s="47">
        <v>0.58099999999999996</v>
      </c>
      <c r="CV221" s="47">
        <v>0.44799999999999995</v>
      </c>
      <c r="CW221" s="47">
        <v>0.33600000000000002</v>
      </c>
      <c r="CX221" s="47">
        <v>0.29499999999999998</v>
      </c>
      <c r="CY221" s="47">
        <v>0.30599999999999999</v>
      </c>
      <c r="CZ221" s="47">
        <v>0.316</v>
      </c>
    </row>
    <row r="222" spans="1:104" x14ac:dyDescent="0.2">
      <c r="A222" s="50" t="s">
        <v>130</v>
      </c>
      <c r="B222" s="46">
        <f t="shared" si="32"/>
        <v>28.549999999999997</v>
      </c>
      <c r="C222" s="46">
        <f t="shared" si="33"/>
        <v>18.349999999999994</v>
      </c>
      <c r="D222" s="48">
        <f t="shared" si="34"/>
        <v>23.466198758667797</v>
      </c>
      <c r="E222" s="46"/>
      <c r="F222" s="47">
        <v>0.55049999999999999</v>
      </c>
      <c r="G222" s="47">
        <v>0.55049999999999999</v>
      </c>
      <c r="H222" s="47">
        <v>0.50450000000000006</v>
      </c>
      <c r="I222" s="47">
        <v>0.36700000000000005</v>
      </c>
      <c r="J222" s="47">
        <v>0.30049999999999999</v>
      </c>
      <c r="K222" s="47">
        <v>0.23399999999999999</v>
      </c>
      <c r="L222" s="47">
        <v>0.16800000000000001</v>
      </c>
      <c r="M222" s="47">
        <v>0.1525</v>
      </c>
      <c r="N222" s="47">
        <v>0.16300000000000001</v>
      </c>
      <c r="O222" s="47">
        <v>0.14750000000000002</v>
      </c>
      <c r="P222" s="47">
        <v>0.122</v>
      </c>
      <c r="Q222" s="47">
        <v>0.10149999999999999</v>
      </c>
      <c r="R222" s="47">
        <v>9.6500000000000002E-2</v>
      </c>
      <c r="S222" s="47">
        <v>9.6500000000000002E-2</v>
      </c>
      <c r="T222" s="47">
        <v>0.11199999999999999</v>
      </c>
      <c r="U222" s="47">
        <v>0.1885</v>
      </c>
      <c r="V222" s="47">
        <v>0.22399999999999998</v>
      </c>
      <c r="W222" s="47">
        <v>0.26500000000000001</v>
      </c>
      <c r="X222" s="47">
        <v>0.25999999999999995</v>
      </c>
      <c r="Y222" s="47">
        <v>0.25449999999999995</v>
      </c>
      <c r="Z222" s="47">
        <v>0.25449999999999995</v>
      </c>
      <c r="AA222" s="47">
        <v>0.28499999999999998</v>
      </c>
      <c r="AB222" s="47">
        <v>0.33150000000000002</v>
      </c>
      <c r="AC222" s="47">
        <v>0.34649999999999997</v>
      </c>
      <c r="AD222" s="47">
        <v>0.41799999999999998</v>
      </c>
      <c r="AE222" s="47">
        <v>0.39750000000000002</v>
      </c>
      <c r="AF222" s="47">
        <v>0.44349999999999995</v>
      </c>
      <c r="AG222" s="47">
        <v>0.38250000000000001</v>
      </c>
      <c r="AH222" s="47">
        <v>0.438</v>
      </c>
      <c r="AI222" s="47">
        <v>0.42299999999999999</v>
      </c>
      <c r="AJ222" s="47">
        <v>0.4945</v>
      </c>
      <c r="AK222" s="47">
        <v>0.54049999999999998</v>
      </c>
      <c r="AL222" s="47">
        <v>0.60149999999999992</v>
      </c>
      <c r="AM222" s="47">
        <v>0.71899999999999997</v>
      </c>
      <c r="AN222" s="47">
        <v>0.90249999999999997</v>
      </c>
      <c r="AO222" s="47">
        <v>0.87700000000000011</v>
      </c>
      <c r="AP222" s="47">
        <v>0.81600000000000006</v>
      </c>
      <c r="AQ222" s="47">
        <v>0.89749999999999985</v>
      </c>
      <c r="AR222" s="47">
        <v>0.84150000000000003</v>
      </c>
      <c r="AS222" s="47">
        <v>0.83100000000000007</v>
      </c>
      <c r="AT222" s="47">
        <v>0.72400000000000009</v>
      </c>
      <c r="AU222" s="47">
        <v>0.74449999999999994</v>
      </c>
      <c r="AV222" s="47">
        <v>0.73949999999999994</v>
      </c>
      <c r="AW222" s="47">
        <v>0.7699999999999998</v>
      </c>
      <c r="AX222" s="47">
        <v>0.72900000000000009</v>
      </c>
      <c r="AY222" s="47">
        <v>0.70850000000000002</v>
      </c>
      <c r="AZ222" s="47">
        <v>0.72899999999999998</v>
      </c>
      <c r="BA222" s="47">
        <v>0.74949999999999994</v>
      </c>
      <c r="BB222" s="47">
        <v>0.91800000000000004</v>
      </c>
      <c r="BC222" s="47">
        <v>0.82599999999999985</v>
      </c>
      <c r="BD222" s="47">
        <v>0.85699999999999998</v>
      </c>
      <c r="BE222" s="47">
        <v>0.75950000000000006</v>
      </c>
      <c r="BF222" s="47">
        <v>0.79500000000000004</v>
      </c>
      <c r="BG222" s="47">
        <v>0.67300000000000004</v>
      </c>
      <c r="BH222" s="47">
        <v>0.58649999999999991</v>
      </c>
      <c r="BI222" s="47">
        <v>0.505</v>
      </c>
      <c r="BJ222" s="47">
        <v>0.40250000000000002</v>
      </c>
      <c r="BK222" s="47">
        <v>0.33600000000000002</v>
      </c>
      <c r="BL222" s="47">
        <v>0.28499999999999998</v>
      </c>
      <c r="BM222" s="47">
        <v>0.20899999999999999</v>
      </c>
      <c r="BN222" s="47">
        <v>0.14749999999999999</v>
      </c>
      <c r="BO222" s="47">
        <v>0.14749999999999999</v>
      </c>
      <c r="BP222" s="47">
        <v>0.127</v>
      </c>
      <c r="BQ222" s="47">
        <v>0.188</v>
      </c>
      <c r="BR222" s="47">
        <v>0.22950000000000001</v>
      </c>
      <c r="BS222" s="47">
        <v>0.27499999999999997</v>
      </c>
      <c r="BT222" s="47">
        <v>0.29050000000000004</v>
      </c>
      <c r="BU222" s="47">
        <v>0.34099999999999997</v>
      </c>
      <c r="BV222" s="47">
        <v>0.35149999999999998</v>
      </c>
      <c r="BW222" s="47">
        <v>0.36150000000000004</v>
      </c>
      <c r="BX222" s="47">
        <v>0.38249999999999995</v>
      </c>
      <c r="BY222" s="47">
        <v>0.43799999999999994</v>
      </c>
      <c r="BZ222" s="47">
        <v>0.42299999999999999</v>
      </c>
      <c r="CA222" s="47">
        <v>0.45849999999999996</v>
      </c>
      <c r="CB222" s="47">
        <v>0.42799999999999999</v>
      </c>
      <c r="CC222" s="47">
        <v>0.44350000000000001</v>
      </c>
      <c r="CD222" s="47">
        <v>0.39750000000000002</v>
      </c>
      <c r="CE222" s="47">
        <v>0.46350000000000002</v>
      </c>
      <c r="CF222" s="47">
        <v>0.53500000000000003</v>
      </c>
      <c r="CG222" s="47">
        <v>0.58099999999999996</v>
      </c>
      <c r="CH222" s="47">
        <v>0.58650000000000002</v>
      </c>
      <c r="CI222" s="47">
        <v>0.57099999999999995</v>
      </c>
      <c r="CJ222" s="47">
        <v>0.57099999999999995</v>
      </c>
      <c r="CK222" s="47">
        <v>0.60650000000000004</v>
      </c>
      <c r="CL222" s="47">
        <v>0.69350000000000001</v>
      </c>
      <c r="CM222" s="47">
        <v>0.67799999999999994</v>
      </c>
      <c r="CN222" s="47">
        <v>0.79549999999999998</v>
      </c>
      <c r="CO222" s="47">
        <v>0.72899999999999998</v>
      </c>
      <c r="CP222" s="47">
        <v>0.83100000000000007</v>
      </c>
      <c r="CQ222" s="47">
        <v>0.81050000000000011</v>
      </c>
      <c r="CR222" s="47">
        <v>0.76449999999999985</v>
      </c>
      <c r="CS222" s="47">
        <v>0.74949999999999994</v>
      </c>
      <c r="CT222" s="47">
        <v>0.70850000000000002</v>
      </c>
      <c r="CU222" s="47">
        <v>0.6885</v>
      </c>
      <c r="CV222" s="47">
        <v>0.64749999999999996</v>
      </c>
      <c r="CW222" s="47">
        <v>0.622</v>
      </c>
      <c r="CX222" s="47">
        <v>0.68300000000000005</v>
      </c>
      <c r="CY222" s="47">
        <v>0.75450000000000006</v>
      </c>
      <c r="CZ222" s="47">
        <v>0.7955000000000001</v>
      </c>
    </row>
    <row r="223" spans="1:104" x14ac:dyDescent="0.2">
      <c r="A223" s="50" t="s">
        <v>131</v>
      </c>
      <c r="B223" s="46">
        <f t="shared" si="32"/>
        <v>-29.599999999999994</v>
      </c>
      <c r="C223" s="46">
        <f t="shared" si="33"/>
        <v>-24.55</v>
      </c>
      <c r="D223" s="48">
        <f t="shared" si="34"/>
        <v>22.192960566555303</v>
      </c>
      <c r="E223" s="46"/>
      <c r="F223" s="47">
        <v>0.13700000000000001</v>
      </c>
      <c r="G223" s="47">
        <v>0.3105</v>
      </c>
      <c r="H223" s="47">
        <v>0.32600000000000001</v>
      </c>
      <c r="I223" s="47">
        <v>0.38250000000000001</v>
      </c>
      <c r="J223" s="47">
        <v>0.33650000000000002</v>
      </c>
      <c r="K223" s="47">
        <v>0.36700000000000005</v>
      </c>
      <c r="L223" s="47">
        <v>0.45350000000000001</v>
      </c>
      <c r="M223" s="47">
        <v>0.39249999999999996</v>
      </c>
      <c r="N223" s="47">
        <v>0.32599999999999996</v>
      </c>
      <c r="O223" s="47">
        <v>0.30549999999999999</v>
      </c>
      <c r="P223" s="47">
        <v>0.5704999999999999</v>
      </c>
      <c r="Q223" s="47">
        <v>0.60699999999999998</v>
      </c>
      <c r="R223" s="47">
        <v>0.5655</v>
      </c>
      <c r="S223" s="47">
        <v>0.46899999999999997</v>
      </c>
      <c r="T223" s="47">
        <v>0.42299999999999999</v>
      </c>
      <c r="U223" s="47">
        <v>0.2445</v>
      </c>
      <c r="V223" s="47">
        <v>0.39750000000000002</v>
      </c>
      <c r="W223" s="47">
        <v>0.43299999999999994</v>
      </c>
      <c r="X223" s="47">
        <v>0.4945</v>
      </c>
      <c r="Y223" s="47">
        <v>0.47399999999999992</v>
      </c>
      <c r="Z223" s="47">
        <v>0.46399999999999997</v>
      </c>
      <c r="AA223" s="47">
        <v>0.44349999999999995</v>
      </c>
      <c r="AB223" s="47">
        <v>0.372</v>
      </c>
      <c r="AC223" s="47">
        <v>0.36649999999999999</v>
      </c>
      <c r="AD223" s="47">
        <v>0.38750000000000001</v>
      </c>
      <c r="AE223" s="47">
        <v>0.87149999999999994</v>
      </c>
      <c r="AF223" s="47">
        <v>0.83100000000000007</v>
      </c>
      <c r="AG223" s="47">
        <v>0.83650000000000002</v>
      </c>
      <c r="AH223" s="47">
        <v>0.75950000000000006</v>
      </c>
      <c r="AI223" s="47">
        <v>0.78549999999999998</v>
      </c>
      <c r="AJ223" s="47">
        <v>0.84099999999999997</v>
      </c>
      <c r="AK223" s="47">
        <v>0.90249999999999997</v>
      </c>
      <c r="AL223" s="47">
        <v>0.92799999999999994</v>
      </c>
      <c r="AM223" s="47">
        <v>0.94350000000000012</v>
      </c>
      <c r="AN223" s="47">
        <v>0.94850000000000012</v>
      </c>
      <c r="AO223" s="47">
        <v>0.96900000000000008</v>
      </c>
      <c r="AP223" s="47">
        <v>0.97899999999999998</v>
      </c>
      <c r="AQ223" s="47">
        <v>0.97399999999999998</v>
      </c>
      <c r="AR223" s="47">
        <v>0.96350000000000002</v>
      </c>
      <c r="AS223" s="47">
        <v>0.92300000000000015</v>
      </c>
      <c r="AT223" s="47">
        <v>0.86199999999999999</v>
      </c>
      <c r="AU223" s="47">
        <v>0.72900000000000009</v>
      </c>
      <c r="AV223" s="47">
        <v>0.63200000000000012</v>
      </c>
      <c r="AW223" s="47">
        <v>0.59650000000000003</v>
      </c>
      <c r="AX223" s="47">
        <v>0.4945</v>
      </c>
      <c r="AY223" s="47">
        <v>0.43849999999999995</v>
      </c>
      <c r="AZ223" s="47">
        <v>0.40800000000000003</v>
      </c>
      <c r="BA223" s="47">
        <v>0.42800000000000005</v>
      </c>
      <c r="BB223" s="47">
        <v>0.41799999999999998</v>
      </c>
      <c r="BC223" s="47">
        <v>0.31600000000000006</v>
      </c>
      <c r="BD223" s="47">
        <v>0.24399999999999999</v>
      </c>
      <c r="BE223" s="47">
        <v>0.24949999999999997</v>
      </c>
      <c r="BF223" s="47">
        <v>0.28549999999999998</v>
      </c>
      <c r="BG223" s="47">
        <v>0.24949999999999997</v>
      </c>
      <c r="BH223" s="47">
        <v>0.20349999999999999</v>
      </c>
      <c r="BI223" s="47">
        <v>0.13699999999999998</v>
      </c>
      <c r="BJ223" s="47">
        <v>0.20349999999999999</v>
      </c>
      <c r="BK223" s="47">
        <v>0.26450000000000001</v>
      </c>
      <c r="BL223" s="47">
        <v>0.30049999999999999</v>
      </c>
      <c r="BM223" s="47">
        <v>0.29549999999999998</v>
      </c>
      <c r="BN223" s="47">
        <v>0.35649999999999998</v>
      </c>
      <c r="BO223" s="47">
        <v>0.31099999999999994</v>
      </c>
      <c r="BP223" s="47">
        <v>0.377</v>
      </c>
      <c r="BQ223" s="47">
        <v>0.372</v>
      </c>
      <c r="BR223" s="47">
        <v>0.44850000000000001</v>
      </c>
      <c r="BS223" s="47">
        <v>0.42849999999999999</v>
      </c>
      <c r="BT223" s="47">
        <v>0.49949999999999994</v>
      </c>
      <c r="BU223" s="47">
        <v>0.70899999999999996</v>
      </c>
      <c r="BV223" s="47">
        <v>0.70350000000000001</v>
      </c>
      <c r="BW223" s="47">
        <v>0.75450000000000006</v>
      </c>
      <c r="BX223" s="47">
        <v>0.61699999999999999</v>
      </c>
      <c r="BY223" s="47">
        <v>0.61650000000000005</v>
      </c>
      <c r="BZ223" s="47">
        <v>0.48949999999999999</v>
      </c>
      <c r="CA223" s="47">
        <v>0.53</v>
      </c>
      <c r="CB223" s="47">
        <v>0.53</v>
      </c>
      <c r="CC223" s="47">
        <v>0.59150000000000014</v>
      </c>
      <c r="CD223" s="47">
        <v>0.46900000000000003</v>
      </c>
      <c r="CE223" s="47">
        <v>0.49950000000000006</v>
      </c>
      <c r="CF223" s="47">
        <v>0.67799999999999994</v>
      </c>
      <c r="CG223" s="47">
        <v>0.64750000000000008</v>
      </c>
      <c r="CH223" s="47">
        <v>0.54549999999999998</v>
      </c>
      <c r="CI223" s="47">
        <v>0.49950000000000006</v>
      </c>
      <c r="CJ223" s="47">
        <v>0.43300000000000005</v>
      </c>
      <c r="CK223" s="47">
        <v>0.38250000000000001</v>
      </c>
      <c r="CL223" s="47">
        <v>0.44850000000000001</v>
      </c>
      <c r="CM223" s="47">
        <v>0.44350000000000001</v>
      </c>
      <c r="CN223" s="47">
        <v>0.48899999999999999</v>
      </c>
      <c r="CO223" s="47">
        <v>0.50450000000000006</v>
      </c>
      <c r="CP223" s="47">
        <v>0.61699999999999999</v>
      </c>
      <c r="CQ223" s="47">
        <v>0.48399999999999999</v>
      </c>
      <c r="CR223" s="47">
        <v>0.40799999999999997</v>
      </c>
      <c r="CS223" s="47">
        <v>0.44850000000000001</v>
      </c>
      <c r="CT223" s="47">
        <v>0.39249999999999996</v>
      </c>
      <c r="CU223" s="47">
        <v>0.30049999999999999</v>
      </c>
      <c r="CV223" s="47">
        <v>0.17299999999999999</v>
      </c>
      <c r="CW223" s="47">
        <v>0.19350000000000003</v>
      </c>
      <c r="CX223" s="47">
        <v>0.22399999999999998</v>
      </c>
      <c r="CY223" s="47">
        <v>0.29049999999999998</v>
      </c>
      <c r="CZ223" s="47">
        <v>0.25999999999999995</v>
      </c>
    </row>
    <row r="224" spans="1:104" x14ac:dyDescent="0.2">
      <c r="A224" s="50" t="s">
        <v>133</v>
      </c>
      <c r="B224" s="46">
        <f t="shared" si="32"/>
        <v>-29.233333333333338</v>
      </c>
      <c r="C224" s="46">
        <f t="shared" si="33"/>
        <v>12.633333333333335</v>
      </c>
      <c r="D224" s="48">
        <f t="shared" si="34"/>
        <v>25.491632208867603</v>
      </c>
      <c r="E224" s="46"/>
      <c r="F224" s="47">
        <v>0.22100000000000003</v>
      </c>
      <c r="G224" s="47">
        <v>0.22100000000000003</v>
      </c>
      <c r="H224" s="47">
        <v>0.10866666666666668</v>
      </c>
      <c r="I224" s="47">
        <v>9.4666666666666663E-2</v>
      </c>
      <c r="J224" s="47">
        <v>7.8E-2</v>
      </c>
      <c r="K224" s="47">
        <v>8.4333333333333343E-2</v>
      </c>
      <c r="L224" s="47">
        <v>5.3999999999999999E-2</v>
      </c>
      <c r="M224" s="47">
        <v>3.6666666666666674E-2</v>
      </c>
      <c r="N224" s="47">
        <v>3.3666666666666671E-2</v>
      </c>
      <c r="O224" s="47">
        <v>3.7333333333333336E-2</v>
      </c>
      <c r="P224" s="47">
        <v>4.7333333333333331E-2</v>
      </c>
      <c r="Q224" s="47">
        <v>5.0333333333333341E-2</v>
      </c>
      <c r="R224" s="47">
        <v>8.1333333333333341E-2</v>
      </c>
      <c r="S224" s="47">
        <v>0.10200000000000001</v>
      </c>
      <c r="T224" s="47">
        <v>0.13533333333333333</v>
      </c>
      <c r="U224" s="47">
        <v>0.14266666666666666</v>
      </c>
      <c r="V224" s="47">
        <v>0.26833333333333337</v>
      </c>
      <c r="W224" s="47">
        <v>0.51333333333333342</v>
      </c>
      <c r="X224" s="47">
        <v>0.64900000000000002</v>
      </c>
      <c r="Y224" s="47">
        <v>0.67666666666666675</v>
      </c>
      <c r="Z224" s="47">
        <v>0.73100000000000009</v>
      </c>
      <c r="AA224" s="47">
        <v>0.80566666666666675</v>
      </c>
      <c r="AB224" s="47">
        <v>0.76100000000000012</v>
      </c>
      <c r="AC224" s="47">
        <v>0.82933333333333337</v>
      </c>
      <c r="AD224" s="47">
        <v>0.87333333333333341</v>
      </c>
      <c r="AE224" s="47">
        <v>0.92133333333333334</v>
      </c>
      <c r="AF224" s="47">
        <v>0.91800000000000004</v>
      </c>
      <c r="AG224" s="47">
        <v>0.89066666666666661</v>
      </c>
      <c r="AH224" s="47">
        <v>0.8666666666666667</v>
      </c>
      <c r="AI224" s="47">
        <v>0.89433333333333342</v>
      </c>
      <c r="AJ224" s="47">
        <v>0.93166666666666675</v>
      </c>
      <c r="AK224" s="47">
        <v>0.96533333333333338</v>
      </c>
      <c r="AL224" s="47">
        <v>0.95500000000000007</v>
      </c>
      <c r="AM224" s="47">
        <v>0.91100000000000003</v>
      </c>
      <c r="AN224" s="47">
        <v>0.87333333333333341</v>
      </c>
      <c r="AO224" s="47">
        <v>0.82600000000000007</v>
      </c>
      <c r="AP224" s="47">
        <v>0.91433333333333333</v>
      </c>
      <c r="AQ224" s="47">
        <v>0.94833333333333347</v>
      </c>
      <c r="AR224" s="47">
        <v>0.95233333333333337</v>
      </c>
      <c r="AS224" s="47">
        <v>0.95166666666666677</v>
      </c>
      <c r="AT224" s="47">
        <v>0.80233333333333345</v>
      </c>
      <c r="AU224" s="47">
        <v>0.65933333333333344</v>
      </c>
      <c r="AV224" s="47">
        <v>0.44166666666666676</v>
      </c>
      <c r="AW224" s="47">
        <v>0.41433333333333333</v>
      </c>
      <c r="AX224" s="47">
        <v>0.4313333333333334</v>
      </c>
      <c r="AY224" s="47">
        <v>0.48966666666666675</v>
      </c>
      <c r="AZ224" s="47">
        <v>0.6080000000000001</v>
      </c>
      <c r="BA224" s="47">
        <v>0.67966666666666675</v>
      </c>
      <c r="BB224" s="47">
        <v>0.68333333333333335</v>
      </c>
      <c r="BC224" s="47">
        <v>0.47533333333333339</v>
      </c>
      <c r="BD224" s="47">
        <v>0.42466666666666664</v>
      </c>
      <c r="BE224" s="47">
        <v>0.35700000000000004</v>
      </c>
      <c r="BF224" s="47">
        <v>0.43833333333333346</v>
      </c>
      <c r="BG224" s="47">
        <v>0.38366666666666671</v>
      </c>
      <c r="BH224" s="47">
        <v>0.40733333333333338</v>
      </c>
      <c r="BI224" s="47">
        <v>0.38700000000000001</v>
      </c>
      <c r="BJ224" s="47">
        <v>0.38733333333333336</v>
      </c>
      <c r="BK224" s="47">
        <v>0.46200000000000002</v>
      </c>
      <c r="BL224" s="47">
        <v>0.47266666666666673</v>
      </c>
      <c r="BM224" s="47">
        <v>0.48966666666666675</v>
      </c>
      <c r="BN224" s="47">
        <v>0.42466666666666675</v>
      </c>
      <c r="BO224" s="47">
        <v>0.26500000000000001</v>
      </c>
      <c r="BP224" s="47">
        <v>0.23066666666666669</v>
      </c>
      <c r="BQ224" s="47">
        <v>0.24766666666666667</v>
      </c>
      <c r="BR224" s="47">
        <v>0.35333333333333339</v>
      </c>
      <c r="BS224" s="47">
        <v>0.54366666666666674</v>
      </c>
      <c r="BT224" s="47">
        <v>0.59800000000000009</v>
      </c>
      <c r="BU224" s="47">
        <v>0.65600000000000014</v>
      </c>
      <c r="BV224" s="47">
        <v>0.70400000000000007</v>
      </c>
      <c r="BW224" s="47">
        <v>0.77533333333333343</v>
      </c>
      <c r="BX224" s="47">
        <v>0.71366666666666678</v>
      </c>
      <c r="BY224" s="47">
        <v>0.66600000000000004</v>
      </c>
      <c r="BZ224" s="47">
        <v>0.52666666666666662</v>
      </c>
      <c r="CA224" s="47">
        <v>0.64200000000000002</v>
      </c>
      <c r="CB224" s="47">
        <v>0.74766666666666681</v>
      </c>
      <c r="CC224" s="47">
        <v>0.8736666666666667</v>
      </c>
      <c r="CD224" s="47">
        <v>0.82600000000000007</v>
      </c>
      <c r="CE224" s="47">
        <v>0.74766666666666681</v>
      </c>
      <c r="CF224" s="47">
        <v>0.66300000000000003</v>
      </c>
      <c r="CG224" s="47">
        <v>0.59500000000000008</v>
      </c>
      <c r="CH224" s="47">
        <v>0.56400000000000006</v>
      </c>
      <c r="CI224" s="47">
        <v>0.503</v>
      </c>
      <c r="CJ224" s="47">
        <v>0.41766666666666669</v>
      </c>
      <c r="CK224" s="47">
        <v>0.36000000000000004</v>
      </c>
      <c r="CL224" s="47">
        <v>0.503</v>
      </c>
      <c r="CM224" s="47">
        <v>0.47933333333333333</v>
      </c>
      <c r="CN224" s="47">
        <v>0.54033333333333333</v>
      </c>
      <c r="CO224" s="47">
        <v>0.37400000000000005</v>
      </c>
      <c r="CP224" s="47">
        <v>0.35966666666666669</v>
      </c>
      <c r="CQ224" s="47">
        <v>0.19333333333333336</v>
      </c>
      <c r="CR224" s="47">
        <v>0.21000000000000002</v>
      </c>
      <c r="CS224" s="47">
        <v>0.27500000000000002</v>
      </c>
      <c r="CT224" s="47">
        <v>0.30233333333333334</v>
      </c>
      <c r="CU224" s="47">
        <v>0.23766666666666672</v>
      </c>
      <c r="CV224" s="47">
        <v>0.193</v>
      </c>
      <c r="CW224" s="47">
        <v>0.20733333333333334</v>
      </c>
      <c r="CX224" s="47">
        <v>0.21366666666666667</v>
      </c>
      <c r="CY224" s="47">
        <v>0.22733333333333336</v>
      </c>
      <c r="CZ224" s="47">
        <v>0.23100000000000001</v>
      </c>
    </row>
    <row r="225" spans="1:104" x14ac:dyDescent="0.2">
      <c r="A225" s="50" t="s">
        <v>135</v>
      </c>
      <c r="B225" s="46">
        <f t="shared" si="32"/>
        <v>25.5</v>
      </c>
      <c r="C225" s="46">
        <f t="shared" si="33"/>
        <v>14.299999999999995</v>
      </c>
      <c r="D225" s="48">
        <f t="shared" si="34"/>
        <v>29.700673545212052</v>
      </c>
      <c r="E225" s="46"/>
      <c r="F225" s="47">
        <v>0.46899999999999997</v>
      </c>
      <c r="G225" s="47">
        <v>0.46899999999999997</v>
      </c>
      <c r="H225" s="47">
        <v>0.36699999999999999</v>
      </c>
      <c r="I225" s="47">
        <v>0.32600000000000001</v>
      </c>
      <c r="J225" s="47">
        <v>0.316</v>
      </c>
      <c r="K225" s="47">
        <v>0.30599999999999999</v>
      </c>
      <c r="L225" s="47">
        <v>0.29499999999999998</v>
      </c>
      <c r="M225" s="47">
        <v>0.26500000000000001</v>
      </c>
      <c r="N225" s="47">
        <v>0.20399999999999999</v>
      </c>
      <c r="O225" s="47">
        <v>0.13200000000000001</v>
      </c>
      <c r="P225" s="47">
        <v>0.10199999999999999</v>
      </c>
      <c r="Q225" s="47">
        <v>9.1000000000000011E-2</v>
      </c>
      <c r="R225" s="47">
        <v>0.16300000000000001</v>
      </c>
      <c r="S225" s="47">
        <v>7.0999999999999994E-2</v>
      </c>
      <c r="T225" s="47">
        <v>0.153</v>
      </c>
      <c r="U225" s="47">
        <v>0.14199999999999999</v>
      </c>
      <c r="V225" s="47">
        <v>0.24399999999999999</v>
      </c>
      <c r="W225" s="47">
        <v>0.214</v>
      </c>
      <c r="X225" s="47">
        <v>0.183</v>
      </c>
      <c r="Y225" s="47">
        <v>0.112</v>
      </c>
      <c r="Z225" s="47">
        <v>0.17299999999999999</v>
      </c>
      <c r="AA225" s="47">
        <v>0.224</v>
      </c>
      <c r="AB225" s="47">
        <v>0.23400000000000001</v>
      </c>
      <c r="AC225" s="47">
        <v>0.28499999999999998</v>
      </c>
      <c r="AD225" s="47">
        <v>0.33599999999999997</v>
      </c>
      <c r="AE225" s="47">
        <v>0.40799999999999997</v>
      </c>
      <c r="AF225" s="47">
        <v>0.39699999999999996</v>
      </c>
      <c r="AG225" s="47">
        <v>0.38700000000000001</v>
      </c>
      <c r="AH225" s="47">
        <v>0.45900000000000002</v>
      </c>
      <c r="AI225" s="47">
        <v>0.622</v>
      </c>
      <c r="AJ225" s="47">
        <v>0.69299999999999995</v>
      </c>
      <c r="AK225" s="47">
        <v>0.74399999999999999</v>
      </c>
      <c r="AL225" s="47">
        <v>0.79500000000000004</v>
      </c>
      <c r="AM225" s="47">
        <v>0.83599999999999997</v>
      </c>
      <c r="AN225" s="47">
        <v>0.88700000000000001</v>
      </c>
      <c r="AO225" s="47">
        <v>0.89700000000000002</v>
      </c>
      <c r="AP225" s="47">
        <v>0.90800000000000003</v>
      </c>
      <c r="AQ225" s="47">
        <v>0.95899999999999996</v>
      </c>
      <c r="AR225" s="47">
        <v>0.94799999999999995</v>
      </c>
      <c r="AS225" s="47">
        <v>0.91800000000000004</v>
      </c>
      <c r="AT225" s="47">
        <v>0.877</v>
      </c>
      <c r="AU225" s="47">
        <v>0.85699999999999998</v>
      </c>
      <c r="AV225" s="47">
        <v>0.84599999999999997</v>
      </c>
      <c r="AW225" s="47">
        <v>0.82599999999999996</v>
      </c>
      <c r="AX225" s="47">
        <v>0.80600000000000005</v>
      </c>
      <c r="AY225" s="47">
        <v>0.77500000000000002</v>
      </c>
      <c r="AZ225" s="47">
        <v>0.71399999999999997</v>
      </c>
      <c r="BA225" s="47">
        <v>0.67300000000000004</v>
      </c>
      <c r="BB225" s="47">
        <v>0.52</v>
      </c>
      <c r="BC225" s="47">
        <v>0.255</v>
      </c>
      <c r="BD225" s="47">
        <v>0.19299999999999998</v>
      </c>
      <c r="BE225" s="47">
        <v>8.1000000000000003E-2</v>
      </c>
      <c r="BF225" s="47">
        <v>6.0999999999999999E-2</v>
      </c>
      <c r="BG225" s="47">
        <v>0.04</v>
      </c>
      <c r="BH225" s="47">
        <v>0.02</v>
      </c>
      <c r="BI225" s="47">
        <v>0</v>
      </c>
      <c r="BJ225" s="47">
        <v>0.01</v>
      </c>
      <c r="BK225" s="47">
        <v>0.03</v>
      </c>
      <c r="BL225" s="47">
        <v>5.0999999999999997E-2</v>
      </c>
      <c r="BM225" s="47">
        <v>0.122</v>
      </c>
      <c r="BN225" s="47">
        <v>0.27500000000000002</v>
      </c>
      <c r="BO225" s="47">
        <v>0.438</v>
      </c>
      <c r="BP225" s="47">
        <v>0.65300000000000002</v>
      </c>
      <c r="BQ225" s="47">
        <v>0.755</v>
      </c>
      <c r="BR225" s="47">
        <v>0.81599999999999995</v>
      </c>
      <c r="BS225" s="47">
        <v>0.92800000000000005</v>
      </c>
      <c r="BT225" s="47">
        <v>0.97899999999999998</v>
      </c>
      <c r="BU225" s="47">
        <v>1</v>
      </c>
      <c r="BV225" s="47">
        <v>0.98899999999999999</v>
      </c>
      <c r="BW225" s="47">
        <v>0.96899999999999997</v>
      </c>
      <c r="BX225" s="47">
        <v>0.93799999999999994</v>
      </c>
      <c r="BY225" s="47">
        <v>0.86699999999999999</v>
      </c>
      <c r="BZ225" s="47">
        <v>0.78500000000000003</v>
      </c>
      <c r="CA225" s="47">
        <v>0.76500000000000001</v>
      </c>
      <c r="CB225" s="47">
        <v>0.72399999999999998</v>
      </c>
      <c r="CC225" s="47">
        <v>0.73399999999999999</v>
      </c>
      <c r="CD225" s="47">
        <v>0.70399999999999996</v>
      </c>
      <c r="CE225" s="47">
        <v>0.68299999999999994</v>
      </c>
      <c r="CF225" s="47">
        <v>0.66300000000000003</v>
      </c>
      <c r="CG225" s="47">
        <v>0.63200000000000001</v>
      </c>
      <c r="CH225" s="47">
        <v>0.59099999999999997</v>
      </c>
      <c r="CI225" s="47">
        <v>0.54</v>
      </c>
      <c r="CJ225" s="47">
        <v>0.48899999999999999</v>
      </c>
      <c r="CK225" s="47">
        <v>0.42799999999999999</v>
      </c>
      <c r="CL225" s="47">
        <v>0.61199999999999999</v>
      </c>
      <c r="CM225" s="47">
        <v>0.53</v>
      </c>
      <c r="CN225" s="47">
        <v>0.57099999999999995</v>
      </c>
      <c r="CO225" s="47">
        <v>0.44800000000000001</v>
      </c>
      <c r="CP225" s="47">
        <v>0.55100000000000005</v>
      </c>
      <c r="CQ225" s="47">
        <v>0.51</v>
      </c>
      <c r="CR225" s="47">
        <v>0.56100000000000005</v>
      </c>
      <c r="CS225" s="47">
        <v>0.60199999999999998</v>
      </c>
      <c r="CT225" s="47">
        <v>0.64200000000000002</v>
      </c>
      <c r="CU225" s="47">
        <v>0.58099999999999996</v>
      </c>
      <c r="CV225" s="47">
        <v>0.5</v>
      </c>
      <c r="CW225" s="47">
        <v>0.41799999999999998</v>
      </c>
      <c r="CX225" s="47">
        <v>0.35699999999999998</v>
      </c>
      <c r="CY225" s="47">
        <v>0.377</v>
      </c>
      <c r="CZ225" s="47">
        <v>0.34599999999999997</v>
      </c>
    </row>
    <row r="226" spans="1:104" x14ac:dyDescent="0.2">
      <c r="A226" s="50" t="s">
        <v>137</v>
      </c>
      <c r="B226" s="46">
        <f t="shared" si="32"/>
        <v>38.757142857142846</v>
      </c>
      <c r="C226" s="46">
        <f t="shared" si="33"/>
        <v>2.8714285714285639</v>
      </c>
      <c r="D226" s="48">
        <f t="shared" si="34"/>
        <v>26.833458530850852</v>
      </c>
      <c r="E226" s="46"/>
      <c r="F226" s="47">
        <v>0.41414285714285703</v>
      </c>
      <c r="G226" s="47">
        <v>0.40628571428571414</v>
      </c>
      <c r="H226" s="47">
        <v>0.38471428571428568</v>
      </c>
      <c r="I226" s="47">
        <v>0.3854285714285714</v>
      </c>
      <c r="J226" s="47">
        <v>0.40885714285714281</v>
      </c>
      <c r="K226" s="47">
        <v>0.45557142857142857</v>
      </c>
      <c r="L226" s="47">
        <v>0.50785714285714278</v>
      </c>
      <c r="M226" s="47">
        <v>0.54371428571428548</v>
      </c>
      <c r="N226" s="47">
        <v>0.49699999999999989</v>
      </c>
      <c r="O226" s="47">
        <v>0.40471428571428558</v>
      </c>
      <c r="P226" s="47">
        <v>0.33599999999999985</v>
      </c>
      <c r="Q226" s="47">
        <v>0.21142857142857138</v>
      </c>
      <c r="R226" s="47">
        <v>0.10414285714285713</v>
      </c>
      <c r="S226" s="47">
        <v>6.5857142857142878E-2</v>
      </c>
      <c r="T226" s="47">
        <v>5.800000000000001E-2</v>
      </c>
      <c r="U226" s="47">
        <v>3.9285714285714292E-2</v>
      </c>
      <c r="V226" s="47">
        <v>4.0285714285714272E-2</v>
      </c>
      <c r="W226" s="47">
        <v>2.6571428571428565E-2</v>
      </c>
      <c r="X226" s="47">
        <v>7.1428571428571305E-3</v>
      </c>
      <c r="Y226" s="47">
        <v>1.1428571428571427E-2</v>
      </c>
      <c r="Z226" s="47">
        <v>4.5142857142857137E-2</v>
      </c>
      <c r="AA226" s="47">
        <v>7.7571428571428569E-2</v>
      </c>
      <c r="AB226" s="47">
        <v>0.10842857142857142</v>
      </c>
      <c r="AC226" s="47">
        <v>0.16871428571428573</v>
      </c>
      <c r="AD226" s="47">
        <v>0.21214285714285711</v>
      </c>
      <c r="AE226" s="47">
        <v>0.28457142857142848</v>
      </c>
      <c r="AF226" s="47">
        <v>0.35728571428571421</v>
      </c>
      <c r="AG226" s="47">
        <v>0.41357142857142842</v>
      </c>
      <c r="AH226" s="47">
        <v>0.5069999999999999</v>
      </c>
      <c r="AI226" s="47">
        <v>0.58128571428571418</v>
      </c>
      <c r="AJ226" s="47">
        <v>0.66485714285714292</v>
      </c>
      <c r="AK226" s="47">
        <v>0.80457142857142872</v>
      </c>
      <c r="AL226" s="47">
        <v>0.8967142857142858</v>
      </c>
      <c r="AM226" s="47">
        <v>0.93271428571428594</v>
      </c>
      <c r="AN226" s="47">
        <v>0.9512857142857144</v>
      </c>
      <c r="AO226" s="47">
        <v>0.93028571428571438</v>
      </c>
      <c r="AP226" s="47">
        <v>0.9018571428571428</v>
      </c>
      <c r="AQ226" s="47">
        <v>0.86</v>
      </c>
      <c r="AR226" s="47">
        <v>0.82399999999999984</v>
      </c>
      <c r="AS226" s="47">
        <v>0.78157142857142836</v>
      </c>
      <c r="AT226" s="47">
        <v>0.70757142857142852</v>
      </c>
      <c r="AU226" s="47">
        <v>0.69042857142857128</v>
      </c>
      <c r="AV226" s="47">
        <v>0.62042857142857133</v>
      </c>
      <c r="AW226" s="47">
        <v>0.5338571428571427</v>
      </c>
      <c r="AX226" s="47">
        <v>0.44585714285714256</v>
      </c>
      <c r="AY226" s="47">
        <v>0.41014285714285686</v>
      </c>
      <c r="AZ226" s="47">
        <v>0.3877142857142854</v>
      </c>
      <c r="BA226" s="47">
        <v>0.36499999999999982</v>
      </c>
      <c r="BB226" s="47">
        <v>0.3041428571428571</v>
      </c>
      <c r="BC226" s="47">
        <v>0.22485714285714287</v>
      </c>
      <c r="BD226" s="47">
        <v>0.21814285714285706</v>
      </c>
      <c r="BE226" s="47">
        <v>0.24914285714285697</v>
      </c>
      <c r="BF226" s="47">
        <v>0.25971428571428551</v>
      </c>
      <c r="BG226" s="47">
        <v>0.26028571428571406</v>
      </c>
      <c r="BH226" s="47">
        <v>0.25571428571428551</v>
      </c>
      <c r="BI226" s="47">
        <v>0.2694285714285713</v>
      </c>
      <c r="BJ226" s="47">
        <v>0.30742857142857144</v>
      </c>
      <c r="BK226" s="47">
        <v>0.38814285714285712</v>
      </c>
      <c r="BL226" s="47">
        <v>0.46071428571428569</v>
      </c>
      <c r="BM226" s="47">
        <v>0.51242857142857134</v>
      </c>
      <c r="BN226" s="47">
        <v>0.51300000000000001</v>
      </c>
      <c r="BO226" s="47">
        <v>0.47200000000000009</v>
      </c>
      <c r="BP226" s="47">
        <v>0.46385714285714297</v>
      </c>
      <c r="BQ226" s="47">
        <v>0.46642857142857158</v>
      </c>
      <c r="BR226" s="47">
        <v>0.51800000000000002</v>
      </c>
      <c r="BS226" s="47">
        <v>0.53514285714285714</v>
      </c>
      <c r="BT226" s="47">
        <v>0.58785714285714297</v>
      </c>
      <c r="BU226" s="47">
        <v>0.59385714285714286</v>
      </c>
      <c r="BV226" s="47">
        <v>0.58471428571428563</v>
      </c>
      <c r="BW226" s="47">
        <v>0.6012857142857142</v>
      </c>
      <c r="BX226" s="47">
        <v>0.5961428571428572</v>
      </c>
      <c r="BY226" s="47">
        <v>0.59285714285714297</v>
      </c>
      <c r="BZ226" s="47">
        <v>0.56514285714285739</v>
      </c>
      <c r="CA226" s="47">
        <v>0.62742857142857156</v>
      </c>
      <c r="CB226" s="47">
        <v>0.64700000000000002</v>
      </c>
      <c r="CC226" s="47">
        <v>0.68400000000000005</v>
      </c>
      <c r="CD226" s="47">
        <v>0.66614285714285726</v>
      </c>
      <c r="CE226" s="47">
        <v>0.70028571428571429</v>
      </c>
      <c r="CF226" s="47">
        <v>0.71385714285714297</v>
      </c>
      <c r="CG226" s="47">
        <v>0.75842857142857156</v>
      </c>
      <c r="CH226" s="47">
        <v>0.81100000000000005</v>
      </c>
      <c r="CI226" s="47">
        <v>0.8461428571428572</v>
      </c>
      <c r="CJ226" s="47">
        <v>0.88214285714285723</v>
      </c>
      <c r="CK226" s="47">
        <v>0.92028571428571426</v>
      </c>
      <c r="CL226" s="47">
        <v>0.93914285714285717</v>
      </c>
      <c r="CM226" s="47">
        <v>0.93</v>
      </c>
      <c r="CN226" s="47">
        <v>0.88085714285714289</v>
      </c>
      <c r="CO226" s="47">
        <v>0.81314285714285739</v>
      </c>
      <c r="CP226" s="47">
        <v>0.75957142857142879</v>
      </c>
      <c r="CQ226" s="47">
        <v>0.71514285714285719</v>
      </c>
      <c r="CR226" s="47">
        <v>0.7161428571428573</v>
      </c>
      <c r="CS226" s="47">
        <v>0.7091428571428573</v>
      </c>
      <c r="CT226" s="47">
        <v>0.68514285714285728</v>
      </c>
      <c r="CU226" s="47">
        <v>0.43128571428571444</v>
      </c>
      <c r="CV226" s="47">
        <v>0.4051428571428573</v>
      </c>
      <c r="CW226" s="47">
        <v>0.39628571428571446</v>
      </c>
      <c r="CX226" s="47">
        <v>0.39057142857142874</v>
      </c>
      <c r="CY226" s="47">
        <v>0.38185714285714306</v>
      </c>
      <c r="CZ226" s="47">
        <v>0.38914285714285729</v>
      </c>
    </row>
    <row r="227" spans="1:104" x14ac:dyDescent="0.2">
      <c r="A227" s="50" t="s">
        <v>139</v>
      </c>
      <c r="B227" s="46">
        <f t="shared" si="32"/>
        <v>80.600000000000009</v>
      </c>
      <c r="C227" s="46">
        <f t="shared" si="33"/>
        <v>12.3</v>
      </c>
      <c r="D227" s="48">
        <f t="shared" si="34"/>
        <v>29.324320864484232</v>
      </c>
      <c r="E227" s="46"/>
      <c r="F227" s="47">
        <v>0.86699999999999999</v>
      </c>
      <c r="G227" s="47">
        <v>0.86699999999999999</v>
      </c>
      <c r="H227" s="47">
        <v>0.84599999999999997</v>
      </c>
      <c r="I227" s="47">
        <v>0.74399999999999999</v>
      </c>
      <c r="J227" s="47">
        <v>0.72399999999999998</v>
      </c>
      <c r="K227" s="47">
        <v>0.63200000000000001</v>
      </c>
      <c r="L227" s="47">
        <v>0.66300000000000003</v>
      </c>
      <c r="M227" s="47">
        <v>0.47900000000000004</v>
      </c>
      <c r="N227" s="47">
        <v>0.32600000000000001</v>
      </c>
      <c r="O227" s="47">
        <v>0.17299999999999999</v>
      </c>
      <c r="P227" s="47">
        <v>0.112</v>
      </c>
      <c r="Q227" s="47">
        <v>9.0999999999999998E-2</v>
      </c>
      <c r="R227" s="47">
        <v>8.1000000000000003E-2</v>
      </c>
      <c r="S227" s="47">
        <v>5.0999999999999997E-2</v>
      </c>
      <c r="T227" s="47">
        <v>0.01</v>
      </c>
      <c r="U227" s="47">
        <v>0</v>
      </c>
      <c r="V227" s="47">
        <v>0.02</v>
      </c>
      <c r="W227" s="47">
        <v>6.0999999999999999E-2</v>
      </c>
      <c r="X227" s="47">
        <v>3.0000000000000002E-2</v>
      </c>
      <c r="Y227" s="47">
        <v>0.04</v>
      </c>
      <c r="Z227" s="47">
        <v>7.0999999999999994E-2</v>
      </c>
      <c r="AA227" s="47">
        <v>0.193</v>
      </c>
      <c r="AB227" s="47">
        <v>0.29499999999999998</v>
      </c>
      <c r="AC227" s="47">
        <v>0.60199999999999998</v>
      </c>
      <c r="AD227" s="47">
        <v>0.76500000000000001</v>
      </c>
      <c r="AE227" s="47">
        <v>0.82599999999999996</v>
      </c>
      <c r="AF227" s="47">
        <v>0.85699999999999998</v>
      </c>
      <c r="AG227" s="47">
        <v>0.83599999999999997</v>
      </c>
      <c r="AH227" s="47">
        <v>0.89700000000000002</v>
      </c>
      <c r="AI227" s="47">
        <v>0.90800000000000003</v>
      </c>
      <c r="AJ227" s="47">
        <v>0.92800000000000005</v>
      </c>
      <c r="AK227" s="47">
        <v>0.91800000000000004</v>
      </c>
      <c r="AL227" s="47">
        <v>0.97899999999999987</v>
      </c>
      <c r="AM227" s="47">
        <v>1</v>
      </c>
      <c r="AN227" s="47">
        <v>0.98899999999999988</v>
      </c>
      <c r="AO227" s="47">
        <v>0.95899999999999996</v>
      </c>
      <c r="AP227" s="47">
        <v>0.93799999999999994</v>
      </c>
      <c r="AQ227" s="47">
        <v>0.96899999999999997</v>
      </c>
      <c r="AR227" s="47">
        <v>0.94800000000000006</v>
      </c>
      <c r="AS227" s="47">
        <v>0.88700000000000001</v>
      </c>
      <c r="AT227" s="47">
        <v>0.80600000000000005</v>
      </c>
      <c r="AU227" s="47">
        <v>0.81599999999999995</v>
      </c>
      <c r="AV227" s="47">
        <v>0.79500000000000004</v>
      </c>
      <c r="AW227" s="47">
        <v>0.78500000000000003</v>
      </c>
      <c r="AX227" s="47">
        <v>0.61199999999999999</v>
      </c>
      <c r="AY227" s="47">
        <v>0.377</v>
      </c>
      <c r="AZ227" s="47">
        <v>0.27500000000000002</v>
      </c>
      <c r="BA227" s="47">
        <v>0.33600000000000002</v>
      </c>
      <c r="BB227" s="47">
        <v>0.35699999999999998</v>
      </c>
      <c r="BC227" s="47">
        <v>0.255</v>
      </c>
      <c r="BD227" s="47">
        <v>0.36699999999999999</v>
      </c>
      <c r="BE227" s="47">
        <v>0.41799999999999998</v>
      </c>
      <c r="BF227" s="47">
        <v>0.52</v>
      </c>
      <c r="BG227" s="47">
        <v>0.316</v>
      </c>
      <c r="BH227" s="47">
        <v>0.20399999999999999</v>
      </c>
      <c r="BI227" s="47">
        <v>0.16300000000000001</v>
      </c>
      <c r="BJ227" s="47">
        <v>0.13200000000000001</v>
      </c>
      <c r="BK227" s="47">
        <v>0.153</v>
      </c>
      <c r="BL227" s="47">
        <v>0.214</v>
      </c>
      <c r="BM227" s="47">
        <v>0.23400000000000001</v>
      </c>
      <c r="BN227" s="47">
        <v>0.183</v>
      </c>
      <c r="BO227" s="47">
        <v>0.122</v>
      </c>
      <c r="BP227" s="47">
        <v>0.10199999999999999</v>
      </c>
      <c r="BQ227" s="47">
        <v>0.14199999999999999</v>
      </c>
      <c r="BR227" s="47">
        <v>0.224</v>
      </c>
      <c r="BS227" s="47">
        <v>0.34599999999999997</v>
      </c>
      <c r="BT227" s="47">
        <v>0.40799999999999997</v>
      </c>
      <c r="BU227" s="47">
        <v>0.42799999999999999</v>
      </c>
      <c r="BV227" s="47">
        <v>0.46899999999999997</v>
      </c>
      <c r="BW227" s="47">
        <v>0.55100000000000005</v>
      </c>
      <c r="BX227" s="47">
        <v>0.54</v>
      </c>
      <c r="BY227" s="47">
        <v>0.45900000000000002</v>
      </c>
      <c r="BZ227" s="47">
        <v>0.38700000000000001</v>
      </c>
      <c r="CA227" s="47">
        <v>0.65300000000000002</v>
      </c>
      <c r="CB227" s="47">
        <v>0.67300000000000004</v>
      </c>
      <c r="CC227" s="47">
        <v>0.68300000000000005</v>
      </c>
      <c r="CD227" s="47">
        <v>0.438</v>
      </c>
      <c r="CE227" s="47">
        <v>0.44800000000000001</v>
      </c>
      <c r="CF227" s="47">
        <v>0.53</v>
      </c>
      <c r="CG227" s="47">
        <v>0.57099999999999995</v>
      </c>
      <c r="CH227" s="47">
        <v>0.58099999999999996</v>
      </c>
      <c r="CI227" s="47">
        <v>0.59099999999999997</v>
      </c>
      <c r="CJ227" s="47">
        <v>0.48899999999999999</v>
      </c>
      <c r="CK227" s="47">
        <v>0.56100000000000005</v>
      </c>
      <c r="CL227" s="47">
        <v>0.70399999999999996</v>
      </c>
      <c r="CM227" s="47">
        <v>0.64200000000000002</v>
      </c>
      <c r="CN227" s="47">
        <v>0.622</v>
      </c>
      <c r="CO227" s="47">
        <v>0.5</v>
      </c>
      <c r="CP227" s="47">
        <v>0.69299999999999995</v>
      </c>
      <c r="CQ227" s="47">
        <v>0.73399999999999999</v>
      </c>
      <c r="CR227" s="47">
        <v>0.77500000000000002</v>
      </c>
      <c r="CS227" s="47">
        <v>0.755</v>
      </c>
      <c r="CT227" s="47">
        <v>0.71399999999999997</v>
      </c>
      <c r="CU227" s="47">
        <v>0.51</v>
      </c>
      <c r="CV227" s="47">
        <v>0.39700000000000002</v>
      </c>
      <c r="CW227" s="47">
        <v>0.30599999999999999</v>
      </c>
      <c r="CX227" s="47">
        <v>0.24399999999999999</v>
      </c>
      <c r="CY227" s="47">
        <v>0.26500000000000001</v>
      </c>
      <c r="CZ227" s="47">
        <v>0.28499999999999998</v>
      </c>
    </row>
    <row r="228" spans="1:104" x14ac:dyDescent="0.2">
      <c r="A228" s="50" t="s">
        <v>141</v>
      </c>
      <c r="B228" s="46">
        <f t="shared" si="32"/>
        <v>11.250000000000004</v>
      </c>
      <c r="C228" s="46">
        <f t="shared" si="33"/>
        <v>1.0499999999999954</v>
      </c>
      <c r="D228" s="48">
        <f t="shared" si="34"/>
        <v>21.097802526233643</v>
      </c>
      <c r="E228" s="46"/>
      <c r="F228" s="47">
        <v>0.51500000000000001</v>
      </c>
      <c r="G228" s="47">
        <v>0.54549999999999987</v>
      </c>
      <c r="H228" s="47">
        <v>0.48899999999999999</v>
      </c>
      <c r="I228" s="47">
        <v>0.50450000000000006</v>
      </c>
      <c r="J228" s="47">
        <v>0.47400000000000003</v>
      </c>
      <c r="K228" s="47">
        <v>0.50949999999999995</v>
      </c>
      <c r="L228" s="47">
        <v>0.443</v>
      </c>
      <c r="M228" s="47">
        <v>0.40249999999999997</v>
      </c>
      <c r="N228" s="47">
        <v>0.316</v>
      </c>
      <c r="O228" s="47">
        <v>0.16300000000000001</v>
      </c>
      <c r="P228" s="47">
        <v>0.1275</v>
      </c>
      <c r="Q228" s="47">
        <v>0.14249999999999999</v>
      </c>
      <c r="R228" s="47">
        <v>0.28499999999999998</v>
      </c>
      <c r="S228" s="47">
        <v>0.17299999999999999</v>
      </c>
      <c r="T228" s="47">
        <v>0.10150000000000001</v>
      </c>
      <c r="U228" s="47">
        <v>0.10199999999999999</v>
      </c>
      <c r="V228" s="47">
        <v>0.26500000000000001</v>
      </c>
      <c r="W228" s="47">
        <v>0.40249999999999997</v>
      </c>
      <c r="X228" s="47">
        <v>0.4335</v>
      </c>
      <c r="Y228" s="47">
        <v>0.42799999999999999</v>
      </c>
      <c r="Z228" s="47">
        <v>0.4335</v>
      </c>
      <c r="AA228" s="47">
        <v>0.39199999999999996</v>
      </c>
      <c r="AB228" s="47">
        <v>0.47900000000000004</v>
      </c>
      <c r="AC228" s="47">
        <v>0.58150000000000002</v>
      </c>
      <c r="AD228" s="47">
        <v>0.53</v>
      </c>
      <c r="AE228" s="47">
        <v>0.47400000000000003</v>
      </c>
      <c r="AF228" s="47">
        <v>0.47400000000000003</v>
      </c>
      <c r="AG228" s="47">
        <v>0.5655</v>
      </c>
      <c r="AH228" s="47">
        <v>0.55549999999999999</v>
      </c>
      <c r="AI228" s="47">
        <v>0.55049999999999999</v>
      </c>
      <c r="AJ228" s="47">
        <v>0.57599999999999996</v>
      </c>
      <c r="AK228" s="47">
        <v>0.63700000000000001</v>
      </c>
      <c r="AL228" s="47">
        <v>0.65799999999999992</v>
      </c>
      <c r="AM228" s="47">
        <v>0.68799999999999994</v>
      </c>
      <c r="AN228" s="47">
        <v>0.65249999999999997</v>
      </c>
      <c r="AO228" s="47">
        <v>0.58650000000000002</v>
      </c>
      <c r="AP228" s="47">
        <v>0.6319999999999999</v>
      </c>
      <c r="AQ228" s="47">
        <v>0.77</v>
      </c>
      <c r="AR228" s="47">
        <v>0.77</v>
      </c>
      <c r="AS228" s="47">
        <v>0.74949999999999994</v>
      </c>
      <c r="AT228" s="47">
        <v>0.57100000000000006</v>
      </c>
      <c r="AU228" s="47">
        <v>0.46350000000000002</v>
      </c>
      <c r="AV228" s="47">
        <v>0.41250000000000003</v>
      </c>
      <c r="AW228" s="47">
        <v>0.34099999999999997</v>
      </c>
      <c r="AX228" s="47">
        <v>0.33600000000000002</v>
      </c>
      <c r="AY228" s="47">
        <v>0.26</v>
      </c>
      <c r="AZ228" s="47">
        <v>0.33149999999999996</v>
      </c>
      <c r="BA228" s="47">
        <v>0.53500000000000003</v>
      </c>
      <c r="BB228" s="47">
        <v>0.67849999999999999</v>
      </c>
      <c r="BC228" s="47">
        <v>0.64200000000000002</v>
      </c>
      <c r="BD228" s="47">
        <v>0.627</v>
      </c>
      <c r="BE228" s="47">
        <v>0.71899999999999997</v>
      </c>
      <c r="BF228" s="47">
        <v>0.72949999999999993</v>
      </c>
      <c r="BG228" s="47">
        <v>0.69850000000000001</v>
      </c>
      <c r="BH228" s="47">
        <v>0.65800000000000003</v>
      </c>
      <c r="BI228" s="47">
        <v>0.63200000000000001</v>
      </c>
      <c r="BJ228" s="47">
        <v>0.53</v>
      </c>
      <c r="BK228" s="47">
        <v>0.48899999999999999</v>
      </c>
      <c r="BL228" s="47">
        <v>0.62150000000000005</v>
      </c>
      <c r="BM228" s="47">
        <v>0.69350000000000001</v>
      </c>
      <c r="BN228" s="47">
        <v>0.56599999999999995</v>
      </c>
      <c r="BO228" s="47">
        <v>0.39750000000000002</v>
      </c>
      <c r="BP228" s="47">
        <v>0.11649999999999999</v>
      </c>
      <c r="BQ228" s="47">
        <v>6.0999999999999999E-2</v>
      </c>
      <c r="BR228" s="47">
        <v>0.122</v>
      </c>
      <c r="BS228" s="47">
        <v>0.25950000000000001</v>
      </c>
      <c r="BT228" s="47">
        <v>0.53549999999999998</v>
      </c>
      <c r="BU228" s="47">
        <v>0.69350000000000001</v>
      </c>
      <c r="BV228" s="47">
        <v>0.77500000000000013</v>
      </c>
      <c r="BW228" s="47">
        <v>0.7955000000000001</v>
      </c>
      <c r="BX228" s="47">
        <v>0.73899999999999999</v>
      </c>
      <c r="BY228" s="47">
        <v>0.69350000000000001</v>
      </c>
      <c r="BZ228" s="47">
        <v>0.44850000000000001</v>
      </c>
      <c r="CA228" s="47">
        <v>0.44350000000000006</v>
      </c>
      <c r="CB228" s="47">
        <v>0.42299999999999999</v>
      </c>
      <c r="CC228" s="47">
        <v>0.6319999999999999</v>
      </c>
      <c r="CD228" s="47">
        <v>0.67299999999999993</v>
      </c>
      <c r="CE228" s="47">
        <v>0.75450000000000006</v>
      </c>
      <c r="CF228" s="47">
        <v>0.76500000000000001</v>
      </c>
      <c r="CG228" s="47">
        <v>0.71899999999999997</v>
      </c>
      <c r="CH228" s="47">
        <v>0.69850000000000012</v>
      </c>
      <c r="CI228" s="47">
        <v>0.72399999999999998</v>
      </c>
      <c r="CJ228" s="47">
        <v>0.79499999999999993</v>
      </c>
      <c r="CK228" s="47">
        <v>0.85649999999999993</v>
      </c>
      <c r="CL228" s="47">
        <v>0.92299999999999993</v>
      </c>
      <c r="CM228" s="47">
        <v>0.82100000000000006</v>
      </c>
      <c r="CN228" s="47">
        <v>0.71850000000000003</v>
      </c>
      <c r="CO228" s="47">
        <v>0.56099999999999994</v>
      </c>
      <c r="CP228" s="47">
        <v>0.505</v>
      </c>
      <c r="CQ228" s="47">
        <v>0.38250000000000001</v>
      </c>
      <c r="CR228" s="47">
        <v>0.44850000000000001</v>
      </c>
      <c r="CS228" s="47">
        <v>0.45350000000000001</v>
      </c>
      <c r="CT228" s="47">
        <v>0.32100000000000001</v>
      </c>
      <c r="CU228" s="47">
        <v>0.27499999999999997</v>
      </c>
      <c r="CV228" s="47">
        <v>0.1885</v>
      </c>
      <c r="CW228" s="47">
        <v>0.20850000000000002</v>
      </c>
      <c r="CX228" s="47">
        <v>0.15250000000000002</v>
      </c>
      <c r="CY228" s="47">
        <v>0.14249999999999999</v>
      </c>
      <c r="CZ228" s="47">
        <v>0.10199999999999999</v>
      </c>
    </row>
    <row r="229" spans="1:104" x14ac:dyDescent="0.2">
      <c r="A229" s="50" t="s">
        <v>143</v>
      </c>
      <c r="B229" s="46">
        <f t="shared" si="32"/>
        <v>35.899999999999984</v>
      </c>
      <c r="C229" s="46">
        <f t="shared" si="33"/>
        <v>24.428571428571434</v>
      </c>
      <c r="D229" s="48">
        <f t="shared" si="34"/>
        <v>24.623471079890884</v>
      </c>
      <c r="E229" s="46"/>
      <c r="F229" s="47">
        <v>0.63242857142857134</v>
      </c>
      <c r="G229" s="47">
        <v>0.58871428571428575</v>
      </c>
      <c r="H229" s="47">
        <v>0.48414285714285699</v>
      </c>
      <c r="I229" s="47">
        <v>0.38814285714285701</v>
      </c>
      <c r="J229" s="47">
        <v>0.31785714285714273</v>
      </c>
      <c r="K229" s="47">
        <v>0.19928571428571418</v>
      </c>
      <c r="L229" s="47">
        <v>0.15557142857142844</v>
      </c>
      <c r="M229" s="47">
        <v>0.12899999999999986</v>
      </c>
      <c r="N229" s="47">
        <v>4.8857142857142793E-2</v>
      </c>
      <c r="O229" s="47">
        <v>5.7428571428571364E-2</v>
      </c>
      <c r="P229" s="47">
        <v>6.5999999999999934E-2</v>
      </c>
      <c r="Q229" s="47">
        <v>5.2999999999999978E-2</v>
      </c>
      <c r="R229" s="47">
        <v>6.6142857142857114E-2</v>
      </c>
      <c r="S229" s="47">
        <v>8.7142857142857119E-2</v>
      </c>
      <c r="T229" s="47">
        <v>0.10242857142857141</v>
      </c>
      <c r="U229" s="47">
        <v>0.16614285714285715</v>
      </c>
      <c r="V229" s="47">
        <v>0.24314285714285722</v>
      </c>
      <c r="W229" s="47">
        <v>0.27342857142857147</v>
      </c>
      <c r="X229" s="47">
        <v>0.30757142857142861</v>
      </c>
      <c r="Y229" s="47">
        <v>0.36928571428571433</v>
      </c>
      <c r="Z229" s="47">
        <v>0.40814285714285714</v>
      </c>
      <c r="AA229" s="47">
        <v>0.45914285714285707</v>
      </c>
      <c r="AB229" s="47">
        <v>0.49914285714285722</v>
      </c>
      <c r="AC229" s="47">
        <v>0.49000000000000005</v>
      </c>
      <c r="AD229" s="47">
        <v>0.52914285714285725</v>
      </c>
      <c r="AE229" s="47">
        <v>0.56714285714285728</v>
      </c>
      <c r="AF229" s="47">
        <v>0.62857142857142867</v>
      </c>
      <c r="AG229" s="47">
        <v>0.67500000000000004</v>
      </c>
      <c r="AH229" s="47">
        <v>0.75257142857142856</v>
      </c>
      <c r="AI229" s="47">
        <v>0.76228571428571434</v>
      </c>
      <c r="AJ229" s="47">
        <v>0.74742857142857144</v>
      </c>
      <c r="AK229" s="47">
        <v>0.75900000000000012</v>
      </c>
      <c r="AL229" s="47">
        <v>0.77314285714285724</v>
      </c>
      <c r="AM229" s="47">
        <v>0.78528571428571436</v>
      </c>
      <c r="AN229" s="47">
        <v>0.76028571428571434</v>
      </c>
      <c r="AO229" s="47">
        <v>0.76442857142857146</v>
      </c>
      <c r="AP229" s="47">
        <v>0.71771428571428564</v>
      </c>
      <c r="AQ229" s="47">
        <v>0.70257142857142851</v>
      </c>
      <c r="AR229" s="47">
        <v>0.66357142857142848</v>
      </c>
      <c r="AS229" s="47">
        <v>0.63514285714285701</v>
      </c>
      <c r="AT229" s="47">
        <v>0.59442857142857142</v>
      </c>
      <c r="AU229" s="47">
        <v>0.53757142857142848</v>
      </c>
      <c r="AV229" s="47">
        <v>0.43985714285714272</v>
      </c>
      <c r="AW229" s="47">
        <v>0.41228571428571426</v>
      </c>
      <c r="AX229" s="47">
        <v>0.43399999999999994</v>
      </c>
      <c r="AY229" s="47">
        <v>0.5079999999999999</v>
      </c>
      <c r="AZ229" s="47">
        <v>0.53028571428571425</v>
      </c>
      <c r="BA229" s="47">
        <v>0.42471428571428577</v>
      </c>
      <c r="BB229" s="47">
        <v>0.37728571428571439</v>
      </c>
      <c r="BC229" s="47">
        <v>0.28800000000000009</v>
      </c>
      <c r="BD229" s="47">
        <v>0.22228571428571431</v>
      </c>
      <c r="BE229" s="47">
        <v>0.15942857142857145</v>
      </c>
      <c r="BF229" s="47">
        <v>0.17185714285714274</v>
      </c>
      <c r="BG229" s="47">
        <v>0.17085714285714274</v>
      </c>
      <c r="BH229" s="47">
        <v>0.24199999999999985</v>
      </c>
      <c r="BI229" s="47">
        <v>0.24942857142857128</v>
      </c>
      <c r="BJ229" s="47">
        <v>0.21914285714285697</v>
      </c>
      <c r="BK229" s="47">
        <v>0.21271428571428558</v>
      </c>
      <c r="BL229" s="47">
        <v>0.23557142857142849</v>
      </c>
      <c r="BM229" s="47">
        <v>0.29557142857142849</v>
      </c>
      <c r="BN229" s="47">
        <v>0.32685714285714274</v>
      </c>
      <c r="BO229" s="47">
        <v>0.34599999999999992</v>
      </c>
      <c r="BP229" s="47">
        <v>0.36985714285714283</v>
      </c>
      <c r="BQ229" s="47">
        <v>0.41728571428571426</v>
      </c>
      <c r="BR229" s="47">
        <v>0.47142857142857136</v>
      </c>
      <c r="BS229" s="47">
        <v>0.54842857142857149</v>
      </c>
      <c r="BT229" s="47">
        <v>0.56685714285714284</v>
      </c>
      <c r="BU229" s="47">
        <v>0.6001428571428572</v>
      </c>
      <c r="BV229" s="47">
        <v>0.6408571428571429</v>
      </c>
      <c r="BW229" s="47">
        <v>0.65700000000000003</v>
      </c>
      <c r="BX229" s="47">
        <v>0.70528571428571429</v>
      </c>
      <c r="BY229" s="47">
        <v>0.71842857142857153</v>
      </c>
      <c r="BZ229" s="47">
        <v>0.76842857142857146</v>
      </c>
      <c r="CA229" s="47">
        <v>0.78928571428571426</v>
      </c>
      <c r="CB229" s="47">
        <v>0.80857142857142861</v>
      </c>
      <c r="CC229" s="47">
        <v>0.82500000000000007</v>
      </c>
      <c r="CD229" s="47">
        <v>0.82514285714285729</v>
      </c>
      <c r="CE229" s="47">
        <v>0.85828571428571432</v>
      </c>
      <c r="CF229" s="47">
        <v>0.87542857142857156</v>
      </c>
      <c r="CG229" s="47">
        <v>0.88400000000000001</v>
      </c>
      <c r="CH229" s="47">
        <v>0.89342857142857146</v>
      </c>
      <c r="CI229" s="47">
        <v>0.90200000000000002</v>
      </c>
      <c r="CJ229" s="47">
        <v>0.91914285714285715</v>
      </c>
      <c r="CK229" s="47">
        <v>0.9285714285714286</v>
      </c>
      <c r="CL229" s="47">
        <v>0.9105714285714287</v>
      </c>
      <c r="CM229" s="47">
        <v>0.86685714285714299</v>
      </c>
      <c r="CN229" s="47">
        <v>0.84971428571428576</v>
      </c>
      <c r="CO229" s="47">
        <v>0.83171428571428574</v>
      </c>
      <c r="CP229" s="47">
        <v>0.7708571428571428</v>
      </c>
      <c r="CQ229" s="47">
        <v>0.67485714285714282</v>
      </c>
      <c r="CR229" s="47">
        <v>0.6131428571428571</v>
      </c>
      <c r="CS229" s="47">
        <v>0.56085714285714272</v>
      </c>
      <c r="CT229" s="47">
        <v>0.48199999999999993</v>
      </c>
      <c r="CU229" s="47">
        <v>0.36799999999999994</v>
      </c>
      <c r="CV229" s="47">
        <v>0.29857142857142854</v>
      </c>
      <c r="CW229" s="47">
        <v>0.23685714285714277</v>
      </c>
      <c r="CX229" s="47">
        <v>0.24628571428571422</v>
      </c>
      <c r="CY229" s="47">
        <v>0.25485714285714278</v>
      </c>
      <c r="CZ229" s="47">
        <v>0.27199999999999991</v>
      </c>
    </row>
    <row r="230" spans="1:104" x14ac:dyDescent="0.2">
      <c r="A230" s="50" t="s">
        <v>145</v>
      </c>
      <c r="B230" s="46">
        <f t="shared" si="32"/>
        <v>2.3500000000000076</v>
      </c>
      <c r="C230" s="46">
        <f t="shared" si="33"/>
        <v>-13.4</v>
      </c>
      <c r="D230" s="48">
        <f t="shared" si="34"/>
        <v>16.939040177297546</v>
      </c>
      <c r="E230" s="46"/>
      <c r="F230" s="47">
        <v>0.54674999999999996</v>
      </c>
      <c r="G230" s="47">
        <v>0.60175000000000001</v>
      </c>
      <c r="H230" s="47">
        <v>0.63449999999999995</v>
      </c>
      <c r="I230" s="47">
        <v>0.68074999999999997</v>
      </c>
      <c r="J230" s="47">
        <v>0.53075000000000006</v>
      </c>
      <c r="K230" s="47">
        <v>0.56900000000000006</v>
      </c>
      <c r="L230" s="47">
        <v>0.51924999999999999</v>
      </c>
      <c r="M230" s="47">
        <v>0.53225</v>
      </c>
      <c r="N230" s="47">
        <v>0.39224999999999999</v>
      </c>
      <c r="O230" s="47">
        <v>0.48175000000000001</v>
      </c>
      <c r="P230" s="47">
        <v>0.55049999999999999</v>
      </c>
      <c r="Q230" s="47">
        <v>0.60950000000000004</v>
      </c>
      <c r="R230" s="47">
        <v>0.61075000000000002</v>
      </c>
      <c r="S230" s="47">
        <v>0.56699999999999995</v>
      </c>
      <c r="T230" s="47">
        <v>0.47775000000000001</v>
      </c>
      <c r="U230" s="47">
        <v>0.42599999999999999</v>
      </c>
      <c r="V230" s="47">
        <v>0.43000000000000005</v>
      </c>
      <c r="W230" s="47">
        <v>0.52324999999999988</v>
      </c>
      <c r="X230" s="47">
        <v>0.61950000000000005</v>
      </c>
      <c r="Y230" s="47">
        <v>0.61024999999999996</v>
      </c>
      <c r="Z230" s="47">
        <v>0.59624999999999995</v>
      </c>
      <c r="AA230" s="47">
        <v>0.73949999999999994</v>
      </c>
      <c r="AB230" s="47">
        <v>0.64275000000000004</v>
      </c>
      <c r="AC230" s="47">
        <v>0.55200000000000005</v>
      </c>
      <c r="AD230" s="47">
        <v>0.58600000000000008</v>
      </c>
      <c r="AE230" s="47">
        <v>0.66100000000000003</v>
      </c>
      <c r="AF230" s="47">
        <v>0.70425000000000004</v>
      </c>
      <c r="AG230" s="47">
        <v>0.60375000000000001</v>
      </c>
      <c r="AH230" s="47">
        <v>0.63024999999999998</v>
      </c>
      <c r="AI230" s="47">
        <v>0.58424999999999994</v>
      </c>
      <c r="AJ230" s="47">
        <v>0.52599999999999991</v>
      </c>
      <c r="AK230" s="47">
        <v>0.6442500000000001</v>
      </c>
      <c r="AL230" s="47">
        <v>0.64424999999999999</v>
      </c>
      <c r="AM230" s="47">
        <v>0.69499999999999995</v>
      </c>
      <c r="AN230" s="47">
        <v>0.6319999999999999</v>
      </c>
      <c r="AO230" s="47">
        <v>0.83274999999999988</v>
      </c>
      <c r="AP230" s="47">
        <v>0.91849999999999998</v>
      </c>
      <c r="AQ230" s="47">
        <v>0.90199999999999991</v>
      </c>
      <c r="AR230" s="47">
        <v>0.84050000000000014</v>
      </c>
      <c r="AS230" s="47">
        <v>0.83250000000000002</v>
      </c>
      <c r="AT230" s="47">
        <v>0.54549999999999998</v>
      </c>
      <c r="AU230" s="47">
        <v>0.38824999999999998</v>
      </c>
      <c r="AV230" s="47">
        <v>0.30925000000000002</v>
      </c>
      <c r="AW230" s="47">
        <v>0.33650000000000008</v>
      </c>
      <c r="AX230" s="47">
        <v>0.36425000000000002</v>
      </c>
      <c r="AY230" s="47">
        <v>0.38875000000000004</v>
      </c>
      <c r="AZ230" s="47">
        <v>0.45524999999999993</v>
      </c>
      <c r="BA230" s="47">
        <v>0.38350000000000001</v>
      </c>
      <c r="BB230" s="47">
        <v>0.221</v>
      </c>
      <c r="BC230" s="47">
        <v>0.13325000000000001</v>
      </c>
      <c r="BD230" s="47">
        <v>0.14474999999999999</v>
      </c>
      <c r="BE230" s="47">
        <v>0.18975000000000003</v>
      </c>
      <c r="BF230" s="47">
        <v>0.25574999999999998</v>
      </c>
      <c r="BG230" s="47">
        <v>0.36224999999999996</v>
      </c>
      <c r="BH230" s="47">
        <v>0.36950000000000005</v>
      </c>
      <c r="BI230" s="47">
        <v>0.36825000000000008</v>
      </c>
      <c r="BJ230" s="47">
        <v>0.34850000000000003</v>
      </c>
      <c r="BK230" s="47">
        <v>0.36525000000000002</v>
      </c>
      <c r="BL230" s="47">
        <v>0.39950000000000002</v>
      </c>
      <c r="BM230" s="47">
        <v>0.39224999999999999</v>
      </c>
      <c r="BN230" s="47">
        <v>0.29949999999999999</v>
      </c>
      <c r="BO230" s="47">
        <v>0.23925000000000002</v>
      </c>
      <c r="BP230" s="47">
        <v>0.17449999999999999</v>
      </c>
      <c r="BQ230" s="47">
        <v>0.22225</v>
      </c>
      <c r="BR230" s="47">
        <v>0.27425000000000005</v>
      </c>
      <c r="BS230" s="47">
        <v>0.32449999999999996</v>
      </c>
      <c r="BT230" s="47">
        <v>0.34225</v>
      </c>
      <c r="BU230" s="47">
        <v>0.30049999999999999</v>
      </c>
      <c r="BV230" s="47">
        <v>0.313</v>
      </c>
      <c r="BW230" s="47">
        <v>0.47925000000000001</v>
      </c>
      <c r="BX230" s="47">
        <v>0.48425000000000007</v>
      </c>
      <c r="BY230" s="47">
        <v>0.44874999999999998</v>
      </c>
      <c r="BZ230" s="47">
        <v>0.33649999999999997</v>
      </c>
      <c r="CA230" s="47">
        <v>0.37474999999999997</v>
      </c>
      <c r="CB230" s="47">
        <v>0.45349999999999996</v>
      </c>
      <c r="CC230" s="47">
        <v>0.4945</v>
      </c>
      <c r="CD230" s="47">
        <v>0.50475000000000003</v>
      </c>
      <c r="CE230" s="47">
        <v>0.53025000000000011</v>
      </c>
      <c r="CF230" s="47">
        <v>0.48949999999999999</v>
      </c>
      <c r="CG230" s="47">
        <v>0.4945</v>
      </c>
      <c r="CH230" s="47">
        <v>0.54574999999999996</v>
      </c>
      <c r="CI230" s="47">
        <v>0.54825000000000002</v>
      </c>
      <c r="CJ230" s="47">
        <v>0.57099999999999995</v>
      </c>
      <c r="CK230" s="47">
        <v>0.58125000000000004</v>
      </c>
      <c r="CL230" s="47">
        <v>0.72925000000000006</v>
      </c>
      <c r="CM230" s="47">
        <v>0.67025000000000001</v>
      </c>
      <c r="CN230" s="47">
        <v>0.67549999999999999</v>
      </c>
      <c r="CO230" s="47">
        <v>0.55074999999999996</v>
      </c>
      <c r="CP230" s="47">
        <v>0.58399999999999996</v>
      </c>
      <c r="CQ230" s="47">
        <v>0.58099999999999996</v>
      </c>
      <c r="CR230" s="47">
        <v>0.62450000000000006</v>
      </c>
      <c r="CS230" s="47">
        <v>0.64250000000000007</v>
      </c>
      <c r="CT230" s="47">
        <v>0.58650000000000002</v>
      </c>
      <c r="CU230" s="47">
        <v>0.53</v>
      </c>
      <c r="CV230" s="47">
        <v>0.44350000000000006</v>
      </c>
      <c r="CW230" s="47">
        <v>0.42299999999999999</v>
      </c>
      <c r="CX230" s="47">
        <v>0.38999999999999996</v>
      </c>
      <c r="CY230" s="47">
        <v>0.38225000000000003</v>
      </c>
      <c r="CZ230" s="47">
        <v>0.39524999999999999</v>
      </c>
    </row>
    <row r="231" spans="1:104" x14ac:dyDescent="0.2">
      <c r="A231" s="50" t="s">
        <v>147</v>
      </c>
      <c r="B231" s="46">
        <f t="shared" si="32"/>
        <v>-13.000000000000011</v>
      </c>
      <c r="C231" s="46">
        <f t="shared" si="33"/>
        <v>3.2999999999999918</v>
      </c>
      <c r="D231" s="48">
        <f t="shared" si="34"/>
        <v>13.779084378953277</v>
      </c>
      <c r="E231" s="46"/>
      <c r="F231" s="47">
        <v>0.54799999999999993</v>
      </c>
      <c r="G231" s="47">
        <v>0.53549999999999998</v>
      </c>
      <c r="H231" s="47">
        <v>0.52249999999999996</v>
      </c>
      <c r="I231" s="47">
        <v>0.51500000000000001</v>
      </c>
      <c r="J231" s="47">
        <v>0.5149999999999999</v>
      </c>
      <c r="K231" s="47">
        <v>0.53500000000000003</v>
      </c>
      <c r="L231" s="47">
        <v>0.50224999999999997</v>
      </c>
      <c r="M231" s="47">
        <v>0.51</v>
      </c>
      <c r="N231" s="47">
        <v>0.52</v>
      </c>
      <c r="O231" s="47">
        <v>0.53275000000000006</v>
      </c>
      <c r="P231" s="47">
        <v>0.54825000000000002</v>
      </c>
      <c r="Q231" s="47">
        <v>0.57850000000000001</v>
      </c>
      <c r="R231" s="47">
        <v>0.58875</v>
      </c>
      <c r="S231" s="47">
        <v>0.59624999999999995</v>
      </c>
      <c r="T231" s="47">
        <v>0.61150000000000004</v>
      </c>
      <c r="U231" s="47">
        <v>0.62975000000000003</v>
      </c>
      <c r="V231" s="47">
        <v>0.64500000000000002</v>
      </c>
      <c r="W231" s="47">
        <v>0.67800000000000005</v>
      </c>
      <c r="X231" s="47">
        <v>0.6855</v>
      </c>
      <c r="Y231" s="47">
        <v>0.6905</v>
      </c>
      <c r="Z231" s="47">
        <v>0.69850000000000001</v>
      </c>
      <c r="AA231" s="47">
        <v>0.70874999999999999</v>
      </c>
      <c r="AB231" s="47">
        <v>0.72650000000000003</v>
      </c>
      <c r="AC231" s="47">
        <v>0.73675000000000002</v>
      </c>
      <c r="AD231" s="47">
        <v>0.72924999999999995</v>
      </c>
      <c r="AE231" s="47">
        <v>0.71125000000000005</v>
      </c>
      <c r="AF231" s="47">
        <v>0.70100000000000007</v>
      </c>
      <c r="AG231" s="47">
        <v>0.6090000000000001</v>
      </c>
      <c r="AH231" s="47">
        <v>0.62425000000000008</v>
      </c>
      <c r="AI231" s="47">
        <v>0.60924999999999996</v>
      </c>
      <c r="AJ231" s="47">
        <v>0.56325000000000003</v>
      </c>
      <c r="AK231" s="47">
        <v>0.502</v>
      </c>
      <c r="AL231" s="47">
        <v>0.502</v>
      </c>
      <c r="AM231" s="47">
        <v>0.51724999999999999</v>
      </c>
      <c r="AN231" s="47">
        <v>0.53274999999999995</v>
      </c>
      <c r="AO231" s="47">
        <v>0.53500000000000003</v>
      </c>
      <c r="AP231" s="47">
        <v>0.50224999999999997</v>
      </c>
      <c r="AQ231" s="47">
        <v>0.47674999999999995</v>
      </c>
      <c r="AR231" s="47">
        <v>0.42049999999999998</v>
      </c>
      <c r="AS231" s="47">
        <v>0.35675000000000001</v>
      </c>
      <c r="AT231" s="47">
        <v>0.34925</v>
      </c>
      <c r="AU231" s="47">
        <v>0.4</v>
      </c>
      <c r="AV231" s="47">
        <v>0.43099999999999999</v>
      </c>
      <c r="AW231" s="47">
        <v>0.45350000000000007</v>
      </c>
      <c r="AX231" s="47">
        <v>0.46625</v>
      </c>
      <c r="AY231" s="47">
        <v>0.51724999999999999</v>
      </c>
      <c r="AZ231" s="47">
        <v>0.52224999999999999</v>
      </c>
      <c r="BA231" s="47">
        <v>0.51500000000000001</v>
      </c>
      <c r="BB231" s="47">
        <v>0.45375000000000004</v>
      </c>
      <c r="BC231" s="47">
        <v>0.35925000000000001</v>
      </c>
      <c r="BD231" s="47">
        <v>0.27224999999999999</v>
      </c>
      <c r="BE231" s="47">
        <v>0.26250000000000007</v>
      </c>
      <c r="BF231" s="47">
        <v>0.28025</v>
      </c>
      <c r="BG231" s="47">
        <v>0.30300000000000005</v>
      </c>
      <c r="BH231" s="47">
        <v>0.34675</v>
      </c>
      <c r="BI231" s="47">
        <v>0.38475000000000004</v>
      </c>
      <c r="BJ231" s="47">
        <v>0.40525000000000005</v>
      </c>
      <c r="BK231" s="47">
        <v>0.40275000000000005</v>
      </c>
      <c r="BL231" s="47">
        <v>0.36675000000000002</v>
      </c>
      <c r="BM231" s="47">
        <v>0.33124999999999999</v>
      </c>
      <c r="BN231" s="47">
        <v>0.316</v>
      </c>
      <c r="BO231" s="47">
        <v>0.35400000000000004</v>
      </c>
      <c r="BP231" s="47">
        <v>0.39224999999999993</v>
      </c>
      <c r="BQ231" s="47">
        <v>0.39250000000000007</v>
      </c>
      <c r="BR231" s="47">
        <v>0.3695</v>
      </c>
      <c r="BS231" s="47">
        <v>0.32849999999999996</v>
      </c>
      <c r="BT231" s="47">
        <v>0.35149999999999998</v>
      </c>
      <c r="BU231" s="47">
        <v>0.38975000000000004</v>
      </c>
      <c r="BV231" s="47">
        <v>0.41775000000000007</v>
      </c>
      <c r="BW231" s="47">
        <v>0.46100000000000002</v>
      </c>
      <c r="BX231" s="47">
        <v>0.5172500000000001</v>
      </c>
      <c r="BY231" s="47">
        <v>0.63450000000000006</v>
      </c>
      <c r="BZ231" s="47">
        <v>0.69575000000000009</v>
      </c>
      <c r="CA231" s="47">
        <v>0.70874999999999999</v>
      </c>
      <c r="CB231" s="47">
        <v>0.72399999999999998</v>
      </c>
      <c r="CC231" s="47">
        <v>0.72899999999999998</v>
      </c>
      <c r="CD231" s="47">
        <v>0.66525000000000012</v>
      </c>
      <c r="CE231" s="47">
        <v>0.53</v>
      </c>
      <c r="CF231" s="47">
        <v>0.44324999999999998</v>
      </c>
      <c r="CG231" s="47">
        <v>0.31849999999999995</v>
      </c>
      <c r="CH231" s="47">
        <v>0.27500000000000002</v>
      </c>
      <c r="CI231" s="47">
        <v>0.26475000000000004</v>
      </c>
      <c r="CJ231" s="47">
        <v>0.31324999999999997</v>
      </c>
      <c r="CK231" s="47">
        <v>0.31574999999999998</v>
      </c>
      <c r="CL231" s="47">
        <v>0.316</v>
      </c>
      <c r="CM231" s="47">
        <v>0.33599999999999997</v>
      </c>
      <c r="CN231" s="47">
        <v>0.38200000000000001</v>
      </c>
      <c r="CO231" s="47">
        <v>0.41275000000000006</v>
      </c>
      <c r="CP231" s="47">
        <v>0.46124999999999999</v>
      </c>
      <c r="CQ231" s="47">
        <v>0.48400000000000004</v>
      </c>
      <c r="CR231" s="47">
        <v>0.50224999999999997</v>
      </c>
      <c r="CS231" s="47">
        <v>0.51249999999999996</v>
      </c>
      <c r="CT231" s="47">
        <v>0.52749999999999997</v>
      </c>
      <c r="CU231" s="47">
        <v>0.53</v>
      </c>
      <c r="CV231" s="47">
        <v>0.52524999999999999</v>
      </c>
      <c r="CW231" s="47">
        <v>0.47400000000000003</v>
      </c>
      <c r="CX231" s="47">
        <v>0.40749999999999997</v>
      </c>
      <c r="CY231" s="47">
        <v>0.36425000000000002</v>
      </c>
      <c r="CZ231" s="47">
        <v>0.33624999999999999</v>
      </c>
    </row>
    <row r="232" spans="1:104" x14ac:dyDescent="0.2">
      <c r="A232" s="50" t="s">
        <v>149</v>
      </c>
      <c r="B232" s="46">
        <f t="shared" si="32"/>
        <v>-62.249999999999993</v>
      </c>
      <c r="C232" s="46">
        <f t="shared" si="33"/>
        <v>-29.599999999999998</v>
      </c>
      <c r="D232" s="48">
        <f t="shared" si="34"/>
        <v>24.038641628060347</v>
      </c>
      <c r="E232" s="46"/>
      <c r="F232" s="47">
        <v>0.02</v>
      </c>
      <c r="G232" s="47">
        <v>0.12200000000000001</v>
      </c>
      <c r="H232" s="47">
        <v>0.20349999999999999</v>
      </c>
      <c r="I232" s="47">
        <v>0.316</v>
      </c>
      <c r="J232" s="47">
        <v>0.36649999999999999</v>
      </c>
      <c r="K232" s="47">
        <v>0.44350000000000006</v>
      </c>
      <c r="L232" s="47">
        <v>0.43350000000000005</v>
      </c>
      <c r="M232" s="47">
        <v>0.50950000000000006</v>
      </c>
      <c r="N232" s="47">
        <v>0.61150000000000004</v>
      </c>
      <c r="O232" s="47">
        <v>0.71399999999999997</v>
      </c>
      <c r="P232" s="47">
        <v>0.73899999999999999</v>
      </c>
      <c r="Q232" s="47">
        <v>0.78499999999999992</v>
      </c>
      <c r="R232" s="47">
        <v>0.81099999999999994</v>
      </c>
      <c r="S232" s="47">
        <v>0.81600000000000006</v>
      </c>
      <c r="T232" s="47">
        <v>0.83150000000000002</v>
      </c>
      <c r="U232" s="47">
        <v>0.80049999999999999</v>
      </c>
      <c r="V232" s="47">
        <v>0.79549999999999987</v>
      </c>
      <c r="W232" s="47">
        <v>0.64249999999999996</v>
      </c>
      <c r="X232" s="47">
        <v>0.65249999999999997</v>
      </c>
      <c r="Y232" s="47">
        <v>0.68300000000000005</v>
      </c>
      <c r="Z232" s="47">
        <v>0.74449999999999994</v>
      </c>
      <c r="AA232" s="47">
        <v>0.74949999999999994</v>
      </c>
      <c r="AB232" s="47">
        <v>0.78</v>
      </c>
      <c r="AC232" s="47">
        <v>0.85150000000000003</v>
      </c>
      <c r="AD232" s="47">
        <v>0.91299999999999992</v>
      </c>
      <c r="AE232" s="47">
        <v>0.9385</v>
      </c>
      <c r="AF232" s="47">
        <v>0.94850000000000001</v>
      </c>
      <c r="AG232" s="47">
        <v>0.94850000000000001</v>
      </c>
      <c r="AH232" s="47">
        <v>0.9385</v>
      </c>
      <c r="AI232" s="47">
        <v>0.91249999999999998</v>
      </c>
      <c r="AJ232" s="47">
        <v>0.87699999999999989</v>
      </c>
      <c r="AK232" s="47">
        <v>0.73899999999999999</v>
      </c>
      <c r="AL232" s="47">
        <v>0.67299999999999993</v>
      </c>
      <c r="AM232" s="47">
        <v>0.66299999999999992</v>
      </c>
      <c r="AN232" s="47">
        <v>0.59149999999999991</v>
      </c>
      <c r="AO232" s="47">
        <v>0.46400000000000002</v>
      </c>
      <c r="AP232" s="47">
        <v>0.40800000000000003</v>
      </c>
      <c r="AQ232" s="47">
        <v>0.40800000000000003</v>
      </c>
      <c r="AR232" s="47">
        <v>0.44849999999999995</v>
      </c>
      <c r="AS232" s="47">
        <v>0.51</v>
      </c>
      <c r="AT232" s="47">
        <v>0.52</v>
      </c>
      <c r="AU232" s="47">
        <v>0.4995</v>
      </c>
      <c r="AV232" s="47">
        <v>0.4995</v>
      </c>
      <c r="AW232" s="47">
        <v>0.51500000000000001</v>
      </c>
      <c r="AX232" s="47">
        <v>0.52</v>
      </c>
      <c r="AY232" s="47">
        <v>0.48950000000000005</v>
      </c>
      <c r="AZ232" s="47">
        <v>0.44849999999999995</v>
      </c>
      <c r="BA232" s="47">
        <v>0.44849999999999995</v>
      </c>
      <c r="BB232" s="47">
        <v>0.44849999999999995</v>
      </c>
      <c r="BC232" s="47">
        <v>0.35150000000000003</v>
      </c>
      <c r="BD232" s="47">
        <v>0.28000000000000003</v>
      </c>
      <c r="BE232" s="47">
        <v>0.26</v>
      </c>
      <c r="BF232" s="47">
        <v>0.26</v>
      </c>
      <c r="BG232" s="47">
        <v>0.2545</v>
      </c>
      <c r="BH232" s="47">
        <v>0.27</v>
      </c>
      <c r="BI232" s="47">
        <v>0.29050000000000004</v>
      </c>
      <c r="BJ232" s="47">
        <v>0.36199999999999999</v>
      </c>
      <c r="BK232" s="47">
        <v>0.41800000000000004</v>
      </c>
      <c r="BL232" s="47">
        <v>0.42800000000000005</v>
      </c>
      <c r="BM232" s="47">
        <v>0.42800000000000005</v>
      </c>
      <c r="BN232" s="47">
        <v>0.46350000000000008</v>
      </c>
      <c r="BO232" s="47">
        <v>0.52</v>
      </c>
      <c r="BP232" s="47">
        <v>0.60699999999999998</v>
      </c>
      <c r="BQ232" s="47">
        <v>0.61199999999999999</v>
      </c>
      <c r="BR232" s="47">
        <v>0.57100000000000006</v>
      </c>
      <c r="BS232" s="47">
        <v>0.53050000000000008</v>
      </c>
      <c r="BT232" s="47">
        <v>0.53549999999999998</v>
      </c>
      <c r="BU232" s="47">
        <v>0.55049999999999999</v>
      </c>
      <c r="BV232" s="47">
        <v>0.5455000000000001</v>
      </c>
      <c r="BW232" s="47">
        <v>0.53500000000000003</v>
      </c>
      <c r="BX232" s="47">
        <v>0.53500000000000003</v>
      </c>
      <c r="BY232" s="47">
        <v>0.53550000000000009</v>
      </c>
      <c r="BZ232" s="47">
        <v>0.53500000000000003</v>
      </c>
      <c r="CA232" s="47">
        <v>0.51450000000000007</v>
      </c>
      <c r="CB232" s="47">
        <v>0.51450000000000007</v>
      </c>
      <c r="CC232" s="47">
        <v>0.51450000000000007</v>
      </c>
      <c r="CD232" s="47">
        <v>0.51450000000000007</v>
      </c>
      <c r="CE232" s="47">
        <v>0.50950000000000006</v>
      </c>
      <c r="CF232" s="47">
        <v>0.50450000000000006</v>
      </c>
      <c r="CG232" s="47">
        <v>0.47900000000000009</v>
      </c>
      <c r="CH232" s="47">
        <v>0.46350000000000008</v>
      </c>
      <c r="CI232" s="47">
        <v>0.44850000000000007</v>
      </c>
      <c r="CJ232" s="47">
        <v>0.45350000000000007</v>
      </c>
      <c r="CK232" s="47">
        <v>0.44849999999999995</v>
      </c>
      <c r="CL232" s="47">
        <v>0.43849999999999995</v>
      </c>
      <c r="CM232" s="47">
        <v>0.34150000000000003</v>
      </c>
      <c r="CN232" s="47">
        <v>0.34150000000000003</v>
      </c>
      <c r="CO232" s="47">
        <v>0.29550000000000004</v>
      </c>
      <c r="CP232" s="47">
        <v>0.188</v>
      </c>
      <c r="CQ232" s="47">
        <v>8.1500000000000003E-2</v>
      </c>
      <c r="CR232" s="47">
        <v>5.6000000000000001E-2</v>
      </c>
      <c r="CS232" s="47">
        <v>5.6000000000000001E-2</v>
      </c>
      <c r="CT232" s="47">
        <v>5.6000000000000001E-2</v>
      </c>
      <c r="CU232" s="47">
        <v>5.6000000000000001E-2</v>
      </c>
      <c r="CV232" s="47">
        <v>5.1000000000000004E-2</v>
      </c>
      <c r="CW232" s="47">
        <v>4.0500000000000001E-2</v>
      </c>
      <c r="CX232" s="47">
        <v>0.03</v>
      </c>
      <c r="CY232" s="47">
        <v>1.4999999999999999E-2</v>
      </c>
      <c r="CZ232" s="47">
        <v>0.01</v>
      </c>
    </row>
    <row r="233" spans="1:104" x14ac:dyDescent="0.2">
      <c r="A233" s="50" t="s">
        <v>151</v>
      </c>
      <c r="B233" s="46">
        <f t="shared" si="32"/>
        <v>-23.633333333333333</v>
      </c>
      <c r="C233" s="46">
        <f t="shared" si="33"/>
        <v>-64.066666666666677</v>
      </c>
      <c r="D233" s="48">
        <f t="shared" si="34"/>
        <v>21.798051266721746</v>
      </c>
      <c r="E233" s="46"/>
      <c r="F233" s="47">
        <v>4.9333333333333368E-2</v>
      </c>
      <c r="G233" s="47">
        <v>0.30099999999999999</v>
      </c>
      <c r="H233" s="47">
        <v>0.51966666666666672</v>
      </c>
      <c r="I233" s="47">
        <v>0.69000000000000006</v>
      </c>
      <c r="J233" s="47">
        <v>0.69166666666666665</v>
      </c>
      <c r="K233" s="47">
        <v>0.68700000000000006</v>
      </c>
      <c r="L233" s="47">
        <v>0.63933333333333331</v>
      </c>
      <c r="M233" s="47">
        <v>0.6486666666666665</v>
      </c>
      <c r="N233" s="47">
        <v>0.61266666666666647</v>
      </c>
      <c r="O233" s="47">
        <v>0.67033333333333323</v>
      </c>
      <c r="P233" s="47">
        <v>0.79466666666666663</v>
      </c>
      <c r="Q233" s="47">
        <v>0.81166666666666676</v>
      </c>
      <c r="R233" s="47">
        <v>0.70733333333333359</v>
      </c>
      <c r="S233" s="47">
        <v>0.52800000000000002</v>
      </c>
      <c r="T233" s="47">
        <v>0.35099999999999998</v>
      </c>
      <c r="U233" s="47">
        <v>0.25133333333333324</v>
      </c>
      <c r="V233" s="47">
        <v>0.28166666666666657</v>
      </c>
      <c r="W233" s="47">
        <v>0.28566666666666668</v>
      </c>
      <c r="X233" s="47">
        <v>0.316</v>
      </c>
      <c r="Y233" s="47">
        <v>0.33233333333333337</v>
      </c>
      <c r="Z233" s="47">
        <v>0.27766666666666673</v>
      </c>
      <c r="AA233" s="47">
        <v>0.18866666666666676</v>
      </c>
      <c r="AB233" s="47">
        <v>0.10800000000000004</v>
      </c>
      <c r="AC233" s="47">
        <v>0.17499999999999993</v>
      </c>
      <c r="AD233" s="47">
        <v>0.30333333333333318</v>
      </c>
      <c r="AE233" s="47">
        <v>0.51833333333333331</v>
      </c>
      <c r="AF233" s="47">
        <v>0.6</v>
      </c>
      <c r="AG233" s="47">
        <v>0.68066666666666675</v>
      </c>
      <c r="AH233" s="47">
        <v>0.55399999999999994</v>
      </c>
      <c r="AI233" s="47">
        <v>0.56800000000000006</v>
      </c>
      <c r="AJ233" s="47">
        <v>0.61533333333333329</v>
      </c>
      <c r="AK233" s="47">
        <v>0.622</v>
      </c>
      <c r="AL233" s="47">
        <v>0.6286666666666666</v>
      </c>
      <c r="AM233" s="47">
        <v>0.58799999999999997</v>
      </c>
      <c r="AN233" s="47">
        <v>0.53400000000000003</v>
      </c>
      <c r="AO233" s="47">
        <v>0.51333333333333331</v>
      </c>
      <c r="AP233" s="47">
        <v>0.49266666666666664</v>
      </c>
      <c r="AQ233" s="47">
        <v>0.48599999999999999</v>
      </c>
      <c r="AR233" s="47">
        <v>0.24133333333333343</v>
      </c>
      <c r="AS233" s="47">
        <v>0.24133333333333343</v>
      </c>
      <c r="AT233" s="47">
        <v>0.24133333333333343</v>
      </c>
      <c r="AU233" s="47">
        <v>0.24133333333333343</v>
      </c>
      <c r="AV233" s="47">
        <v>0.24133333333333343</v>
      </c>
      <c r="AW233" s="47">
        <v>0.24133333333333343</v>
      </c>
      <c r="AX233" s="47">
        <v>0.24133333333333343</v>
      </c>
      <c r="AY233" s="47">
        <v>0.24133333333333343</v>
      </c>
      <c r="AZ233" s="47">
        <v>0.24133333333333343</v>
      </c>
      <c r="BA233" s="47">
        <v>0.24133333333333343</v>
      </c>
      <c r="BB233" s="47">
        <v>0.24133333333333343</v>
      </c>
      <c r="BC233" s="47">
        <v>0.24133333333333343</v>
      </c>
      <c r="BD233" s="47">
        <v>0.24133333333333343</v>
      </c>
      <c r="BE233" s="47">
        <v>0.22733333333333341</v>
      </c>
      <c r="BF233" s="47">
        <v>0.21400000000000011</v>
      </c>
      <c r="BG233" s="47">
        <v>0.19333333333333347</v>
      </c>
      <c r="BH233" s="47">
        <v>0.1800000000000001</v>
      </c>
      <c r="BI233" s="47">
        <v>0.17333333333333348</v>
      </c>
      <c r="BJ233" s="47">
        <v>0.22066666666666676</v>
      </c>
      <c r="BK233" s="47">
        <v>0.42466666666666669</v>
      </c>
      <c r="BL233" s="47">
        <v>0.46533333333333338</v>
      </c>
      <c r="BM233" s="47">
        <v>0.47933333333333328</v>
      </c>
      <c r="BN233" s="47">
        <v>0.5066666666666666</v>
      </c>
      <c r="BO233" s="47">
        <v>0.39733333333333332</v>
      </c>
      <c r="BP233" s="47">
        <v>0.35000000000000009</v>
      </c>
      <c r="BQ233" s="47">
        <v>0.18666666666666679</v>
      </c>
      <c r="BR233" s="47">
        <v>0.40466666666666667</v>
      </c>
      <c r="BS233" s="47">
        <v>0.33666666666666673</v>
      </c>
      <c r="BT233" s="47">
        <v>0.34333333333333343</v>
      </c>
      <c r="BU233" s="47">
        <v>0.3706666666666667</v>
      </c>
      <c r="BV233" s="47">
        <v>0.37733333333333341</v>
      </c>
      <c r="BW233" s="47">
        <v>0.43866666666666665</v>
      </c>
      <c r="BX233" s="47">
        <v>0.45866666666666667</v>
      </c>
      <c r="BY233" s="47">
        <v>0.66266666666666663</v>
      </c>
      <c r="BZ233" s="47">
        <v>0.73799999999999999</v>
      </c>
      <c r="CA233" s="47">
        <v>0.7513333333333333</v>
      </c>
      <c r="CB233" s="47">
        <v>0.7579999999999999</v>
      </c>
      <c r="CC233" s="47">
        <v>0.77199999999999991</v>
      </c>
      <c r="CD233" s="47">
        <v>0.76466666666666649</v>
      </c>
      <c r="CE233" s="47">
        <v>0.77866666666666662</v>
      </c>
      <c r="CF233" s="47">
        <v>0.79199999999999993</v>
      </c>
      <c r="CG233" s="47">
        <v>0.80599999999999994</v>
      </c>
      <c r="CH233" s="47">
        <v>0.83333333333333326</v>
      </c>
      <c r="CI233" s="47">
        <v>0.82599999999999985</v>
      </c>
      <c r="CJ233" s="47">
        <v>0.81933333333333325</v>
      </c>
      <c r="CK233" s="47">
        <v>0.81266666666666654</v>
      </c>
      <c r="CL233" s="47">
        <v>0.79866666666666652</v>
      </c>
      <c r="CM233" s="47">
        <v>0.78533333333333322</v>
      </c>
      <c r="CN233" s="47">
        <v>0.74466666666666659</v>
      </c>
      <c r="CO233" s="47">
        <v>0.73066666666666658</v>
      </c>
      <c r="CP233" s="47">
        <v>0.68333333333333324</v>
      </c>
      <c r="CQ233" s="47">
        <v>0.69666666666666655</v>
      </c>
      <c r="CR233" s="47">
        <v>0.64933333333333332</v>
      </c>
      <c r="CS233" s="47">
        <v>0.60199999999999998</v>
      </c>
      <c r="CT233" s="47">
        <v>0.54733333333333323</v>
      </c>
      <c r="CU233" s="47">
        <v>0.58133333333333337</v>
      </c>
      <c r="CV233" s="47">
        <v>0.63600000000000001</v>
      </c>
      <c r="CW233" s="47">
        <v>0.70399999999999996</v>
      </c>
      <c r="CX233" s="47">
        <v>0.71066666666666667</v>
      </c>
      <c r="CY233" s="47">
        <v>0.72399999999999987</v>
      </c>
      <c r="CZ233" s="47">
        <v>0.71733333333333327</v>
      </c>
    </row>
    <row r="234" spans="1:104" x14ac:dyDescent="0.2">
      <c r="A234" s="50" t="s">
        <v>153</v>
      </c>
      <c r="B234" s="46">
        <f t="shared" si="32"/>
        <v>-15.100000000000009</v>
      </c>
      <c r="C234" s="46">
        <f t="shared" si="33"/>
        <v>-62.750000000000007</v>
      </c>
      <c r="D234" s="48">
        <f t="shared" si="34"/>
        <v>17.646786070727813</v>
      </c>
      <c r="E234" s="46"/>
      <c r="F234" s="47">
        <v>0.17249999999999999</v>
      </c>
      <c r="G234" s="47">
        <v>0.1055</v>
      </c>
      <c r="H234" s="47">
        <v>0.71699999999999997</v>
      </c>
      <c r="I234" s="47">
        <v>0.8</v>
      </c>
      <c r="J234" s="47">
        <v>0.89250000000000007</v>
      </c>
      <c r="K234" s="47">
        <v>0.60549999999999993</v>
      </c>
      <c r="L234" s="47">
        <v>0.38699999999999996</v>
      </c>
      <c r="M234" s="47">
        <v>0.51200000000000001</v>
      </c>
      <c r="N234" s="47">
        <v>0.39750000000000002</v>
      </c>
      <c r="O234" s="47">
        <v>0.76300000000000001</v>
      </c>
      <c r="P234" s="47">
        <v>0.65050000000000008</v>
      </c>
      <c r="Q234" s="47">
        <v>0.89200000000000002</v>
      </c>
      <c r="R234" s="47">
        <v>0.70150000000000001</v>
      </c>
      <c r="S234" s="47">
        <v>0.59699999999999998</v>
      </c>
      <c r="T234" s="47">
        <v>0.35500000000000004</v>
      </c>
      <c r="U234" s="47">
        <v>0.21050000000000002</v>
      </c>
      <c r="V234" s="47">
        <v>0.21250000000000002</v>
      </c>
      <c r="W234" s="47">
        <v>0.32350000000000007</v>
      </c>
      <c r="X234" s="47">
        <v>0.50350000000000006</v>
      </c>
      <c r="Y234" s="47">
        <v>0.53100000000000003</v>
      </c>
      <c r="Z234" s="47">
        <v>0.49650000000000005</v>
      </c>
      <c r="AA234" s="47">
        <v>0.29200000000000004</v>
      </c>
      <c r="AB234" s="47">
        <v>0.14799999999999999</v>
      </c>
      <c r="AC234" s="47">
        <v>0.17350000000000002</v>
      </c>
      <c r="AD234" s="47">
        <v>0.35799999999999998</v>
      </c>
      <c r="AE234" s="47">
        <v>0.67899999999999994</v>
      </c>
      <c r="AF234" s="47">
        <v>0.80199999999999994</v>
      </c>
      <c r="AG234" s="47">
        <v>0.69299999999999995</v>
      </c>
      <c r="AH234" s="47">
        <v>0.55200000000000005</v>
      </c>
      <c r="AI234" s="47">
        <v>0.43250000000000005</v>
      </c>
      <c r="AJ234" s="47">
        <v>0.374</v>
      </c>
      <c r="AK234" s="47">
        <v>0.28000000000000003</v>
      </c>
      <c r="AL234" s="47">
        <v>0.63749999999999996</v>
      </c>
      <c r="AM234" s="47">
        <v>0.74650000000000005</v>
      </c>
      <c r="AN234" s="47">
        <v>0.80700000000000016</v>
      </c>
      <c r="AO234" s="47">
        <v>0.56399999999999995</v>
      </c>
      <c r="AP234" s="47">
        <v>0.52149999999999996</v>
      </c>
      <c r="AQ234" s="47">
        <v>0.42399999999999999</v>
      </c>
      <c r="AR234" s="47">
        <v>0.51649999999999996</v>
      </c>
      <c r="AS234" s="47">
        <v>0.60350000000000004</v>
      </c>
      <c r="AT234" s="47">
        <v>0.76400000000000001</v>
      </c>
      <c r="AU234" s="47">
        <v>0.8</v>
      </c>
      <c r="AV234" s="47">
        <v>0.77449999999999997</v>
      </c>
      <c r="AW234" s="47">
        <v>0.71150000000000002</v>
      </c>
      <c r="AX234" s="47">
        <v>0.56699999999999995</v>
      </c>
      <c r="AY234" s="47">
        <v>0.51200000000000001</v>
      </c>
      <c r="AZ234" s="47">
        <v>0.54799999999999993</v>
      </c>
      <c r="BA234" s="47">
        <v>0.48399999999999999</v>
      </c>
      <c r="BB234" s="47">
        <v>0.38400000000000001</v>
      </c>
      <c r="BC234" s="47">
        <v>0.28850000000000003</v>
      </c>
      <c r="BD234" s="47">
        <v>0.34700000000000003</v>
      </c>
      <c r="BE234" s="47">
        <v>0.32500000000000001</v>
      </c>
      <c r="BF234" s="47">
        <v>0.27350000000000002</v>
      </c>
      <c r="BG234" s="47">
        <v>0.21</v>
      </c>
      <c r="BH234" s="47">
        <v>0.26450000000000001</v>
      </c>
      <c r="BI234" s="47">
        <v>0.26300000000000001</v>
      </c>
      <c r="BJ234" s="47">
        <v>0.26249999999999996</v>
      </c>
      <c r="BK234" s="47">
        <v>0.15000000000000002</v>
      </c>
      <c r="BL234" s="47">
        <v>0.1885</v>
      </c>
      <c r="BM234" s="47">
        <v>0.24599999999999997</v>
      </c>
      <c r="BN234" s="47">
        <v>0.46400000000000002</v>
      </c>
      <c r="BO234" s="47">
        <v>0.5784999999999999</v>
      </c>
      <c r="BP234" s="47">
        <v>0.64500000000000002</v>
      </c>
      <c r="BQ234" s="47">
        <v>0.65549999999999997</v>
      </c>
      <c r="BR234" s="47">
        <v>0.58699999999999997</v>
      </c>
      <c r="BS234" s="47">
        <v>0.50350000000000006</v>
      </c>
      <c r="BT234" s="47">
        <v>0.28899999999999998</v>
      </c>
      <c r="BU234" s="47">
        <v>0.26849999999999996</v>
      </c>
      <c r="BV234" s="47">
        <v>0.40799999999999997</v>
      </c>
      <c r="BW234" s="47">
        <v>0.50549999999999995</v>
      </c>
      <c r="BX234" s="47">
        <v>0.48399999999999999</v>
      </c>
      <c r="BY234" s="47">
        <v>0.42</v>
      </c>
      <c r="BZ234" s="47">
        <v>0.45900000000000002</v>
      </c>
      <c r="CA234" s="47">
        <v>0.41699999999999998</v>
      </c>
      <c r="CB234" s="47">
        <v>0.35199999999999998</v>
      </c>
      <c r="CC234" s="47">
        <v>0.35700000000000004</v>
      </c>
      <c r="CD234" s="47">
        <v>0.45400000000000001</v>
      </c>
      <c r="CE234" s="47">
        <v>0.47950000000000004</v>
      </c>
      <c r="CF234" s="47">
        <v>0.52549999999999997</v>
      </c>
      <c r="CG234" s="47">
        <v>0.57650000000000001</v>
      </c>
      <c r="CH234" s="47">
        <v>0.58150000000000002</v>
      </c>
      <c r="CI234" s="47">
        <v>0.55599999999999994</v>
      </c>
      <c r="CJ234" s="47">
        <v>0.41799999999999998</v>
      </c>
      <c r="CK234" s="47">
        <v>0.53049999999999997</v>
      </c>
      <c r="CL234" s="47">
        <v>0.44849999999999995</v>
      </c>
      <c r="CM234" s="47">
        <v>0.4385</v>
      </c>
      <c r="CN234" s="47">
        <v>0.42299999999999993</v>
      </c>
      <c r="CO234" s="47">
        <v>0.51000000000000012</v>
      </c>
      <c r="CP234" s="47">
        <v>0.5</v>
      </c>
      <c r="CQ234" s="47">
        <v>0.60199999999999998</v>
      </c>
      <c r="CR234" s="47">
        <v>0.66800000000000004</v>
      </c>
      <c r="CS234" s="47">
        <v>0.70900000000000007</v>
      </c>
      <c r="CT234" s="47">
        <v>0.6885</v>
      </c>
      <c r="CU234" s="47">
        <v>0.622</v>
      </c>
      <c r="CV234" s="47">
        <v>0.69350000000000001</v>
      </c>
      <c r="CW234" s="47">
        <v>0.69350000000000001</v>
      </c>
      <c r="CX234" s="47">
        <v>0.66300000000000003</v>
      </c>
      <c r="CY234" s="47">
        <v>0.72949999999999993</v>
      </c>
      <c r="CZ234" s="47">
        <v>0.75</v>
      </c>
    </row>
    <row r="235" spans="1:104" x14ac:dyDescent="0.2">
      <c r="A235" s="50" t="s">
        <v>155</v>
      </c>
      <c r="B235" s="46">
        <f t="shared" ref="B235:B243" si="35">(F235-W235)*100</f>
        <v>42.29999999999999</v>
      </c>
      <c r="C235" s="46">
        <f t="shared" ref="C235:C243" si="36">(F235-I235)*100</f>
        <v>26.999999999999996</v>
      </c>
      <c r="D235" s="48">
        <f t="shared" ref="D235:D243" si="37">_xlfn.STDEV.P(Q235:CZ235)*100</f>
        <v>19.609533495540038</v>
      </c>
      <c r="E235" s="46"/>
      <c r="F235" s="47">
        <v>0.52249999999999996</v>
      </c>
      <c r="G235" s="47">
        <v>0.52249999999999996</v>
      </c>
      <c r="H235" s="47">
        <v>0.36000000000000004</v>
      </c>
      <c r="I235" s="47">
        <v>0.2525</v>
      </c>
      <c r="J235" s="47">
        <v>0.20399999999999999</v>
      </c>
      <c r="K235" s="47">
        <v>0.28349999999999997</v>
      </c>
      <c r="L235" s="47">
        <v>0.318</v>
      </c>
      <c r="M235" s="47">
        <v>0.29899999999999999</v>
      </c>
      <c r="N235" s="47">
        <v>0.27499999999999997</v>
      </c>
      <c r="O235" s="47">
        <v>0.23350000000000001</v>
      </c>
      <c r="P235" s="47">
        <v>0.1615</v>
      </c>
      <c r="Q235" s="47">
        <v>0.12199999999999998</v>
      </c>
      <c r="R235" s="47">
        <v>0.109</v>
      </c>
      <c r="S235" s="47">
        <v>0.19900000000000001</v>
      </c>
      <c r="T235" s="47">
        <v>0.22749999999999998</v>
      </c>
      <c r="U235" s="47">
        <v>0.2165</v>
      </c>
      <c r="V235" s="47">
        <v>0.107</v>
      </c>
      <c r="W235" s="47">
        <v>9.9500000000000005E-2</v>
      </c>
      <c r="X235" s="47">
        <v>0.14699999999999999</v>
      </c>
      <c r="Y235" s="47">
        <v>0.22100000000000003</v>
      </c>
      <c r="Z235" s="47">
        <v>0.20300000000000001</v>
      </c>
      <c r="AA235" s="47">
        <v>0.18000000000000002</v>
      </c>
      <c r="AB235" s="47">
        <v>0.13</v>
      </c>
      <c r="AC235" s="47">
        <v>0.13649999999999998</v>
      </c>
      <c r="AD235" s="47">
        <v>0.14899999999999999</v>
      </c>
      <c r="AE235" s="47">
        <v>0.29149999999999998</v>
      </c>
      <c r="AF235" s="47">
        <v>0.35150000000000003</v>
      </c>
      <c r="AG235" s="47">
        <v>0.42400000000000004</v>
      </c>
      <c r="AH235" s="47">
        <v>0.47549999999999992</v>
      </c>
      <c r="AI235" s="47">
        <v>0.52550000000000008</v>
      </c>
      <c r="AJ235" s="47">
        <v>0.48499999999999999</v>
      </c>
      <c r="AK235" s="47">
        <v>0.47050000000000003</v>
      </c>
      <c r="AL235" s="47">
        <v>0.41150000000000003</v>
      </c>
      <c r="AM235" s="47">
        <v>0.40300000000000002</v>
      </c>
      <c r="AN235" s="47">
        <v>0.43449999999999994</v>
      </c>
      <c r="AO235" s="47">
        <v>0.49199999999999999</v>
      </c>
      <c r="AP235" s="47">
        <v>0.52149999999999996</v>
      </c>
      <c r="AQ235" s="47">
        <v>0.628</v>
      </c>
      <c r="AR235" s="47">
        <v>0.69300000000000006</v>
      </c>
      <c r="AS235" s="47">
        <v>0.73450000000000004</v>
      </c>
      <c r="AT235" s="47">
        <v>0.58249999999999991</v>
      </c>
      <c r="AU235" s="47">
        <v>0.57350000000000001</v>
      </c>
      <c r="AV235" s="47">
        <v>0.5455000000000001</v>
      </c>
      <c r="AW235" s="47">
        <v>0.501</v>
      </c>
      <c r="AX235" s="47">
        <v>0.45750000000000002</v>
      </c>
      <c r="AY235" s="47">
        <v>0.45099999999999996</v>
      </c>
      <c r="AZ235" s="47">
        <v>0.41649999999999993</v>
      </c>
      <c r="BA235" s="47">
        <v>0.3775</v>
      </c>
      <c r="BB235" s="47">
        <v>0.33300000000000002</v>
      </c>
      <c r="BC235" s="47">
        <v>0.314</v>
      </c>
      <c r="BD235" s="47">
        <v>0.33550000000000002</v>
      </c>
      <c r="BE235" s="47">
        <v>0.40800000000000003</v>
      </c>
      <c r="BF235" s="47">
        <v>0.54200000000000004</v>
      </c>
      <c r="BG235" s="47">
        <v>0.5635</v>
      </c>
      <c r="BH235" s="47">
        <v>0.58050000000000002</v>
      </c>
      <c r="BI235" s="47">
        <v>0.64300000000000002</v>
      </c>
      <c r="BJ235" s="47">
        <v>0.65849999999999997</v>
      </c>
      <c r="BK235" s="47">
        <v>0.67549999999999999</v>
      </c>
      <c r="BL235" s="47">
        <v>0.67799999999999994</v>
      </c>
      <c r="BM235" s="47">
        <v>0.69199999999999995</v>
      </c>
      <c r="BN235" s="47">
        <v>0.67049999999999998</v>
      </c>
      <c r="BO235" s="47">
        <v>0.64749999999999996</v>
      </c>
      <c r="BP235" s="47">
        <v>0.63849999999999996</v>
      </c>
      <c r="BQ235" s="47">
        <v>0.64049999999999996</v>
      </c>
      <c r="BR235" s="47">
        <v>0.67999999999999994</v>
      </c>
      <c r="BS235" s="47">
        <v>0.70500000000000007</v>
      </c>
      <c r="BT235" s="47">
        <v>0.70350000000000001</v>
      </c>
      <c r="BU235" s="47">
        <v>0.68300000000000005</v>
      </c>
      <c r="BV235" s="47">
        <v>0.67499999999999993</v>
      </c>
      <c r="BW235" s="47">
        <v>0.6725000000000001</v>
      </c>
      <c r="BX235" s="47">
        <v>0.65850000000000009</v>
      </c>
      <c r="BY235" s="47">
        <v>0.66849999999999998</v>
      </c>
      <c r="BZ235" s="47">
        <v>0.69499999999999995</v>
      </c>
      <c r="CA235" s="47">
        <v>0.78449999999999998</v>
      </c>
      <c r="CB235" s="47">
        <v>0.79899999999999993</v>
      </c>
      <c r="CC235" s="47">
        <v>0.76249999999999996</v>
      </c>
      <c r="CD235" s="47">
        <v>0.67999999999999994</v>
      </c>
      <c r="CE235" s="47">
        <v>0.71750000000000003</v>
      </c>
      <c r="CF235" s="47">
        <v>0.76300000000000001</v>
      </c>
      <c r="CG235" s="47">
        <v>0.57650000000000001</v>
      </c>
      <c r="CH235" s="47">
        <v>0.58650000000000002</v>
      </c>
      <c r="CI235" s="47">
        <v>0.59650000000000003</v>
      </c>
      <c r="CJ235" s="47">
        <v>0.58150000000000002</v>
      </c>
      <c r="CK235" s="47">
        <v>0.60699999999999987</v>
      </c>
      <c r="CL235" s="47">
        <v>0.61199999999999988</v>
      </c>
      <c r="CM235" s="47">
        <v>0.42849999999999999</v>
      </c>
      <c r="CN235" s="47">
        <v>0.55600000000000005</v>
      </c>
      <c r="CO235" s="47">
        <v>0.62750000000000006</v>
      </c>
      <c r="CP235" s="47">
        <v>0.6835</v>
      </c>
      <c r="CQ235" s="47">
        <v>0.6885</v>
      </c>
      <c r="CR235" s="47">
        <v>0.69350000000000001</v>
      </c>
      <c r="CS235" s="47">
        <v>0.70400000000000007</v>
      </c>
      <c r="CT235" s="47">
        <v>0.70900000000000007</v>
      </c>
      <c r="CU235" s="47">
        <v>0.71400000000000008</v>
      </c>
      <c r="CV235" s="47">
        <v>0.72399999999999998</v>
      </c>
      <c r="CW235" s="47">
        <v>0.71899999999999997</v>
      </c>
      <c r="CX235" s="47">
        <v>0.69350000000000001</v>
      </c>
      <c r="CY235" s="47">
        <v>0.67300000000000004</v>
      </c>
      <c r="CZ235" s="47">
        <v>0.66800000000000004</v>
      </c>
    </row>
    <row r="236" spans="1:104" x14ac:dyDescent="0.2">
      <c r="A236" s="50" t="s">
        <v>157</v>
      </c>
      <c r="B236" s="46">
        <f t="shared" si="35"/>
        <v>11.749999999999993</v>
      </c>
      <c r="C236" s="46">
        <f t="shared" si="36"/>
        <v>-15.850000000000009</v>
      </c>
      <c r="D236" s="48">
        <f t="shared" si="37"/>
        <v>19.705766114741806</v>
      </c>
      <c r="E236" s="46"/>
      <c r="F236" s="47">
        <v>0.46899999999999997</v>
      </c>
      <c r="G236" s="47">
        <v>0.46899999999999997</v>
      </c>
      <c r="H236" s="47">
        <v>0.55049999999999999</v>
      </c>
      <c r="I236" s="47">
        <v>0.62750000000000006</v>
      </c>
      <c r="J236" s="47">
        <v>0.61650000000000005</v>
      </c>
      <c r="K236" s="47">
        <v>0.57100000000000006</v>
      </c>
      <c r="L236" s="47">
        <v>0.55049999999999999</v>
      </c>
      <c r="M236" s="47">
        <v>0.52500000000000002</v>
      </c>
      <c r="N236" s="47">
        <v>0.52999999999999992</v>
      </c>
      <c r="O236" s="47">
        <v>0.56599999999999995</v>
      </c>
      <c r="P236" s="47">
        <v>0.59650000000000003</v>
      </c>
      <c r="Q236" s="47">
        <v>0.60650000000000004</v>
      </c>
      <c r="R236" s="47">
        <v>0.62150000000000005</v>
      </c>
      <c r="S236" s="47">
        <v>0.55549999999999999</v>
      </c>
      <c r="T236" s="47">
        <v>0.45899999999999996</v>
      </c>
      <c r="U236" s="47">
        <v>0.29549999999999998</v>
      </c>
      <c r="V236" s="47">
        <v>0.32100000000000001</v>
      </c>
      <c r="W236" s="47">
        <v>0.35150000000000003</v>
      </c>
      <c r="X236" s="47">
        <v>0.36699999999999999</v>
      </c>
      <c r="Y236" s="47">
        <v>0.36699999999999999</v>
      </c>
      <c r="Z236" s="47">
        <v>0.33650000000000008</v>
      </c>
      <c r="AA236" s="47">
        <v>0.30049999999999999</v>
      </c>
      <c r="AB236" s="47">
        <v>0.29549999999999998</v>
      </c>
      <c r="AC236" s="47">
        <v>0.3105</v>
      </c>
      <c r="AD236" s="47">
        <v>0.27</v>
      </c>
      <c r="AE236" s="47">
        <v>0.28000000000000003</v>
      </c>
      <c r="AF236" s="47">
        <v>0.54549999999999998</v>
      </c>
      <c r="AG236" s="47">
        <v>0.61199999999999999</v>
      </c>
      <c r="AH236" s="47">
        <v>0.68299999999999994</v>
      </c>
      <c r="AI236" s="47">
        <v>0.70350000000000001</v>
      </c>
      <c r="AJ236" s="47">
        <v>0.73950000000000005</v>
      </c>
      <c r="AK236" s="47">
        <v>0.77500000000000002</v>
      </c>
      <c r="AL236" s="47">
        <v>0.83650000000000002</v>
      </c>
      <c r="AM236" s="47">
        <v>0.86699999999999999</v>
      </c>
      <c r="AN236" s="47">
        <v>0.88200000000000001</v>
      </c>
      <c r="AO236" s="47">
        <v>0.89249999999999996</v>
      </c>
      <c r="AP236" s="47">
        <v>0.86650000000000005</v>
      </c>
      <c r="AQ236" s="47">
        <v>0.57100000000000006</v>
      </c>
      <c r="AR236" s="47">
        <v>0.51449999999999996</v>
      </c>
      <c r="AS236" s="47">
        <v>0.36699999999999999</v>
      </c>
      <c r="AT236" s="47">
        <v>0.2545</v>
      </c>
      <c r="AU236" s="47">
        <v>0.23949999999999996</v>
      </c>
      <c r="AV236" s="47">
        <v>0.22900000000000001</v>
      </c>
      <c r="AW236" s="47">
        <v>0.21899999999999997</v>
      </c>
      <c r="AX236" s="47">
        <v>0.188</v>
      </c>
      <c r="AY236" s="47">
        <v>0.1525</v>
      </c>
      <c r="AZ236" s="47">
        <v>0.112</v>
      </c>
      <c r="BA236" s="47">
        <v>0.10199999999999999</v>
      </c>
      <c r="BB236" s="47">
        <v>0.14749999999999999</v>
      </c>
      <c r="BC236" s="47">
        <v>0.15749999999999997</v>
      </c>
      <c r="BD236" s="47">
        <v>0.28550000000000003</v>
      </c>
      <c r="BE236" s="47">
        <v>0.35649999999999998</v>
      </c>
      <c r="BF236" s="47">
        <v>0.50449999999999995</v>
      </c>
      <c r="BG236" s="47">
        <v>0.50950000000000006</v>
      </c>
      <c r="BH236" s="47">
        <v>0.52</v>
      </c>
      <c r="BI236" s="47">
        <v>0.54549999999999987</v>
      </c>
      <c r="BJ236" s="47">
        <v>0.53549999999999998</v>
      </c>
      <c r="BK236" s="47">
        <v>0.50449999999999995</v>
      </c>
      <c r="BL236" s="47">
        <v>0.44350000000000001</v>
      </c>
      <c r="BM236" s="47">
        <v>0.41300000000000003</v>
      </c>
      <c r="BN236" s="47">
        <v>0.47399999999999998</v>
      </c>
      <c r="BO236" s="47">
        <v>0.58099999999999996</v>
      </c>
      <c r="BP236" s="47">
        <v>0.67800000000000005</v>
      </c>
      <c r="BQ236" s="47">
        <v>0.70850000000000013</v>
      </c>
      <c r="BR236" s="47">
        <v>0.62150000000000005</v>
      </c>
      <c r="BS236" s="47">
        <v>0.60650000000000004</v>
      </c>
      <c r="BT236" s="47">
        <v>0.57600000000000007</v>
      </c>
      <c r="BU236" s="47">
        <v>0.55049999999999999</v>
      </c>
      <c r="BV236" s="47">
        <v>0.53499999999999992</v>
      </c>
      <c r="BW236" s="47">
        <v>0.52</v>
      </c>
      <c r="BX236" s="47">
        <v>0.49450000000000005</v>
      </c>
      <c r="BY236" s="47">
        <v>0.48900000000000005</v>
      </c>
      <c r="BZ236" s="47">
        <v>0.49450000000000005</v>
      </c>
      <c r="CA236" s="47">
        <v>0.51449999999999996</v>
      </c>
      <c r="CB236" s="47">
        <v>0.54050000000000009</v>
      </c>
      <c r="CC236" s="47">
        <v>0.5655</v>
      </c>
      <c r="CD236" s="47">
        <v>0.66300000000000003</v>
      </c>
      <c r="CE236" s="47">
        <v>0.64749999999999996</v>
      </c>
      <c r="CF236" s="47">
        <v>0.67300000000000004</v>
      </c>
      <c r="CG236" s="47">
        <v>0.71399999999999997</v>
      </c>
      <c r="CH236" s="47">
        <v>0.755</v>
      </c>
      <c r="CI236" s="47">
        <v>0.75949999999999995</v>
      </c>
      <c r="CJ236" s="47">
        <v>0.76500000000000001</v>
      </c>
      <c r="CK236" s="47">
        <v>0.75449999999999995</v>
      </c>
      <c r="CL236" s="47">
        <v>0.73899999999999988</v>
      </c>
      <c r="CM236" s="47">
        <v>0.78</v>
      </c>
      <c r="CN236" s="47">
        <v>0.73950000000000005</v>
      </c>
      <c r="CO236" s="47">
        <v>0.53049999999999986</v>
      </c>
      <c r="CP236" s="47">
        <v>0.33649999999999997</v>
      </c>
      <c r="CQ236" s="47">
        <v>0.33600000000000002</v>
      </c>
      <c r="CR236" s="47">
        <v>0.33600000000000002</v>
      </c>
      <c r="CS236" s="47">
        <v>0.33649999999999997</v>
      </c>
      <c r="CT236" s="47">
        <v>0.34649999999999997</v>
      </c>
      <c r="CU236" s="47">
        <v>0.34649999999999997</v>
      </c>
      <c r="CV236" s="47">
        <v>0.34650000000000003</v>
      </c>
      <c r="CW236" s="47">
        <v>0.36149999999999999</v>
      </c>
      <c r="CX236" s="47">
        <v>0.372</v>
      </c>
      <c r="CY236" s="47">
        <v>0.377</v>
      </c>
      <c r="CZ236" s="47">
        <v>0.36699999999999999</v>
      </c>
    </row>
    <row r="237" spans="1:104" x14ac:dyDescent="0.2">
      <c r="A237" s="50" t="s">
        <v>159</v>
      </c>
      <c r="B237" s="46">
        <f t="shared" si="35"/>
        <v>66.350000000000009</v>
      </c>
      <c r="C237" s="46">
        <f t="shared" si="36"/>
        <v>-7.15</v>
      </c>
      <c r="D237" s="48">
        <f t="shared" si="37"/>
        <v>22.506606747822669</v>
      </c>
      <c r="E237" s="46"/>
      <c r="F237" s="47">
        <v>0.81100000000000005</v>
      </c>
      <c r="G237" s="47">
        <v>0.81100000000000005</v>
      </c>
      <c r="H237" s="47">
        <v>0.86150000000000004</v>
      </c>
      <c r="I237" s="47">
        <v>0.88250000000000006</v>
      </c>
      <c r="J237" s="47">
        <v>0.86699999999999999</v>
      </c>
      <c r="K237" s="47">
        <v>0.83599999999999997</v>
      </c>
      <c r="L237" s="47">
        <v>0.81549999999999989</v>
      </c>
      <c r="M237" s="47">
        <v>0.77500000000000002</v>
      </c>
      <c r="N237" s="47">
        <v>0.76500000000000001</v>
      </c>
      <c r="O237" s="47">
        <v>0.78050000000000008</v>
      </c>
      <c r="P237" s="47">
        <v>0.80049999999999988</v>
      </c>
      <c r="Q237" s="47">
        <v>0.71349999999999991</v>
      </c>
      <c r="R237" s="47">
        <v>0.62199999999999989</v>
      </c>
      <c r="S237" s="47">
        <v>0.53</v>
      </c>
      <c r="T237" s="47">
        <v>0.255</v>
      </c>
      <c r="U237" s="47">
        <v>0.12199999999999998</v>
      </c>
      <c r="V237" s="47">
        <v>0.13699999999999998</v>
      </c>
      <c r="W237" s="47">
        <v>0.14749999999999999</v>
      </c>
      <c r="X237" s="47">
        <v>0.158</v>
      </c>
      <c r="Y237" s="47">
        <v>0.1525</v>
      </c>
      <c r="Z237" s="47">
        <v>0.13699999999999998</v>
      </c>
      <c r="AA237" s="47">
        <v>0.12200000000000001</v>
      </c>
      <c r="AB237" s="47">
        <v>0.14250000000000002</v>
      </c>
      <c r="AC237" s="47">
        <v>0.16800000000000001</v>
      </c>
      <c r="AD237" s="47">
        <v>0.22900000000000001</v>
      </c>
      <c r="AE237" s="47">
        <v>0.23400000000000004</v>
      </c>
      <c r="AF237" s="47">
        <v>0.28000000000000003</v>
      </c>
      <c r="AG237" s="47">
        <v>0.46400000000000002</v>
      </c>
      <c r="AH237" s="47">
        <v>0.57600000000000007</v>
      </c>
      <c r="AI237" s="47">
        <v>0.59650000000000003</v>
      </c>
      <c r="AJ237" s="47">
        <v>0.60650000000000004</v>
      </c>
      <c r="AK237" s="47">
        <v>0.622</v>
      </c>
      <c r="AL237" s="47">
        <v>0.63200000000000001</v>
      </c>
      <c r="AM237" s="47">
        <v>0.67249999999999999</v>
      </c>
      <c r="AN237" s="47">
        <v>0.82099999999999995</v>
      </c>
      <c r="AO237" s="47">
        <v>0.89750000000000008</v>
      </c>
      <c r="AP237" s="47">
        <v>0.67800000000000005</v>
      </c>
      <c r="AQ237" s="47">
        <v>0.63249999999999995</v>
      </c>
      <c r="AR237" s="47">
        <v>0.54050000000000009</v>
      </c>
      <c r="AS237" s="47">
        <v>0.48399999999999999</v>
      </c>
      <c r="AT237" s="47">
        <v>0.1525</v>
      </c>
      <c r="AU237" s="47">
        <v>0.13200000000000001</v>
      </c>
      <c r="AV237" s="47">
        <v>0.112</v>
      </c>
      <c r="AW237" s="47">
        <v>6.6000000000000003E-2</v>
      </c>
      <c r="AX237" s="47">
        <v>5.0500000000000003E-2</v>
      </c>
      <c r="AY237" s="47">
        <v>4.0500000000000001E-2</v>
      </c>
      <c r="AZ237" s="47">
        <v>2.4999999999999998E-2</v>
      </c>
      <c r="BA237" s="47">
        <v>0.01</v>
      </c>
      <c r="BB237" s="47">
        <v>1.5000000000000001E-2</v>
      </c>
      <c r="BC237" s="47">
        <v>5.0999999999999997E-2</v>
      </c>
      <c r="BD237" s="47">
        <v>0.15250000000000002</v>
      </c>
      <c r="BE237" s="47">
        <v>0.30549999999999999</v>
      </c>
      <c r="BF237" s="47">
        <v>0.51949999999999996</v>
      </c>
      <c r="BG237" s="47">
        <v>0.54549999999999998</v>
      </c>
      <c r="BH237" s="47">
        <v>0.53499999999999992</v>
      </c>
      <c r="BI237" s="47">
        <v>0.55549999999999999</v>
      </c>
      <c r="BJ237" s="47">
        <v>0.54050000000000009</v>
      </c>
      <c r="BK237" s="47">
        <v>0.54050000000000009</v>
      </c>
      <c r="BL237" s="47">
        <v>0.52</v>
      </c>
      <c r="BM237" s="47">
        <v>0.53049999999999997</v>
      </c>
      <c r="BN237" s="47">
        <v>0.56599999999999995</v>
      </c>
      <c r="BO237" s="47">
        <v>0.61150000000000004</v>
      </c>
      <c r="BP237" s="47">
        <v>0.63200000000000001</v>
      </c>
      <c r="BQ237" s="47">
        <v>0.52500000000000002</v>
      </c>
      <c r="BR237" s="47">
        <v>0.52</v>
      </c>
      <c r="BS237" s="47">
        <v>0.53549999999999998</v>
      </c>
      <c r="BT237" s="47">
        <v>0.51</v>
      </c>
      <c r="BU237" s="47">
        <v>0.49950000000000011</v>
      </c>
      <c r="BV237" s="47">
        <v>0.49450000000000005</v>
      </c>
      <c r="BW237" s="47">
        <v>0.52500000000000002</v>
      </c>
      <c r="BX237" s="47">
        <v>0.54549999999999998</v>
      </c>
      <c r="BY237" s="47">
        <v>0.51449999999999996</v>
      </c>
      <c r="BZ237" s="47">
        <v>0.45899999999999996</v>
      </c>
      <c r="CA237" s="47">
        <v>0.58600000000000008</v>
      </c>
      <c r="CB237" s="47">
        <v>0.60650000000000004</v>
      </c>
      <c r="CC237" s="47">
        <v>0.627</v>
      </c>
      <c r="CD237" s="47">
        <v>0.65249999999999997</v>
      </c>
      <c r="CE237" s="47">
        <v>0.67300000000000004</v>
      </c>
      <c r="CF237" s="47">
        <v>0.69850000000000001</v>
      </c>
      <c r="CG237" s="47">
        <v>0.74950000000000006</v>
      </c>
      <c r="CH237" s="47">
        <v>0.76500000000000001</v>
      </c>
      <c r="CI237" s="47">
        <v>0.78</v>
      </c>
      <c r="CJ237" s="47">
        <v>0.78</v>
      </c>
      <c r="CK237" s="47">
        <v>0.75949999999999995</v>
      </c>
      <c r="CL237" s="47">
        <v>0.77500000000000002</v>
      </c>
      <c r="CM237" s="47">
        <v>0.61699999999999999</v>
      </c>
      <c r="CN237" s="47">
        <v>0.59150000000000003</v>
      </c>
      <c r="CO237" s="47">
        <v>0.5605</v>
      </c>
      <c r="CP237" s="47">
        <v>0.60699999999999998</v>
      </c>
      <c r="CQ237" s="47">
        <v>0.53049999999999997</v>
      </c>
      <c r="CR237" s="47">
        <v>0.47399999999999998</v>
      </c>
      <c r="CS237" s="47">
        <v>0.44850000000000001</v>
      </c>
      <c r="CT237" s="47">
        <v>0.42800000000000005</v>
      </c>
      <c r="CU237" s="47">
        <v>0.42799999999999999</v>
      </c>
      <c r="CV237" s="47">
        <v>0.44350000000000001</v>
      </c>
      <c r="CW237" s="47">
        <v>0.49399999999999999</v>
      </c>
      <c r="CX237" s="47">
        <v>0.49450000000000005</v>
      </c>
      <c r="CY237" s="47">
        <v>0.53499999999999992</v>
      </c>
      <c r="CZ237" s="47">
        <v>0.5605</v>
      </c>
    </row>
    <row r="238" spans="1:104" x14ac:dyDescent="0.2">
      <c r="A238" s="50" t="s">
        <v>161</v>
      </c>
      <c r="B238" s="46">
        <f t="shared" si="35"/>
        <v>5.600000000000005</v>
      </c>
      <c r="C238" s="46">
        <f t="shared" si="36"/>
        <v>4.3000000000000149</v>
      </c>
      <c r="D238" s="48">
        <f t="shared" si="37"/>
        <v>24.46413263188898</v>
      </c>
      <c r="E238" s="46"/>
      <c r="F238" s="47">
        <v>0.82600000000000007</v>
      </c>
      <c r="G238" s="47">
        <v>0.81574999999999998</v>
      </c>
      <c r="H238" s="47">
        <v>0.79800000000000004</v>
      </c>
      <c r="I238" s="47">
        <v>0.78299999999999992</v>
      </c>
      <c r="J238" s="47">
        <v>0.71650000000000003</v>
      </c>
      <c r="K238" s="47">
        <v>0.67525000000000002</v>
      </c>
      <c r="L238" s="47">
        <v>0.66024999999999989</v>
      </c>
      <c r="M238" s="47">
        <v>0.627</v>
      </c>
      <c r="N238" s="47">
        <v>0.60925000000000007</v>
      </c>
      <c r="O238" s="47">
        <v>0.62975000000000003</v>
      </c>
      <c r="P238" s="47">
        <v>0.65249999999999997</v>
      </c>
      <c r="Q238" s="47">
        <v>0.66775000000000007</v>
      </c>
      <c r="R238" s="47">
        <v>0.61950000000000005</v>
      </c>
      <c r="S238" s="47">
        <v>0.59650000000000003</v>
      </c>
      <c r="T238" s="47">
        <v>0.60949999999999993</v>
      </c>
      <c r="U238" s="47">
        <v>0.67300000000000004</v>
      </c>
      <c r="V238" s="47">
        <v>0.74424999999999997</v>
      </c>
      <c r="W238" s="47">
        <v>0.77</v>
      </c>
      <c r="X238" s="47">
        <v>0.79275000000000007</v>
      </c>
      <c r="Y238" s="47">
        <v>0.81074999999999997</v>
      </c>
      <c r="Z238" s="47">
        <v>0.84375000000000011</v>
      </c>
      <c r="AA238" s="47">
        <v>0.87925000000000009</v>
      </c>
      <c r="AB238" s="47">
        <v>0.87449999999999994</v>
      </c>
      <c r="AC238" s="47">
        <v>0.88724999999999998</v>
      </c>
      <c r="AD238" s="47">
        <v>0.88724999999999998</v>
      </c>
      <c r="AE238" s="47">
        <v>0.88975000000000015</v>
      </c>
      <c r="AF238" s="47">
        <v>0.89750000000000008</v>
      </c>
      <c r="AG238" s="47">
        <v>0.89224999999999999</v>
      </c>
      <c r="AH238" s="47">
        <v>0.90274999999999994</v>
      </c>
      <c r="AI238" s="47">
        <v>0.90000000000000013</v>
      </c>
      <c r="AJ238" s="47">
        <v>0.88474999999999981</v>
      </c>
      <c r="AK238" s="47">
        <v>0.86675000000000002</v>
      </c>
      <c r="AL238" s="47">
        <v>0.84650000000000003</v>
      </c>
      <c r="AM238" s="47">
        <v>0.83100000000000007</v>
      </c>
      <c r="AN238" s="47">
        <v>0.81824999999999992</v>
      </c>
      <c r="AO238" s="47">
        <v>0.79050000000000009</v>
      </c>
      <c r="AP238" s="47">
        <v>0.747</v>
      </c>
      <c r="AQ238" s="47">
        <v>0.68824999999999992</v>
      </c>
      <c r="AR238" s="47">
        <v>0.60925000000000007</v>
      </c>
      <c r="AS238" s="47">
        <v>0.56599999999999995</v>
      </c>
      <c r="AT238" s="47">
        <v>0.52500000000000002</v>
      </c>
      <c r="AU238" s="47">
        <v>0.52249999999999996</v>
      </c>
      <c r="AV238" s="47">
        <v>0.53525</v>
      </c>
      <c r="AW238" s="47">
        <v>0.52500000000000002</v>
      </c>
      <c r="AX238" s="47">
        <v>0.48175000000000001</v>
      </c>
      <c r="AY238" s="47">
        <v>0.372</v>
      </c>
      <c r="AZ238" s="47">
        <v>0.32074999999999998</v>
      </c>
      <c r="BA238" s="47">
        <v>0.311</v>
      </c>
      <c r="BB238" s="47">
        <v>0.33350000000000002</v>
      </c>
      <c r="BC238" s="47">
        <v>0.37974999999999998</v>
      </c>
      <c r="BD238" s="47">
        <v>0.40250000000000002</v>
      </c>
      <c r="BE238" s="47">
        <v>0.42550000000000004</v>
      </c>
      <c r="BF238" s="47">
        <v>0.39500000000000002</v>
      </c>
      <c r="BG238" s="47">
        <v>0.37474999999999997</v>
      </c>
      <c r="BH238" s="47">
        <v>0.4</v>
      </c>
      <c r="BI238" s="47">
        <v>0.44324999999999998</v>
      </c>
      <c r="BJ238" s="47">
        <v>0.42299999999999999</v>
      </c>
      <c r="BK238" s="47">
        <v>0.34150000000000003</v>
      </c>
      <c r="BL238" s="47">
        <v>0.26999999999999996</v>
      </c>
      <c r="BM238" s="47">
        <v>0.25199999999999995</v>
      </c>
      <c r="BN238" s="47">
        <v>0.3135</v>
      </c>
      <c r="BO238" s="47">
        <v>0.38224999999999998</v>
      </c>
      <c r="BP238" s="47">
        <v>0.441</v>
      </c>
      <c r="BQ238" s="47">
        <v>0.47175</v>
      </c>
      <c r="BR238" s="47">
        <v>0.46099999999999997</v>
      </c>
      <c r="BS238" s="47">
        <v>0.47674999999999995</v>
      </c>
      <c r="BT238" s="47">
        <v>0.49425000000000002</v>
      </c>
      <c r="BU238" s="47">
        <v>0.46899999999999997</v>
      </c>
      <c r="BV238" s="47">
        <v>0.42025000000000001</v>
      </c>
      <c r="BW238" s="47">
        <v>0.308</v>
      </c>
      <c r="BX238" s="47">
        <v>0.23174999999999998</v>
      </c>
      <c r="BY238" s="47">
        <v>0.20600000000000002</v>
      </c>
      <c r="BZ238" s="47">
        <v>0.20100000000000001</v>
      </c>
      <c r="CA238" s="47">
        <v>0.25724999999999998</v>
      </c>
      <c r="CB238" s="47">
        <v>0.2545</v>
      </c>
      <c r="CC238" s="47">
        <v>0.24174999999999999</v>
      </c>
      <c r="CD238" s="47">
        <v>0.224</v>
      </c>
      <c r="CE238" s="47">
        <v>0.21900000000000003</v>
      </c>
      <c r="CF238" s="47">
        <v>0.24700000000000003</v>
      </c>
      <c r="CG238" s="47">
        <v>0.27750000000000002</v>
      </c>
      <c r="CH238" s="47">
        <v>0.27499999999999997</v>
      </c>
      <c r="CI238" s="47">
        <v>0.26224999999999998</v>
      </c>
      <c r="CJ238" s="47">
        <v>0.26474999999999999</v>
      </c>
      <c r="CK238" s="47">
        <v>0.23649999999999999</v>
      </c>
      <c r="CL238" s="47">
        <v>0.24174999999999999</v>
      </c>
      <c r="CM238" s="47">
        <v>0.26474999999999999</v>
      </c>
      <c r="CN238" s="47">
        <v>0.26975000000000005</v>
      </c>
      <c r="CO238" s="47">
        <v>0.27250000000000002</v>
      </c>
      <c r="CP238" s="47">
        <v>0.23949999999999999</v>
      </c>
      <c r="CQ238" s="47">
        <v>0.23649999999999999</v>
      </c>
      <c r="CR238" s="47">
        <v>0.20600000000000002</v>
      </c>
      <c r="CS238" s="47">
        <v>0.19625000000000001</v>
      </c>
      <c r="CT238" s="47">
        <v>0.18825</v>
      </c>
      <c r="CU238" s="47">
        <v>0.18075000000000002</v>
      </c>
      <c r="CV238" s="47">
        <v>0.17300000000000001</v>
      </c>
      <c r="CW238" s="47">
        <v>0.16800000000000001</v>
      </c>
      <c r="CX238" s="47">
        <v>0.17050000000000001</v>
      </c>
      <c r="CY238" s="47">
        <v>0.18325000000000002</v>
      </c>
      <c r="CZ238" s="47">
        <v>0.19849999999999998</v>
      </c>
    </row>
    <row r="239" spans="1:104" x14ac:dyDescent="0.2">
      <c r="A239" s="50" t="s">
        <v>163</v>
      </c>
      <c r="B239" s="46">
        <f t="shared" si="35"/>
        <v>31.966666666666654</v>
      </c>
      <c r="C239" s="46">
        <f t="shared" si="36"/>
        <v>11.233333333333334</v>
      </c>
      <c r="D239" s="48">
        <f t="shared" si="37"/>
        <v>17.676898432056134</v>
      </c>
      <c r="E239" s="46"/>
      <c r="F239" s="47">
        <v>0.47299999999999992</v>
      </c>
      <c r="G239" s="47">
        <v>0.46933333333333338</v>
      </c>
      <c r="H239" s="47">
        <v>0.44899999999999995</v>
      </c>
      <c r="I239" s="47">
        <v>0.36066666666666658</v>
      </c>
      <c r="J239" s="47">
        <v>0.34366666666666668</v>
      </c>
      <c r="K239" s="47">
        <v>0.36066666666666669</v>
      </c>
      <c r="L239" s="47">
        <v>0.38100000000000001</v>
      </c>
      <c r="M239" s="47">
        <v>0.41166666666666674</v>
      </c>
      <c r="N239" s="47">
        <v>0.4253333333333334</v>
      </c>
      <c r="O239" s="47">
        <v>0.42166666666666669</v>
      </c>
      <c r="P239" s="47">
        <v>0.3846666666666666</v>
      </c>
      <c r="Q239" s="47">
        <v>0.34033333333333332</v>
      </c>
      <c r="R239" s="47">
        <v>0.29599999999999999</v>
      </c>
      <c r="S239" s="47">
        <v>0.18733333333333338</v>
      </c>
      <c r="T239" s="47">
        <v>0.14633333333333332</v>
      </c>
      <c r="U239" s="47">
        <v>0.17733333333333334</v>
      </c>
      <c r="V239" s="47">
        <v>0.16</v>
      </c>
      <c r="W239" s="47">
        <v>0.15333333333333335</v>
      </c>
      <c r="X239" s="47">
        <v>0.1633333333333333</v>
      </c>
      <c r="Y239" s="47">
        <v>0.14300000000000002</v>
      </c>
      <c r="Z239" s="47">
        <v>0.13966666666666666</v>
      </c>
      <c r="AA239" s="47">
        <v>9.9000000000000005E-2</v>
      </c>
      <c r="AB239" s="47">
        <v>0.11599999999999999</v>
      </c>
      <c r="AC239" s="47">
        <v>0.12966666666666665</v>
      </c>
      <c r="AD239" s="47">
        <v>0.21133333333333335</v>
      </c>
      <c r="AE239" s="47">
        <v>0.28599999999999998</v>
      </c>
      <c r="AF239" s="47">
        <v>0.34333333333333332</v>
      </c>
      <c r="AG239" s="47">
        <v>0.40833333333333333</v>
      </c>
      <c r="AH239" s="47">
        <v>0.3096666666666667</v>
      </c>
      <c r="AI239" s="47">
        <v>0.3096666666666667</v>
      </c>
      <c r="AJ239" s="47">
        <v>0.32333333333333336</v>
      </c>
      <c r="AK239" s="47">
        <v>0.43200000000000005</v>
      </c>
      <c r="AL239" s="47">
        <v>0.46599999999999997</v>
      </c>
      <c r="AM239" s="47">
        <v>0.47966666666666663</v>
      </c>
      <c r="AN239" s="47">
        <v>0.54766666666666663</v>
      </c>
      <c r="AO239" s="47">
        <v>0.57166666666666666</v>
      </c>
      <c r="AP239" s="47">
        <v>0.58866666666666667</v>
      </c>
      <c r="AQ239" s="47">
        <v>0.58533333333333326</v>
      </c>
      <c r="AR239" s="47">
        <v>0.55766666666666664</v>
      </c>
      <c r="AS239" s="47">
        <v>0.41166666666666668</v>
      </c>
      <c r="AT239" s="47">
        <v>0.5066666666666666</v>
      </c>
      <c r="AU239" s="47">
        <v>0.54433333333333334</v>
      </c>
      <c r="AV239" s="47">
        <v>0.58833333333333326</v>
      </c>
      <c r="AW239" s="47">
        <v>0.60233333333333339</v>
      </c>
      <c r="AX239" s="47">
        <v>0.6293333333333333</v>
      </c>
      <c r="AY239" s="47">
        <v>0.63600000000000001</v>
      </c>
      <c r="AZ239" s="47">
        <v>0.6193333333333334</v>
      </c>
      <c r="BA239" s="47">
        <v>0.60899999999999999</v>
      </c>
      <c r="BB239" s="47">
        <v>0.58866666666666667</v>
      </c>
      <c r="BC239" s="47">
        <v>0.55833333333333335</v>
      </c>
      <c r="BD239" s="47">
        <v>0.57166666666666666</v>
      </c>
      <c r="BE239" s="47">
        <v>0.70733333333333326</v>
      </c>
      <c r="BF239" s="47">
        <v>0.67699999999999994</v>
      </c>
      <c r="BG239" s="47">
        <v>0.60566666666666658</v>
      </c>
      <c r="BH239" s="47">
        <v>0.54433333333333334</v>
      </c>
      <c r="BI239" s="47">
        <v>0.51033333333333331</v>
      </c>
      <c r="BJ239" s="47">
        <v>0.49699999999999994</v>
      </c>
      <c r="BK239" s="47">
        <v>0.48</v>
      </c>
      <c r="BL239" s="47">
        <v>0.48666666666666658</v>
      </c>
      <c r="BM239" s="47">
        <v>0.5</v>
      </c>
      <c r="BN239" s="47">
        <v>0.54766666666666663</v>
      </c>
      <c r="BO239" s="47">
        <v>0.58533333333333348</v>
      </c>
      <c r="BP239" s="47">
        <v>0.63633333333333331</v>
      </c>
      <c r="BQ239" s="47">
        <v>0.66033333333333333</v>
      </c>
      <c r="BR239" s="47">
        <v>0.62933333333333319</v>
      </c>
      <c r="BS239" s="47">
        <v>0.62600000000000011</v>
      </c>
      <c r="BT239" s="47">
        <v>0.63633333333333331</v>
      </c>
      <c r="BU239" s="47">
        <v>0.67033333333333334</v>
      </c>
      <c r="BV239" s="47">
        <v>0.69066666666666665</v>
      </c>
      <c r="BW239" s="47">
        <v>0.68366666666666664</v>
      </c>
      <c r="BX239" s="47">
        <v>0.69766666666666666</v>
      </c>
      <c r="BY239" s="47">
        <v>0.69733333333333325</v>
      </c>
      <c r="BZ239" s="47">
        <v>0.69066666666666665</v>
      </c>
      <c r="CA239" s="47">
        <v>0.65333333333333332</v>
      </c>
      <c r="CB239" s="47">
        <v>0.58866666666666667</v>
      </c>
      <c r="CC239" s="47">
        <v>0.50366666666666671</v>
      </c>
      <c r="CD239" s="47">
        <v>0.49666666666666665</v>
      </c>
      <c r="CE239" s="47">
        <v>0.49333333333333335</v>
      </c>
      <c r="CF239" s="47">
        <v>0.53766666666666674</v>
      </c>
      <c r="CG239" s="47">
        <v>0.57166666666666666</v>
      </c>
      <c r="CH239" s="47">
        <v>0.66700000000000004</v>
      </c>
      <c r="CI239" s="47">
        <v>0.68699999999999994</v>
      </c>
      <c r="CJ239" s="47">
        <v>0.66366666666666674</v>
      </c>
      <c r="CK239" s="47">
        <v>0.626</v>
      </c>
      <c r="CL239" s="47">
        <v>0.6193333333333334</v>
      </c>
      <c r="CM239" s="47">
        <v>0.65633333333333332</v>
      </c>
      <c r="CN239" s="47">
        <v>0.61899999999999999</v>
      </c>
      <c r="CO239" s="47">
        <v>0.55100000000000005</v>
      </c>
      <c r="CP239" s="47">
        <v>0.52399999999999991</v>
      </c>
      <c r="CQ239" s="47">
        <v>0.59199999999999997</v>
      </c>
      <c r="CR239" s="47">
        <v>0.71099999999999997</v>
      </c>
      <c r="CS239" s="47">
        <v>0.69066666666666676</v>
      </c>
      <c r="CT239" s="47">
        <v>0.67700000000000005</v>
      </c>
      <c r="CU239" s="47">
        <v>0.67333333333333334</v>
      </c>
      <c r="CV239" s="47">
        <v>0.66033333333333333</v>
      </c>
      <c r="CW239" s="47">
        <v>0.68400000000000005</v>
      </c>
      <c r="CX239" s="47">
        <v>0.68366666666666664</v>
      </c>
      <c r="CY239" s="47">
        <v>0.68699999999999994</v>
      </c>
      <c r="CZ239" s="47">
        <v>0.67666666666666664</v>
      </c>
    </row>
    <row r="240" spans="1:104" x14ac:dyDescent="0.2">
      <c r="A240" s="50" t="s">
        <v>165</v>
      </c>
      <c r="B240" s="46">
        <f t="shared" si="35"/>
        <v>22.08</v>
      </c>
      <c r="C240" s="46">
        <f t="shared" si="36"/>
        <v>0.30000000000000582</v>
      </c>
      <c r="D240" s="48">
        <f t="shared" si="37"/>
        <v>16.875238447963358</v>
      </c>
      <c r="E240" s="46"/>
      <c r="F240" s="47">
        <v>0.46260000000000001</v>
      </c>
      <c r="G240" s="47">
        <v>0.50740000000000007</v>
      </c>
      <c r="H240" s="47">
        <v>0.43099999999999994</v>
      </c>
      <c r="I240" s="47">
        <v>0.45959999999999995</v>
      </c>
      <c r="J240" s="47">
        <v>0.48599999999999999</v>
      </c>
      <c r="K240" s="47">
        <v>0.51080000000000003</v>
      </c>
      <c r="L240" s="47">
        <v>0.50040000000000007</v>
      </c>
      <c r="M240" s="47">
        <v>0.46360000000000001</v>
      </c>
      <c r="N240" s="47">
        <v>0.38739999999999997</v>
      </c>
      <c r="O240" s="47">
        <v>0.21039999999999998</v>
      </c>
      <c r="P240" s="47">
        <v>9.3999999999999986E-2</v>
      </c>
      <c r="Q240" s="47">
        <v>0.1084</v>
      </c>
      <c r="R240" s="47">
        <v>0.17440000000000003</v>
      </c>
      <c r="S240" s="47">
        <v>0.27860000000000007</v>
      </c>
      <c r="T240" s="47">
        <v>0.30299999999999994</v>
      </c>
      <c r="U240" s="47">
        <v>0.23119999999999999</v>
      </c>
      <c r="V240" s="47">
        <v>0.21099999999999997</v>
      </c>
      <c r="W240" s="47">
        <v>0.24180000000000001</v>
      </c>
      <c r="X240" s="47">
        <v>0.3962</v>
      </c>
      <c r="Y240" s="47">
        <v>0.51079999999999992</v>
      </c>
      <c r="Z240" s="47">
        <v>0.66860000000000008</v>
      </c>
      <c r="AA240" s="47">
        <v>0.89119999999999999</v>
      </c>
      <c r="AB240" s="47">
        <v>0.90739999999999998</v>
      </c>
      <c r="AC240" s="47">
        <v>0.86839999999999995</v>
      </c>
      <c r="AD240" s="47">
        <v>0.81119999999999992</v>
      </c>
      <c r="AE240" s="47">
        <v>0.72119999999999995</v>
      </c>
      <c r="AF240" s="47">
        <v>0.50600000000000001</v>
      </c>
      <c r="AG240" s="47">
        <v>0.37700000000000006</v>
      </c>
      <c r="AH240" s="47">
        <v>0.39779999999999999</v>
      </c>
      <c r="AI240" s="47">
        <v>0.53659999999999997</v>
      </c>
      <c r="AJ240" s="47">
        <v>0.3896</v>
      </c>
      <c r="AK240" s="47">
        <v>0.31999999999999995</v>
      </c>
      <c r="AL240" s="47">
        <v>0.29540000000000005</v>
      </c>
      <c r="AM240" s="47">
        <v>0.38319999999999993</v>
      </c>
      <c r="AN240" s="47">
        <v>0.54</v>
      </c>
      <c r="AO240" s="47">
        <v>0.5524</v>
      </c>
      <c r="AP240" s="47">
        <v>0.45639999999999997</v>
      </c>
      <c r="AQ240" s="47">
        <v>0.45719999999999994</v>
      </c>
      <c r="AR240" s="47">
        <v>0.56059999999999988</v>
      </c>
      <c r="AS240" s="47">
        <v>0.55079999999999996</v>
      </c>
      <c r="AT240" s="47">
        <v>0.57700000000000007</v>
      </c>
      <c r="AU240" s="47">
        <v>0.58860000000000001</v>
      </c>
      <c r="AV240" s="47">
        <v>0.56159999999999999</v>
      </c>
      <c r="AW240" s="47">
        <v>0.51039999999999996</v>
      </c>
      <c r="AX240" s="47">
        <v>0.45320000000000005</v>
      </c>
      <c r="AY240" s="47">
        <v>0.33679999999999999</v>
      </c>
      <c r="AZ240" s="47">
        <v>0.18379999999999996</v>
      </c>
      <c r="BA240" s="47">
        <v>0.19820000000000002</v>
      </c>
      <c r="BB240" s="47">
        <v>0.30260000000000004</v>
      </c>
      <c r="BC240" s="47">
        <v>0.29059999999999997</v>
      </c>
      <c r="BD240" s="47">
        <v>0.40139999999999998</v>
      </c>
      <c r="BE240" s="47">
        <v>0.54060000000000008</v>
      </c>
      <c r="BF240" s="47">
        <v>0.5364000000000001</v>
      </c>
      <c r="BG240" s="47">
        <v>0.50800000000000001</v>
      </c>
      <c r="BH240" s="47">
        <v>0.48140000000000005</v>
      </c>
      <c r="BI240" s="47">
        <v>0.47180000000000005</v>
      </c>
      <c r="BJ240" s="47">
        <v>0.55359999999999998</v>
      </c>
      <c r="BK240" s="47">
        <v>0.6048</v>
      </c>
      <c r="BL240" s="47">
        <v>0.66580000000000006</v>
      </c>
      <c r="BM240" s="47">
        <v>0.72920000000000007</v>
      </c>
      <c r="BN240" s="47">
        <v>0.71660000000000001</v>
      </c>
      <c r="BO240" s="47">
        <v>0.69399999999999995</v>
      </c>
      <c r="BP240" s="47">
        <v>0.56920000000000004</v>
      </c>
      <c r="BQ240" s="47">
        <v>0.56559999999999999</v>
      </c>
      <c r="BR240" s="47">
        <v>0.56779999999999997</v>
      </c>
      <c r="BS240" s="47">
        <v>0.51900000000000002</v>
      </c>
      <c r="BT240" s="47">
        <v>0.66379999999999983</v>
      </c>
      <c r="BU240" s="47">
        <v>0.71479999999999988</v>
      </c>
      <c r="BV240" s="47">
        <v>0.71040000000000003</v>
      </c>
      <c r="BW240" s="47">
        <v>0.61439999999999995</v>
      </c>
      <c r="BX240" s="47">
        <v>0.50159999999999993</v>
      </c>
      <c r="BY240" s="47">
        <v>0.45259999999999995</v>
      </c>
      <c r="BZ240" s="47">
        <v>0.4874</v>
      </c>
      <c r="CA240" s="47">
        <v>0.59379999999999999</v>
      </c>
      <c r="CB240" s="47">
        <v>0.65480000000000005</v>
      </c>
      <c r="CC240" s="47">
        <v>0.62039999999999995</v>
      </c>
      <c r="CD240" s="47">
        <v>0.6654000000000001</v>
      </c>
      <c r="CE240" s="47">
        <v>0.69179999999999997</v>
      </c>
      <c r="CF240" s="47">
        <v>0.65879999999999994</v>
      </c>
      <c r="CG240" s="47">
        <v>0.56040000000000001</v>
      </c>
      <c r="CH240" s="47">
        <v>0.33380000000000004</v>
      </c>
      <c r="CI240" s="47">
        <v>0.32979999999999998</v>
      </c>
      <c r="CJ240" s="47">
        <v>0.34219999999999995</v>
      </c>
      <c r="CK240" s="47">
        <v>0.35859999999999997</v>
      </c>
      <c r="CL240" s="47">
        <v>0.34860000000000002</v>
      </c>
      <c r="CM240" s="47">
        <v>0.33019999999999999</v>
      </c>
      <c r="CN240" s="47">
        <v>0.38140000000000002</v>
      </c>
      <c r="CO240" s="47">
        <v>0.5613999999999999</v>
      </c>
      <c r="CP240" s="47">
        <v>0.53680000000000005</v>
      </c>
      <c r="CQ240" s="47">
        <v>0.4526</v>
      </c>
      <c r="CR240" s="47">
        <v>0.40380000000000005</v>
      </c>
      <c r="CS240" s="47">
        <v>0.58920000000000006</v>
      </c>
      <c r="CT240" s="47">
        <v>0.71579999999999999</v>
      </c>
      <c r="CU240" s="47">
        <v>0.73240000000000005</v>
      </c>
      <c r="CV240" s="47">
        <v>0.60959999999999992</v>
      </c>
      <c r="CW240" s="47">
        <v>0.62579999999999991</v>
      </c>
      <c r="CX240" s="47">
        <v>0.61540000000000006</v>
      </c>
      <c r="CY240" s="47">
        <v>0.65019999999999989</v>
      </c>
      <c r="CZ240" s="47">
        <v>0.58860000000000001</v>
      </c>
    </row>
    <row r="241" spans="1:104" x14ac:dyDescent="0.2">
      <c r="A241" s="50" t="s">
        <v>167</v>
      </c>
      <c r="B241" s="46">
        <f t="shared" si="35"/>
        <v>-17.299999999999994</v>
      </c>
      <c r="C241" s="46">
        <f t="shared" si="36"/>
        <v>-25.45</v>
      </c>
      <c r="D241" s="48">
        <f t="shared" si="37"/>
        <v>28.129920500476352</v>
      </c>
      <c r="E241" s="46"/>
      <c r="F241" s="47">
        <v>0.20400000000000001</v>
      </c>
      <c r="G241" s="47">
        <v>0.20400000000000001</v>
      </c>
      <c r="H241" s="47">
        <v>0.34650000000000003</v>
      </c>
      <c r="I241" s="47">
        <v>0.45850000000000002</v>
      </c>
      <c r="J241" s="47">
        <v>0.41249999999999998</v>
      </c>
      <c r="K241" s="47">
        <v>0.4534999999999999</v>
      </c>
      <c r="L241" s="47">
        <v>0.51500000000000001</v>
      </c>
      <c r="M241" s="47">
        <v>0.58150000000000002</v>
      </c>
      <c r="N241" s="47">
        <v>0.64249999999999996</v>
      </c>
      <c r="O241" s="47">
        <v>0.68799999999999994</v>
      </c>
      <c r="P241" s="47">
        <v>0.6885</v>
      </c>
      <c r="Q241" s="47">
        <v>0.67299999999999993</v>
      </c>
      <c r="R241" s="47">
        <v>0.71400000000000008</v>
      </c>
      <c r="S241" s="47">
        <v>0.72899999999999998</v>
      </c>
      <c r="T241" s="47">
        <v>0.65300000000000002</v>
      </c>
      <c r="U241" s="47">
        <v>0.39750000000000002</v>
      </c>
      <c r="V241" s="47">
        <v>0.41749999999999998</v>
      </c>
      <c r="W241" s="47">
        <v>0.37699999999999995</v>
      </c>
      <c r="X241" s="47">
        <v>0.31549999999999995</v>
      </c>
      <c r="Y241" s="47">
        <v>0.22899999999999998</v>
      </c>
      <c r="Z241" s="47">
        <v>0.20349999999999999</v>
      </c>
      <c r="AA241" s="47">
        <v>0.14250000000000002</v>
      </c>
      <c r="AB241" s="47">
        <v>0.158</v>
      </c>
      <c r="AC241" s="47">
        <v>0.10200000000000001</v>
      </c>
      <c r="AD241" s="47">
        <v>3.5500000000000004E-2</v>
      </c>
      <c r="AE241" s="47">
        <v>5.0000000000000001E-3</v>
      </c>
      <c r="AF241" s="47">
        <v>0.4335</v>
      </c>
      <c r="AG241" s="47">
        <v>0.90749999999999997</v>
      </c>
      <c r="AH241" s="47">
        <v>0.88700000000000001</v>
      </c>
      <c r="AI241" s="47">
        <v>0.86199999999999999</v>
      </c>
      <c r="AJ241" s="47">
        <v>0.82099999999999995</v>
      </c>
      <c r="AK241" s="47">
        <v>0.82050000000000001</v>
      </c>
      <c r="AL241" s="47">
        <v>0.8005000000000001</v>
      </c>
      <c r="AM241" s="47">
        <v>0.82099999999999995</v>
      </c>
      <c r="AN241" s="47">
        <v>0.78</v>
      </c>
      <c r="AO241" s="47">
        <v>0.78500000000000014</v>
      </c>
      <c r="AP241" s="47">
        <v>0.84100000000000008</v>
      </c>
      <c r="AQ241" s="47">
        <v>0.86199999999999999</v>
      </c>
      <c r="AR241" s="47">
        <v>0.77</v>
      </c>
      <c r="AS241" s="47">
        <v>0.39200000000000002</v>
      </c>
      <c r="AT241" s="47">
        <v>0.40250000000000002</v>
      </c>
      <c r="AU241" s="47">
        <v>0.42799999999999999</v>
      </c>
      <c r="AV241" s="47">
        <v>0.41800000000000004</v>
      </c>
      <c r="AW241" s="47">
        <v>0.39249999999999996</v>
      </c>
      <c r="AX241" s="47">
        <v>0.35700000000000004</v>
      </c>
      <c r="AY241" s="47">
        <v>0.32100000000000001</v>
      </c>
      <c r="AZ241" s="47">
        <v>0.23450000000000001</v>
      </c>
      <c r="BA241" s="47">
        <v>0.23400000000000001</v>
      </c>
      <c r="BB241" s="47">
        <v>0.17850000000000002</v>
      </c>
      <c r="BC241" s="47">
        <v>0.16750000000000001</v>
      </c>
      <c r="BD241" s="47">
        <v>0.1575</v>
      </c>
      <c r="BE241" s="47">
        <v>0.3105</v>
      </c>
      <c r="BF241" s="47">
        <v>0.2495</v>
      </c>
      <c r="BG241" s="47">
        <v>0.20849999999999999</v>
      </c>
      <c r="BH241" s="47">
        <v>0.16800000000000001</v>
      </c>
      <c r="BI241" s="47">
        <v>0.16800000000000001</v>
      </c>
      <c r="BJ241" s="47">
        <v>0.23949999999999999</v>
      </c>
      <c r="BK241" s="47">
        <v>0.224</v>
      </c>
      <c r="BL241" s="47">
        <v>0.17800000000000002</v>
      </c>
      <c r="BM241" s="47">
        <v>0.127</v>
      </c>
      <c r="BN241" s="47">
        <v>0.10149999999999999</v>
      </c>
      <c r="BO241" s="47">
        <v>9.6500000000000002E-2</v>
      </c>
      <c r="BP241" s="47">
        <v>0.42299999999999999</v>
      </c>
      <c r="BQ241" s="47">
        <v>0.71899999999999997</v>
      </c>
      <c r="BR241" s="47">
        <v>0.73950000000000005</v>
      </c>
      <c r="BS241" s="47">
        <v>0.78499999999999992</v>
      </c>
      <c r="BT241" s="47">
        <v>0.83099999999999985</v>
      </c>
      <c r="BU241" s="47">
        <v>0.86149999999999993</v>
      </c>
      <c r="BV241" s="47">
        <v>0.86199999999999999</v>
      </c>
      <c r="BW241" s="47">
        <v>0.87199999999999989</v>
      </c>
      <c r="BX241" s="47">
        <v>0.87699999999999989</v>
      </c>
      <c r="BY241" s="47">
        <v>0.90749999999999997</v>
      </c>
      <c r="BZ241" s="47">
        <v>0.90249999999999997</v>
      </c>
      <c r="CA241" s="47">
        <v>0.89750000000000008</v>
      </c>
      <c r="CB241" s="47">
        <v>0.88700000000000001</v>
      </c>
      <c r="CC241" s="47">
        <v>0.86699999999999999</v>
      </c>
      <c r="CD241" s="47">
        <v>0.85649999999999993</v>
      </c>
      <c r="CE241" s="47">
        <v>0.82099999999999995</v>
      </c>
      <c r="CF241" s="47">
        <v>0.78049999999999997</v>
      </c>
      <c r="CG241" s="47">
        <v>0.74950000000000006</v>
      </c>
      <c r="CH241" s="47">
        <v>0.66249999999999998</v>
      </c>
      <c r="CI241" s="47">
        <v>0.622</v>
      </c>
      <c r="CJ241" s="47">
        <v>0.627</v>
      </c>
      <c r="CK241" s="47">
        <v>0.64749999999999996</v>
      </c>
      <c r="CL241" s="47">
        <v>0.68800000000000006</v>
      </c>
      <c r="CM241" s="47">
        <v>0.6984999999999999</v>
      </c>
      <c r="CN241" s="47">
        <v>0.65749999999999997</v>
      </c>
      <c r="CO241" s="47">
        <v>0.53549999999999998</v>
      </c>
      <c r="CP241" s="47">
        <v>0.40750000000000003</v>
      </c>
      <c r="CQ241" s="47">
        <v>0.34149999999999997</v>
      </c>
      <c r="CR241" s="47">
        <v>0.30549999999999999</v>
      </c>
      <c r="CS241" s="47">
        <v>0.30549999999999999</v>
      </c>
      <c r="CT241" s="47">
        <v>0.27500000000000002</v>
      </c>
      <c r="CU241" s="47">
        <v>0.25949999999999995</v>
      </c>
      <c r="CV241" s="47">
        <v>0.2495</v>
      </c>
      <c r="CW241" s="47">
        <v>0.27</v>
      </c>
      <c r="CX241" s="47">
        <v>0.2545</v>
      </c>
      <c r="CY241" s="47">
        <v>0.26</v>
      </c>
      <c r="CZ241" s="47">
        <v>0.19850000000000001</v>
      </c>
    </row>
    <row r="242" spans="1:104" x14ac:dyDescent="0.2">
      <c r="A242" s="50" t="s">
        <v>169</v>
      </c>
      <c r="B242" s="46">
        <f t="shared" si="35"/>
        <v>-77.549999999999983</v>
      </c>
      <c r="C242" s="46">
        <f t="shared" si="36"/>
        <v>-42.800000000000004</v>
      </c>
      <c r="D242" s="48">
        <f t="shared" si="37"/>
        <v>18.651131586380391</v>
      </c>
      <c r="E242" s="46"/>
      <c r="F242" s="47">
        <v>0</v>
      </c>
      <c r="G242" s="47">
        <v>0</v>
      </c>
      <c r="H242" s="47">
        <v>3.4500000000000003E-2</v>
      </c>
      <c r="I242" s="47">
        <v>0.42800000000000005</v>
      </c>
      <c r="J242" s="47">
        <v>0.40949999999999998</v>
      </c>
      <c r="K242" s="47">
        <v>0.34349999999999997</v>
      </c>
      <c r="L242" s="47">
        <v>0.25650000000000001</v>
      </c>
      <c r="M242" s="47">
        <v>0.18000000000000002</v>
      </c>
      <c r="N242" s="47">
        <v>0.13999999999999999</v>
      </c>
      <c r="O242" s="47">
        <v>7.3999999999999996E-2</v>
      </c>
      <c r="P242" s="47">
        <v>9.35E-2</v>
      </c>
      <c r="Q242" s="47">
        <v>0.20250000000000001</v>
      </c>
      <c r="R242" s="47">
        <v>0.26600000000000001</v>
      </c>
      <c r="S242" s="47">
        <v>0.4395</v>
      </c>
      <c r="T242" s="47">
        <v>0.53050000000000008</v>
      </c>
      <c r="U242" s="47">
        <v>0.71900000000000008</v>
      </c>
      <c r="V242" s="47">
        <v>0.76200000000000001</v>
      </c>
      <c r="W242" s="47">
        <v>0.77549999999999986</v>
      </c>
      <c r="X242" s="47">
        <v>0.77249999999999996</v>
      </c>
      <c r="Y242" s="47">
        <v>0.6984999999999999</v>
      </c>
      <c r="Z242" s="47">
        <v>0.63449999999999995</v>
      </c>
      <c r="AA242" s="47">
        <v>0.59650000000000003</v>
      </c>
      <c r="AB242" s="47">
        <v>0.64200000000000013</v>
      </c>
      <c r="AC242" s="47">
        <v>0.60250000000000004</v>
      </c>
      <c r="AD242" s="47">
        <v>0.41050000000000003</v>
      </c>
      <c r="AE242" s="47">
        <v>0.1105</v>
      </c>
      <c r="AF242" s="47">
        <v>0.16849999999999998</v>
      </c>
      <c r="AG242" s="47">
        <v>0.44500000000000001</v>
      </c>
      <c r="AH242" s="47">
        <v>0.36599999999999999</v>
      </c>
      <c r="AI242" s="47">
        <v>0.35300000000000004</v>
      </c>
      <c r="AJ242" s="47">
        <v>0.32699999999999996</v>
      </c>
      <c r="AK242" s="47">
        <v>0.376</v>
      </c>
      <c r="AL242" s="47">
        <v>0.35199999999999998</v>
      </c>
      <c r="AM242" s="47">
        <v>0.28800000000000003</v>
      </c>
      <c r="AN242" s="47">
        <v>0.19450000000000001</v>
      </c>
      <c r="AO242" s="47">
        <v>0.32250000000000001</v>
      </c>
      <c r="AP242" s="47">
        <v>0.72149999999999992</v>
      </c>
      <c r="AQ242" s="47">
        <v>0.85249999999999992</v>
      </c>
      <c r="AR242" s="47">
        <v>0.8125</v>
      </c>
      <c r="AS242" s="47">
        <v>0.27749999999999997</v>
      </c>
      <c r="AT242" s="47">
        <v>0.27499999999999997</v>
      </c>
      <c r="AU242" s="47">
        <v>0.26749999999999996</v>
      </c>
      <c r="AV242" s="47">
        <v>0.27</v>
      </c>
      <c r="AW242" s="47">
        <v>0.29749999999999999</v>
      </c>
      <c r="AX242" s="47">
        <v>0.34249999999999992</v>
      </c>
      <c r="AY242" s="47">
        <v>0.39500000000000002</v>
      </c>
      <c r="AZ242" s="47">
        <v>0.4385</v>
      </c>
      <c r="BA242" s="47">
        <v>0.47800000000000004</v>
      </c>
      <c r="BB242" s="47">
        <v>0.48550000000000004</v>
      </c>
      <c r="BC242" s="47">
        <v>0.49299999999999994</v>
      </c>
      <c r="BD242" s="47">
        <v>0.57299999999999995</v>
      </c>
      <c r="BE242" s="47">
        <v>0.66349999999999998</v>
      </c>
      <c r="BF242" s="47">
        <v>0.6765000000000001</v>
      </c>
      <c r="BG242" s="47">
        <v>0.72199999999999998</v>
      </c>
      <c r="BH242" s="47">
        <v>0.73299999999999998</v>
      </c>
      <c r="BI242" s="47">
        <v>0.63700000000000001</v>
      </c>
      <c r="BJ242" s="47">
        <v>0.5595</v>
      </c>
      <c r="BK242" s="47">
        <v>0.49249999999999999</v>
      </c>
      <c r="BL242" s="47">
        <v>0.44750000000000001</v>
      </c>
      <c r="BM242" s="47">
        <v>0.3</v>
      </c>
      <c r="BN242" s="47">
        <v>0.16249999999999998</v>
      </c>
      <c r="BO242" s="47">
        <v>9.6000000000000002E-2</v>
      </c>
      <c r="BP242" s="47">
        <v>0.20500000000000002</v>
      </c>
      <c r="BQ242" s="47">
        <v>0.59199999999999997</v>
      </c>
      <c r="BR242" s="47">
        <v>0.58650000000000002</v>
      </c>
      <c r="BS242" s="47">
        <v>0.57600000000000007</v>
      </c>
      <c r="BT242" s="47">
        <v>0.58150000000000002</v>
      </c>
      <c r="BU242" s="47">
        <v>0.59699999999999998</v>
      </c>
      <c r="BV242" s="47">
        <v>0.60749999999999993</v>
      </c>
      <c r="BW242" s="47">
        <v>0.61299999999999999</v>
      </c>
      <c r="BX242" s="47">
        <v>0.61799999999999999</v>
      </c>
      <c r="BY242" s="47">
        <v>0.64449999999999996</v>
      </c>
      <c r="BZ242" s="47">
        <v>0.69199999999999995</v>
      </c>
      <c r="CA242" s="47">
        <v>0.72850000000000004</v>
      </c>
      <c r="CB242" s="47">
        <v>0.75</v>
      </c>
      <c r="CC242" s="47">
        <v>0.74449999999999994</v>
      </c>
      <c r="CD242" s="47">
        <v>0.7390000000000001</v>
      </c>
      <c r="CE242" s="47">
        <v>0.71299999999999997</v>
      </c>
      <c r="CF242" s="47">
        <v>0.70250000000000001</v>
      </c>
      <c r="CG242" s="47">
        <v>0.71799999999999997</v>
      </c>
      <c r="CH242" s="47">
        <v>0.7340000000000001</v>
      </c>
      <c r="CI242" s="47">
        <v>0.72349999999999992</v>
      </c>
      <c r="CJ242" s="47">
        <v>0.68149999999999999</v>
      </c>
      <c r="CK242" s="47">
        <v>0.66549999999999987</v>
      </c>
      <c r="CL242" s="47">
        <v>0.66049999999999986</v>
      </c>
      <c r="CM242" s="47">
        <v>0.65500000000000003</v>
      </c>
      <c r="CN242" s="47">
        <v>0.67600000000000005</v>
      </c>
      <c r="CO242" s="47">
        <v>0.70750000000000002</v>
      </c>
      <c r="CP242" s="47">
        <v>0.69199999999999995</v>
      </c>
      <c r="CQ242" s="47">
        <v>0.6865</v>
      </c>
      <c r="CR242" s="47">
        <v>0.67100000000000004</v>
      </c>
      <c r="CS242" s="47">
        <v>0.63900000000000001</v>
      </c>
      <c r="CT242" s="47">
        <v>0.62350000000000005</v>
      </c>
      <c r="CU242" s="47">
        <v>0.62850000000000006</v>
      </c>
      <c r="CV242" s="47">
        <v>0.63400000000000001</v>
      </c>
      <c r="CW242" s="47">
        <v>0.65</v>
      </c>
      <c r="CX242" s="47">
        <v>0.5</v>
      </c>
      <c r="CY242" s="47">
        <v>0.5</v>
      </c>
      <c r="CZ242" s="47">
        <v>0.5</v>
      </c>
    </row>
    <row r="243" spans="1:104" x14ac:dyDescent="0.2">
      <c r="A243" s="50" t="s">
        <v>326</v>
      </c>
      <c r="B243" s="46">
        <f t="shared" si="35"/>
        <v>21.266666666666655</v>
      </c>
      <c r="C243" s="46">
        <f t="shared" si="36"/>
        <v>15.199999999999992</v>
      </c>
      <c r="D243" s="48">
        <f t="shared" si="37"/>
        <v>16.45451451232509</v>
      </c>
      <c r="E243" s="46"/>
      <c r="F243" s="47">
        <v>0.59833333333333327</v>
      </c>
      <c r="G243" s="47">
        <v>0.54133333333333333</v>
      </c>
      <c r="H243" s="47">
        <v>0.45366666666666661</v>
      </c>
      <c r="I243" s="47">
        <v>0.44633333333333336</v>
      </c>
      <c r="J243" s="47">
        <v>0.47333333333333338</v>
      </c>
      <c r="K243" s="47">
        <v>0.55499999999999994</v>
      </c>
      <c r="L243" s="47">
        <v>0.47499999999999998</v>
      </c>
      <c r="M243" s="47">
        <v>0.37033333333333335</v>
      </c>
      <c r="N243" s="47">
        <v>0.22666666666666666</v>
      </c>
      <c r="O243" s="47">
        <v>0.20600000000000002</v>
      </c>
      <c r="P243" s="47">
        <v>0.20099999999999998</v>
      </c>
      <c r="Q243" s="47">
        <v>0.15599999999999997</v>
      </c>
      <c r="R243" s="47">
        <v>0.122</v>
      </c>
      <c r="S243" s="47">
        <v>0.10533333333333333</v>
      </c>
      <c r="T243" s="47">
        <v>0.23166666666666669</v>
      </c>
      <c r="U243" s="47">
        <v>0.31733333333333336</v>
      </c>
      <c r="V243" s="47">
        <v>0.34266666666666662</v>
      </c>
      <c r="W243" s="47">
        <v>0.38566666666666671</v>
      </c>
      <c r="X243" s="47">
        <v>0.39399999999999996</v>
      </c>
      <c r="Y243" s="47">
        <v>0.47299999999999992</v>
      </c>
      <c r="Z243" s="47">
        <v>0.59766666666666657</v>
      </c>
      <c r="AA243" s="47">
        <v>0.59066666666666678</v>
      </c>
      <c r="AB243" s="47">
        <v>0.45100000000000001</v>
      </c>
      <c r="AC243" s="47">
        <v>0.44933333333333342</v>
      </c>
      <c r="AD243" s="47">
        <v>0.39366666666666666</v>
      </c>
      <c r="AE243" s="47">
        <v>0.52199999999999991</v>
      </c>
      <c r="AF243" s="47">
        <v>0.33200000000000002</v>
      </c>
      <c r="AG243" s="47">
        <v>0.38233333333333336</v>
      </c>
      <c r="AH243" s="47">
        <v>0.36799999999999999</v>
      </c>
      <c r="AI243" s="47">
        <v>0.36499999999999994</v>
      </c>
      <c r="AJ243" s="47">
        <v>0.38599999999999995</v>
      </c>
      <c r="AK243" s="47">
        <v>0.378</v>
      </c>
      <c r="AL243" s="47">
        <v>0.41600000000000004</v>
      </c>
      <c r="AM243" s="47">
        <v>0.39333333333333331</v>
      </c>
      <c r="AN243" s="47">
        <v>0.55933333333333335</v>
      </c>
      <c r="AO243" s="47">
        <v>0.76</v>
      </c>
      <c r="AP243" s="47">
        <v>0.89500000000000002</v>
      </c>
      <c r="AQ243" s="47">
        <v>0.95166666666666677</v>
      </c>
      <c r="AR243" s="47">
        <v>0.92766666666666653</v>
      </c>
      <c r="AS243" s="47">
        <v>0.84233333333333338</v>
      </c>
      <c r="AT243" s="47">
        <v>0.70366666666666655</v>
      </c>
      <c r="AU243" s="47">
        <v>0.58466666666666667</v>
      </c>
      <c r="AV243" s="47">
        <v>0.59366666666666668</v>
      </c>
      <c r="AW243" s="47">
        <v>0.58599999999999997</v>
      </c>
      <c r="AX243" s="47">
        <v>0.68099999999999994</v>
      </c>
      <c r="AY243" s="47">
        <v>0.66466666666666674</v>
      </c>
      <c r="AZ243" s="47">
        <v>0.46900000000000003</v>
      </c>
      <c r="BA243" s="47">
        <v>0.36000000000000004</v>
      </c>
      <c r="BB243" s="47">
        <v>0.40533333333333332</v>
      </c>
      <c r="BC243" s="47">
        <v>0.27400000000000002</v>
      </c>
      <c r="BD243" s="47">
        <v>0.36933333333333335</v>
      </c>
      <c r="BE243" s="47">
        <v>0.42833333333333329</v>
      </c>
      <c r="BF243" s="47">
        <v>0.5</v>
      </c>
      <c r="BG243" s="47">
        <v>0.54500000000000004</v>
      </c>
      <c r="BH243" s="47">
        <v>0.30499999999999999</v>
      </c>
      <c r="BI243" s="47">
        <v>0.32999999999999996</v>
      </c>
      <c r="BJ243" s="47">
        <v>0.26299999999999996</v>
      </c>
      <c r="BK243" s="47">
        <v>0.57566666666666666</v>
      </c>
      <c r="BL243" s="47">
        <v>0.58099999999999996</v>
      </c>
      <c r="BM243" s="47">
        <v>0.61433333333333329</v>
      </c>
      <c r="BN243" s="47">
        <v>0.47033333333333333</v>
      </c>
      <c r="BO243" s="47">
        <v>0.4243333333333334</v>
      </c>
      <c r="BP243" s="47">
        <v>0.56700000000000006</v>
      </c>
      <c r="BQ243" s="47">
        <v>0.46100000000000002</v>
      </c>
      <c r="BR243" s="47">
        <v>0.66733333333333322</v>
      </c>
      <c r="BS243" s="47">
        <v>0.52899999999999991</v>
      </c>
      <c r="BT243" s="47">
        <v>0.62500000000000011</v>
      </c>
      <c r="BU243" s="47">
        <v>0.45899999999999996</v>
      </c>
      <c r="BV243" s="47">
        <v>0.42900000000000005</v>
      </c>
      <c r="BW243" s="47">
        <v>0.24399999999999999</v>
      </c>
      <c r="BX243" s="47">
        <v>0.31566666666666665</v>
      </c>
      <c r="BY243" s="47">
        <v>0.35433333333333333</v>
      </c>
      <c r="BZ243" s="47">
        <v>0.42233333333333334</v>
      </c>
      <c r="CA243" s="47">
        <v>0.60666666666666669</v>
      </c>
      <c r="CB243" s="47">
        <v>0.622</v>
      </c>
      <c r="CC243" s="47">
        <v>0.69833333333333336</v>
      </c>
      <c r="CD243" s="47">
        <v>0.66166666666666674</v>
      </c>
      <c r="CE243" s="47">
        <v>0.64433333333333331</v>
      </c>
      <c r="CF243" s="47">
        <v>0.6256666666666667</v>
      </c>
      <c r="CG243" s="47">
        <v>0.63333333333333341</v>
      </c>
      <c r="CH243" s="47">
        <v>0.60733333333333328</v>
      </c>
      <c r="CI243" s="47">
        <v>0.58866666666666667</v>
      </c>
      <c r="CJ243" s="47">
        <v>0.64066666666666661</v>
      </c>
      <c r="CK243" s="47">
        <v>0.65166666666666673</v>
      </c>
      <c r="CL243" s="47">
        <v>0.65533333333333332</v>
      </c>
      <c r="CM243" s="47">
        <v>0.6293333333333333</v>
      </c>
      <c r="CN243" s="47">
        <v>0.66666666666666663</v>
      </c>
      <c r="CO243" s="47">
        <v>0.66266666666666663</v>
      </c>
      <c r="CP243" s="47">
        <v>0.65899999999999992</v>
      </c>
      <c r="CQ243" s="47">
        <v>0.60000000000000009</v>
      </c>
      <c r="CR243" s="47">
        <v>0.59233333333333338</v>
      </c>
      <c r="CS243" s="47">
        <v>0.61466666666666669</v>
      </c>
      <c r="CT243" s="47">
        <v>0.5</v>
      </c>
      <c r="CU243" s="47">
        <v>0.5</v>
      </c>
      <c r="CV243" s="47">
        <v>0.5</v>
      </c>
      <c r="CW243" s="47">
        <v>0.5</v>
      </c>
      <c r="CX243" s="47">
        <v>0.5</v>
      </c>
      <c r="CY243" s="47">
        <v>0.5</v>
      </c>
      <c r="CZ243" s="47">
        <v>0.5</v>
      </c>
    </row>
  </sheetData>
  <phoneticPr fontId="4" type="noConversion"/>
  <conditionalFormatting sqref="F25:CZ3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7:CZ6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0:CZ16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71:CZ243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面板-总览</vt:lpstr>
      <vt:lpstr>景气时钟</vt:lpstr>
      <vt:lpstr>安全边际（一级行业）</vt:lpstr>
      <vt:lpstr>安全边际</vt:lpstr>
      <vt:lpstr>面板-景气指数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正韬 方</dc:creator>
  <cp:lastModifiedBy>正韬 方</cp:lastModifiedBy>
  <dcterms:created xsi:type="dcterms:W3CDTF">2024-03-29T11:12:59Z</dcterms:created>
  <dcterms:modified xsi:type="dcterms:W3CDTF">2024-03-30T05:53:20Z</dcterms:modified>
</cp:coreProperties>
</file>